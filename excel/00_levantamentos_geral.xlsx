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:\Meu Drive\FS CONSULTORES\03_BKUP_TI\T.I\MVP Orçamento\Bases\"/>
    </mc:Choice>
  </mc:AlternateContent>
  <xr:revisionPtr revIDLastSave="0" documentId="13_ncr:1_{A0E1726F-980F-4AC5-BD8C-AAE75B085596}" xr6:coauthVersionLast="47" xr6:coauthVersionMax="47" xr10:uidLastSave="{00000000-0000-0000-0000-000000000000}"/>
  <bookViews>
    <workbookView xWindow="-28920" yWindow="-120" windowWidth="29040" windowHeight="15840" tabRatio="884" firstSheet="1" activeTab="1" xr2:uid="{00000000-000D-0000-FFFF-FFFF00000000}"/>
  </bookViews>
  <sheets>
    <sheet name="PLANILHA" sheetId="27" state="hidden" r:id="rId1"/>
    <sheet name="PLANILHAS" sheetId="31" r:id="rId2"/>
    <sheet name="IS GESTOR" sheetId="37" r:id="rId3"/>
    <sheet name="Lev. padrão" sheetId="16" state="hidden" r:id="rId4"/>
    <sheet name="RESUMO_REV." sheetId="3" state="hidden" r:id="rId5"/>
    <sheet name="RESUMO_ESQ." sheetId="29" state="hidden" r:id="rId6"/>
    <sheet name="RESUMO_LÇ.MET." sheetId="20" state="hidden" r:id="rId7"/>
    <sheet name="IMPER" sheetId="24" state="hidden" r:id="rId8"/>
    <sheet name="ESTUDO PRAZO" sheetId="33" state="hidden" r:id="rId9"/>
    <sheet name="MAO DE OBRA" sheetId="34" state="hidden" r:id="rId10"/>
    <sheet name="EQUIPAMENTO" sheetId="35" state="hidden" r:id="rId11"/>
    <sheet name="ANDAIMES" sheetId="36" state="hidden" r:id="rId12"/>
    <sheet name="cpu_10013" sheetId="41" r:id="rId13"/>
    <sheet name="import_CPU" sheetId="38" r:id="rId14"/>
    <sheet name="import_IS" sheetId="40" r:id="rId15"/>
    <sheet name="import_Plan" sheetId="39" r:id="rId16"/>
  </sheets>
  <definedNames>
    <definedName name="_xlnm._FilterDatabase" localSheetId="13" hidden="1">import_CPU!$A$3:$L$146</definedName>
    <definedName name="_xlnm._FilterDatabase" localSheetId="14" hidden="1">import_IS!$A$5:$M$173</definedName>
    <definedName name="_xlnm._FilterDatabase" localSheetId="15" hidden="1">import_Plan!$A$4:$C$20</definedName>
    <definedName name="_xlnm._FilterDatabase" localSheetId="2" hidden="1">'IS GESTOR'!$A$1:$D$3585</definedName>
    <definedName name="_xlnm._FilterDatabase" localSheetId="3" hidden="1">'Lev. padrão'!$A$1:$N$39</definedName>
    <definedName name="_xlnm._FilterDatabase" localSheetId="0" hidden="1">PLANILHA!$A$1:$N$548</definedName>
    <definedName name="_xlnm._FilterDatabase" localSheetId="1" hidden="1">PLANILHAS!$A$1:$J$812</definedName>
    <definedName name="_xlnm._FilterDatabase" localSheetId="5" hidden="1">'RESUMO_ESQ.'!$A$6:$CM$74</definedName>
    <definedName name="_Order1" hidden="1">255</definedName>
    <definedName name="Acessos" localSheetId="8">#REF!</definedName>
    <definedName name="Acessos" localSheetId="13">#REF!</definedName>
    <definedName name="Acessos" localSheetId="9">#REF!</definedName>
    <definedName name="Acessos">#REF!</definedName>
    <definedName name="_xlnm.Print_Area" localSheetId="10">EQUIPAMENTO!$B$2:$AO$38</definedName>
    <definedName name="_xlnm.Print_Area" localSheetId="8">'ESTUDO PRAZO'!$A$1:$Q$43</definedName>
    <definedName name="_xlnm.Print_Area" localSheetId="7">IMPER!$A$1:$F$23</definedName>
    <definedName name="_xlnm.Print_Area" localSheetId="9">'MAO DE OBRA'!$B$2:$AP$26</definedName>
    <definedName name="_xlnm.Print_Area" localSheetId="5">'RESUMO_ESQ.'!$A$1:$R$141</definedName>
    <definedName name="_xlnm.Print_Area" localSheetId="6">'RESUMO_LÇ.MET.'!$A$1:$B$129</definedName>
    <definedName name="_xlnm.Print_Area" localSheetId="4">'RESUMO_REV.'!$A$1:$B$96</definedName>
    <definedName name="assim" localSheetId="8">#REF!</definedName>
    <definedName name="assim" localSheetId="13">#REF!</definedName>
    <definedName name="assim" localSheetId="9">#REF!</definedName>
    <definedName name="assim">#REF!</definedName>
    <definedName name="_xlnm.Database" localSheetId="8">#REF!</definedName>
    <definedName name="_xlnm.Database" localSheetId="13">#REF!</definedName>
    <definedName name="_xlnm.Database" localSheetId="9">#REF!</definedName>
    <definedName name="_xlnm.Database">#REF!</definedName>
    <definedName name="Barragem" localSheetId="8">#REF!</definedName>
    <definedName name="Barragem" localSheetId="13">#REF!</definedName>
    <definedName name="Barragem" localSheetId="9">#REF!</definedName>
    <definedName name="Barragem">#REF!</definedName>
    <definedName name="composicao" localSheetId="13">#REF!</definedName>
    <definedName name="composicao">#REF!</definedName>
    <definedName name="Database" localSheetId="8">#REF!</definedName>
    <definedName name="Database" localSheetId="13">#REF!</definedName>
    <definedName name="Database" localSheetId="9">#REF!</definedName>
    <definedName name="Database">#REF!</definedName>
    <definedName name="Desp._Complementares" localSheetId="8">#REF!</definedName>
    <definedName name="Desp._Complementares" localSheetId="13">#REF!</definedName>
    <definedName name="Desp._Complementares" localSheetId="9">#REF!</definedName>
    <definedName name="Desp._Complementares">#REF!</definedName>
    <definedName name="EFETIVO" localSheetId="13">#REF!</definedName>
    <definedName name="EFETIVO">#REF!</definedName>
    <definedName name="EQUIPAMENTO" localSheetId="8">#REF!</definedName>
    <definedName name="EQUIPAMENTO" localSheetId="13">#REF!</definedName>
    <definedName name="EQUIPAMENTO" localSheetId="9">#REF!</definedName>
    <definedName name="EQUIPAMENTO">#REF!</definedName>
    <definedName name="INCC" localSheetId="13">#REF!</definedName>
    <definedName name="INCC">#REF!</definedName>
    <definedName name="k" localSheetId="13">#REF!</definedName>
    <definedName name="k">#REF!</definedName>
    <definedName name="numeração" localSheetId="13">#REF!+1</definedName>
    <definedName name="numeração">#REF!+1</definedName>
    <definedName name="Recorder" localSheetId="8">#REF!</definedName>
    <definedName name="Recorder" localSheetId="13">#REF!</definedName>
    <definedName name="Recorder" localSheetId="9">#REF!</definedName>
    <definedName name="Recorder">#REF!</definedName>
    <definedName name="SD" localSheetId="8">#REF!</definedName>
    <definedName name="SD" localSheetId="13">#REF!</definedName>
    <definedName name="SD" localSheetId="9">#REF!</definedName>
    <definedName name="SD">#REF!</definedName>
    <definedName name="TBP" localSheetId="13">#REF!</definedName>
    <definedName name="TBP">#REF!</definedName>
    <definedName name="teste" localSheetId="8">#REF!*2*9/1.23</definedName>
    <definedName name="teste" localSheetId="13">#REF!*2*9/1.23</definedName>
    <definedName name="teste" localSheetId="9">#REF!*2*9/1.23</definedName>
    <definedName name="teste">#REF!*2*9/1.23</definedName>
    <definedName name="tfgbfc" localSheetId="13">#REF!</definedName>
    <definedName name="tfgbfc">#REF!</definedName>
    <definedName name="_xlnm.Print_Titles" localSheetId="10">EQUIPAMENTO!$B:$B</definedName>
    <definedName name="_xlnm.Print_Titles" localSheetId="7">IMPER!$A$1:$IK$5</definedName>
    <definedName name="_xlnm.Print_Titles" localSheetId="9">'MAO DE OBRA'!$B:$B</definedName>
    <definedName name="_xlnm.Print_Titles" localSheetId="6">'RESUMO_LÇ.MET.'!$1:$5</definedName>
    <definedName name="_xlnm.Print_Titles" localSheetId="4">'RESUMO_REV.'!$1:$4</definedName>
    <definedName name="Total_Obra" localSheetId="8">SUM(#REF!,#REF!,#REF!)</definedName>
    <definedName name="Total_Obra" localSheetId="13">SUM(#REF!,#REF!,#REF!)</definedName>
    <definedName name="Total_Obra" localSheetId="9">SUM(#REF!,#REF!,#REF!)</definedName>
    <definedName name="Total_Obra">SUM(#REF!,#REF!,#REF!)</definedName>
    <definedName name="Tunel" localSheetId="8">#REF!</definedName>
    <definedName name="Tunel" localSheetId="13">#REF!</definedName>
    <definedName name="Tunel" localSheetId="9">#REF!</definedName>
    <definedName name="Tunel">#REF!</definedName>
    <definedName name="UN" localSheetId="8">#REF!</definedName>
    <definedName name="UN" localSheetId="13">#REF!</definedName>
    <definedName name="UN" localSheetId="9">#REF!</definedName>
    <definedName name="UN">#REF!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" localSheetId="8">#REF!</definedName>
    <definedName name="wsd" localSheetId="13">#REF!</definedName>
    <definedName name="wsd" localSheetId="9">#REF!</definedName>
    <definedName name="wsd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8" l="1"/>
  <c r="H9" i="38"/>
  <c r="G9" i="38"/>
  <c r="P138" i="36" l="1"/>
  <c r="M138" i="36"/>
  <c r="P108" i="36"/>
  <c r="G104" i="36"/>
  <c r="Z91" i="36"/>
  <c r="V88" i="36"/>
  <c r="F88" i="36"/>
  <c r="G84" i="36"/>
  <c r="P78" i="36"/>
  <c r="G74" i="36"/>
  <c r="Z63" i="36"/>
  <c r="V53" i="36"/>
  <c r="D53" i="36"/>
  <c r="O50" i="36"/>
  <c r="G50" i="36"/>
  <c r="M78" i="36" s="1"/>
  <c r="P44" i="36"/>
  <c r="AB7" i="36" s="1"/>
  <c r="AB8" i="36" s="1"/>
  <c r="Q40" i="36"/>
  <c r="M40" i="36"/>
  <c r="G40" i="36"/>
  <c r="Z26" i="36"/>
  <c r="AB12" i="36"/>
  <c r="V12" i="36"/>
  <c r="D12" i="36"/>
  <c r="AB11" i="36"/>
  <c r="O9" i="36"/>
  <c r="G9" i="36"/>
  <c r="AM38" i="35"/>
  <c r="AL38" i="35"/>
  <c r="AK38" i="35"/>
  <c r="AJ38" i="35"/>
  <c r="AI38" i="35"/>
  <c r="AH38" i="35"/>
  <c r="AG38" i="35"/>
  <c r="AF38" i="35"/>
  <c r="AE38" i="35"/>
  <c r="AD38" i="35"/>
  <c r="AC38" i="35"/>
  <c r="AB38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D38" i="35"/>
  <c r="E36" i="35"/>
  <c r="AO36" i="35" s="1"/>
  <c r="AO35" i="35"/>
  <c r="AO34" i="35"/>
  <c r="AO33" i="35"/>
  <c r="AO32" i="35"/>
  <c r="AO31" i="35"/>
  <c r="AO29" i="35"/>
  <c r="AO28" i="35"/>
  <c r="AO27" i="35"/>
  <c r="AO26" i="35"/>
  <c r="AO25" i="35"/>
  <c r="AO24" i="35"/>
  <c r="AO23" i="35"/>
  <c r="AO22" i="35"/>
  <c r="AO21" i="35"/>
  <c r="AO20" i="35"/>
  <c r="AO19" i="35"/>
  <c r="AO18" i="35"/>
  <c r="AO17" i="35"/>
  <c r="AO16" i="35"/>
  <c r="AO15" i="35"/>
  <c r="AO14" i="35"/>
  <c r="AO13" i="35"/>
  <c r="AO12" i="35"/>
  <c r="F7" i="35"/>
  <c r="G7" i="35" s="1"/>
  <c r="H7" i="35" s="1"/>
  <c r="I7" i="35" s="1"/>
  <c r="J7" i="35" s="1"/>
  <c r="K7" i="35" s="1"/>
  <c r="E7" i="35"/>
  <c r="AP24" i="34"/>
  <c r="AQ24" i="34" s="1"/>
  <c r="AP23" i="34"/>
  <c r="AQ23" i="34" s="1"/>
  <c r="AP22" i="34"/>
  <c r="AQ22" i="34" s="1"/>
  <c r="AP21" i="34"/>
  <c r="AQ21" i="34" s="1"/>
  <c r="AP20" i="34"/>
  <c r="AQ20" i="34" s="1"/>
  <c r="AP19" i="34"/>
  <c r="AQ19" i="34" s="1"/>
  <c r="AJ18" i="34"/>
  <c r="AF18" i="34"/>
  <c r="Y18" i="34"/>
  <c r="P18" i="34"/>
  <c r="AN17" i="34"/>
  <c r="AN18" i="34" s="1"/>
  <c r="AM17" i="34"/>
  <c r="AM18" i="34" s="1"/>
  <c r="AL17" i="34"/>
  <c r="AK17" i="34"/>
  <c r="AK18" i="34" s="1"/>
  <c r="AJ17" i="34"/>
  <c r="AI17" i="34"/>
  <c r="AI18" i="34" s="1"/>
  <c r="AH17" i="34"/>
  <c r="AG17" i="34"/>
  <c r="AG18" i="34" s="1"/>
  <c r="AF17" i="34"/>
  <c r="AE17" i="34"/>
  <c r="AE18" i="34" s="1"/>
  <c r="AD17" i="34"/>
  <c r="AC17" i="34"/>
  <c r="AC18" i="34" s="1"/>
  <c r="AB17" i="34"/>
  <c r="AB18" i="34" s="1"/>
  <c r="AA17" i="34"/>
  <c r="AA18" i="34" s="1"/>
  <c r="Z17" i="34"/>
  <c r="Y17" i="34"/>
  <c r="X17" i="34"/>
  <c r="X18" i="34" s="1"/>
  <c r="W17" i="34"/>
  <c r="W18" i="34" s="1"/>
  <c r="V17" i="34"/>
  <c r="U17" i="34"/>
  <c r="U18" i="34" s="1"/>
  <c r="T17" i="34"/>
  <c r="T18" i="34" s="1"/>
  <c r="S17" i="34"/>
  <c r="S18" i="34" s="1"/>
  <c r="R17" i="34"/>
  <c r="Q17" i="34"/>
  <c r="Q18" i="34" s="1"/>
  <c r="P17" i="34"/>
  <c r="O17" i="34"/>
  <c r="O18" i="34" s="1"/>
  <c r="N17" i="34"/>
  <c r="M17" i="34"/>
  <c r="M18" i="34" s="1"/>
  <c r="L17" i="34"/>
  <c r="L18" i="34" s="1"/>
  <c r="K17" i="34"/>
  <c r="K18" i="34" s="1"/>
  <c r="J17" i="34"/>
  <c r="I17" i="34"/>
  <c r="I18" i="34" s="1"/>
  <c r="H17" i="34"/>
  <c r="H18" i="34" s="1"/>
  <c r="G17" i="34"/>
  <c r="G18" i="34" s="1"/>
  <c r="F17" i="34"/>
  <c r="E17" i="34"/>
  <c r="AN16" i="34"/>
  <c r="AM16" i="34"/>
  <c r="AL16" i="34"/>
  <c r="AK16" i="34"/>
  <c r="AJ16" i="34"/>
  <c r="AJ26" i="34" s="1"/>
  <c r="AI16" i="34"/>
  <c r="AH16" i="34"/>
  <c r="AG16" i="34"/>
  <c r="AF16" i="34"/>
  <c r="AE16" i="34"/>
  <c r="AD16" i="34"/>
  <c r="AC16" i="34"/>
  <c r="AB16" i="34"/>
  <c r="AA16" i="34"/>
  <c r="Z16" i="34"/>
  <c r="Y16" i="34"/>
  <c r="Y26" i="34" s="1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AQ15" i="34"/>
  <c r="AP15" i="34"/>
  <c r="AP14" i="34"/>
  <c r="AQ14" i="34" s="1"/>
  <c r="AQ13" i="34"/>
  <c r="AP13" i="34"/>
  <c r="AP12" i="34"/>
  <c r="AQ12" i="34" s="1"/>
  <c r="AP11" i="34"/>
  <c r="AQ11" i="34" s="1"/>
  <c r="AP10" i="34"/>
  <c r="AQ10" i="34" s="1"/>
  <c r="AP9" i="34"/>
  <c r="AQ9" i="34" s="1"/>
  <c r="F7" i="34"/>
  <c r="G7" i="34" s="1"/>
  <c r="H7" i="34" s="1"/>
  <c r="I7" i="34" s="1"/>
  <c r="J7" i="34" s="1"/>
  <c r="K7" i="34" s="1"/>
  <c r="L7" i="34" s="1"/>
  <c r="M7" i="34" s="1"/>
  <c r="N7" i="34" s="1"/>
  <c r="O7" i="34" s="1"/>
  <c r="P7" i="34" s="1"/>
  <c r="Q7" i="34" s="1"/>
  <c r="R7" i="34" s="1"/>
  <c r="S7" i="34" s="1"/>
  <c r="T7" i="34" s="1"/>
  <c r="U7" i="34" s="1"/>
  <c r="V7" i="34" s="1"/>
  <c r="W7" i="34" s="1"/>
  <c r="X7" i="34" s="1"/>
  <c r="Y7" i="34" s="1"/>
  <c r="Z7" i="34" s="1"/>
  <c r="AA7" i="34" s="1"/>
  <c r="AB7" i="34" s="1"/>
  <c r="AC7" i="34" s="1"/>
  <c r="AD7" i="34" s="1"/>
  <c r="AE7" i="34" s="1"/>
  <c r="AF7" i="34" s="1"/>
  <c r="AG7" i="34" s="1"/>
  <c r="AH7" i="34" s="1"/>
  <c r="AI7" i="34" s="1"/>
  <c r="AJ7" i="34" s="1"/>
  <c r="AK7" i="34" s="1"/>
  <c r="AL7" i="34" s="1"/>
  <c r="AM7" i="34" s="1"/>
  <c r="AN7" i="34" s="1"/>
  <c r="S27" i="33"/>
  <c r="S43" i="33" s="1"/>
  <c r="U43" i="33" s="1"/>
  <c r="S25" i="33"/>
  <c r="S23" i="33"/>
  <c r="S21" i="33"/>
  <c r="S47" i="33" s="1"/>
  <c r="U47" i="33" s="1"/>
  <c r="S19" i="33"/>
  <c r="S17" i="33"/>
  <c r="S15" i="33"/>
  <c r="H412" i="31"/>
  <c r="J412" i="31" s="1"/>
  <c r="E32" i="16"/>
  <c r="E31" i="16"/>
  <c r="E30" i="16"/>
  <c r="E29" i="16"/>
  <c r="E28" i="16"/>
  <c r="E27" i="16"/>
  <c r="E25" i="16"/>
  <c r="E24" i="16"/>
  <c r="E23" i="16"/>
  <c r="E18" i="16"/>
  <c r="E17" i="16"/>
  <c r="E16" i="16"/>
  <c r="E15" i="16"/>
  <c r="E14" i="16"/>
  <c r="E13" i="16"/>
  <c r="E12" i="16"/>
  <c r="E11" i="16"/>
  <c r="E10" i="16"/>
  <c r="H802" i="31"/>
  <c r="J802" i="31" s="1"/>
  <c r="H801" i="31"/>
  <c r="J801" i="31" s="1"/>
  <c r="H798" i="31"/>
  <c r="J798" i="31" s="1"/>
  <c r="H797" i="31"/>
  <c r="J797" i="31" s="1"/>
  <c r="H796" i="31"/>
  <c r="J796" i="31" s="1"/>
  <c r="H793" i="31"/>
  <c r="J793" i="31" s="1"/>
  <c r="H792" i="31"/>
  <c r="J792" i="31" s="1"/>
  <c r="H790" i="31"/>
  <c r="J790" i="31" s="1"/>
  <c r="H789" i="31"/>
  <c r="J789" i="31" s="1"/>
  <c r="H788" i="31"/>
  <c r="J788" i="31" s="1"/>
  <c r="H784" i="31"/>
  <c r="J784" i="31" s="1"/>
  <c r="H782" i="31"/>
  <c r="J782" i="31" s="1"/>
  <c r="H781" i="31"/>
  <c r="J781" i="31" s="1"/>
  <c r="H780" i="31"/>
  <c r="J780" i="31" s="1"/>
  <c r="H779" i="31"/>
  <c r="J779" i="31" s="1"/>
  <c r="H778" i="31"/>
  <c r="J778" i="31" s="1"/>
  <c r="H777" i="31"/>
  <c r="J777" i="31" s="1"/>
  <c r="H776" i="31"/>
  <c r="J776" i="31" s="1"/>
  <c r="H775" i="31"/>
  <c r="J775" i="31" s="1"/>
  <c r="H774" i="31"/>
  <c r="J774" i="31" s="1"/>
  <c r="H773" i="31"/>
  <c r="J773" i="31" s="1"/>
  <c r="H772" i="31"/>
  <c r="J772" i="31" s="1"/>
  <c r="H771" i="31"/>
  <c r="J771" i="31" s="1"/>
  <c r="H770" i="31"/>
  <c r="J770" i="31" s="1"/>
  <c r="H767" i="31"/>
  <c r="J767" i="31" s="1"/>
  <c r="H766" i="31"/>
  <c r="J766" i="31" s="1"/>
  <c r="H765" i="31"/>
  <c r="J765" i="31" s="1"/>
  <c r="H764" i="31"/>
  <c r="J764" i="31" s="1"/>
  <c r="H763" i="31"/>
  <c r="J763" i="31" s="1"/>
  <c r="H762" i="31"/>
  <c r="J762" i="31" s="1"/>
  <c r="H761" i="31"/>
  <c r="J761" i="31" s="1"/>
  <c r="H760" i="31"/>
  <c r="J760" i="31" s="1"/>
  <c r="H759" i="31"/>
  <c r="J759" i="31" s="1"/>
  <c r="H758" i="31"/>
  <c r="J758" i="31" s="1"/>
  <c r="H757" i="31"/>
  <c r="J757" i="31" s="1"/>
  <c r="H756" i="31"/>
  <c r="J756" i="31" s="1"/>
  <c r="H755" i="31"/>
  <c r="J755" i="31" s="1"/>
  <c r="H754" i="31"/>
  <c r="J754" i="31" s="1"/>
  <c r="H753" i="31"/>
  <c r="J753" i="31" s="1"/>
  <c r="H752" i="31"/>
  <c r="J752" i="31" s="1"/>
  <c r="H751" i="31"/>
  <c r="J751" i="31" s="1"/>
  <c r="H750" i="31"/>
  <c r="J750" i="31" s="1"/>
  <c r="H749" i="31"/>
  <c r="J749" i="31" s="1"/>
  <c r="H748" i="31"/>
  <c r="J748" i="31" s="1"/>
  <c r="H747" i="31"/>
  <c r="J747" i="31" s="1"/>
  <c r="H746" i="31"/>
  <c r="J746" i="31" s="1"/>
  <c r="H745" i="31"/>
  <c r="J745" i="31" s="1"/>
  <c r="H744" i="31"/>
  <c r="J744" i="31" s="1"/>
  <c r="H743" i="31"/>
  <c r="J743" i="31" s="1"/>
  <c r="H742" i="31"/>
  <c r="J742" i="31" s="1"/>
  <c r="H741" i="31"/>
  <c r="J741" i="31" s="1"/>
  <c r="H740" i="31"/>
  <c r="J740" i="31" s="1"/>
  <c r="H739" i="31"/>
  <c r="J739" i="31" s="1"/>
  <c r="H738" i="31"/>
  <c r="J738" i="31" s="1"/>
  <c r="H737" i="31"/>
  <c r="J737" i="31" s="1"/>
  <c r="H736" i="31"/>
  <c r="J736" i="31" s="1"/>
  <c r="H735" i="31"/>
  <c r="J735" i="31" s="1"/>
  <c r="H734" i="31"/>
  <c r="J734" i="31" s="1"/>
  <c r="H733" i="31"/>
  <c r="J733" i="31" s="1"/>
  <c r="H732" i="31"/>
  <c r="J732" i="31" s="1"/>
  <c r="H731" i="31"/>
  <c r="J731" i="31" s="1"/>
  <c r="H730" i="31"/>
  <c r="J730" i="31" s="1"/>
  <c r="H729" i="31"/>
  <c r="J729" i="31" s="1"/>
  <c r="H728" i="31"/>
  <c r="J728" i="31" s="1"/>
  <c r="H725" i="31"/>
  <c r="J725" i="31" s="1"/>
  <c r="H722" i="31"/>
  <c r="J722" i="31" s="1"/>
  <c r="H721" i="31"/>
  <c r="J721" i="31" s="1"/>
  <c r="H720" i="31"/>
  <c r="J720" i="31" s="1"/>
  <c r="H719" i="31"/>
  <c r="J719" i="31" s="1"/>
  <c r="H718" i="31"/>
  <c r="J718" i="31" s="1"/>
  <c r="H717" i="31"/>
  <c r="J717" i="31" s="1"/>
  <c r="H716" i="31"/>
  <c r="J716" i="31" s="1"/>
  <c r="H715" i="31"/>
  <c r="J715" i="31" s="1"/>
  <c r="H714" i="31"/>
  <c r="J714" i="31" s="1"/>
  <c r="H713" i="31"/>
  <c r="J713" i="31" s="1"/>
  <c r="H712" i="31"/>
  <c r="J712" i="31" s="1"/>
  <c r="H711" i="31"/>
  <c r="J711" i="31" s="1"/>
  <c r="H710" i="31"/>
  <c r="J710" i="31" s="1"/>
  <c r="H709" i="31"/>
  <c r="J709" i="31" s="1"/>
  <c r="H708" i="31"/>
  <c r="J708" i="31" s="1"/>
  <c r="H707" i="31"/>
  <c r="J707" i="31" s="1"/>
  <c r="H706" i="31"/>
  <c r="J706" i="31" s="1"/>
  <c r="H705" i="31"/>
  <c r="J705" i="31" s="1"/>
  <c r="H702" i="31"/>
  <c r="J702" i="31" s="1"/>
  <c r="H701" i="31"/>
  <c r="J701" i="31" s="1"/>
  <c r="H700" i="31"/>
  <c r="J700" i="31" s="1"/>
  <c r="H699" i="31"/>
  <c r="J699" i="31" s="1"/>
  <c r="H698" i="31"/>
  <c r="J698" i="31" s="1"/>
  <c r="H697" i="31"/>
  <c r="J697" i="31" s="1"/>
  <c r="H696" i="31"/>
  <c r="J696" i="31" s="1"/>
  <c r="H693" i="31"/>
  <c r="J693" i="31" s="1"/>
  <c r="H692" i="31"/>
  <c r="J692" i="31" s="1"/>
  <c r="H691" i="31"/>
  <c r="J691" i="31" s="1"/>
  <c r="H688" i="31"/>
  <c r="J688" i="31" s="1"/>
  <c r="H687" i="31"/>
  <c r="J687" i="31" s="1"/>
  <c r="H684" i="31"/>
  <c r="J684" i="31" s="1"/>
  <c r="H681" i="31"/>
  <c r="J681" i="31" s="1"/>
  <c r="H680" i="31"/>
  <c r="J680" i="31" s="1"/>
  <c r="H677" i="31"/>
  <c r="J677" i="31" s="1"/>
  <c r="H674" i="31"/>
  <c r="J674" i="31" s="1"/>
  <c r="H673" i="31"/>
  <c r="J673" i="31" s="1"/>
  <c r="H670" i="31"/>
  <c r="J670" i="31" s="1"/>
  <c r="H668" i="31"/>
  <c r="J668" i="31" s="1"/>
  <c r="H667" i="31"/>
  <c r="J667" i="31" s="1"/>
  <c r="H666" i="31"/>
  <c r="J666" i="31" s="1"/>
  <c r="H665" i="31"/>
  <c r="J665" i="31" s="1"/>
  <c r="H662" i="31"/>
  <c r="J662" i="31" s="1"/>
  <c r="H661" i="31"/>
  <c r="J661" i="31" s="1"/>
  <c r="H660" i="31"/>
  <c r="J660" i="31" s="1"/>
  <c r="H659" i="31"/>
  <c r="J659" i="31" s="1"/>
  <c r="H658" i="31"/>
  <c r="J658" i="31" s="1"/>
  <c r="H655" i="31"/>
  <c r="J655" i="31" s="1"/>
  <c r="H654" i="31"/>
  <c r="J654" i="31" s="1"/>
  <c r="H653" i="31"/>
  <c r="J653" i="31" s="1"/>
  <c r="H649" i="31"/>
  <c r="J649" i="31" s="1"/>
  <c r="H648" i="31"/>
  <c r="J648" i="31" s="1"/>
  <c r="H647" i="31"/>
  <c r="J647" i="31" s="1"/>
  <c r="H646" i="31"/>
  <c r="J646" i="31" s="1"/>
  <c r="H643" i="31"/>
  <c r="J643" i="31" s="1"/>
  <c r="H642" i="31"/>
  <c r="J642" i="31" s="1"/>
  <c r="H641" i="31"/>
  <c r="J641" i="31" s="1"/>
  <c r="H640" i="31"/>
  <c r="J640" i="31" s="1"/>
  <c r="H639" i="31"/>
  <c r="J639" i="31" s="1"/>
  <c r="H638" i="31"/>
  <c r="J638" i="31" s="1"/>
  <c r="H637" i="31"/>
  <c r="J637" i="31" s="1"/>
  <c r="H636" i="31"/>
  <c r="J636" i="31" s="1"/>
  <c r="H635" i="31"/>
  <c r="J635" i="31" s="1"/>
  <c r="H634" i="31"/>
  <c r="J634" i="31" s="1"/>
  <c r="H633" i="31"/>
  <c r="J633" i="31" s="1"/>
  <c r="H632" i="31"/>
  <c r="J632" i="31" s="1"/>
  <c r="H630" i="31"/>
  <c r="J630" i="31" s="1"/>
  <c r="H629" i="31"/>
  <c r="J629" i="31" s="1"/>
  <c r="H628" i="31"/>
  <c r="J628" i="31" s="1"/>
  <c r="H627" i="31"/>
  <c r="J627" i="31" s="1"/>
  <c r="H626" i="31"/>
  <c r="J626" i="31" s="1"/>
  <c r="H625" i="31"/>
  <c r="J625" i="31" s="1"/>
  <c r="H624" i="31"/>
  <c r="J624" i="31" s="1"/>
  <c r="H623" i="31"/>
  <c r="J623" i="31" s="1"/>
  <c r="H622" i="31"/>
  <c r="J622" i="31" s="1"/>
  <c r="H619" i="31"/>
  <c r="J619" i="31" s="1"/>
  <c r="H618" i="31"/>
  <c r="J618" i="31" s="1"/>
  <c r="H617" i="31"/>
  <c r="J617" i="31" s="1"/>
  <c r="H616" i="31"/>
  <c r="J616" i="31" s="1"/>
  <c r="H615" i="31"/>
  <c r="J615" i="31" s="1"/>
  <c r="H614" i="31"/>
  <c r="J614" i="31" s="1"/>
  <c r="H611" i="31"/>
  <c r="J611" i="31" s="1"/>
  <c r="H610" i="31"/>
  <c r="J610" i="31" s="1"/>
  <c r="H609" i="31"/>
  <c r="J609" i="31" s="1"/>
  <c r="H607" i="31"/>
  <c r="J607" i="31" s="1"/>
  <c r="H606" i="31"/>
  <c r="J606" i="31" s="1"/>
  <c r="H605" i="31"/>
  <c r="J605" i="31" s="1"/>
  <c r="H604" i="31"/>
  <c r="J604" i="31" s="1"/>
  <c r="H602" i="31"/>
  <c r="J602" i="31" s="1"/>
  <c r="H600" i="31"/>
  <c r="J600" i="31" s="1"/>
  <c r="H599" i="31"/>
  <c r="J599" i="31" s="1"/>
  <c r="H598" i="31"/>
  <c r="J598" i="31" s="1"/>
  <c r="H597" i="31"/>
  <c r="J597" i="31" s="1"/>
  <c r="H595" i="31"/>
  <c r="J595" i="31" s="1"/>
  <c r="H594" i="31"/>
  <c r="J594" i="31" s="1"/>
  <c r="H593" i="31"/>
  <c r="J593" i="31" s="1"/>
  <c r="H592" i="31"/>
  <c r="J592" i="31" s="1"/>
  <c r="H591" i="31"/>
  <c r="J591" i="31" s="1"/>
  <c r="H590" i="31"/>
  <c r="J590" i="31" s="1"/>
  <c r="H589" i="31"/>
  <c r="J589" i="31" s="1"/>
  <c r="H588" i="31"/>
  <c r="J588" i="31" s="1"/>
  <c r="H587" i="31"/>
  <c r="J587" i="31" s="1"/>
  <c r="H586" i="31"/>
  <c r="J586" i="31" s="1"/>
  <c r="H583" i="31"/>
  <c r="J583" i="31" s="1"/>
  <c r="H581" i="31"/>
  <c r="J581" i="31" s="1"/>
  <c r="H580" i="31"/>
  <c r="J580" i="31" s="1"/>
  <c r="H579" i="31"/>
  <c r="J579" i="31" s="1"/>
  <c r="H577" i="31"/>
  <c r="J577" i="31" s="1"/>
  <c r="H576" i="31"/>
  <c r="J576" i="31" s="1"/>
  <c r="H575" i="31"/>
  <c r="J575" i="31" s="1"/>
  <c r="H574" i="31"/>
  <c r="J574" i="31" s="1"/>
  <c r="H573" i="31"/>
  <c r="J573" i="31" s="1"/>
  <c r="H572" i="31"/>
  <c r="J572" i="31" s="1"/>
  <c r="H571" i="31"/>
  <c r="J571" i="31" s="1"/>
  <c r="H569" i="31"/>
  <c r="J569" i="31" s="1"/>
  <c r="H568" i="31"/>
  <c r="J568" i="31" s="1"/>
  <c r="H567" i="31"/>
  <c r="J567" i="31" s="1"/>
  <c r="H566" i="31"/>
  <c r="J566" i="31" s="1"/>
  <c r="H565" i="31"/>
  <c r="J565" i="31" s="1"/>
  <c r="H564" i="31"/>
  <c r="J564" i="31" s="1"/>
  <c r="H563" i="31"/>
  <c r="J563" i="31" s="1"/>
  <c r="H562" i="31"/>
  <c r="J562" i="31" s="1"/>
  <c r="H561" i="31"/>
  <c r="J561" i="31" s="1"/>
  <c r="H560" i="31"/>
  <c r="J560" i="31" s="1"/>
  <c r="H559" i="31"/>
  <c r="J559" i="31" s="1"/>
  <c r="H556" i="31"/>
  <c r="J556" i="31" s="1"/>
  <c r="H554" i="31"/>
  <c r="J554" i="31" s="1"/>
  <c r="H553" i="31"/>
  <c r="J553" i="31" s="1"/>
  <c r="H552" i="31"/>
  <c r="J552" i="31" s="1"/>
  <c r="H550" i="31"/>
  <c r="J550" i="31" s="1"/>
  <c r="H549" i="31"/>
  <c r="J549" i="31" s="1"/>
  <c r="H548" i="31"/>
  <c r="J548" i="31" s="1"/>
  <c r="H547" i="31"/>
  <c r="J547" i="31" s="1"/>
  <c r="H546" i="31"/>
  <c r="J546" i="31" s="1"/>
  <c r="H545" i="31"/>
  <c r="J545" i="31" s="1"/>
  <c r="H544" i="31"/>
  <c r="J544" i="31" s="1"/>
  <c r="H543" i="31"/>
  <c r="J543" i="31" s="1"/>
  <c r="H538" i="31"/>
  <c r="J538" i="31" s="1"/>
  <c r="H537" i="31"/>
  <c r="J537" i="31" s="1"/>
  <c r="H536" i="31"/>
  <c r="J536" i="31" s="1"/>
  <c r="H535" i="31"/>
  <c r="J535" i="31" s="1"/>
  <c r="H534" i="31"/>
  <c r="J534" i="31" s="1"/>
  <c r="H533" i="31"/>
  <c r="J533" i="31" s="1"/>
  <c r="H532" i="31"/>
  <c r="J532" i="31" s="1"/>
  <c r="H531" i="31"/>
  <c r="J531" i="31" s="1"/>
  <c r="H530" i="31"/>
  <c r="J530" i="31" s="1"/>
  <c r="H529" i="31"/>
  <c r="J529" i="31" s="1"/>
  <c r="H526" i="31"/>
  <c r="J526" i="31" s="1"/>
  <c r="H525" i="31"/>
  <c r="J525" i="31" s="1"/>
  <c r="H524" i="31"/>
  <c r="J524" i="31" s="1"/>
  <c r="H523" i="31"/>
  <c r="J523" i="31" s="1"/>
  <c r="H522" i="31"/>
  <c r="J522" i="31" s="1"/>
  <c r="H521" i="31"/>
  <c r="J521" i="31" s="1"/>
  <c r="H520" i="31"/>
  <c r="J520" i="31" s="1"/>
  <c r="H519" i="31"/>
  <c r="J519" i="31" s="1"/>
  <c r="H518" i="31"/>
  <c r="J518" i="31" s="1"/>
  <c r="H517" i="31"/>
  <c r="J517" i="31" s="1"/>
  <c r="H516" i="31"/>
  <c r="J516" i="31" s="1"/>
  <c r="H515" i="31"/>
  <c r="J515" i="31" s="1"/>
  <c r="H514" i="31"/>
  <c r="J514" i="31" s="1"/>
  <c r="H513" i="31"/>
  <c r="J513" i="31" s="1"/>
  <c r="H512" i="31"/>
  <c r="J512" i="31" s="1"/>
  <c r="H510" i="31"/>
  <c r="J510" i="31" s="1"/>
  <c r="H509" i="31"/>
  <c r="J509" i="31" s="1"/>
  <c r="H508" i="31"/>
  <c r="J508" i="31" s="1"/>
  <c r="H507" i="31"/>
  <c r="J507" i="31" s="1"/>
  <c r="H506" i="31"/>
  <c r="J506" i="31" s="1"/>
  <c r="H505" i="31"/>
  <c r="J505" i="31" s="1"/>
  <c r="H504" i="31"/>
  <c r="J504" i="31" s="1"/>
  <c r="H503" i="31"/>
  <c r="J503" i="31" s="1"/>
  <c r="H502" i="31"/>
  <c r="J502" i="31" s="1"/>
  <c r="H501" i="31"/>
  <c r="J501" i="31" s="1"/>
  <c r="H500" i="31"/>
  <c r="J500" i="31" s="1"/>
  <c r="H499" i="31"/>
  <c r="J499" i="31" s="1"/>
  <c r="H498" i="31"/>
  <c r="J498" i="31" s="1"/>
  <c r="H497" i="31"/>
  <c r="J497" i="31" s="1"/>
  <c r="H496" i="31"/>
  <c r="J496" i="31" s="1"/>
  <c r="H495" i="31"/>
  <c r="J495" i="31" s="1"/>
  <c r="H494" i="31"/>
  <c r="J494" i="31" s="1"/>
  <c r="H493" i="31"/>
  <c r="J493" i="31" s="1"/>
  <c r="H492" i="31"/>
  <c r="J492" i="31" s="1"/>
  <c r="H491" i="31"/>
  <c r="J491" i="31" s="1"/>
  <c r="H490" i="31"/>
  <c r="J490" i="31" s="1"/>
  <c r="H489" i="31"/>
  <c r="J489" i="31" s="1"/>
  <c r="H488" i="31"/>
  <c r="J488" i="31" s="1"/>
  <c r="H487" i="31"/>
  <c r="J487" i="31" s="1"/>
  <c r="H486" i="31"/>
  <c r="J486" i="31" s="1"/>
  <c r="H485" i="31"/>
  <c r="J485" i="31" s="1"/>
  <c r="H484" i="31"/>
  <c r="J484" i="31" s="1"/>
  <c r="H483" i="31"/>
  <c r="J483" i="31" s="1"/>
  <c r="H482" i="31"/>
  <c r="J482" i="31" s="1"/>
  <c r="H481" i="31"/>
  <c r="J481" i="31" s="1"/>
  <c r="H480" i="31"/>
  <c r="J480" i="31" s="1"/>
  <c r="H479" i="31"/>
  <c r="J479" i="31" s="1"/>
  <c r="H478" i="31"/>
  <c r="J478" i="31" s="1"/>
  <c r="H477" i="31"/>
  <c r="J477" i="31" s="1"/>
  <c r="H476" i="31"/>
  <c r="J476" i="31" s="1"/>
  <c r="H475" i="31"/>
  <c r="J475" i="31" s="1"/>
  <c r="H474" i="31"/>
  <c r="J474" i="31" s="1"/>
  <c r="H473" i="31"/>
  <c r="J473" i="31" s="1"/>
  <c r="H472" i="31"/>
  <c r="J472" i="31" s="1"/>
  <c r="H471" i="31"/>
  <c r="J471" i="31" s="1"/>
  <c r="H470" i="31"/>
  <c r="J470" i="31" s="1"/>
  <c r="H469" i="31"/>
  <c r="J469" i="31" s="1"/>
  <c r="H468" i="31"/>
  <c r="J468" i="31" s="1"/>
  <c r="H467" i="31"/>
  <c r="J467" i="31" s="1"/>
  <c r="H466" i="31"/>
  <c r="J466" i="31" s="1"/>
  <c r="H465" i="31"/>
  <c r="J465" i="31" s="1"/>
  <c r="H463" i="31"/>
  <c r="J463" i="31" s="1"/>
  <c r="H462" i="31"/>
  <c r="J462" i="31" s="1"/>
  <c r="H459" i="31"/>
  <c r="J459" i="31" s="1"/>
  <c r="H458" i="31"/>
  <c r="J458" i="31" s="1"/>
  <c r="H457" i="31"/>
  <c r="J457" i="31" s="1"/>
  <c r="H456" i="31"/>
  <c r="J456" i="31" s="1"/>
  <c r="H455" i="31"/>
  <c r="J455" i="31" s="1"/>
  <c r="H454" i="31"/>
  <c r="J454" i="31" s="1"/>
  <c r="H453" i="31"/>
  <c r="J453" i="31" s="1"/>
  <c r="H452" i="31"/>
  <c r="J452" i="31" s="1"/>
  <c r="H451" i="31"/>
  <c r="J451" i="31" s="1"/>
  <c r="H450" i="31"/>
  <c r="J450" i="31" s="1"/>
  <c r="H449" i="31"/>
  <c r="J449" i="31" s="1"/>
  <c r="H448" i="31"/>
  <c r="J448" i="31" s="1"/>
  <c r="H447" i="31"/>
  <c r="J447" i="31" s="1"/>
  <c r="H446" i="31"/>
  <c r="J446" i="31" s="1"/>
  <c r="H445" i="31"/>
  <c r="J445" i="31" s="1"/>
  <c r="H441" i="31"/>
  <c r="J441" i="31" s="1"/>
  <c r="H440" i="31"/>
  <c r="J440" i="31" s="1"/>
  <c r="H438" i="31"/>
  <c r="J438" i="31" s="1"/>
  <c r="H437" i="31"/>
  <c r="J437" i="31" s="1"/>
  <c r="H433" i="31"/>
  <c r="J433" i="31" s="1"/>
  <c r="H432" i="31"/>
  <c r="J432" i="31" s="1"/>
  <c r="H431" i="31"/>
  <c r="J431" i="31" s="1"/>
  <c r="H430" i="31"/>
  <c r="J430" i="31" s="1"/>
  <c r="H428" i="31"/>
  <c r="J428" i="31" s="1"/>
  <c r="H427" i="31"/>
  <c r="J427" i="31" s="1"/>
  <c r="H426" i="31"/>
  <c r="J426" i="31" s="1"/>
  <c r="H425" i="31"/>
  <c r="J425" i="31" s="1"/>
  <c r="H424" i="31"/>
  <c r="J424" i="31" s="1"/>
  <c r="H423" i="31"/>
  <c r="J423" i="31" s="1"/>
  <c r="H422" i="31"/>
  <c r="J422" i="31" s="1"/>
  <c r="H421" i="31"/>
  <c r="J421" i="31" s="1"/>
  <c r="H420" i="31"/>
  <c r="J420" i="31" s="1"/>
  <c r="H418" i="31"/>
  <c r="J418" i="31" s="1"/>
  <c r="H417" i="31"/>
  <c r="J417" i="31" s="1"/>
  <c r="H414" i="31"/>
  <c r="J414" i="31" s="1"/>
  <c r="H413" i="31"/>
  <c r="J413" i="31" s="1"/>
  <c r="H411" i="31"/>
  <c r="J411" i="31" s="1"/>
  <c r="H409" i="31"/>
  <c r="J409" i="31" s="1"/>
  <c r="H408" i="31"/>
  <c r="J408" i="31" s="1"/>
  <c r="H406" i="31"/>
  <c r="J406" i="31" s="1"/>
  <c r="H405" i="31"/>
  <c r="J405" i="31" s="1"/>
  <c r="H404" i="31"/>
  <c r="J404" i="31" s="1"/>
  <c r="H403" i="31"/>
  <c r="J403" i="31" s="1"/>
  <c r="H402" i="31"/>
  <c r="J402" i="31" s="1"/>
  <c r="H400" i="31"/>
  <c r="J400" i="31" s="1"/>
  <c r="H399" i="31"/>
  <c r="J399" i="31" s="1"/>
  <c r="H398" i="31"/>
  <c r="J398" i="31" s="1"/>
  <c r="H397" i="31"/>
  <c r="J397" i="31" s="1"/>
  <c r="H396" i="31"/>
  <c r="J396" i="31" s="1"/>
  <c r="H392" i="31"/>
  <c r="J392" i="31" s="1"/>
  <c r="H391" i="31"/>
  <c r="J391" i="31" s="1"/>
  <c r="H390" i="31"/>
  <c r="J390" i="31" s="1"/>
  <c r="H387" i="31"/>
  <c r="J387" i="31" s="1"/>
  <c r="H386" i="31"/>
  <c r="J386" i="31" s="1"/>
  <c r="H385" i="31"/>
  <c r="J385" i="31" s="1"/>
  <c r="H384" i="31"/>
  <c r="J384" i="31" s="1"/>
  <c r="H383" i="31"/>
  <c r="J383" i="31" s="1"/>
  <c r="H382" i="31"/>
  <c r="J382" i="31" s="1"/>
  <c r="H381" i="31"/>
  <c r="J381" i="31" s="1"/>
  <c r="H380" i="31"/>
  <c r="J380" i="31" s="1"/>
  <c r="H379" i="31"/>
  <c r="J379" i="31" s="1"/>
  <c r="H378" i="31"/>
  <c r="J378" i="31" s="1"/>
  <c r="H377" i="31"/>
  <c r="J377" i="31" s="1"/>
  <c r="H376" i="31"/>
  <c r="J376" i="31" s="1"/>
  <c r="H375" i="31"/>
  <c r="J375" i="31" s="1"/>
  <c r="H374" i="31"/>
  <c r="J374" i="31" s="1"/>
  <c r="H373" i="31"/>
  <c r="J373" i="31" s="1"/>
  <c r="H372" i="31"/>
  <c r="J372" i="31" s="1"/>
  <c r="H366" i="31"/>
  <c r="J366" i="31" s="1"/>
  <c r="H365" i="31"/>
  <c r="J365" i="31" s="1"/>
  <c r="H364" i="31"/>
  <c r="J364" i="31" s="1"/>
  <c r="H363" i="31"/>
  <c r="J363" i="31" s="1"/>
  <c r="H362" i="31"/>
  <c r="J362" i="31" s="1"/>
  <c r="H361" i="31"/>
  <c r="J361" i="31" s="1"/>
  <c r="H360" i="31"/>
  <c r="J360" i="31" s="1"/>
  <c r="H359" i="31"/>
  <c r="J359" i="31" s="1"/>
  <c r="H358" i="31"/>
  <c r="J358" i="31" s="1"/>
  <c r="H357" i="31"/>
  <c r="J357" i="31" s="1"/>
  <c r="H356" i="31"/>
  <c r="J356" i="31" s="1"/>
  <c r="H355" i="31"/>
  <c r="J355" i="31" s="1"/>
  <c r="H354" i="31"/>
  <c r="J354" i="31" s="1"/>
  <c r="H353" i="31"/>
  <c r="J353" i="31" s="1"/>
  <c r="H352" i="31"/>
  <c r="J352" i="31" s="1"/>
  <c r="H348" i="31"/>
  <c r="J348" i="31" s="1"/>
  <c r="H347" i="31"/>
  <c r="J347" i="31" s="1"/>
  <c r="H346" i="31"/>
  <c r="J346" i="31" s="1"/>
  <c r="H345" i="31"/>
  <c r="J345" i="31" s="1"/>
  <c r="H344" i="31"/>
  <c r="J344" i="31" s="1"/>
  <c r="H343" i="31"/>
  <c r="J343" i="31" s="1"/>
  <c r="H342" i="31"/>
  <c r="J342" i="31" s="1"/>
  <c r="H341" i="31"/>
  <c r="J341" i="31" s="1"/>
  <c r="H340" i="31"/>
  <c r="J340" i="31" s="1"/>
  <c r="H339" i="31"/>
  <c r="J339" i="31" s="1"/>
  <c r="H338" i="31"/>
  <c r="J338" i="31" s="1"/>
  <c r="H337" i="31"/>
  <c r="J337" i="31" s="1"/>
  <c r="H336" i="31"/>
  <c r="J336" i="31" s="1"/>
  <c r="H335" i="31"/>
  <c r="J335" i="31" s="1"/>
  <c r="H332" i="31"/>
  <c r="J332" i="31" s="1"/>
  <c r="H331" i="31"/>
  <c r="J331" i="31" s="1"/>
  <c r="H330" i="31"/>
  <c r="J330" i="31" s="1"/>
  <c r="H329" i="31"/>
  <c r="J329" i="31" s="1"/>
  <c r="H328" i="31"/>
  <c r="J328" i="31" s="1"/>
  <c r="H327" i="31"/>
  <c r="J327" i="31" s="1"/>
  <c r="H326" i="31"/>
  <c r="J326" i="31" s="1"/>
  <c r="H325" i="31"/>
  <c r="J325" i="31" s="1"/>
  <c r="H324" i="31"/>
  <c r="J324" i="31" s="1"/>
  <c r="H323" i="31"/>
  <c r="J323" i="31" s="1"/>
  <c r="H322" i="31"/>
  <c r="J322" i="31" s="1"/>
  <c r="H321" i="31"/>
  <c r="J321" i="31" s="1"/>
  <c r="H319" i="31"/>
  <c r="J319" i="31" s="1"/>
  <c r="H318" i="31"/>
  <c r="J318" i="31" s="1"/>
  <c r="H317" i="31"/>
  <c r="J317" i="31" s="1"/>
  <c r="H316" i="31"/>
  <c r="J316" i="31" s="1"/>
  <c r="H315" i="31"/>
  <c r="J315" i="31" s="1"/>
  <c r="H314" i="31"/>
  <c r="J314" i="31" s="1"/>
  <c r="H312" i="31"/>
  <c r="J312" i="31" s="1"/>
  <c r="H311" i="31"/>
  <c r="J311" i="31" s="1"/>
  <c r="H310" i="31"/>
  <c r="J310" i="31" s="1"/>
  <c r="H309" i="31"/>
  <c r="J309" i="31" s="1"/>
  <c r="H308" i="31"/>
  <c r="J308" i="31" s="1"/>
  <c r="H307" i="31"/>
  <c r="J307" i="31" s="1"/>
  <c r="H306" i="31"/>
  <c r="J306" i="31" s="1"/>
  <c r="H305" i="31"/>
  <c r="J305" i="31" s="1"/>
  <c r="H304" i="31"/>
  <c r="J304" i="31" s="1"/>
  <c r="H303" i="31"/>
  <c r="J303" i="31" s="1"/>
  <c r="H302" i="31"/>
  <c r="J302" i="31" s="1"/>
  <c r="H301" i="31"/>
  <c r="J301" i="31" s="1"/>
  <c r="H296" i="31"/>
  <c r="J296" i="31" s="1"/>
  <c r="H294" i="31"/>
  <c r="J294" i="31" s="1"/>
  <c r="H293" i="31"/>
  <c r="J293" i="31" s="1"/>
  <c r="H292" i="31"/>
  <c r="J292" i="31" s="1"/>
  <c r="H290" i="31"/>
  <c r="J290" i="31" s="1"/>
  <c r="H289" i="31"/>
  <c r="J289" i="31" s="1"/>
  <c r="H287" i="31"/>
  <c r="J287" i="31" s="1"/>
  <c r="H286" i="31"/>
  <c r="J286" i="31" s="1"/>
  <c r="H285" i="31"/>
  <c r="J285" i="31" s="1"/>
  <c r="H282" i="31"/>
  <c r="J282" i="31" s="1"/>
  <c r="H281" i="31"/>
  <c r="J281" i="31" s="1"/>
  <c r="H279" i="31"/>
  <c r="J279" i="31" s="1"/>
  <c r="H278" i="31"/>
  <c r="J278" i="31" s="1"/>
  <c r="H277" i="31"/>
  <c r="J277" i="31" s="1"/>
  <c r="H275" i="31"/>
  <c r="J275" i="31" s="1"/>
  <c r="H274" i="31"/>
  <c r="J274" i="31" s="1"/>
  <c r="H272" i="31"/>
  <c r="J272" i="31" s="1"/>
  <c r="H271" i="31"/>
  <c r="J271" i="31" s="1"/>
  <c r="H270" i="31"/>
  <c r="J270" i="31" s="1"/>
  <c r="H268" i="31"/>
  <c r="J268" i="31" s="1"/>
  <c r="H267" i="31"/>
  <c r="J267" i="31" s="1"/>
  <c r="H266" i="31"/>
  <c r="J266" i="31" s="1"/>
  <c r="H265" i="31"/>
  <c r="J265" i="31" s="1"/>
  <c r="H264" i="31"/>
  <c r="J264" i="31" s="1"/>
  <c r="H263" i="31"/>
  <c r="J263" i="31" s="1"/>
  <c r="H262" i="31"/>
  <c r="J262" i="31" s="1"/>
  <c r="H260" i="31"/>
  <c r="J260" i="31" s="1"/>
  <c r="H259" i="31"/>
  <c r="J259" i="31" s="1"/>
  <c r="H258" i="31"/>
  <c r="J258" i="31" s="1"/>
  <c r="H257" i="31"/>
  <c r="J257" i="31" s="1"/>
  <c r="H255" i="31"/>
  <c r="J255" i="31" s="1"/>
  <c r="H252" i="31"/>
  <c r="J252" i="31" s="1"/>
  <c r="H251" i="31"/>
  <c r="J251" i="31" s="1"/>
  <c r="H250" i="31"/>
  <c r="J250" i="31" s="1"/>
  <c r="H249" i="31"/>
  <c r="J249" i="31" s="1"/>
  <c r="H248" i="31"/>
  <c r="J248" i="31" s="1"/>
  <c r="H247" i="31"/>
  <c r="J247" i="31" s="1"/>
  <c r="H246" i="31"/>
  <c r="J246" i="31" s="1"/>
  <c r="H245" i="31"/>
  <c r="J245" i="31" s="1"/>
  <c r="H244" i="31"/>
  <c r="J244" i="31" s="1"/>
  <c r="H243" i="31"/>
  <c r="J243" i="31" s="1"/>
  <c r="H241" i="31"/>
  <c r="J241" i="31" s="1"/>
  <c r="H240" i="31"/>
  <c r="J240" i="31" s="1"/>
  <c r="H239" i="31"/>
  <c r="J239" i="31" s="1"/>
  <c r="H238" i="31"/>
  <c r="J238" i="31" s="1"/>
  <c r="H237" i="31"/>
  <c r="J237" i="31" s="1"/>
  <c r="H236" i="31"/>
  <c r="J236" i="31" s="1"/>
  <c r="H234" i="31"/>
  <c r="J234" i="31" s="1"/>
  <c r="H233" i="31"/>
  <c r="J233" i="31" s="1"/>
  <c r="H232" i="31"/>
  <c r="J232" i="31" s="1"/>
  <c r="H231" i="31"/>
  <c r="J231" i="31" s="1"/>
  <c r="H230" i="31"/>
  <c r="J230" i="31" s="1"/>
  <c r="H229" i="31"/>
  <c r="J229" i="31" s="1"/>
  <c r="H227" i="31"/>
  <c r="J227" i="31" s="1"/>
  <c r="H226" i="31"/>
  <c r="J226" i="31" s="1"/>
  <c r="H225" i="31"/>
  <c r="J225" i="31" s="1"/>
  <c r="H224" i="31"/>
  <c r="J224" i="31" s="1"/>
  <c r="H223" i="31"/>
  <c r="J223" i="31" s="1"/>
  <c r="H222" i="31"/>
  <c r="J222" i="31" s="1"/>
  <c r="H217" i="31"/>
  <c r="J217" i="31" s="1"/>
  <c r="H216" i="31"/>
  <c r="J216" i="31" s="1"/>
  <c r="H215" i="31"/>
  <c r="J215" i="31" s="1"/>
  <c r="H214" i="31"/>
  <c r="J214" i="31" s="1"/>
  <c r="H213" i="31"/>
  <c r="J213" i="31" s="1"/>
  <c r="H212" i="31"/>
  <c r="J212" i="31" s="1"/>
  <c r="H211" i="31"/>
  <c r="J211" i="31" s="1"/>
  <c r="H204" i="31"/>
  <c r="J204" i="31" s="1"/>
  <c r="H203" i="31"/>
  <c r="J203" i="31" s="1"/>
  <c r="H200" i="31"/>
  <c r="J200" i="31" s="1"/>
  <c r="H199" i="31"/>
  <c r="J199" i="31" s="1"/>
  <c r="H196" i="31"/>
  <c r="J196" i="31" s="1"/>
  <c r="H193" i="31"/>
  <c r="J193" i="31" s="1"/>
  <c r="H190" i="31"/>
  <c r="J190" i="31" s="1"/>
  <c r="H189" i="31"/>
  <c r="J189" i="31" s="1"/>
  <c r="H188" i="31"/>
  <c r="J188" i="31" s="1"/>
  <c r="H187" i="31"/>
  <c r="J187" i="31" s="1"/>
  <c r="H186" i="31"/>
  <c r="J186" i="31" s="1"/>
  <c r="H185" i="31"/>
  <c r="J185" i="31" s="1"/>
  <c r="H184" i="31"/>
  <c r="J184" i="31" s="1"/>
  <c r="H181" i="31"/>
  <c r="J181" i="31" s="1"/>
  <c r="H178" i="31"/>
  <c r="J178" i="31" s="1"/>
  <c r="H177" i="31"/>
  <c r="J177" i="31" s="1"/>
  <c r="H176" i="31"/>
  <c r="J176" i="31" s="1"/>
  <c r="H173" i="31"/>
  <c r="J173" i="31" s="1"/>
  <c r="H172" i="31"/>
  <c r="J172" i="31" s="1"/>
  <c r="H171" i="31"/>
  <c r="J171" i="31" s="1"/>
  <c r="H170" i="31"/>
  <c r="J170" i="31" s="1"/>
  <c r="H168" i="31"/>
  <c r="J168" i="31" s="1"/>
  <c r="H167" i="31"/>
  <c r="J167" i="31" s="1"/>
  <c r="H166" i="31"/>
  <c r="J166" i="31" s="1"/>
  <c r="H162" i="31"/>
  <c r="J162" i="31" s="1"/>
  <c r="H161" i="31"/>
  <c r="J161" i="31" s="1"/>
  <c r="H160" i="31"/>
  <c r="J160" i="31" s="1"/>
  <c r="H159" i="31"/>
  <c r="J159" i="31" s="1"/>
  <c r="H158" i="31"/>
  <c r="J158" i="31" s="1"/>
  <c r="H157" i="31"/>
  <c r="J157" i="31" s="1"/>
  <c r="H156" i="31"/>
  <c r="J156" i="31" s="1"/>
  <c r="H155" i="31"/>
  <c r="J155" i="31" s="1"/>
  <c r="H154" i="31"/>
  <c r="J154" i="31" s="1"/>
  <c r="H151" i="31"/>
  <c r="J151" i="31" s="1"/>
  <c r="H150" i="31"/>
  <c r="J150" i="31" s="1"/>
  <c r="H149" i="31"/>
  <c r="J149" i="31" s="1"/>
  <c r="H148" i="31"/>
  <c r="J148" i="31" s="1"/>
  <c r="H147" i="31"/>
  <c r="J147" i="31" s="1"/>
  <c r="H146" i="31"/>
  <c r="J146" i="31" s="1"/>
  <c r="H144" i="31"/>
  <c r="J144" i="31" s="1"/>
  <c r="H143" i="31"/>
  <c r="J143" i="31" s="1"/>
  <c r="H142" i="31"/>
  <c r="J142" i="31" s="1"/>
  <c r="H141" i="31"/>
  <c r="J141" i="31" s="1"/>
  <c r="H140" i="31"/>
  <c r="J140" i="31" s="1"/>
  <c r="H139" i="31"/>
  <c r="J139" i="31" s="1"/>
  <c r="H138" i="31"/>
  <c r="J138" i="31" s="1"/>
  <c r="H137" i="31"/>
  <c r="J137" i="31" s="1"/>
  <c r="H136" i="31"/>
  <c r="J136" i="31" s="1"/>
  <c r="H135" i="31"/>
  <c r="J135" i="31" s="1"/>
  <c r="H134" i="31"/>
  <c r="J134" i="31" s="1"/>
  <c r="H133" i="31"/>
  <c r="J133" i="31" s="1"/>
  <c r="H132" i="31"/>
  <c r="J132" i="31" s="1"/>
  <c r="H131" i="31"/>
  <c r="J131" i="31" s="1"/>
  <c r="H130" i="31"/>
  <c r="J130" i="31" s="1"/>
  <c r="H129" i="31"/>
  <c r="J129" i="31" s="1"/>
  <c r="H128" i="31"/>
  <c r="J128" i="31" s="1"/>
  <c r="H127" i="31"/>
  <c r="J127" i="31" s="1"/>
  <c r="H126" i="31"/>
  <c r="J126" i="31" s="1"/>
  <c r="H125" i="31"/>
  <c r="J125" i="31" s="1"/>
  <c r="H124" i="31"/>
  <c r="J124" i="31" s="1"/>
  <c r="H123" i="31"/>
  <c r="J123" i="31" s="1"/>
  <c r="H122" i="31"/>
  <c r="J122" i="31" s="1"/>
  <c r="H121" i="31"/>
  <c r="J121" i="31" s="1"/>
  <c r="H120" i="31"/>
  <c r="J120" i="31" s="1"/>
  <c r="H119" i="31"/>
  <c r="J119" i="31" s="1"/>
  <c r="H118" i="31"/>
  <c r="J118" i="31" s="1"/>
  <c r="H117" i="31"/>
  <c r="J117" i="31" s="1"/>
  <c r="H116" i="31"/>
  <c r="J116" i="31" s="1"/>
  <c r="H115" i="31"/>
  <c r="J115" i="31" s="1"/>
  <c r="H114" i="31"/>
  <c r="J114" i="31" s="1"/>
  <c r="H113" i="31"/>
  <c r="J113" i="31" s="1"/>
  <c r="H112" i="31"/>
  <c r="J112" i="31" s="1"/>
  <c r="H111" i="31"/>
  <c r="J111" i="31" s="1"/>
  <c r="H110" i="31"/>
  <c r="J110" i="31" s="1"/>
  <c r="H109" i="31"/>
  <c r="J109" i="31" s="1"/>
  <c r="H108" i="31"/>
  <c r="J108" i="31" s="1"/>
  <c r="H104" i="31"/>
  <c r="J104" i="31" s="1"/>
  <c r="H102" i="31"/>
  <c r="J102" i="31" s="1"/>
  <c r="H101" i="31"/>
  <c r="J101" i="31" s="1"/>
  <c r="H99" i="31"/>
  <c r="J99" i="31" s="1"/>
  <c r="H98" i="31"/>
  <c r="J98" i="31" s="1"/>
  <c r="H97" i="31"/>
  <c r="J97" i="31" s="1"/>
  <c r="H96" i="31"/>
  <c r="J96" i="31" s="1"/>
  <c r="H95" i="31"/>
  <c r="J95" i="31" s="1"/>
  <c r="H94" i="31"/>
  <c r="J94" i="31" s="1"/>
  <c r="H92" i="31"/>
  <c r="J92" i="31" s="1"/>
  <c r="H90" i="31"/>
  <c r="J90" i="31" s="1"/>
  <c r="H89" i="31"/>
  <c r="J89" i="31" s="1"/>
  <c r="H88" i="31"/>
  <c r="J88" i="31" s="1"/>
  <c r="H87" i="31"/>
  <c r="J87" i="31" s="1"/>
  <c r="H86" i="31"/>
  <c r="J86" i="31" s="1"/>
  <c r="H85" i="31"/>
  <c r="J85" i="31" s="1"/>
  <c r="H84" i="31"/>
  <c r="J84" i="31" s="1"/>
  <c r="H83" i="31"/>
  <c r="J83" i="31" s="1"/>
  <c r="H82" i="31"/>
  <c r="J82" i="31" s="1"/>
  <c r="H81" i="31"/>
  <c r="J81" i="31" s="1"/>
  <c r="H80" i="31"/>
  <c r="J80" i="31" s="1"/>
  <c r="H79" i="31"/>
  <c r="J79" i="31" s="1"/>
  <c r="H78" i="31"/>
  <c r="J78" i="31" s="1"/>
  <c r="H77" i="31"/>
  <c r="J77" i="31" s="1"/>
  <c r="H76" i="31"/>
  <c r="J76" i="31" s="1"/>
  <c r="H75" i="31"/>
  <c r="J75" i="31" s="1"/>
  <c r="H74" i="31"/>
  <c r="J74" i="31" s="1"/>
  <c r="H73" i="31"/>
  <c r="J73" i="31" s="1"/>
  <c r="H72" i="31"/>
  <c r="J72" i="31" s="1"/>
  <c r="H71" i="31"/>
  <c r="J71" i="31" s="1"/>
  <c r="H70" i="31"/>
  <c r="J70" i="31" s="1"/>
  <c r="H69" i="31"/>
  <c r="J69" i="31" s="1"/>
  <c r="H68" i="31"/>
  <c r="J68" i="31" s="1"/>
  <c r="H67" i="31"/>
  <c r="J67" i="31" s="1"/>
  <c r="H66" i="31"/>
  <c r="J66" i="31" s="1"/>
  <c r="H65" i="31"/>
  <c r="J65" i="31" s="1"/>
  <c r="H64" i="31"/>
  <c r="J64" i="31" s="1"/>
  <c r="H63" i="31"/>
  <c r="J63" i="31" s="1"/>
  <c r="H62" i="31"/>
  <c r="J62" i="31" s="1"/>
  <c r="H58" i="31"/>
  <c r="J58" i="31" s="1"/>
  <c r="H57" i="31"/>
  <c r="J57" i="31" s="1"/>
  <c r="H56" i="31"/>
  <c r="J56" i="31" s="1"/>
  <c r="H55" i="31"/>
  <c r="J55" i="31" s="1"/>
  <c r="H54" i="31"/>
  <c r="J54" i="31" s="1"/>
  <c r="H53" i="31"/>
  <c r="J53" i="31" s="1"/>
  <c r="H52" i="31"/>
  <c r="J52" i="31" s="1"/>
  <c r="H51" i="31"/>
  <c r="J51" i="31" s="1"/>
  <c r="H50" i="31"/>
  <c r="J50" i="31" s="1"/>
  <c r="H49" i="31"/>
  <c r="J49" i="31" s="1"/>
  <c r="H48" i="31"/>
  <c r="J48" i="31" s="1"/>
  <c r="H47" i="31"/>
  <c r="J47" i="31" s="1"/>
  <c r="H46" i="31"/>
  <c r="J46" i="31" s="1"/>
  <c r="H45" i="31"/>
  <c r="J45" i="31" s="1"/>
  <c r="H42" i="31"/>
  <c r="J42" i="31" s="1"/>
  <c r="H41" i="31"/>
  <c r="J41" i="31" s="1"/>
  <c r="H40" i="31"/>
  <c r="J40" i="31" s="1"/>
  <c r="H39" i="31"/>
  <c r="J39" i="31" s="1"/>
  <c r="H38" i="31"/>
  <c r="J38" i="31" s="1"/>
  <c r="H37" i="31"/>
  <c r="J37" i="31" s="1"/>
  <c r="H34" i="31"/>
  <c r="J34" i="31" s="1"/>
  <c r="H33" i="31"/>
  <c r="J33" i="31" s="1"/>
  <c r="H32" i="31"/>
  <c r="J32" i="31" s="1"/>
  <c r="H31" i="31"/>
  <c r="J31" i="31" s="1"/>
  <c r="H30" i="31"/>
  <c r="J30" i="31" s="1"/>
  <c r="H29" i="31"/>
  <c r="J29" i="31" s="1"/>
  <c r="H28" i="31"/>
  <c r="J28" i="31" s="1"/>
  <c r="H27" i="31"/>
  <c r="J27" i="31" s="1"/>
  <c r="H26" i="31"/>
  <c r="J26" i="31" s="1"/>
  <c r="H25" i="31"/>
  <c r="J25" i="31" s="1"/>
  <c r="H24" i="31"/>
  <c r="J24" i="31" s="1"/>
  <c r="H23" i="31"/>
  <c r="J23" i="31" s="1"/>
  <c r="H22" i="31"/>
  <c r="J22" i="31" s="1"/>
  <c r="H21" i="31"/>
  <c r="J21" i="31" s="1"/>
  <c r="H20" i="31"/>
  <c r="J20" i="31" s="1"/>
  <c r="H19" i="31"/>
  <c r="J19" i="31" s="1"/>
  <c r="H18" i="31"/>
  <c r="J18" i="31" s="1"/>
  <c r="H17" i="31"/>
  <c r="J17" i="31" s="1"/>
  <c r="H16" i="31"/>
  <c r="J16" i="31" s="1"/>
  <c r="H15" i="31"/>
  <c r="J15" i="31" s="1"/>
  <c r="H14" i="31"/>
  <c r="J14" i="31" s="1"/>
  <c r="H13" i="31"/>
  <c r="J13" i="31" s="1"/>
  <c r="H12" i="31"/>
  <c r="J12" i="31" s="1"/>
  <c r="H11" i="31"/>
  <c r="J11" i="31" s="1"/>
  <c r="H10" i="31"/>
  <c r="J10" i="31" s="1"/>
  <c r="H9" i="31"/>
  <c r="J9" i="31" s="1"/>
  <c r="H8" i="31"/>
  <c r="J8" i="31" s="1"/>
  <c r="H5" i="31"/>
  <c r="J5" i="31" s="1"/>
  <c r="S49" i="33" l="1"/>
  <c r="U49" i="33" s="1"/>
  <c r="I26" i="34"/>
  <c r="Q26" i="34"/>
  <c r="AG26" i="34"/>
  <c r="AP17" i="34"/>
  <c r="AQ17" i="34" s="1"/>
  <c r="E38" i="35"/>
  <c r="L26" i="34"/>
  <c r="T26" i="34"/>
  <c r="AB26" i="34"/>
  <c r="M26" i="34"/>
  <c r="U26" i="34"/>
  <c r="AC26" i="34"/>
  <c r="AK26" i="34"/>
  <c r="E18" i="34"/>
  <c r="E26" i="34" s="1"/>
  <c r="M44" i="36"/>
  <c r="H26" i="34"/>
  <c r="P26" i="34"/>
  <c r="X26" i="34"/>
  <c r="AF26" i="34"/>
  <c r="AN26" i="34"/>
  <c r="AD18" i="34"/>
  <c r="AD26" i="34"/>
  <c r="AL18" i="34"/>
  <c r="AL26" i="34" s="1"/>
  <c r="S53" i="33"/>
  <c r="U53" i="33" s="1"/>
  <c r="S45" i="33"/>
  <c r="U45" i="33" s="1"/>
  <c r="S51" i="33"/>
  <c r="U51" i="33" s="1"/>
  <c r="X40" i="33"/>
  <c r="L7" i="35"/>
  <c r="M7" i="35" s="1"/>
  <c r="N7" i="35" s="1"/>
  <c r="O7" i="35" s="1"/>
  <c r="P7" i="35" s="1"/>
  <c r="Q7" i="35" s="1"/>
  <c r="R7" i="35" s="1"/>
  <c r="S7" i="35" s="1"/>
  <c r="T7" i="35" s="1"/>
  <c r="U7" i="35" s="1"/>
  <c r="V7" i="35" s="1"/>
  <c r="W7" i="35" s="1"/>
  <c r="X7" i="35" s="1"/>
  <c r="Y7" i="35" s="1"/>
  <c r="Z7" i="35" s="1"/>
  <c r="AA7" i="35" s="1"/>
  <c r="AB7" i="35" s="1"/>
  <c r="AC7" i="35" s="1"/>
  <c r="AD7" i="35" s="1"/>
  <c r="AE7" i="35" s="1"/>
  <c r="AF7" i="35" s="1"/>
  <c r="AG7" i="35" s="1"/>
  <c r="AH7" i="35" s="1"/>
  <c r="AI7" i="35" s="1"/>
  <c r="AJ7" i="35" s="1"/>
  <c r="AK7" i="35" s="1"/>
  <c r="AL7" i="35" s="1"/>
  <c r="AM7" i="35" s="1"/>
  <c r="F18" i="34"/>
  <c r="F26" i="34" s="1"/>
  <c r="J18" i="34"/>
  <c r="J26" i="34"/>
  <c r="N18" i="34"/>
  <c r="N26" i="34"/>
  <c r="R18" i="34"/>
  <c r="R26" i="34"/>
  <c r="V18" i="34"/>
  <c r="V26" i="34" s="1"/>
  <c r="Z18" i="34"/>
  <c r="Z26" i="34"/>
  <c r="AH18" i="34"/>
  <c r="AH26" i="34"/>
  <c r="AO38" i="35"/>
  <c r="AA7" i="36"/>
  <c r="AA8" i="36" s="1"/>
  <c r="AP16" i="34"/>
  <c r="AQ16" i="34" s="1"/>
  <c r="G26" i="34"/>
  <c r="O26" i="34"/>
  <c r="W26" i="34"/>
  <c r="AE26" i="34"/>
  <c r="AI26" i="34"/>
  <c r="K26" i="34"/>
  <c r="S26" i="34"/>
  <c r="AA26" i="34"/>
  <c r="AM26" i="34"/>
  <c r="S41" i="33"/>
  <c r="U41" i="33" s="1"/>
  <c r="U22" i="16"/>
  <c r="R22" i="16"/>
  <c r="U24" i="16"/>
  <c r="R24" i="16"/>
  <c r="T23" i="16"/>
  <c r="S23" i="16"/>
  <c r="R23" i="16"/>
  <c r="U11" i="16"/>
  <c r="T10" i="16"/>
  <c r="S10" i="16"/>
  <c r="R11" i="16"/>
  <c r="R10" i="16"/>
  <c r="U9" i="16"/>
  <c r="R9" i="16"/>
  <c r="R15" i="29"/>
  <c r="R14" i="29"/>
  <c r="R13" i="29"/>
  <c r="R12" i="29"/>
  <c r="R11" i="29"/>
  <c r="R10" i="29"/>
  <c r="R33" i="29"/>
  <c r="R32" i="29"/>
  <c r="R31" i="29"/>
  <c r="R30" i="29"/>
  <c r="R29" i="29"/>
  <c r="R28" i="29"/>
  <c r="R83" i="29"/>
  <c r="R82" i="29"/>
  <c r="R81" i="29"/>
  <c r="R80" i="29"/>
  <c r="R79" i="29"/>
  <c r="R78" i="29"/>
  <c r="R96" i="29"/>
  <c r="R95" i="29"/>
  <c r="R94" i="29"/>
  <c r="R93" i="29"/>
  <c r="R92" i="29"/>
  <c r="E141" i="29"/>
  <c r="F141" i="29" s="1"/>
  <c r="E140" i="29"/>
  <c r="F140" i="29" s="1"/>
  <c r="E139" i="29"/>
  <c r="F139" i="29" s="1"/>
  <c r="E138" i="29"/>
  <c r="F138" i="29" s="1"/>
  <c r="E137" i="29"/>
  <c r="F137" i="29" s="1"/>
  <c r="E136" i="29"/>
  <c r="F136" i="29" s="1"/>
  <c r="E135" i="29"/>
  <c r="F135" i="29" s="1"/>
  <c r="E134" i="29"/>
  <c r="F134" i="29" s="1"/>
  <c r="E133" i="29"/>
  <c r="F133" i="29" s="1"/>
  <c r="E132" i="29"/>
  <c r="F132" i="29" s="1"/>
  <c r="E131" i="29"/>
  <c r="F131" i="29" s="1"/>
  <c r="E130" i="29"/>
  <c r="F130" i="29" s="1"/>
  <c r="E129" i="29"/>
  <c r="F129" i="29" s="1"/>
  <c r="E128" i="29"/>
  <c r="F128" i="29" s="1"/>
  <c r="E127" i="29"/>
  <c r="F127" i="29" s="1"/>
  <c r="E126" i="29"/>
  <c r="F126" i="29" s="1"/>
  <c r="E121" i="29"/>
  <c r="F121" i="29" s="1"/>
  <c r="E120" i="29"/>
  <c r="F120" i="29" s="1"/>
  <c r="E119" i="29"/>
  <c r="F119" i="29" s="1"/>
  <c r="E118" i="29"/>
  <c r="F118" i="29" s="1"/>
  <c r="E117" i="29"/>
  <c r="F117" i="29" s="1"/>
  <c r="E116" i="29"/>
  <c r="F116" i="29" s="1"/>
  <c r="E115" i="29"/>
  <c r="F115" i="29" s="1"/>
  <c r="E114" i="29"/>
  <c r="F114" i="29" s="1"/>
  <c r="E113" i="29"/>
  <c r="F113" i="29" s="1"/>
  <c r="E112" i="29"/>
  <c r="F112" i="29" s="1"/>
  <c r="E111" i="29"/>
  <c r="F111" i="29" s="1"/>
  <c r="E110" i="29"/>
  <c r="F110" i="29" s="1"/>
  <c r="E109" i="29"/>
  <c r="F109" i="29" s="1"/>
  <c r="E108" i="29"/>
  <c r="F108" i="29" s="1"/>
  <c r="E104" i="29"/>
  <c r="F104" i="29" s="1"/>
  <c r="E103" i="29"/>
  <c r="F103" i="29" s="1"/>
  <c r="E102" i="29"/>
  <c r="F102" i="29" s="1"/>
  <c r="E101" i="29"/>
  <c r="F101" i="29" s="1"/>
  <c r="E100" i="29"/>
  <c r="F100" i="29" s="1"/>
  <c r="E99" i="29"/>
  <c r="F99" i="29" s="1"/>
  <c r="E98" i="29"/>
  <c r="F98" i="29" s="1"/>
  <c r="E97" i="29"/>
  <c r="F97" i="29" s="1"/>
  <c r="E96" i="29"/>
  <c r="F96" i="29" s="1"/>
  <c r="E95" i="29"/>
  <c r="F95" i="29" s="1"/>
  <c r="E94" i="29"/>
  <c r="F94" i="29" s="1"/>
  <c r="E93" i="29"/>
  <c r="F93" i="29" s="1"/>
  <c r="E92" i="29"/>
  <c r="F92" i="29" s="1"/>
  <c r="E88" i="29"/>
  <c r="F88" i="29" s="1"/>
  <c r="E87" i="29"/>
  <c r="F87" i="29" s="1"/>
  <c r="E86" i="29"/>
  <c r="F86" i="29" s="1"/>
  <c r="E85" i="29"/>
  <c r="F85" i="29" s="1"/>
  <c r="E84" i="29"/>
  <c r="F84" i="29" s="1"/>
  <c r="E83" i="29"/>
  <c r="F83" i="29" s="1"/>
  <c r="E82" i="29"/>
  <c r="F82" i="29" s="1"/>
  <c r="E81" i="29"/>
  <c r="F81" i="29" s="1"/>
  <c r="E80" i="29"/>
  <c r="F80" i="29" s="1"/>
  <c r="E79" i="29"/>
  <c r="F79" i="29" s="1"/>
  <c r="E78" i="29"/>
  <c r="F78" i="29" s="1"/>
  <c r="E77" i="29"/>
  <c r="F77" i="29" s="1"/>
  <c r="E76" i="29"/>
  <c r="F76" i="29" s="1"/>
  <c r="E73" i="29"/>
  <c r="F73" i="29" s="1"/>
  <c r="E72" i="29"/>
  <c r="F72" i="29" s="1"/>
  <c r="E71" i="29"/>
  <c r="F71" i="29" s="1"/>
  <c r="E70" i="29"/>
  <c r="F70" i="29" s="1"/>
  <c r="E69" i="29"/>
  <c r="F69" i="29" s="1"/>
  <c r="E68" i="29"/>
  <c r="F68" i="29" s="1"/>
  <c r="E67" i="29"/>
  <c r="F67" i="29" s="1"/>
  <c r="E66" i="29"/>
  <c r="F66" i="29" s="1"/>
  <c r="E65" i="29"/>
  <c r="F65" i="29" s="1"/>
  <c r="E64" i="29"/>
  <c r="F64" i="29" s="1"/>
  <c r="E63" i="29"/>
  <c r="F63" i="29" s="1"/>
  <c r="E62" i="29"/>
  <c r="F62" i="29" s="1"/>
  <c r="E61" i="29"/>
  <c r="F61" i="29" s="1"/>
  <c r="E60" i="29"/>
  <c r="F60" i="29" s="1"/>
  <c r="E59" i="29"/>
  <c r="F59" i="29" s="1"/>
  <c r="E58" i="29"/>
  <c r="F58" i="29" s="1"/>
  <c r="E57" i="29"/>
  <c r="F57" i="29" s="1"/>
  <c r="E56" i="29"/>
  <c r="F56" i="29" s="1"/>
  <c r="E55" i="29"/>
  <c r="F55" i="29" s="1"/>
  <c r="E54" i="29"/>
  <c r="F54" i="29" s="1"/>
  <c r="E53" i="29"/>
  <c r="F53" i="29" s="1"/>
  <c r="E52" i="29"/>
  <c r="F52" i="29" s="1"/>
  <c r="E32" i="29"/>
  <c r="F32" i="29" s="1"/>
  <c r="E31" i="29"/>
  <c r="F31" i="29" s="1"/>
  <c r="E30" i="29"/>
  <c r="F30" i="29" s="1"/>
  <c r="E29" i="29"/>
  <c r="F29" i="29" s="1"/>
  <c r="E28" i="29"/>
  <c r="F28" i="29" s="1"/>
  <c r="E14" i="29"/>
  <c r="F14" i="29" s="1"/>
  <c r="E13" i="29"/>
  <c r="F13" i="29" s="1"/>
  <c r="E12" i="29"/>
  <c r="F12" i="29" s="1"/>
  <c r="E11" i="29"/>
  <c r="F11" i="29" s="1"/>
  <c r="E10" i="29"/>
  <c r="F10" i="29" s="1"/>
  <c r="R126" i="29"/>
  <c r="R127" i="29"/>
  <c r="R128" i="29"/>
  <c r="R129" i="29"/>
  <c r="R130" i="29"/>
  <c r="R112" i="29"/>
  <c r="R111" i="29"/>
  <c r="R110" i="29"/>
  <c r="R109" i="29"/>
  <c r="R61" i="29"/>
  <c r="R60" i="29"/>
  <c r="R59" i="29"/>
  <c r="R58" i="29"/>
  <c r="R57" i="29"/>
  <c r="R56" i="29"/>
  <c r="R55" i="29"/>
  <c r="G10" i="16"/>
  <c r="AP18" i="34" l="1"/>
  <c r="AQ18" i="34"/>
  <c r="AQ26" i="34" s="1"/>
  <c r="AQ27" i="34" s="1"/>
  <c r="AQ28" i="34" s="1"/>
  <c r="AP26" i="34"/>
  <c r="X53" i="33"/>
  <c r="X45" i="33"/>
  <c r="X41" i="33"/>
  <c r="X47" i="33"/>
  <c r="Z40" i="33"/>
  <c r="X49" i="33"/>
  <c r="X51" i="33"/>
  <c r="X43" i="33"/>
  <c r="G36" i="16"/>
  <c r="E36" i="16"/>
  <c r="G38" i="16"/>
  <c r="G39" i="16"/>
  <c r="G37" i="16"/>
  <c r="E26" i="16"/>
  <c r="G5" i="29"/>
  <c r="H5" i="29"/>
  <c r="I5" i="29"/>
  <c r="J5" i="29"/>
  <c r="K5" i="29"/>
  <c r="L5" i="29"/>
  <c r="M5" i="29"/>
  <c r="N5" i="29"/>
  <c r="O5" i="29"/>
  <c r="P5" i="29"/>
  <c r="R132" i="29"/>
  <c r="R133" i="29"/>
  <c r="R134" i="29"/>
  <c r="R135" i="29"/>
  <c r="R136" i="29"/>
  <c r="R137" i="29"/>
  <c r="R138" i="29"/>
  <c r="R139" i="29"/>
  <c r="R140" i="29"/>
  <c r="R141" i="29"/>
  <c r="R131" i="29"/>
  <c r="R125" i="29"/>
  <c r="E125" i="29"/>
  <c r="F125" i="29" s="1"/>
  <c r="R124" i="29"/>
  <c r="E124" i="29"/>
  <c r="F124" i="29" s="1"/>
  <c r="R123" i="29"/>
  <c r="E123" i="29"/>
  <c r="F123" i="29" s="1"/>
  <c r="R121" i="29"/>
  <c r="R120" i="29"/>
  <c r="R119" i="29"/>
  <c r="R118" i="29"/>
  <c r="R117" i="29"/>
  <c r="R116" i="29"/>
  <c r="R115" i="29"/>
  <c r="R114" i="29"/>
  <c r="R113" i="29"/>
  <c r="R108" i="29"/>
  <c r="R106" i="29"/>
  <c r="R87" i="29"/>
  <c r="R88" i="29"/>
  <c r="R73" i="29"/>
  <c r="R26" i="29"/>
  <c r="R27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9" i="29"/>
  <c r="R16" i="29"/>
  <c r="R17" i="29"/>
  <c r="R18" i="29"/>
  <c r="R19" i="29"/>
  <c r="R20" i="29"/>
  <c r="R21" i="29"/>
  <c r="R22" i="29"/>
  <c r="E41" i="29" l="1"/>
  <c r="E40" i="29"/>
  <c r="F40" i="29" s="1"/>
  <c r="E39" i="29"/>
  <c r="F39" i="29" s="1"/>
  <c r="E38" i="29"/>
  <c r="F38" i="29" s="1"/>
  <c r="E37" i="29"/>
  <c r="F37" i="29" s="1"/>
  <c r="E36" i="29"/>
  <c r="F36" i="29" s="1"/>
  <c r="E35" i="29"/>
  <c r="F35" i="29" s="1"/>
  <c r="E21" i="29"/>
  <c r="F21" i="29" s="1"/>
  <c r="E20" i="29"/>
  <c r="F20" i="29" s="1"/>
  <c r="E19" i="29"/>
  <c r="F19" i="29" s="1"/>
  <c r="E18" i="29"/>
  <c r="F18" i="29" s="1"/>
  <c r="E17" i="29"/>
  <c r="F17" i="29" s="1"/>
  <c r="F41" i="29" l="1"/>
  <c r="G33" i="16"/>
  <c r="E38" i="16"/>
  <c r="E33" i="16"/>
  <c r="R62" i="29"/>
  <c r="R63" i="29"/>
  <c r="E46" i="29" l="1"/>
  <c r="F46" i="29" s="1"/>
  <c r="E45" i="29"/>
  <c r="F45" i="29" s="1"/>
  <c r="E44" i="29"/>
  <c r="F44" i="29" s="1"/>
  <c r="E43" i="29"/>
  <c r="F43" i="29" s="1"/>
  <c r="E42" i="29"/>
  <c r="F42" i="29" s="1"/>
  <c r="E34" i="29"/>
  <c r="F34" i="29" s="1"/>
  <c r="E33" i="29"/>
  <c r="F33" i="29" s="1"/>
  <c r="E27" i="29"/>
  <c r="F27" i="29" s="1"/>
  <c r="S8" i="16" l="1"/>
  <c r="T8" i="16"/>
  <c r="N16" i="16" l="1"/>
  <c r="G16" i="16" s="1"/>
  <c r="E39" i="16"/>
  <c r="E37" i="16"/>
  <c r="G35" i="16"/>
  <c r="E35" i="16"/>
  <c r="G34" i="16"/>
  <c r="E34" i="16"/>
  <c r="T21" i="16"/>
  <c r="S21" i="16"/>
  <c r="N29" i="16" s="1"/>
  <c r="U21" i="16"/>
  <c r="G26" i="16" l="1"/>
  <c r="G29" i="16"/>
  <c r="G23" i="16"/>
  <c r="U8" i="16"/>
  <c r="N17" i="16" s="1"/>
  <c r="G17" i="16" s="1"/>
  <c r="N15" i="16"/>
  <c r="G15" i="16" s="1"/>
  <c r="G18" i="16"/>
  <c r="N30" i="16"/>
  <c r="G30" i="16" s="1"/>
  <c r="N31" i="16"/>
  <c r="G31" i="16" s="1"/>
  <c r="G28" i="16"/>
  <c r="G32" i="16"/>
  <c r="G14" i="16"/>
  <c r="R107" i="29" l="1"/>
  <c r="E107" i="29"/>
  <c r="F107" i="29" s="1"/>
  <c r="E106" i="29"/>
  <c r="R103" i="29"/>
  <c r="R102" i="29"/>
  <c r="R101" i="29"/>
  <c r="R100" i="29"/>
  <c r="R99" i="29"/>
  <c r="R98" i="29"/>
  <c r="R97" i="29"/>
  <c r="R91" i="29"/>
  <c r="E91" i="29"/>
  <c r="F91" i="29" s="1"/>
  <c r="R90" i="29"/>
  <c r="E90" i="29"/>
  <c r="F90" i="29" s="1"/>
  <c r="R86" i="29"/>
  <c r="R85" i="29"/>
  <c r="R84" i="29"/>
  <c r="R77" i="29"/>
  <c r="R76" i="29"/>
  <c r="R72" i="29"/>
  <c r="R71" i="29"/>
  <c r="R70" i="29"/>
  <c r="R69" i="29"/>
  <c r="R68" i="29"/>
  <c r="R67" i="29"/>
  <c r="R66" i="29"/>
  <c r="R65" i="29"/>
  <c r="R64" i="29"/>
  <c r="R54" i="29"/>
  <c r="R53" i="29"/>
  <c r="R52" i="29"/>
  <c r="E49" i="29"/>
  <c r="F49" i="29" s="1"/>
  <c r="E48" i="29"/>
  <c r="F48" i="29" s="1"/>
  <c r="E47" i="29"/>
  <c r="F47" i="29" s="1"/>
  <c r="E26" i="29"/>
  <c r="F26" i="29" s="1"/>
  <c r="R25" i="29"/>
  <c r="E25" i="29"/>
  <c r="E22" i="29"/>
  <c r="F22" i="29" s="1"/>
  <c r="E16" i="29"/>
  <c r="F16" i="29" s="1"/>
  <c r="E15" i="29"/>
  <c r="F15" i="29" s="1"/>
  <c r="E9" i="29"/>
  <c r="F9" i="29" s="1"/>
  <c r="R8" i="29"/>
  <c r="E8" i="29"/>
  <c r="R5" i="29"/>
  <c r="Q5" i="29"/>
  <c r="F8" i="29" l="1"/>
  <c r="F25" i="29"/>
  <c r="F106" i="29"/>
  <c r="R21" i="16" l="1"/>
  <c r="N25" i="16" s="1"/>
  <c r="G25" i="16" s="1"/>
  <c r="R8" i="16"/>
  <c r="N13" i="16" l="1"/>
  <c r="G13" i="16" s="1"/>
  <c r="N27" i="16"/>
  <c r="G27" i="16" s="1"/>
  <c r="N24" i="16"/>
  <c r="N12" i="16"/>
  <c r="G12" i="16" s="1"/>
  <c r="N11" i="16"/>
  <c r="G11" i="16" l="1"/>
  <c r="G24" i="16"/>
  <c r="G21" i="16" s="1"/>
  <c r="G8" i="16" l="1"/>
  <c r="H545" i="27" l="1"/>
  <c r="J545" i="27" s="1"/>
  <c r="H544" i="27"/>
  <c r="J544" i="27" s="1"/>
  <c r="H541" i="27"/>
  <c r="J541" i="27" s="1"/>
  <c r="H539" i="27"/>
  <c r="J539" i="27" s="1"/>
  <c r="H538" i="27"/>
  <c r="J538" i="27" s="1"/>
  <c r="H537" i="27"/>
  <c r="J537" i="27" s="1"/>
  <c r="H536" i="27"/>
  <c r="J536" i="27" s="1"/>
  <c r="H535" i="27"/>
  <c r="J535" i="27" s="1"/>
  <c r="H534" i="27"/>
  <c r="J534" i="27" s="1"/>
  <c r="H533" i="27"/>
  <c r="J533" i="27" s="1"/>
  <c r="H532" i="27"/>
  <c r="J532" i="27" s="1"/>
  <c r="H531" i="27"/>
  <c r="J531" i="27" s="1"/>
  <c r="H530" i="27"/>
  <c r="J530" i="27" s="1"/>
  <c r="H529" i="27"/>
  <c r="J529" i="27" s="1"/>
  <c r="H528" i="27"/>
  <c r="J528" i="27" s="1"/>
  <c r="H527" i="27"/>
  <c r="J527" i="27" s="1"/>
  <c r="H524" i="27"/>
  <c r="J524" i="27" s="1"/>
  <c r="H523" i="27"/>
  <c r="J523" i="27" s="1"/>
  <c r="H522" i="27"/>
  <c r="J522" i="27" s="1"/>
  <c r="H519" i="27"/>
  <c r="J519" i="27" s="1"/>
  <c r="H518" i="27"/>
  <c r="J518" i="27" s="1"/>
  <c r="H517" i="27"/>
  <c r="J517" i="27" s="1"/>
  <c r="H514" i="27"/>
  <c r="J514" i="27" s="1"/>
  <c r="H513" i="27"/>
  <c r="J513" i="27" s="1"/>
  <c r="H512" i="27"/>
  <c r="J512" i="27" s="1"/>
  <c r="H511" i="27"/>
  <c r="J511" i="27" s="1"/>
  <c r="H510" i="27"/>
  <c r="J510" i="27" s="1"/>
  <c r="H509" i="27"/>
  <c r="J509" i="27" s="1"/>
  <c r="H508" i="27"/>
  <c r="J508" i="27" s="1"/>
  <c r="H507" i="27"/>
  <c r="J507" i="27" s="1"/>
  <c r="H506" i="27"/>
  <c r="J506" i="27" s="1"/>
  <c r="H505" i="27"/>
  <c r="J505" i="27" s="1"/>
  <c r="H504" i="27"/>
  <c r="J504" i="27" s="1"/>
  <c r="H503" i="27"/>
  <c r="J503" i="27" s="1"/>
  <c r="H502" i="27"/>
  <c r="J502" i="27" s="1"/>
  <c r="H501" i="27"/>
  <c r="J501" i="27" s="1"/>
  <c r="H498" i="27"/>
  <c r="J498" i="27" s="1"/>
  <c r="H495" i="27"/>
  <c r="J495" i="27" s="1"/>
  <c r="H494" i="27"/>
  <c r="J494" i="27" s="1"/>
  <c r="H491" i="27"/>
  <c r="J491" i="27" s="1"/>
  <c r="H488" i="27"/>
  <c r="J488" i="27" s="1"/>
  <c r="H487" i="27"/>
  <c r="J487" i="27" s="1"/>
  <c r="H486" i="27"/>
  <c r="J486" i="27" s="1"/>
  <c r="H483" i="27"/>
  <c r="J483" i="27" s="1"/>
  <c r="H482" i="27"/>
  <c r="J482" i="27" s="1"/>
  <c r="H481" i="27"/>
  <c r="J481" i="27" s="1"/>
  <c r="H480" i="27"/>
  <c r="J480" i="27" s="1"/>
  <c r="H479" i="27"/>
  <c r="J479" i="27" s="1"/>
  <c r="H478" i="27"/>
  <c r="J478" i="27" s="1"/>
  <c r="H477" i="27"/>
  <c r="J477" i="27" s="1"/>
  <c r="H476" i="27"/>
  <c r="J476" i="27" s="1"/>
  <c r="H475" i="27"/>
  <c r="J475" i="27" s="1"/>
  <c r="H474" i="27"/>
  <c r="J474" i="27" s="1"/>
  <c r="H473" i="27"/>
  <c r="J473" i="27" s="1"/>
  <c r="H472" i="27"/>
  <c r="J472" i="27" s="1"/>
  <c r="H471" i="27"/>
  <c r="J471" i="27" s="1"/>
  <c r="H470" i="27"/>
  <c r="J470" i="27" s="1"/>
  <c r="H469" i="27"/>
  <c r="J469" i="27" s="1"/>
  <c r="H468" i="27"/>
  <c r="J468" i="27" s="1"/>
  <c r="H467" i="27"/>
  <c r="J467" i="27" s="1"/>
  <c r="H466" i="27"/>
  <c r="J466" i="27" s="1"/>
  <c r="H465" i="27"/>
  <c r="J465" i="27" s="1"/>
  <c r="H464" i="27"/>
  <c r="J464" i="27" s="1"/>
  <c r="H463" i="27"/>
  <c r="J463" i="27" s="1"/>
  <c r="H462" i="27"/>
  <c r="J462" i="27" s="1"/>
  <c r="H461" i="27"/>
  <c r="J461" i="27" s="1"/>
  <c r="H460" i="27"/>
  <c r="J460" i="27" s="1"/>
  <c r="H459" i="27"/>
  <c r="J459" i="27" s="1"/>
  <c r="H458" i="27"/>
  <c r="J458" i="27" s="1"/>
  <c r="H457" i="27"/>
  <c r="J457" i="27" s="1"/>
  <c r="H456" i="27"/>
  <c r="J456" i="27" s="1"/>
  <c r="H455" i="27"/>
  <c r="J455" i="27" s="1"/>
  <c r="H454" i="27"/>
  <c r="J454" i="27" s="1"/>
  <c r="H453" i="27"/>
  <c r="J453" i="27" s="1"/>
  <c r="H452" i="27"/>
  <c r="J452" i="27" s="1"/>
  <c r="H451" i="27"/>
  <c r="J451" i="27" s="1"/>
  <c r="H450" i="27"/>
  <c r="J450" i="27" s="1"/>
  <c r="H449" i="27"/>
  <c r="J449" i="27" s="1"/>
  <c r="H448" i="27"/>
  <c r="J448" i="27" s="1"/>
  <c r="H447" i="27"/>
  <c r="J447" i="27" s="1"/>
  <c r="H446" i="27"/>
  <c r="J446" i="27" s="1"/>
  <c r="H445" i="27"/>
  <c r="J445" i="27" s="1"/>
  <c r="H444" i="27"/>
  <c r="J444" i="27" s="1"/>
  <c r="H441" i="27"/>
  <c r="J441" i="27" s="1"/>
  <c r="H440" i="27"/>
  <c r="J440" i="27" s="1"/>
  <c r="H437" i="27"/>
  <c r="J437" i="27" s="1"/>
  <c r="H436" i="27"/>
  <c r="J436" i="27" s="1"/>
  <c r="H435" i="27"/>
  <c r="J435" i="27" s="1"/>
  <c r="H434" i="27"/>
  <c r="J434" i="27" s="1"/>
  <c r="H433" i="27"/>
  <c r="J433" i="27" s="1"/>
  <c r="H432" i="27"/>
  <c r="J432" i="27" s="1"/>
  <c r="H431" i="27"/>
  <c r="J431" i="27" s="1"/>
  <c r="H430" i="27"/>
  <c r="J430" i="27" s="1"/>
  <c r="H429" i="27"/>
  <c r="J429" i="27" s="1"/>
  <c r="H428" i="27"/>
  <c r="J428" i="27" s="1"/>
  <c r="H427" i="27"/>
  <c r="J427" i="27" s="1"/>
  <c r="H426" i="27"/>
  <c r="J426" i="27" s="1"/>
  <c r="H425" i="27"/>
  <c r="J425" i="27" s="1"/>
  <c r="H424" i="27"/>
  <c r="J424" i="27" s="1"/>
  <c r="H423" i="27"/>
  <c r="J423" i="27" s="1"/>
  <c r="H422" i="27"/>
  <c r="J422" i="27" s="1"/>
  <c r="H421" i="27"/>
  <c r="J421" i="27" s="1"/>
  <c r="H420" i="27"/>
  <c r="J420" i="27" s="1"/>
  <c r="H419" i="27"/>
  <c r="J419" i="27" s="1"/>
  <c r="H416" i="27"/>
  <c r="J416" i="27" s="1"/>
  <c r="H415" i="27"/>
  <c r="J415" i="27" s="1"/>
  <c r="H414" i="27"/>
  <c r="J414" i="27" s="1"/>
  <c r="H413" i="27"/>
  <c r="J413" i="27" s="1"/>
  <c r="H412" i="27"/>
  <c r="J412" i="27" s="1"/>
  <c r="H411" i="27"/>
  <c r="J411" i="27" s="1"/>
  <c r="H410" i="27"/>
  <c r="J410" i="27" s="1"/>
  <c r="H409" i="27"/>
  <c r="J409" i="27" s="1"/>
  <c r="H408" i="27"/>
  <c r="J408" i="27" s="1"/>
  <c r="H407" i="27"/>
  <c r="J407" i="27" s="1"/>
  <c r="H406" i="27"/>
  <c r="J406" i="27" s="1"/>
  <c r="H405" i="27"/>
  <c r="J405" i="27" s="1"/>
  <c r="H404" i="27"/>
  <c r="J404" i="27" s="1"/>
  <c r="H403" i="27"/>
  <c r="J403" i="27" s="1"/>
  <c r="H402" i="27"/>
  <c r="J402" i="27" s="1"/>
  <c r="H399" i="27"/>
  <c r="J399" i="27" s="1"/>
  <c r="H398" i="27"/>
  <c r="J398" i="27" s="1"/>
  <c r="H397" i="27"/>
  <c r="J397" i="27" s="1"/>
  <c r="H396" i="27"/>
  <c r="J396" i="27" s="1"/>
  <c r="H395" i="27"/>
  <c r="J395" i="27" s="1"/>
  <c r="H393" i="27"/>
  <c r="J393" i="27" s="1"/>
  <c r="H392" i="27"/>
  <c r="J392" i="27" s="1"/>
  <c r="H391" i="27"/>
  <c r="J391" i="27" s="1"/>
  <c r="H390" i="27"/>
  <c r="J390" i="27" s="1"/>
  <c r="H386" i="27"/>
  <c r="J386" i="27" s="1"/>
  <c r="H383" i="27"/>
  <c r="J383" i="27" s="1"/>
  <c r="H382" i="27"/>
  <c r="J382" i="27" s="1"/>
  <c r="H381" i="27"/>
  <c r="J381" i="27" s="1"/>
  <c r="H380" i="27"/>
  <c r="J380" i="27" s="1"/>
  <c r="H379" i="27"/>
  <c r="J379" i="27" s="1"/>
  <c r="H378" i="27"/>
  <c r="J378" i="27" s="1"/>
  <c r="H377" i="27"/>
  <c r="J377" i="27" s="1"/>
  <c r="H376" i="27"/>
  <c r="J376" i="27" s="1"/>
  <c r="H375" i="27"/>
  <c r="J375" i="27" s="1"/>
  <c r="H374" i="27"/>
  <c r="J374" i="27" s="1"/>
  <c r="H373" i="27"/>
  <c r="J373" i="27" s="1"/>
  <c r="H372" i="27"/>
  <c r="J372" i="27" s="1"/>
  <c r="H370" i="27"/>
  <c r="J370" i="27" s="1"/>
  <c r="H369" i="27"/>
  <c r="J369" i="27" s="1"/>
  <c r="H368" i="27"/>
  <c r="J368" i="27" s="1"/>
  <c r="H367" i="27"/>
  <c r="J367" i="27" s="1"/>
  <c r="H366" i="27"/>
  <c r="J366" i="27" s="1"/>
  <c r="H365" i="27"/>
  <c r="J365" i="27" s="1"/>
  <c r="H364" i="27"/>
  <c r="J364" i="27" s="1"/>
  <c r="H363" i="27"/>
  <c r="J363" i="27" s="1"/>
  <c r="H362" i="27"/>
  <c r="J362" i="27" s="1"/>
  <c r="H361" i="27"/>
  <c r="J361" i="27" s="1"/>
  <c r="H360" i="27"/>
  <c r="J360" i="27" s="1"/>
  <c r="H359" i="27"/>
  <c r="J359" i="27" s="1"/>
  <c r="H358" i="27"/>
  <c r="J358" i="27" s="1"/>
  <c r="H355" i="27"/>
  <c r="J355" i="27" s="1"/>
  <c r="H354" i="27"/>
  <c r="J354" i="27" s="1"/>
  <c r="H353" i="27"/>
  <c r="J353" i="27" s="1"/>
  <c r="H350" i="27"/>
  <c r="J350" i="27" s="1"/>
  <c r="H349" i="27"/>
  <c r="J349" i="27" s="1"/>
  <c r="H348" i="27"/>
  <c r="J348" i="27" s="1"/>
  <c r="H347" i="27"/>
  <c r="J347" i="27" s="1"/>
  <c r="H346" i="27"/>
  <c r="J346" i="27" s="1"/>
  <c r="H345" i="27"/>
  <c r="J345" i="27" s="1"/>
  <c r="H342" i="27"/>
  <c r="J342" i="27" s="1"/>
  <c r="H341" i="27"/>
  <c r="J341" i="27" s="1"/>
  <c r="H340" i="27"/>
  <c r="J340" i="27" s="1"/>
  <c r="H339" i="27"/>
  <c r="J339" i="27" s="1"/>
  <c r="H338" i="27"/>
  <c r="J338" i="27" s="1"/>
  <c r="H337" i="27"/>
  <c r="J337" i="27" s="1"/>
  <c r="H336" i="27"/>
  <c r="J336" i="27" s="1"/>
  <c r="H335" i="27"/>
  <c r="J335" i="27" s="1"/>
  <c r="H334" i="27"/>
  <c r="J334" i="27" s="1"/>
  <c r="H333" i="27"/>
  <c r="J333" i="27" s="1"/>
  <c r="H332" i="27"/>
  <c r="J332" i="27" s="1"/>
  <c r="H331" i="27"/>
  <c r="J331" i="27" s="1"/>
  <c r="H330" i="27"/>
  <c r="J330" i="27" s="1"/>
  <c r="H329" i="27"/>
  <c r="J329" i="27" s="1"/>
  <c r="H328" i="27"/>
  <c r="J328" i="27" s="1"/>
  <c r="H327" i="27"/>
  <c r="J327" i="27" s="1"/>
  <c r="H326" i="27"/>
  <c r="J326" i="27" s="1"/>
  <c r="H325" i="27"/>
  <c r="J325" i="27" s="1"/>
  <c r="H324" i="27"/>
  <c r="J324" i="27" s="1"/>
  <c r="H323" i="27"/>
  <c r="J323" i="27" s="1"/>
  <c r="H322" i="27"/>
  <c r="J322" i="27" s="1"/>
  <c r="H321" i="27"/>
  <c r="J321" i="27" s="1"/>
  <c r="H320" i="27"/>
  <c r="J320" i="27" s="1"/>
  <c r="H319" i="27"/>
  <c r="J319" i="27" s="1"/>
  <c r="H318" i="27"/>
  <c r="J318" i="27" s="1"/>
  <c r="H317" i="27"/>
  <c r="J317" i="27" s="1"/>
  <c r="H316" i="27"/>
  <c r="J316" i="27" s="1"/>
  <c r="H315" i="27"/>
  <c r="J315" i="27" s="1"/>
  <c r="H314" i="27"/>
  <c r="J314" i="27" s="1"/>
  <c r="H313" i="27"/>
  <c r="J313" i="27" s="1"/>
  <c r="H312" i="27"/>
  <c r="J312" i="27" s="1"/>
  <c r="H311" i="27"/>
  <c r="J311" i="27" s="1"/>
  <c r="H310" i="27"/>
  <c r="J310" i="27" s="1"/>
  <c r="H309" i="27"/>
  <c r="J309" i="27" s="1"/>
  <c r="H308" i="27"/>
  <c r="J308" i="27" s="1"/>
  <c r="H307" i="27"/>
  <c r="J307" i="27" s="1"/>
  <c r="H306" i="27"/>
  <c r="J306" i="27" s="1"/>
  <c r="H305" i="27"/>
  <c r="J305" i="27" s="1"/>
  <c r="H304" i="27"/>
  <c r="J304" i="27" s="1"/>
  <c r="H301" i="27"/>
  <c r="J301" i="27" s="1"/>
  <c r="H300" i="27"/>
  <c r="J300" i="27" s="1"/>
  <c r="H299" i="27"/>
  <c r="J299" i="27" s="1"/>
  <c r="H298" i="27"/>
  <c r="J298" i="27" s="1"/>
  <c r="H297" i="27"/>
  <c r="J297" i="27" s="1"/>
  <c r="H296" i="27"/>
  <c r="J296" i="27" s="1"/>
  <c r="H295" i="27"/>
  <c r="J295" i="27" s="1"/>
  <c r="H294" i="27"/>
  <c r="J294" i="27" s="1"/>
  <c r="H293" i="27"/>
  <c r="J293" i="27" s="1"/>
  <c r="H290" i="27"/>
  <c r="J290" i="27" s="1"/>
  <c r="H289" i="27"/>
  <c r="J289" i="27" s="1"/>
  <c r="H288" i="27"/>
  <c r="J288" i="27" s="1"/>
  <c r="H287" i="27"/>
  <c r="J287" i="27" s="1"/>
  <c r="H286" i="27"/>
  <c r="J286" i="27" s="1"/>
  <c r="H285" i="27"/>
  <c r="J285" i="27" s="1"/>
  <c r="H284" i="27"/>
  <c r="J284" i="27" s="1"/>
  <c r="H283" i="27"/>
  <c r="J283" i="27" s="1"/>
  <c r="H282" i="27"/>
  <c r="J282" i="27" s="1"/>
  <c r="H281" i="27"/>
  <c r="J281" i="27" s="1"/>
  <c r="H280" i="27"/>
  <c r="J280" i="27" s="1"/>
  <c r="H279" i="27"/>
  <c r="J279" i="27" s="1"/>
  <c r="H278" i="27"/>
  <c r="J278" i="27" s="1"/>
  <c r="H277" i="27"/>
  <c r="J277" i="27" s="1"/>
  <c r="H276" i="27"/>
  <c r="J276" i="27" s="1"/>
  <c r="H275" i="27"/>
  <c r="J275" i="27" s="1"/>
  <c r="H274" i="27"/>
  <c r="J274" i="27" s="1"/>
  <c r="H273" i="27"/>
  <c r="J273" i="27" s="1"/>
  <c r="H272" i="27"/>
  <c r="J272" i="27" s="1"/>
  <c r="H271" i="27"/>
  <c r="J271" i="27" s="1"/>
  <c r="H270" i="27"/>
  <c r="J270" i="27" s="1"/>
  <c r="H269" i="27"/>
  <c r="J269" i="27" s="1"/>
  <c r="H268" i="27"/>
  <c r="J268" i="27" s="1"/>
  <c r="H265" i="27"/>
  <c r="J265" i="27" s="1"/>
  <c r="H264" i="27"/>
  <c r="J264" i="27" s="1"/>
  <c r="H263" i="27"/>
  <c r="J263" i="27" s="1"/>
  <c r="H262" i="27"/>
  <c r="J262" i="27" s="1"/>
  <c r="H261" i="27"/>
  <c r="J261" i="27" s="1"/>
  <c r="H260" i="27"/>
  <c r="J260" i="27" s="1"/>
  <c r="H259" i="27"/>
  <c r="J259" i="27" s="1"/>
  <c r="H258" i="27"/>
  <c r="J258" i="27" s="1"/>
  <c r="H257" i="27"/>
  <c r="J257" i="27" s="1"/>
  <c r="H256" i="27"/>
  <c r="J256" i="27" s="1"/>
  <c r="H253" i="27"/>
  <c r="J253" i="27" s="1"/>
  <c r="H252" i="27"/>
  <c r="J252" i="27" s="1"/>
  <c r="H251" i="27"/>
  <c r="J251" i="27" s="1"/>
  <c r="H250" i="27"/>
  <c r="J250" i="27" s="1"/>
  <c r="H249" i="27"/>
  <c r="J249" i="27" s="1"/>
  <c r="H248" i="27"/>
  <c r="J248" i="27" s="1"/>
  <c r="H247" i="27"/>
  <c r="J247" i="27" s="1"/>
  <c r="H246" i="27"/>
  <c r="J246" i="27" s="1"/>
  <c r="H245" i="27"/>
  <c r="J245" i="27" s="1"/>
  <c r="H244" i="27"/>
  <c r="J244" i="27" s="1"/>
  <c r="H243" i="27"/>
  <c r="J243" i="27" s="1"/>
  <c r="H242" i="27"/>
  <c r="J242" i="27" s="1"/>
  <c r="H241" i="27"/>
  <c r="J241" i="27" s="1"/>
  <c r="H240" i="27"/>
  <c r="J240" i="27" s="1"/>
  <c r="H239" i="27"/>
  <c r="J239" i="27" s="1"/>
  <c r="H238" i="27"/>
  <c r="J238" i="27" s="1"/>
  <c r="H237" i="27"/>
  <c r="J237" i="27" s="1"/>
  <c r="H236" i="27"/>
  <c r="J236" i="27" s="1"/>
  <c r="H235" i="27"/>
  <c r="J235" i="27" s="1"/>
  <c r="H234" i="27"/>
  <c r="J234" i="27" s="1"/>
  <c r="H233" i="27"/>
  <c r="J233" i="27" s="1"/>
  <c r="H232" i="27"/>
  <c r="J232" i="27" s="1"/>
  <c r="H231" i="27"/>
  <c r="J231" i="27" s="1"/>
  <c r="H230" i="27"/>
  <c r="J230" i="27" s="1"/>
  <c r="H229" i="27"/>
  <c r="J229" i="27" s="1"/>
  <c r="H228" i="27"/>
  <c r="J228" i="27" s="1"/>
  <c r="H227" i="27"/>
  <c r="J227" i="27" s="1"/>
  <c r="H226" i="27"/>
  <c r="J226" i="27" s="1"/>
  <c r="H225" i="27"/>
  <c r="J225" i="27" s="1"/>
  <c r="H224" i="27"/>
  <c r="J224" i="27" s="1"/>
  <c r="H223" i="27"/>
  <c r="J223" i="27" s="1"/>
  <c r="H222" i="27"/>
  <c r="J222" i="27" s="1"/>
  <c r="H221" i="27"/>
  <c r="J221" i="27" s="1"/>
  <c r="H220" i="27"/>
  <c r="J220" i="27" s="1"/>
  <c r="H219" i="27"/>
  <c r="J219" i="27" s="1"/>
  <c r="H218" i="27"/>
  <c r="J218" i="27" s="1"/>
  <c r="H217" i="27"/>
  <c r="J217" i="27" s="1"/>
  <c r="H216" i="27"/>
  <c r="J216" i="27" s="1"/>
  <c r="H215" i="27"/>
  <c r="J215" i="27" s="1"/>
  <c r="H214" i="27"/>
  <c r="J214" i="27" s="1"/>
  <c r="H213" i="27"/>
  <c r="J213" i="27" s="1"/>
  <c r="H212" i="27"/>
  <c r="J212" i="27" s="1"/>
  <c r="H211" i="27"/>
  <c r="J211" i="27" s="1"/>
  <c r="H210" i="27"/>
  <c r="J210" i="27" s="1"/>
  <c r="H209" i="27"/>
  <c r="J209" i="27" s="1"/>
  <c r="H208" i="27"/>
  <c r="J208" i="27" s="1"/>
  <c r="H206" i="27"/>
  <c r="J206" i="27" s="1"/>
  <c r="H205" i="27"/>
  <c r="J205" i="27" s="1"/>
  <c r="H201" i="27"/>
  <c r="J201" i="27" s="1"/>
  <c r="H200" i="27"/>
  <c r="J200" i="27" s="1"/>
  <c r="H199" i="27"/>
  <c r="J199" i="27" s="1"/>
  <c r="H198" i="27"/>
  <c r="J198" i="27" s="1"/>
  <c r="H197" i="27"/>
  <c r="J197" i="27" s="1"/>
  <c r="H196" i="27"/>
  <c r="J196" i="27" s="1"/>
  <c r="H195" i="27"/>
  <c r="J195" i="27" s="1"/>
  <c r="H194" i="27"/>
  <c r="J194" i="27" s="1"/>
  <c r="H193" i="27"/>
  <c r="J193" i="27" s="1"/>
  <c r="H192" i="27"/>
  <c r="J192" i="27" s="1"/>
  <c r="H191" i="27"/>
  <c r="J191" i="27" s="1"/>
  <c r="H190" i="27"/>
  <c r="J190" i="27" s="1"/>
  <c r="H189" i="27"/>
  <c r="J189" i="27" s="1"/>
  <c r="H188" i="27"/>
  <c r="J188" i="27" s="1"/>
  <c r="H187" i="27"/>
  <c r="J187" i="27" s="1"/>
  <c r="H184" i="27"/>
  <c r="J184" i="27" s="1"/>
  <c r="H183" i="27"/>
  <c r="J183" i="27" s="1"/>
  <c r="H182" i="27"/>
  <c r="J182" i="27" s="1"/>
  <c r="H181" i="27"/>
  <c r="J181" i="27" s="1"/>
  <c r="H180" i="27"/>
  <c r="J180" i="27" s="1"/>
  <c r="H179" i="27"/>
  <c r="J179" i="27" s="1"/>
  <c r="H178" i="27"/>
  <c r="J178" i="27" s="1"/>
  <c r="H177" i="27"/>
  <c r="J177" i="27" s="1"/>
  <c r="H176" i="27"/>
  <c r="J176" i="27" s="1"/>
  <c r="H175" i="27"/>
  <c r="J175" i="27" s="1"/>
  <c r="H174" i="27"/>
  <c r="J174" i="27" s="1"/>
  <c r="H173" i="27"/>
  <c r="J173" i="27" s="1"/>
  <c r="H172" i="27"/>
  <c r="J172" i="27" s="1"/>
  <c r="H171" i="27"/>
  <c r="J171" i="27" s="1"/>
  <c r="H170" i="27"/>
  <c r="J170" i="27" s="1"/>
  <c r="H169" i="27"/>
  <c r="J169" i="27" s="1"/>
  <c r="H168" i="27"/>
  <c r="J168" i="27" s="1"/>
  <c r="H167" i="27"/>
  <c r="J167" i="27" s="1"/>
  <c r="H166" i="27"/>
  <c r="J166" i="27" s="1"/>
  <c r="H163" i="27"/>
  <c r="J163" i="27" s="1"/>
  <c r="H162" i="27"/>
  <c r="J162" i="27" s="1"/>
  <c r="H161" i="27"/>
  <c r="J161" i="27" s="1"/>
  <c r="H160" i="27"/>
  <c r="J160" i="27" s="1"/>
  <c r="H159" i="27"/>
  <c r="J159" i="27" s="1"/>
  <c r="H158" i="27"/>
  <c r="J158" i="27" s="1"/>
  <c r="H157" i="27"/>
  <c r="J157" i="27" s="1"/>
  <c r="H156" i="27"/>
  <c r="J156" i="27" s="1"/>
  <c r="H155" i="27"/>
  <c r="J155" i="27" s="1"/>
  <c r="H154" i="27"/>
  <c r="J154" i="27" s="1"/>
  <c r="H153" i="27"/>
  <c r="J153" i="27" s="1"/>
  <c r="H152" i="27"/>
  <c r="J152" i="27" s="1"/>
  <c r="H151" i="27"/>
  <c r="J151" i="27" s="1"/>
  <c r="H150" i="27"/>
  <c r="J150" i="27" s="1"/>
  <c r="H149" i="27"/>
  <c r="J149" i="27" s="1"/>
  <c r="H146" i="27"/>
  <c r="J146" i="27" s="1"/>
  <c r="H145" i="27"/>
  <c r="J145" i="27" s="1"/>
  <c r="H144" i="27"/>
  <c r="J144" i="27" s="1"/>
  <c r="H143" i="27"/>
  <c r="J143" i="27" s="1"/>
  <c r="H142" i="27"/>
  <c r="J142" i="27" s="1"/>
  <c r="H141" i="27"/>
  <c r="J141" i="27" s="1"/>
  <c r="H140" i="27"/>
  <c r="J140" i="27" s="1"/>
  <c r="H139" i="27"/>
  <c r="J139" i="27" s="1"/>
  <c r="H138" i="27"/>
  <c r="J138" i="27" s="1"/>
  <c r="H137" i="27"/>
  <c r="J137" i="27" s="1"/>
  <c r="H136" i="27"/>
  <c r="J136" i="27" s="1"/>
  <c r="H135" i="27"/>
  <c r="J135" i="27" s="1"/>
  <c r="H134" i="27"/>
  <c r="J134" i="27" s="1"/>
  <c r="H131" i="27"/>
  <c r="J131" i="27" s="1"/>
  <c r="H130" i="27"/>
  <c r="J130" i="27" s="1"/>
  <c r="H129" i="27"/>
  <c r="J129" i="27" s="1"/>
  <c r="H128" i="27"/>
  <c r="J128" i="27" s="1"/>
  <c r="H127" i="27"/>
  <c r="J127" i="27" s="1"/>
  <c r="H126" i="27"/>
  <c r="J126" i="27" s="1"/>
  <c r="H125" i="27"/>
  <c r="J125" i="27" s="1"/>
  <c r="H124" i="27"/>
  <c r="J124" i="27" s="1"/>
  <c r="H123" i="27"/>
  <c r="J123" i="27" s="1"/>
  <c r="H122" i="27"/>
  <c r="J122" i="27" s="1"/>
  <c r="H121" i="27"/>
  <c r="J121" i="27" s="1"/>
  <c r="H120" i="27"/>
  <c r="J120" i="27" s="1"/>
  <c r="H118" i="27"/>
  <c r="J118" i="27" s="1"/>
  <c r="H117" i="27"/>
  <c r="J117" i="27" s="1"/>
  <c r="H116" i="27"/>
  <c r="J116" i="27" s="1"/>
  <c r="H115" i="27"/>
  <c r="J115" i="27" s="1"/>
  <c r="H114" i="27"/>
  <c r="J114" i="27" s="1"/>
  <c r="H113" i="27"/>
  <c r="J113" i="27" s="1"/>
  <c r="H111" i="27"/>
  <c r="J111" i="27" s="1"/>
  <c r="H110" i="27"/>
  <c r="J110" i="27" s="1"/>
  <c r="H109" i="27"/>
  <c r="J109" i="27" s="1"/>
  <c r="H108" i="27"/>
  <c r="J108" i="27" s="1"/>
  <c r="H107" i="27"/>
  <c r="J107" i="27" s="1"/>
  <c r="H106" i="27"/>
  <c r="J106" i="27" s="1"/>
  <c r="H105" i="27"/>
  <c r="J105" i="27" s="1"/>
  <c r="H104" i="27"/>
  <c r="J104" i="27" s="1"/>
  <c r="H103" i="27"/>
  <c r="J103" i="27" s="1"/>
  <c r="H102" i="27"/>
  <c r="J102" i="27" s="1"/>
  <c r="H101" i="27"/>
  <c r="J101" i="27" s="1"/>
  <c r="H100" i="27"/>
  <c r="J100" i="27" s="1"/>
  <c r="H96" i="27"/>
  <c r="J96" i="27" s="1"/>
  <c r="H94" i="27"/>
  <c r="J94" i="27" s="1"/>
  <c r="H93" i="27"/>
  <c r="J93" i="27" s="1"/>
  <c r="H92" i="27"/>
  <c r="J92" i="27" s="1"/>
  <c r="H90" i="27"/>
  <c r="J90" i="27" s="1"/>
  <c r="H89" i="27"/>
  <c r="J89" i="27" s="1"/>
  <c r="H87" i="27"/>
  <c r="J87" i="27" s="1"/>
  <c r="H86" i="27"/>
  <c r="J86" i="27" s="1"/>
  <c r="H85" i="27"/>
  <c r="J85" i="27" s="1"/>
  <c r="H82" i="27"/>
  <c r="J82" i="27" s="1"/>
  <c r="H81" i="27"/>
  <c r="J81" i="27" s="1"/>
  <c r="H79" i="27"/>
  <c r="J79" i="27" s="1"/>
  <c r="H78" i="27"/>
  <c r="J78" i="27" s="1"/>
  <c r="H77" i="27"/>
  <c r="J77" i="27" s="1"/>
  <c r="H75" i="27"/>
  <c r="J75" i="27" s="1"/>
  <c r="H74" i="27"/>
  <c r="J74" i="27" s="1"/>
  <c r="H72" i="27"/>
  <c r="J72" i="27" s="1"/>
  <c r="H71" i="27"/>
  <c r="J71" i="27" s="1"/>
  <c r="H70" i="27"/>
  <c r="J70" i="27" s="1"/>
  <c r="H68" i="27"/>
  <c r="J68" i="27" s="1"/>
  <c r="H67" i="27"/>
  <c r="J67" i="27" s="1"/>
  <c r="H66" i="27"/>
  <c r="J66" i="27" s="1"/>
  <c r="H65" i="27"/>
  <c r="J65" i="27" s="1"/>
  <c r="H64" i="27"/>
  <c r="J64" i="27" s="1"/>
  <c r="H63" i="27"/>
  <c r="J63" i="27" s="1"/>
  <c r="H62" i="27"/>
  <c r="J62" i="27" s="1"/>
  <c r="H60" i="27"/>
  <c r="J60" i="27" s="1"/>
  <c r="H59" i="27"/>
  <c r="J59" i="27" s="1"/>
  <c r="H58" i="27"/>
  <c r="J58" i="27" s="1"/>
  <c r="H57" i="27"/>
  <c r="J57" i="27" s="1"/>
  <c r="H55" i="27"/>
  <c r="J55" i="27" s="1"/>
  <c r="H52" i="27"/>
  <c r="J52" i="27" s="1"/>
  <c r="H51" i="27"/>
  <c r="J51" i="27" s="1"/>
  <c r="H50" i="27"/>
  <c r="J50" i="27" s="1"/>
  <c r="H49" i="27"/>
  <c r="J49" i="27" s="1"/>
  <c r="H48" i="27"/>
  <c r="J48" i="27" s="1"/>
  <c r="H47" i="27"/>
  <c r="J47" i="27" s="1"/>
  <c r="H46" i="27"/>
  <c r="J46" i="27" s="1"/>
  <c r="H45" i="27"/>
  <c r="J45" i="27" s="1"/>
  <c r="H44" i="27"/>
  <c r="J44" i="27" s="1"/>
  <c r="H43" i="27"/>
  <c r="J43" i="27" s="1"/>
  <c r="H41" i="27"/>
  <c r="J41" i="27" s="1"/>
  <c r="H40" i="27"/>
  <c r="J40" i="27" s="1"/>
  <c r="H39" i="27"/>
  <c r="J39" i="27" s="1"/>
  <c r="H38" i="27"/>
  <c r="J38" i="27" s="1"/>
  <c r="H37" i="27"/>
  <c r="J37" i="27" s="1"/>
  <c r="H36" i="27"/>
  <c r="J36" i="27" s="1"/>
  <c r="H34" i="27"/>
  <c r="J34" i="27" s="1"/>
  <c r="H33" i="27"/>
  <c r="J33" i="27" s="1"/>
  <c r="H32" i="27"/>
  <c r="J32" i="27" s="1"/>
  <c r="H31" i="27"/>
  <c r="J31" i="27" s="1"/>
  <c r="H30" i="27"/>
  <c r="J30" i="27" s="1"/>
  <c r="H29" i="27"/>
  <c r="J29" i="27" s="1"/>
  <c r="H27" i="27"/>
  <c r="J27" i="27" s="1"/>
  <c r="H26" i="27"/>
  <c r="J26" i="27" s="1"/>
  <c r="H25" i="27"/>
  <c r="J25" i="27" s="1"/>
  <c r="H24" i="27"/>
  <c r="J24" i="27" s="1"/>
  <c r="H23" i="27"/>
  <c r="J23" i="27" s="1"/>
  <c r="H22" i="27"/>
  <c r="J22" i="27" s="1"/>
  <c r="H17" i="27"/>
  <c r="J17" i="27" s="1"/>
  <c r="H16" i="27"/>
  <c r="J16" i="27" s="1"/>
  <c r="H15" i="27"/>
  <c r="J15" i="27" s="1"/>
  <c r="H14" i="27"/>
  <c r="J14" i="27" s="1"/>
  <c r="H13" i="27"/>
  <c r="J13" i="27" s="1"/>
  <c r="H12" i="27"/>
  <c r="J12" i="27" s="1"/>
  <c r="H11" i="27"/>
  <c r="J11" i="27" s="1"/>
  <c r="H8" i="27"/>
  <c r="J8" i="27" s="1"/>
  <c r="H7" i="27"/>
  <c r="J7" i="27" s="1"/>
  <c r="H6" i="27"/>
  <c r="J6" i="27" s="1"/>
  <c r="H5" i="27"/>
  <c r="J5" i="27" s="1"/>
  <c r="H4" i="27"/>
  <c r="J4" i="27" s="1"/>
  <c r="H3" i="27"/>
  <c r="J3" i="27" s="1"/>
  <c r="F20" i="24" l="1"/>
</calcChain>
</file>

<file path=xl/sharedStrings.xml><?xml version="1.0" encoding="utf-8"?>
<sst xmlns="http://schemas.openxmlformats.org/spreadsheetml/2006/main" count="30253" uniqueCount="10286">
  <si>
    <t>PISO</t>
  </si>
  <si>
    <t>TETO</t>
  </si>
  <si>
    <t>PISOS</t>
  </si>
  <si>
    <t>RODAPÉS</t>
  </si>
  <si>
    <t>SOLEIRA</t>
  </si>
  <si>
    <t>REVESTIMENTOS DE PAREDES</t>
  </si>
  <si>
    <t>SOLEIRAS</t>
  </si>
  <si>
    <t>PEITORIS</t>
  </si>
  <si>
    <t>FORROS / TETOS</t>
  </si>
  <si>
    <t>OBSERVAÇÕES / COMENTÁRIOS</t>
  </si>
  <si>
    <t>TOTAL</t>
  </si>
  <si>
    <t>UN</t>
  </si>
  <si>
    <t>LEVANTAMENTO DE REVESTIMENTOS INTERNOS - RESUMO</t>
  </si>
  <si>
    <t>OBRA:</t>
  </si>
  <si>
    <t>CLIENTE:</t>
  </si>
  <si>
    <t>LOCAL:</t>
  </si>
  <si>
    <t>M2</t>
  </si>
  <si>
    <t>Unid</t>
  </si>
  <si>
    <t>Quant.</t>
  </si>
  <si>
    <t>Comp. (m)</t>
  </si>
  <si>
    <t>Larg. (m)</t>
  </si>
  <si>
    <t>Altura (m)</t>
  </si>
  <si>
    <t>Perímetro</t>
  </si>
  <si>
    <t>Área</t>
  </si>
  <si>
    <t>Total</t>
  </si>
  <si>
    <t>M</t>
  </si>
  <si>
    <t>RODAPÉ</t>
  </si>
  <si>
    <t>R1</t>
  </si>
  <si>
    <t>LEVANTAMENTO DE LOUÇAS, METAIS, BANCADAS E DIVISÓRIAS - RESUMO</t>
  </si>
  <si>
    <t>LOUÇAS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</si>
  <si>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</si>
  <si>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</si>
  <si>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</si>
  <si>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</si>
  <si>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</si>
  <si>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</si>
  <si>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</si>
  <si>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</si>
  <si>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</si>
  <si>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</si>
  <si>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</si>
  <si>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</si>
  <si>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</si>
  <si>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</si>
  <si>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</si>
  <si>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</si>
  <si>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</si>
  <si>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</si>
  <si>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</si>
  <si>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</si>
  <si>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METAIS</t>
  </si>
  <si>
    <t>M1</t>
  </si>
  <si>
    <t>M3</t>
  </si>
  <si>
    <t>M4</t>
  </si>
  <si>
    <t>M5</t>
  </si>
  <si>
    <t>M6</t>
  </si>
  <si>
    <t>M7</t>
  </si>
  <si>
    <t>M8</t>
  </si>
  <si>
    <t>M9</t>
  </si>
  <si>
    <t>ACESSÓRIOS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</si>
  <si>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</si>
  <si>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</si>
  <si>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</si>
  <si>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</si>
  <si>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</si>
  <si>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</si>
  <si>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</si>
  <si>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</si>
  <si>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</si>
  <si>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</si>
  <si>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</si>
  <si>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</si>
  <si>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</si>
  <si>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</si>
  <si>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</si>
  <si>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</si>
  <si>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</si>
  <si>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</si>
  <si>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</si>
  <si>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</si>
  <si>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BANCADAS</t>
  </si>
  <si>
    <t>B1</t>
  </si>
  <si>
    <t>B2</t>
  </si>
  <si>
    <t>B3</t>
  </si>
  <si>
    <t>RODABANCA</t>
  </si>
  <si>
    <t>RB1</t>
  </si>
  <si>
    <t>RB2</t>
  </si>
  <si>
    <t>RB3</t>
  </si>
  <si>
    <t>RB4</t>
  </si>
  <si>
    <t>RB5</t>
  </si>
  <si>
    <t>TESTEIRA</t>
  </si>
  <si>
    <t>T1</t>
  </si>
  <si>
    <t>T2</t>
  </si>
  <si>
    <t>T3</t>
  </si>
  <si>
    <t>T4</t>
  </si>
  <si>
    <t>DIVISÓRIAS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</si>
  <si>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</si>
  <si>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</si>
  <si>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</si>
  <si>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</si>
  <si>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</si>
  <si>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</si>
  <si>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</si>
  <si>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</si>
  <si>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</si>
  <si>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</si>
  <si>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BANCADA</t>
  </si>
  <si>
    <t>R2</t>
  </si>
  <si>
    <t>R3</t>
  </si>
  <si>
    <t>R5</t>
  </si>
  <si>
    <t>R6</t>
  </si>
  <si>
    <t>R7</t>
  </si>
  <si>
    <t>R10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</si>
  <si>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</si>
  <si>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</si>
  <si>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</si>
  <si>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</si>
  <si>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</si>
  <si>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</si>
  <si>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</si>
  <si>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</si>
  <si>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</si>
  <si>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</si>
  <si>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</si>
  <si>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</si>
  <si>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P1</t>
  </si>
  <si>
    <t>P2</t>
  </si>
  <si>
    <t>P3</t>
  </si>
  <si>
    <t>P16</t>
  </si>
  <si>
    <t>P17</t>
  </si>
  <si>
    <t>P18</t>
  </si>
  <si>
    <t>P19</t>
  </si>
  <si>
    <t>RP1</t>
  </si>
  <si>
    <t>RP2</t>
  </si>
  <si>
    <t>RP3</t>
  </si>
  <si>
    <t>PT1</t>
  </si>
  <si>
    <t>PT2</t>
  </si>
  <si>
    <t>PT3</t>
  </si>
  <si>
    <t>PT4</t>
  </si>
  <si>
    <t>PT5</t>
  </si>
  <si>
    <t>Item</t>
  </si>
  <si>
    <t>Comp</t>
  </si>
  <si>
    <t xml:space="preserve">Descricao      </t>
  </si>
  <si>
    <t>CB0202</t>
  </si>
  <si>
    <t>CB0709</t>
  </si>
  <si>
    <t>CB4011</t>
  </si>
  <si>
    <t>CC1519</t>
  </si>
  <si>
    <t>CP2007</t>
  </si>
  <si>
    <t>CP2002</t>
  </si>
  <si>
    <t>CC6048</t>
  </si>
  <si>
    <t>CC1792</t>
  </si>
  <si>
    <t>CP2008</t>
  </si>
  <si>
    <t>CP2009</t>
  </si>
  <si>
    <t>CC2680</t>
  </si>
  <si>
    <t>CZ2022</t>
  </si>
  <si>
    <t>IS5803</t>
  </si>
  <si>
    <t>IS6135</t>
  </si>
  <si>
    <t>CS1596</t>
  </si>
  <si>
    <t>IS6102</t>
  </si>
  <si>
    <t>CC1625</t>
  </si>
  <si>
    <t>CZ1582</t>
  </si>
  <si>
    <t>CZ1581</t>
  </si>
  <si>
    <t>CP1585</t>
  </si>
  <si>
    <t>CP1589</t>
  </si>
  <si>
    <t>CP1588</t>
  </si>
  <si>
    <t>CP1592</t>
  </si>
  <si>
    <t>CP2315</t>
  </si>
  <si>
    <t>CP2318</t>
  </si>
  <si>
    <t>CP1609</t>
  </si>
  <si>
    <t>CS2509</t>
  </si>
  <si>
    <t>IS0066</t>
  </si>
  <si>
    <t>IS6219</t>
  </si>
  <si>
    <t>CZ2001</t>
  </si>
  <si>
    <t>CP5000</t>
  </si>
  <si>
    <t>CC1593</t>
  </si>
  <si>
    <t>CP2313</t>
  </si>
  <si>
    <t>CP2314</t>
  </si>
  <si>
    <t>CP0903</t>
  </si>
  <si>
    <t>CI3507</t>
  </si>
  <si>
    <t>IS6214</t>
  </si>
  <si>
    <t>CP1916</t>
  </si>
  <si>
    <t>CP1917</t>
  </si>
  <si>
    <t>CP1615</t>
  </si>
  <si>
    <t>CP3803</t>
  </si>
  <si>
    <t>CZ5002</t>
  </si>
  <si>
    <t>IS6121</t>
  </si>
  <si>
    <t>CC2682</t>
  </si>
  <si>
    <t>CI3103</t>
  </si>
  <si>
    <t>CS1669</t>
  </si>
  <si>
    <t>CS5010</t>
  </si>
  <si>
    <t>CP2911</t>
  </si>
  <si>
    <t>CP1600</t>
  </si>
  <si>
    <t>CP4001</t>
  </si>
  <si>
    <t>CP3001</t>
  </si>
  <si>
    <t>CZ3001</t>
  </si>
  <si>
    <t>IS1633</t>
  </si>
  <si>
    <t>CZ9013</t>
  </si>
  <si>
    <t>CZ9018</t>
  </si>
  <si>
    <t>CZ9019</t>
  </si>
  <si>
    <t>CZ9020</t>
  </si>
  <si>
    <t>CO1933</t>
  </si>
  <si>
    <t>IM2310</t>
  </si>
  <si>
    <t>IO4628</t>
  </si>
  <si>
    <t>IO0271</t>
  </si>
  <si>
    <t>CO2301</t>
  </si>
  <si>
    <t>IO2383</t>
  </si>
  <si>
    <t>IO4630</t>
  </si>
  <si>
    <t>IS1634</t>
  </si>
  <si>
    <t>IS8539</t>
  </si>
  <si>
    <t>IS8601</t>
  </si>
  <si>
    <t>IS8603</t>
  </si>
  <si>
    <t>IS3812</t>
  </si>
  <si>
    <t>IS8521</t>
  </si>
  <si>
    <t>CZ1692</t>
  </si>
  <si>
    <t>IS6215</t>
  </si>
  <si>
    <t>IS4179</t>
  </si>
  <si>
    <t>CB0735</t>
  </si>
  <si>
    <t>CP2011</t>
  </si>
  <si>
    <t>CP2176</t>
  </si>
  <si>
    <t>CP2177</t>
  </si>
  <si>
    <t>CZ9009</t>
  </si>
  <si>
    <t>Descrição</t>
  </si>
  <si>
    <t>IS0390</t>
  </si>
  <si>
    <t>CC1618</t>
  </si>
  <si>
    <t>CV0001</t>
  </si>
  <si>
    <t>CZ0042</t>
  </si>
  <si>
    <t>IS0132</t>
  </si>
  <si>
    <t>IS4572</t>
  </si>
  <si>
    <t>IT1050</t>
  </si>
  <si>
    <t>IS4614</t>
  </si>
  <si>
    <t>IS0093</t>
  </si>
  <si>
    <t>IS0094</t>
  </si>
  <si>
    <t>IS0104</t>
  </si>
  <si>
    <t>IS1671</t>
  </si>
  <si>
    <t>IS0092</t>
  </si>
  <si>
    <t>CC1534</t>
  </si>
  <si>
    <t>CN0502</t>
  </si>
  <si>
    <t>IS2814</t>
  </si>
  <si>
    <t>CC1559</t>
  </si>
  <si>
    <t>CB0206</t>
  </si>
  <si>
    <t>IS5713</t>
  </si>
  <si>
    <t>CC1572</t>
  </si>
  <si>
    <t>CC1573</t>
  </si>
  <si>
    <t>IS2172</t>
  </si>
  <si>
    <t>IT1026</t>
  </si>
  <si>
    <t>IS0172</t>
  </si>
  <si>
    <t>CZ1535</t>
  </si>
  <si>
    <t>CP2001</t>
  </si>
  <si>
    <t>CC1538</t>
  </si>
  <si>
    <t>IS1172</t>
  </si>
  <si>
    <t>IS1627</t>
  </si>
  <si>
    <t>IS6602</t>
  </si>
  <si>
    <t>IS6603</t>
  </si>
  <si>
    <t>IS1676</t>
  </si>
  <si>
    <t>IS1628</t>
  </si>
  <si>
    <t>IS2514</t>
  </si>
  <si>
    <t>IH0025</t>
  </si>
  <si>
    <t>CB1301</t>
  </si>
  <si>
    <t>IS8519</t>
  </si>
  <si>
    <t>IT1059</t>
  </si>
  <si>
    <t>IS0155</t>
  </si>
  <si>
    <t>IS0156</t>
  </si>
  <si>
    <t>IS0251</t>
  </si>
  <si>
    <t>IS0252</t>
  </si>
  <si>
    <t>IS0301</t>
  </si>
  <si>
    <t>IS0393</t>
  </si>
  <si>
    <t>CC6049</t>
  </si>
  <si>
    <t>CC5079</t>
  </si>
  <si>
    <t>CC2253</t>
  </si>
  <si>
    <t>CP2005</t>
  </si>
  <si>
    <t>CP2006</t>
  </si>
  <si>
    <t>CP2030</t>
  </si>
  <si>
    <t>CP2010</t>
  </si>
  <si>
    <t>CZ2013</t>
  </si>
  <si>
    <t>CP1568</t>
  </si>
  <si>
    <t>CP1569</t>
  </si>
  <si>
    <t>CP1570</t>
  </si>
  <si>
    <t>CP2012</t>
  </si>
  <si>
    <t>CP2013</t>
  </si>
  <si>
    <t>CP2018</t>
  </si>
  <si>
    <t>IS5802</t>
  </si>
  <si>
    <t>IS5801</t>
  </si>
  <si>
    <t>CS1644</t>
  </si>
  <si>
    <t>CS1641</t>
  </si>
  <si>
    <t>CS1640</t>
  </si>
  <si>
    <t>CZ1695</t>
  </si>
  <si>
    <t>CZ1693</t>
  </si>
  <si>
    <t>CZ1694</t>
  </si>
  <si>
    <t>CZ1696</t>
  </si>
  <si>
    <t>CZ1697</t>
  </si>
  <si>
    <t>CZ1698</t>
  </si>
  <si>
    <t>IM3092</t>
  </si>
  <si>
    <t>IM3090</t>
  </si>
  <si>
    <t>IM3091</t>
  </si>
  <si>
    <t>IM0611</t>
  </si>
  <si>
    <t>IS5708</t>
  </si>
  <si>
    <t>IS1630</t>
  </si>
  <si>
    <t>CS1581</t>
  </si>
  <si>
    <t>IS6101</t>
  </si>
  <si>
    <t>IS6103</t>
  </si>
  <si>
    <t>IS6104</t>
  </si>
  <si>
    <t>IS6105</t>
  </si>
  <si>
    <t>IS6106</t>
  </si>
  <si>
    <t>IS6107</t>
  </si>
  <si>
    <t>IS6108</t>
  </si>
  <si>
    <t>IS6109</t>
  </si>
  <si>
    <t>IS6110</t>
  </si>
  <si>
    <t>IS6111</t>
  </si>
  <si>
    <t>IS6112</t>
  </si>
  <si>
    <t>IS6113</t>
  </si>
  <si>
    <t>IS6114</t>
  </si>
  <si>
    <t>IS6115</t>
  </si>
  <si>
    <t>IS6116</t>
  </si>
  <si>
    <t>IS6117</t>
  </si>
  <si>
    <t>IS6118</t>
  </si>
  <si>
    <t>IS6119</t>
  </si>
  <si>
    <t>IS6120</t>
  </si>
  <si>
    <t>IS6122</t>
  </si>
  <si>
    <t>IS6123</t>
  </si>
  <si>
    <t>IS6124</t>
  </si>
  <si>
    <t>IS6125</t>
  </si>
  <si>
    <t>IS6126</t>
  </si>
  <si>
    <t>IS6127</t>
  </si>
  <si>
    <t>IS6128</t>
  </si>
  <si>
    <t>IS6129</t>
  </si>
  <si>
    <t>IS6130</t>
  </si>
  <si>
    <t>IS6131</t>
  </si>
  <si>
    <t>IS6132</t>
  </si>
  <si>
    <t>IS6133</t>
  </si>
  <si>
    <t>IS6134</t>
  </si>
  <si>
    <t>IS6136</t>
  </si>
  <si>
    <t>IS6137</t>
  </si>
  <si>
    <t>IS6138</t>
  </si>
  <si>
    <t>IS6139</t>
  </si>
  <si>
    <t>IS6140</t>
  </si>
  <si>
    <t>IS6202</t>
  </si>
  <si>
    <t>IS6207</t>
  </si>
  <si>
    <t>IS6205</t>
  </si>
  <si>
    <t>IS6206</t>
  </si>
  <si>
    <t>IS6208</t>
  </si>
  <si>
    <t>IS6209</t>
  </si>
  <si>
    <t>CS0015</t>
  </si>
  <si>
    <t>CV0011</t>
  </si>
  <si>
    <t>CV0012</t>
  </si>
  <si>
    <t>CC1649</t>
  </si>
  <si>
    <t>IS6216</t>
  </si>
  <si>
    <t>CC2007</t>
  </si>
  <si>
    <t>CC1650</t>
  </si>
  <si>
    <t>CP1820</t>
  </si>
  <si>
    <t>CZ1701</t>
  </si>
  <si>
    <t>CS1594</t>
  </si>
  <si>
    <t>CS1595</t>
  </si>
  <si>
    <t>CP1593</t>
  </si>
  <si>
    <t>CP1594</t>
  </si>
  <si>
    <t>CP1597</t>
  </si>
  <si>
    <t>CP1598</t>
  </si>
  <si>
    <t>CP1599</t>
  </si>
  <si>
    <t>CP1608</t>
  </si>
  <si>
    <t>CS2508</t>
  </si>
  <si>
    <t>CI2523</t>
  </si>
  <si>
    <t>IS4771</t>
  </si>
  <si>
    <t>CP1683</t>
  </si>
  <si>
    <t>CZ9602</t>
  </si>
  <si>
    <t>CZ9603</t>
  </si>
  <si>
    <t>CZ9604</t>
  </si>
  <si>
    <t>IS5707</t>
  </si>
  <si>
    <t>IS1316</t>
  </si>
  <si>
    <t>CC2070</t>
  </si>
  <si>
    <t>CC2050</t>
  </si>
  <si>
    <t>CS5006</t>
  </si>
  <si>
    <t>CP0904</t>
  </si>
  <si>
    <t>CP0905</t>
  </si>
  <si>
    <t>CP0906</t>
  </si>
  <si>
    <t>CP1686</t>
  </si>
  <si>
    <t>CP2316</t>
  </si>
  <si>
    <t>CP2317</t>
  </si>
  <si>
    <t>CP2502</t>
  </si>
  <si>
    <t>CP2535</t>
  </si>
  <si>
    <t>CI3503</t>
  </si>
  <si>
    <t>CI3504</t>
  </si>
  <si>
    <t>CI3506</t>
  </si>
  <si>
    <t>CS2523</t>
  </si>
  <si>
    <t>CP1620</t>
  </si>
  <si>
    <t>CP2093</t>
  </si>
  <si>
    <t>CP2094</t>
  </si>
  <si>
    <t>CP2095</t>
  </si>
  <si>
    <t>CP1687</t>
  </si>
  <si>
    <t>CP1682</t>
  </si>
  <si>
    <t>CI1012</t>
  </si>
  <si>
    <t>CC1915</t>
  </si>
  <si>
    <t>CP1614</t>
  </si>
  <si>
    <t>CP1616</t>
  </si>
  <si>
    <t>CI1617</t>
  </si>
  <si>
    <t>CP1905</t>
  </si>
  <si>
    <t>CP1906</t>
  </si>
  <si>
    <t>CP1907</t>
  </si>
  <si>
    <t>CP1908</t>
  </si>
  <si>
    <t>CO2113</t>
  </si>
  <si>
    <t>IS6212</t>
  </si>
  <si>
    <t>IS6213</t>
  </si>
  <si>
    <t>CP1685</t>
  </si>
  <si>
    <t>CP1595</t>
  </si>
  <si>
    <t>CC1914</t>
  </si>
  <si>
    <t>CP1950</t>
  </si>
  <si>
    <t>CS1593</t>
  </si>
  <si>
    <t>CP1596</t>
  </si>
  <si>
    <t>CS1810</t>
  </si>
  <si>
    <t>CI2518</t>
  </si>
  <si>
    <t>CS2521</t>
  </si>
  <si>
    <t>IS3637</t>
  </si>
  <si>
    <t>IS0187</t>
  </si>
  <si>
    <t>CS3802</t>
  </si>
  <si>
    <t>CZ9606</t>
  </si>
  <si>
    <t>CP2532</t>
  </si>
  <si>
    <t>CP2533</t>
  </si>
  <si>
    <t>CP2534</t>
  </si>
  <si>
    <t>CP3804</t>
  </si>
  <si>
    <t>CP3805</t>
  </si>
  <si>
    <t>CP3806</t>
  </si>
  <si>
    <t>CI2505</t>
  </si>
  <si>
    <t>CG1404</t>
  </si>
  <si>
    <t>IMPERMEABILIZAÇÃO DE ÁREAS MOLHADAS COM VIAPLUS 1000</t>
  </si>
  <si>
    <t>CS2066</t>
  </si>
  <si>
    <t>IMPERMEABILIZAÇÃO DE LAJE PLANA COM MANTA ASFÁLTICA 4 MM INCLUSIVE CAMADA DE REGULARIZAÇÃO E PROTEÇÃO MECÂNICA</t>
  </si>
  <si>
    <t>CZ9608</t>
  </si>
  <si>
    <t>IMPERMEABILIZAÇÃO DE LAJE PLANA COM MANTA ASFÁLTICA 4 MM INCLUSIVE PROTEÇÃO MECÂNICA</t>
  </si>
  <si>
    <t>CS2166</t>
  </si>
  <si>
    <t>IMPERMEABILIZAÇÃO DE JARDINEIRAS COM MANTA ANTI RAIZ 3 MM INCLUSIVE CAMADA DE REGULARIZAÇÃO E PROTEÇÃO MECÂNICA</t>
  </si>
  <si>
    <t>IS0079</t>
  </si>
  <si>
    <t>CF0102</t>
  </si>
  <si>
    <t>CS0822</t>
  </si>
  <si>
    <t>CG1105</t>
  </si>
  <si>
    <t>CG1006</t>
  </si>
  <si>
    <t>IS6151</t>
  </si>
  <si>
    <t>IS6152</t>
  </si>
  <si>
    <t>IS6153</t>
  </si>
  <si>
    <t>IS6154</t>
  </si>
  <si>
    <t>IS6155</t>
  </si>
  <si>
    <t>IS6156</t>
  </si>
  <si>
    <t>IS6157</t>
  </si>
  <si>
    <t>IS6158</t>
  </si>
  <si>
    <t>IS6159</t>
  </si>
  <si>
    <t>IS6160</t>
  </si>
  <si>
    <t>IS6161</t>
  </si>
  <si>
    <t>IS6162</t>
  </si>
  <si>
    <t>IS6163</t>
  </si>
  <si>
    <t>IS6164</t>
  </si>
  <si>
    <t>IS6165</t>
  </si>
  <si>
    <t>CS5020</t>
  </si>
  <si>
    <t>CP1667</t>
  </si>
  <si>
    <t>CP1684</t>
  </si>
  <si>
    <t>CZ1951</t>
  </si>
  <si>
    <t>CZ3101</t>
  </si>
  <si>
    <t>CS5001</t>
  </si>
  <si>
    <t>CZ3008</t>
  </si>
  <si>
    <t>CZ1681</t>
  </si>
  <si>
    <t>CZ1957</t>
  </si>
  <si>
    <t>CP2097</t>
  </si>
  <si>
    <t>CZ1968</t>
  </si>
  <si>
    <t>IM3528</t>
  </si>
  <si>
    <t>CZ9003</t>
  </si>
  <si>
    <t>CZ9004</t>
  </si>
  <si>
    <t>CZ1907</t>
  </si>
  <si>
    <t>CZ9005</t>
  </si>
  <si>
    <t>CZ9006</t>
  </si>
  <si>
    <t>CZ9007</t>
  </si>
  <si>
    <t>CZ9008</t>
  </si>
  <si>
    <t>CO1920</t>
  </si>
  <si>
    <t>CZ9609</t>
  </si>
  <si>
    <t>CZ9010</t>
  </si>
  <si>
    <t>CZ9011</t>
  </si>
  <si>
    <t>CZ9012</t>
  </si>
  <si>
    <t>CZ9014</t>
  </si>
  <si>
    <t>CO3144</t>
  </si>
  <si>
    <t>CZ9015</t>
  </si>
  <si>
    <t>CZ9016</t>
  </si>
  <si>
    <t>CZ9017</t>
  </si>
  <si>
    <t>CZ9021</t>
  </si>
  <si>
    <t>CZ9022</t>
  </si>
  <si>
    <t>IM1994</t>
  </si>
  <si>
    <t>IO2553</t>
  </si>
  <si>
    <t>IO2530</t>
  </si>
  <si>
    <t>IO4625</t>
  </si>
  <si>
    <t>IO4626</t>
  </si>
  <si>
    <t>IO4627</t>
  </si>
  <si>
    <t>IO4629</t>
  </si>
  <si>
    <t>IO4631</t>
  </si>
  <si>
    <t>CO2302</t>
  </si>
  <si>
    <t>IM2993</t>
  </si>
  <si>
    <t>IM0923</t>
  </si>
  <si>
    <t>IS3033</t>
  </si>
  <si>
    <t>IS8602</t>
  </si>
  <si>
    <t>IM3701</t>
  </si>
  <si>
    <t>IS8526</t>
  </si>
  <si>
    <t>IS6211</t>
  </si>
  <si>
    <t>IM0484</t>
  </si>
  <si>
    <t>IS0356</t>
  </si>
  <si>
    <t>IM0011</t>
  </si>
  <si>
    <t>IS6210</t>
  </si>
  <si>
    <t>IS6217</t>
  </si>
  <si>
    <t>IS6220</t>
  </si>
  <si>
    <t>IS6221</t>
  </si>
  <si>
    <t>CZ2121</t>
  </si>
  <si>
    <t>IT1027</t>
  </si>
  <si>
    <t>IM6049</t>
  </si>
  <si>
    <t>CZ5203</t>
  </si>
  <si>
    <t>IS1632</t>
  </si>
  <si>
    <t>CB0216</t>
  </si>
  <si>
    <t>CB2902</t>
  </si>
  <si>
    <t>CS1202</t>
  </si>
  <si>
    <t>CS2085</t>
  </si>
  <si>
    <t>CZ9610</t>
  </si>
  <si>
    <t>CS2603</t>
  </si>
  <si>
    <t>CI1206</t>
  </si>
  <si>
    <t>CZ3007</t>
  </si>
  <si>
    <t>IM1821</t>
  </si>
  <si>
    <t>CC2084</t>
  </si>
  <si>
    <t>CZ0008</t>
  </si>
  <si>
    <t>IS4178</t>
  </si>
  <si>
    <t>LEVANTAMENTO DE IMPERMEABILIZAÇÃO - RESUMO</t>
  </si>
  <si>
    <t>TIPO</t>
  </si>
  <si>
    <t>PROTEÇÃO MECÂNICA</t>
  </si>
  <si>
    <t>TOTAL GERAL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</si>
  <si>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</si>
  <si>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</si>
  <si>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</si>
  <si>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</si>
  <si>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</si>
  <si>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</si>
  <si>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</si>
  <si>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</si>
  <si>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</si>
  <si>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</si>
  <si>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 xml:space="preserve">CLIENTE: </t>
  </si>
  <si>
    <t>NOME DO CÔMODO</t>
  </si>
  <si>
    <t>ÁREA SECA</t>
  </si>
  <si>
    <t>ÁREA MOLHADA</t>
  </si>
  <si>
    <t>REVESTIMENTO INTERNO, IMPERMEABILIZAÇÃO, LOUÇAS E METAIS</t>
  </si>
  <si>
    <t>Insumos</t>
  </si>
  <si>
    <t>Arred</t>
  </si>
  <si>
    <t>Link</t>
  </si>
  <si>
    <t>Conferencia</t>
  </si>
  <si>
    <t xml:space="preserve">SERVIÇOS PRELIMINARES    </t>
  </si>
  <si>
    <t xml:space="preserve">      </t>
  </si>
  <si>
    <t xml:space="preserve">DEMOLIÇÕES, REMOÇÕES E BOTA-FORA DE DE MATERIAL DEMOLIDO    </t>
  </si>
  <si>
    <t xml:space="preserve">VB    </t>
  </si>
  <si>
    <t xml:space="preserve">LIMPEZA SUPERFICIAL DO TERRENO    </t>
  </si>
  <si>
    <t xml:space="preserve">M2    </t>
  </si>
  <si>
    <t xml:space="preserve">LOCAÇÃO DA OBRA (IMPLANTAÇÃO COM DIMENSÕES MENORES)    </t>
  </si>
  <si>
    <t xml:space="preserve">LOCAÇÃO DE OBRAS (IMPLANTAÇÃO COM DIMENSÕES MAIORES)    </t>
  </si>
  <si>
    <t xml:space="preserve">TOPOGRAFIA    </t>
  </si>
  <si>
    <t xml:space="preserve">DIA   </t>
  </si>
  <si>
    <t xml:space="preserve">TOPOGRAFIA (MENSAL)    </t>
  </si>
  <si>
    <t xml:space="preserve">MÊS   </t>
  </si>
  <si>
    <t xml:space="preserve">TERRAPLENAGEM - Estimativa    </t>
  </si>
  <si>
    <t xml:space="preserve">MOBILIZAÇÃO/DESMOBILIZAÇÃO DE EQUIPAMENTO DE TERRAPLENAGEM    </t>
  </si>
  <si>
    <t xml:space="preserve">LIMPEZA SUPERFICIAL DO TERRENO (E=0,25CM)    </t>
  </si>
  <si>
    <t xml:space="preserve">M3    </t>
  </si>
  <si>
    <t xml:space="preserve">ESCAVAÇÃO EM MATERIAL DE 1ª CATEGORIA, CARGA, TRANSPORTE E BOTA-FORA - Estimado    </t>
  </si>
  <si>
    <t xml:space="preserve">ESCAVAÇÃO EM MATERIAL DE 1ª CATEGORIA - Estimado    </t>
  </si>
  <si>
    <t xml:space="preserve">CARGA, TRANSPORTE  E BOTA FORA DE MATERIAL EXCEDENTE    </t>
  </si>
  <si>
    <t xml:space="preserve">ATERRO COMPACTADO - Estimado    </t>
  </si>
  <si>
    <t xml:space="preserve">EMPRÉSTIMO DE TERRA    </t>
  </si>
  <si>
    <t xml:space="preserve">CONTENÇÃO    </t>
  </si>
  <si>
    <t xml:space="preserve">PAREDE DIAFRAGMA    </t>
  </si>
  <si>
    <t xml:space="preserve">MURETA GUIA    </t>
  </si>
  <si>
    <t xml:space="preserve">ESCAVAÇÃO MANUAL DE VALAS    </t>
  </si>
  <si>
    <t xml:space="preserve">FORMA PARA BLOCOS / CINTAS / RESERVATÓRIO    </t>
  </si>
  <si>
    <t xml:space="preserve">ARMAÇÃO AÇO CA-50A/60B    </t>
  </si>
  <si>
    <t xml:space="preserve">KG    </t>
  </si>
  <si>
    <t xml:space="preserve">CONCRETO FCK 20,0 MPa LANÇADO EM FUNDAÇÕES    </t>
  </si>
  <si>
    <t xml:space="preserve">REATERRO COMPACTADO DE VALAS    </t>
  </si>
  <si>
    <t xml:space="preserve">TRANSPORTE HORIZONTAL E BOTA FORA DE MATERIAL EXCEDENTE (CAÇAMBA)    </t>
  </si>
  <si>
    <t xml:space="preserve">PAREDES DIAFRAGMA    </t>
  </si>
  <si>
    <t xml:space="preserve">EXECUÇÃO DE PAREDE DIAFRAGMA MOLDADA "IN LOCO" ESCAVADA MECANICAMENTE COM O EMPREGO DE LAMA BENTONÍTICA, ATÉ A PROFUNDIDADE DE PROJETO, COMPREENDIDA DE  PERFURAÇÃO, FORNECIMENTO DA LAMA BENTONÍTICA, COLOCAÇÃO DA ARMADURA E CONCRETAGEM DA PAREDE - ESP=40CM    </t>
  </si>
  <si>
    <t xml:space="preserve">CONCRETO ESPECIAL BOMBEADO FCK 20MPa SLUMP 20±2CM    </t>
  </si>
  <si>
    <t xml:space="preserve">DEMOLIÇÃO DE ESTRUTURA DE CONCRETO DAS LAMELAS DA PAREDE DIAFRAGMA ATÉ A COTA DE ARRASAMENTO E MURETAS GUIAS    </t>
  </si>
  <si>
    <t xml:space="preserve">REMOÇÃO DE LAMA BENTONÍTICA NÃO-REAPROVEITÁVEL PARA BOTA-FORA AUTORIZADO E LEGALIZADO    </t>
  </si>
  <si>
    <t xml:space="preserve">VIGAS DE TRAVAMENTO    </t>
  </si>
  <si>
    <t xml:space="preserve">CONCRETO FCK 30,0 MPA LANÇADO EM FUNDAÇÕES    </t>
  </si>
  <si>
    <t xml:space="preserve">MURO DE ARRIMO    </t>
  </si>
  <si>
    <t xml:space="preserve">ACERTO E APILOAMENTO DE FUNDO DE VALAS    </t>
  </si>
  <si>
    <t xml:space="preserve">LASTRO DE CONCRETO FCK 9,0 MPA    </t>
  </si>
  <si>
    <t xml:space="preserve">BLOCO DE CONCRETO VAZADO L=15CM PREENCHIDO COM CONCRETO FCK 20,0MPa    </t>
  </si>
  <si>
    <t xml:space="preserve">BLOCO DE CONCRETO VAZADO L=20CM PREENCHIDO COM CONCRETO FCK 20,0MPa    </t>
  </si>
  <si>
    <t xml:space="preserve">CONTRAFORTE    </t>
  </si>
  <si>
    <t xml:space="preserve">ESCAVAÇÃO    </t>
  </si>
  <si>
    <t xml:space="preserve">ABERTURA MECANIZADA DE NICHO    </t>
  </si>
  <si>
    <t xml:space="preserve">TUBULÃO    </t>
  </si>
  <si>
    <t xml:space="preserve">MOBILIZAÇÃO DE EQUIPAMENTO PARA FUNDAÇÃO TRADO    </t>
  </si>
  <si>
    <t xml:space="preserve">ESCAVAÇÃO DE TUBULÃO (BASE+ RODAPÉ)    </t>
  </si>
  <si>
    <t xml:space="preserve">CONCRETO FCK 25,0 MPA LANÇADO EM FUNDAÇÕES    </t>
  </si>
  <si>
    <t xml:space="preserve">BLOCOS    </t>
  </si>
  <si>
    <t xml:space="preserve">FORMA PARA BLOCOS E CINTAS    </t>
  </si>
  <si>
    <t xml:space="preserve">FORMA PARA SUPER-ESTRUTURA    </t>
  </si>
  <si>
    <t xml:space="preserve">CONCRETO BOMBEADO FCK 25,0 MPa LANÇADO EM ESTRUTURA    </t>
  </si>
  <si>
    <t xml:space="preserve">FECHAMENTO DE BLOCOS    </t>
  </si>
  <si>
    <t xml:space="preserve">BLOCO VAZADO L=20CM DE CONCRETO PREENCHIDO COM MASSA    </t>
  </si>
  <si>
    <t xml:space="preserve">VIGAS DE TRAVAMENTO (INFERIOR / MÉDIA / SUPERIOR)    </t>
  </si>
  <si>
    <t xml:space="preserve">REATERRO E BOTA-FORA    </t>
  </si>
  <si>
    <t xml:space="preserve">REATERRO DOS NICHOS    </t>
  </si>
  <si>
    <t xml:space="preserve">RETANGULÃO    </t>
  </si>
  <si>
    <t xml:space="preserve">RETANGULÃO - 60x70CM    </t>
  </si>
  <si>
    <t xml:space="preserve">ESCAVAÇÃO DE RETANGULÃO    </t>
  </si>
  <si>
    <t xml:space="preserve">FECHAMENTO DE BLOCO E VIGA DE TRAVAMENTO    </t>
  </si>
  <si>
    <t xml:space="preserve">VIGA TRAVAMENTO - 60x30CM    </t>
  </si>
  <si>
    <t xml:space="preserve">BOTA-FORA    </t>
  </si>
  <si>
    <t xml:space="preserve">FUNDAÇÃO PROFUNDA    </t>
  </si>
  <si>
    <t xml:space="preserve">TRADO MECÂNICO    </t>
  </si>
  <si>
    <t xml:space="preserve">ESTACA TIPO TRADO MECÂNICO Ø300mm    </t>
  </si>
  <si>
    <t xml:space="preserve">M     </t>
  </si>
  <si>
    <t xml:space="preserve">ESTACA TIPO TRADO MECÂNICO Ø400mm    </t>
  </si>
  <si>
    <t xml:space="preserve">ESTACA TIPO TRADO MECÂNICO Ø500mm    </t>
  </si>
  <si>
    <t xml:space="preserve">ESTACA TIPO TRADO MECÂNICO Ø600mm    </t>
  </si>
  <si>
    <t xml:space="preserve">ESTACA TIPO TRADO MECÂNICO Ø700mm    </t>
  </si>
  <si>
    <t xml:space="preserve">ESTACA TIPO TRADO MECÂNICO Ø800mm    </t>
  </si>
  <si>
    <t xml:space="preserve">SERVENTE DE APOIO - (Dois serventes por mês)    </t>
  </si>
  <si>
    <t xml:space="preserve">CORTE E PREPARO DE CABEÇA DE ESTACA    </t>
  </si>
  <si>
    <t xml:space="preserve">UN    </t>
  </si>
  <si>
    <t xml:space="preserve">ESCAVAÇÃO DE TUBULÃO (FUSTE)    </t>
  </si>
  <si>
    <t xml:space="preserve">ESTACAS HÉLICE    </t>
  </si>
  <si>
    <t xml:space="preserve">MOBILIZAÇÃO DE EQUIPAMENTO PARA FUNDAÇÃO HÉLICE CONTÍNUA    </t>
  </si>
  <si>
    <t xml:space="preserve">ESTACA TIPO HÉLICE CONTÍNUA Ø300mm    </t>
  </si>
  <si>
    <t xml:space="preserve">ESTACA TIPO HÉLICE CONTÍNUA Ø400mm    </t>
  </si>
  <si>
    <t xml:space="preserve">ESTACA TIPO HÉLICE CONTÍNUA Ø500mm    </t>
  </si>
  <si>
    <t xml:space="preserve">ESTACA TIPO HÉLICE CONTÍNUA Ø600mm    </t>
  </si>
  <si>
    <t xml:space="preserve">ESTACA TIPO HÉLICE CONTÍNUA Ø700mm    </t>
  </si>
  <si>
    <t xml:space="preserve">ESTACA TIPO HÉLICE CONTÍNUA Ø800mm    </t>
  </si>
  <si>
    <t xml:space="preserve">SERVENTE DE APOIO ESTACA HÉLICE CONTÍNUA    </t>
  </si>
  <si>
    <t xml:space="preserve">FUNDAÇÕES RASAS - BLOCOS/CINTAS    </t>
  </si>
  <si>
    <t xml:space="preserve">ACERTO E APILOAMENTO DE FUNDO DE VALAS - estimado (compactador incluso nos custos indiretos)    </t>
  </si>
  <si>
    <t xml:space="preserve">LASTRO DE CONCRETO FCK 9,0 MPa    </t>
  </si>
  <si>
    <t xml:space="preserve">CONCRETO FCK 25,0 MPa LANÇADO EM FUNDAÇÕES    </t>
  </si>
  <si>
    <t xml:space="preserve">CONCRETO FCK 30,0 MPa LANÇADO EM FUNDAÇÕES    </t>
  </si>
  <si>
    <t xml:space="preserve">CONCRETO FCK 35,0 MPa LANÇADO EM FUNDAÇÕES    </t>
  </si>
  <si>
    <t xml:space="preserve">EPS (isopor) PARA JUNTA DE DILATAÇÃO e= 2,0cm    </t>
  </si>
  <si>
    <t xml:space="preserve">CALAFETAÇÃO DE JUNTA DE DILATAÇÃO COM MASTIQUE FLEXÍVEL    </t>
  </si>
  <si>
    <t xml:space="preserve">TRANSPORTE HORIZONTAL E BOTA-FORA DE MATERIAL EXCEDENTE    </t>
  </si>
  <si>
    <t xml:space="preserve">SUPER-ESTRUTURA    </t>
  </si>
  <si>
    <t xml:space="preserve">FORMA PARA SUPER-ESTRUTURA (ESCORAMENTO, MATERIAL E MÃO-DE-OBRA)    </t>
  </si>
  <si>
    <t xml:space="preserve">FORMA PARA ESCADA (ESCORAMENTO, MATERIAL E MÃO-DE-OBRA)    </t>
  </si>
  <si>
    <t xml:space="preserve">FORMA PARA RAMPA (ESCORAMENTO, MATERIAL E MÃO-DE-OBRA)    </t>
  </si>
  <si>
    <t>CZ2002</t>
  </si>
  <si>
    <t xml:space="preserve">FORMA ATEX (ESCORAMENTO, MATERIAL E MÃO-DE-OBRA)    </t>
  </si>
  <si>
    <t>CZ2015</t>
  </si>
  <si>
    <t xml:space="preserve">CORDOALHA DE 7 FIOS ENGRAXADA E PLASTIFICADA CP 190 RB07 - Ø15,2MM    </t>
  </si>
  <si>
    <t>CC1537</t>
  </si>
  <si>
    <t xml:space="preserve">CONCRETO BOMBEADO FCK 20,0 MPa LANÇADO EM ESTRUTURA    </t>
  </si>
  <si>
    <t>CC1539</t>
  </si>
  <si>
    <t xml:space="preserve">CONCRETO BOMBEADO FCK 30,0 MPa LANÇADO EM ESTRUTURA    </t>
  </si>
  <si>
    <t>CC1540</t>
  </si>
  <si>
    <t xml:space="preserve">CONCRETO BOMBEADO FCK 35,0 MPa LANÇADO EM ESTRUTURA    </t>
  </si>
  <si>
    <t>CC1541</t>
  </si>
  <si>
    <t xml:space="preserve">CONCRETO BOMBEADO FCK 40,0 MPa LANÇADO EM ESTRUTURA    </t>
  </si>
  <si>
    <t>IS0049</t>
  </si>
  <si>
    <t xml:space="preserve">ACABAMENTO NÍVEL ZERO POLIDO    </t>
  </si>
  <si>
    <t>IS0190</t>
  </si>
  <si>
    <t xml:space="preserve">ACABAMENTO NÍVEL ZERO CAMURÇADO    </t>
  </si>
  <si>
    <t xml:space="preserve">ALVENARIAS E FECHAMENTOS    </t>
  </si>
  <si>
    <t xml:space="preserve">MARCAÇÃO DE ALVENARIA    </t>
  </si>
  <si>
    <t xml:space="preserve">ALVENARIA DE TIJOLO FURADO E= 09CM    </t>
  </si>
  <si>
    <t xml:space="preserve">ALVENARIA DE TIJOLO FURADO E= 14CM    </t>
  </si>
  <si>
    <t xml:space="preserve">ALVENARIA DE TIJOLO FURADO E= 19CM    </t>
  </si>
  <si>
    <t xml:space="preserve">ALVENARIA ESTRUTURADA EM TIJOLO FURADO PARA MUROS E MURETAS E= 09CM    </t>
  </si>
  <si>
    <t xml:space="preserve">ALVENARIA ESTRUTURADA EM TIJOLO FURADO PARA MUROS E MURETAS E= 14CM    </t>
  </si>
  <si>
    <t xml:space="preserve">ALVENARIA ESTRUTURADA EM TIJOLO FURADO PARA MUROS E MURETAS E= 19CM    </t>
  </si>
  <si>
    <t xml:space="preserve">VERGAS E CONTRA-VERGAS EM CONCRETO ARMADO    </t>
  </si>
  <si>
    <t xml:space="preserve">ALVENARIA  DE VEDAÇÃO COM BLOCO DE CONCRETO,ESP= 9 CM    </t>
  </si>
  <si>
    <t xml:space="preserve">ALVENARIA  DE VEDAÇÃO COM BLOCO DE CONCRETO,ESP= 14 CM    </t>
  </si>
  <si>
    <t xml:space="preserve">ALVENARIA  DE VEDAÇÃO COM BLOCO DE CONCRETO,ESP= 19 CM    </t>
  </si>
  <si>
    <t xml:space="preserve">ENCUNHAMENTO DE ALVENARIAS COM ARGAMASSA EXPANSIVA E=09CM    </t>
  </si>
  <si>
    <t xml:space="preserve">ENCUNHAMENTO DE ALVENARIAS COM ARGAMASSA EXPANSIVA E=14CM    </t>
  </si>
  <si>
    <t xml:space="preserve">ENCUNHAMENTO DE ALVENARIAS COM ARGAMASSA EXPANSIVA E=19CM    </t>
  </si>
  <si>
    <t xml:space="preserve">ENCUNHAMENTO DE ALVENARIAS COM ADITIVO EXPANSOR    </t>
  </si>
  <si>
    <t xml:space="preserve">DEMOLIÇÃO DE ALVENARIA SEM REAPROVEITAMENTO    </t>
  </si>
  <si>
    <t xml:space="preserve">ALVENARIA DE DRY-WALL ST/ST    </t>
  </si>
  <si>
    <t xml:space="preserve">ALVENARIA DE DRY-WALL ST/RU    </t>
  </si>
  <si>
    <t xml:space="preserve">ALVENARIA DE DRY-WALL RU/RU    </t>
  </si>
  <si>
    <t xml:space="preserve">ESQUADRIAS DE MADEIRA    </t>
  </si>
  <si>
    <t xml:space="preserve">PORTA PRONTA - 80x210 CM - ABRIR    </t>
  </si>
  <si>
    <t xml:space="preserve">PORTA PRONTA - 70x210 CM - ABRIR    </t>
  </si>
  <si>
    <t xml:space="preserve">PORTA PRONTA - 60x210 CM - ABRIR    </t>
  </si>
  <si>
    <t xml:space="preserve">PORTA PRONTA - 80x210 CM - CORRER    </t>
  </si>
  <si>
    <t xml:space="preserve">PORTA PRONTA - 70x210 CM - CORRER    </t>
  </si>
  <si>
    <t xml:space="preserve">PORTA PRONTA - 60x210 CM - CORRER    </t>
  </si>
  <si>
    <t xml:space="preserve">PORTA PRONTA - 80x210 CM - PIVOTANTE    </t>
  </si>
  <si>
    <t xml:space="preserve">PORTA PRONTA - 70x210 CM - PIVOTANTE    </t>
  </si>
  <si>
    <t xml:space="preserve">PORTA PRONTA - 60x210 CM - PIVOTANTE    </t>
  </si>
  <si>
    <t xml:space="preserve">FECHADURA EXTERNA    </t>
  </si>
  <si>
    <t xml:space="preserve">FECHADURA INTERNA    </t>
  </si>
  <si>
    <t xml:space="preserve">FECHADURA BANHOS    </t>
  </si>
  <si>
    <t xml:space="preserve">DOBRADIÇAS PARA PORTA PRONTA    </t>
  </si>
  <si>
    <t xml:space="preserve">PAINEL EM MADEIRA    </t>
  </si>
  <si>
    <t xml:space="preserve">FECHAMENTO DE SHAFT EM MDF    </t>
  </si>
  <si>
    <t xml:space="preserve">ESQUADRIAS DE ALUMÍNIO    </t>
  </si>
  <si>
    <t xml:space="preserve">CONTRAMARCOS    </t>
  </si>
  <si>
    <t xml:space="preserve">INSTALAÇÃO DE CONTRAMARCOS EM ALUMÍNIO    </t>
  </si>
  <si>
    <t xml:space="preserve">INSTALAÇÃO DE ESQUADRIAS DE ALUMÍNIO    </t>
  </si>
  <si>
    <t xml:space="preserve">ESQUADRIA DE ALUMÍNIO, INCLUSIVE VIDRO    </t>
  </si>
  <si>
    <t xml:space="preserve">JA01    </t>
  </si>
  <si>
    <t xml:space="preserve">JA02    </t>
  </si>
  <si>
    <t xml:space="preserve">JA03    </t>
  </si>
  <si>
    <t xml:space="preserve">JA04    </t>
  </si>
  <si>
    <t xml:space="preserve">JA05    </t>
  </si>
  <si>
    <t xml:space="preserve">JA06    </t>
  </si>
  <si>
    <t xml:space="preserve">JA07    </t>
  </si>
  <si>
    <t xml:space="preserve">JA08    </t>
  </si>
  <si>
    <t xml:space="preserve">JA09    </t>
  </si>
  <si>
    <t xml:space="preserve">JA10    </t>
  </si>
  <si>
    <t xml:space="preserve">JA11    </t>
  </si>
  <si>
    <t xml:space="preserve">JA12    </t>
  </si>
  <si>
    <t xml:space="preserve">JA13    </t>
  </si>
  <si>
    <t xml:space="preserve">JA14    </t>
  </si>
  <si>
    <t xml:space="preserve">JA15    </t>
  </si>
  <si>
    <t xml:space="preserve">JA16    </t>
  </si>
  <si>
    <t xml:space="preserve">JA17    </t>
  </si>
  <si>
    <t xml:space="preserve">JA18    </t>
  </si>
  <si>
    <t xml:space="preserve">JA19    </t>
  </si>
  <si>
    <t xml:space="preserve">JA20    </t>
  </si>
  <si>
    <t xml:space="preserve">P01    </t>
  </si>
  <si>
    <t xml:space="preserve">P02    </t>
  </si>
  <si>
    <t xml:space="preserve">P03    </t>
  </si>
  <si>
    <t xml:space="preserve">P04    </t>
  </si>
  <si>
    <t xml:space="preserve">P05    </t>
  </si>
  <si>
    <t xml:space="preserve">P06    </t>
  </si>
  <si>
    <t xml:space="preserve">P07    </t>
  </si>
  <si>
    <t xml:space="preserve">P08    </t>
  </si>
  <si>
    <t xml:space="preserve">P09    </t>
  </si>
  <si>
    <t xml:space="preserve">P10    </t>
  </si>
  <si>
    <t xml:space="preserve">P11    </t>
  </si>
  <si>
    <t xml:space="preserve">P12    </t>
  </si>
  <si>
    <t xml:space="preserve">P13    </t>
  </si>
  <si>
    <t xml:space="preserve">P14    </t>
  </si>
  <si>
    <t xml:space="preserve">P15    </t>
  </si>
  <si>
    <t xml:space="preserve">P16    </t>
  </si>
  <si>
    <t xml:space="preserve">P17    </t>
  </si>
  <si>
    <t xml:space="preserve">P18    </t>
  </si>
  <si>
    <t xml:space="preserve">P19    </t>
  </si>
  <si>
    <t xml:space="preserve">P20    </t>
  </si>
  <si>
    <t xml:space="preserve">CORRIMÃO EM AÇO INOX FIXADO NA PAREDE    </t>
  </si>
  <si>
    <t xml:space="preserve">GUARDA CORPO EM AÇO INOX H = 110 CM COM CORRIMÃO EM AÇO INOX    </t>
  </si>
  <si>
    <t xml:space="preserve">GUARDA CORPO EM AÇO INOX H = 100 CM    </t>
  </si>
  <si>
    <t xml:space="preserve">GUARDA CORPO EM INOX H = 110 CM    </t>
  </si>
  <si>
    <t xml:space="preserve">VENEZIANAS DE ALUMÍNIO NATURAL 1611X100 CM    </t>
  </si>
  <si>
    <t xml:space="preserve">VENEZIANAS DE ALUMÍNIO NATURAL 2889X100 CM    </t>
  </si>
  <si>
    <t xml:space="preserve">SERRALHERIA    </t>
  </si>
  <si>
    <t xml:space="preserve">PCF 90 X 210 CM    </t>
  </si>
  <si>
    <t xml:space="preserve">CORRIMÃO EM TUBO DE FERRO 1 1/4"    </t>
  </si>
  <si>
    <t xml:space="preserve">GUARDA-CORPO METÁLICO COM CORRIMÃO PARA ESCADA DE INCÊNDIO H=1,10M    </t>
  </si>
  <si>
    <t xml:space="preserve">GUARDA-CORPO METÁLICO PARA ESCADA DE INCÊNDIO H=1,10M    </t>
  </si>
  <si>
    <t xml:space="preserve">ALÇAPÃO METÁLICO 70 X 70 CM    </t>
  </si>
  <si>
    <t xml:space="preserve">P- 80 X 210 CM    </t>
  </si>
  <si>
    <t xml:space="preserve">P- 70 X 210 CM    </t>
  </si>
  <si>
    <t xml:space="preserve">ESCADA METÁLICA CONFORME PROJETO    </t>
  </si>
  <si>
    <t xml:space="preserve">ESCADA MARINHEIRO    </t>
  </si>
  <si>
    <t xml:space="preserve">BRISE METÁLICO    </t>
  </si>
  <si>
    <t xml:space="preserve">REVESTIMENTO INTERNO - PAREDE    </t>
  </si>
  <si>
    <t xml:space="preserve">CHAPISCO INTERNO    </t>
  </si>
  <si>
    <t xml:space="preserve">CALAFETAÇÃO DE ALVENARIA    </t>
  </si>
  <si>
    <t xml:space="preserve">CHAPISCO COLANTE INTERNO    </t>
  </si>
  <si>
    <t xml:space="preserve">REBOCO INTERNO + PONTO DE MASSA    </t>
  </si>
  <si>
    <t xml:space="preserve">EMBOÇO INTERNO + PONTO DE MASSA    </t>
  </si>
  <si>
    <t xml:space="preserve">GESSO CORRIDO MESTRADO    </t>
  </si>
  <si>
    <t xml:space="preserve">GESSO CORRIDO DISTORCIDO    </t>
  </si>
  <si>
    <t xml:space="preserve">CERÂMICA TIPO 1 - Parede    </t>
  </si>
  <si>
    <t xml:space="preserve">CERÂMICA TIPO 2 - Parede    </t>
  </si>
  <si>
    <t xml:space="preserve">CERÂMICA TIPO 3 - Parede    </t>
  </si>
  <si>
    <t xml:space="preserve">CERÂMICA TIPO 4 - Parede    </t>
  </si>
  <si>
    <t xml:space="preserve">CERÂMICA TIPO 5 - Parede    </t>
  </si>
  <si>
    <t xml:space="preserve">CERÂMICA REF. GAIL    </t>
  </si>
  <si>
    <t xml:space="preserve">PASTILHA TIPO 1 - Parede    </t>
  </si>
  <si>
    <t xml:space="preserve">PASTILHA TIPO 2 - Parede    </t>
  </si>
  <si>
    <t xml:space="preserve">GRANITO TIPO 1 - Parede    </t>
  </si>
  <si>
    <t xml:space="preserve">GRANITO TIPO 2 - Parede    </t>
  </si>
  <si>
    <t xml:space="preserve">MÁRMORE TIPO 1 - Parede    </t>
  </si>
  <si>
    <t xml:space="preserve">LAMINADO MELAMÍNICO    </t>
  </si>
  <si>
    <t xml:space="preserve">ADUELA EM GRANITO LARG. 12 CM    </t>
  </si>
  <si>
    <t xml:space="preserve">ALIZAR EM GRANITO LARG. 12CM    </t>
  </si>
  <si>
    <t xml:space="preserve">ADUELA EM GRANITO BRANCO LARG.12 CM    </t>
  </si>
  <si>
    <t xml:space="preserve">ALIZAR EM GRANITO BRANCO LARG. 12 CM    </t>
  </si>
  <si>
    <t xml:space="preserve">REVESTIMENTO INTERNO - TETO    </t>
  </si>
  <si>
    <t xml:space="preserve">FORRO DE GESSO    </t>
  </si>
  <si>
    <t xml:space="preserve">JUNTA METÁLICA DE DILATAÇÃO    </t>
  </si>
  <si>
    <t xml:space="preserve">FORRO DE PVC BRANCO    </t>
  </si>
  <si>
    <t xml:space="preserve">FORRO MINERAL    </t>
  </si>
  <si>
    <t xml:space="preserve">REVESTIMENTO INTERNO - PISO, RODAPÉ E SOLEIRA    </t>
  </si>
  <si>
    <t xml:space="preserve">PISO EM CONCRETO FCK 25 MPa ESP. 10CM, COM ACABAMENTO POLIDO    </t>
  </si>
  <si>
    <t xml:space="preserve">PISO EM CONCRETO FCK 25 MPa ESP. 10CM, COM ACABAMENTO CAMURÇADO    </t>
  </si>
  <si>
    <t xml:space="preserve">CAMADA DE REGULARIZAÇÃO / CONTRAPISO E=3,0CM    </t>
  </si>
  <si>
    <t xml:space="preserve">ENCHIMENTO DE PISO COM CACO DE BLOCO SICAL    </t>
  </si>
  <si>
    <t xml:space="preserve">PISO CIMENTADO LISO    </t>
  </si>
  <si>
    <t xml:space="preserve">PISO ELEVADO TIPO CONCREFIT    </t>
  </si>
  <si>
    <t xml:space="preserve">CERÂMICA TIPO 6 - Piso    </t>
  </si>
  <si>
    <t xml:space="preserve">CERÂMICA TIPO 7 - Piso    </t>
  </si>
  <si>
    <t xml:space="preserve">CERÂMICA TIPO 8 - Piso    </t>
  </si>
  <si>
    <t xml:space="preserve">CERÂMICA TIPO 9 - Piso    </t>
  </si>
  <si>
    <t xml:space="preserve">CERÂMICA REF. GAIL - Piso    </t>
  </si>
  <si>
    <t xml:space="preserve">PORCELANATO TIPO 1 - Piso    </t>
  </si>
  <si>
    <t xml:space="preserve">PORCELANATO TIPO 2 - Piso    </t>
  </si>
  <si>
    <t xml:space="preserve">PORCELANATO TIPO 3 - Piso    </t>
  </si>
  <si>
    <t xml:space="preserve">PORCELANATO TIPO 4 - Piso    </t>
  </si>
  <si>
    <t xml:space="preserve">PORCELANATO TIPO 5 - Piso    </t>
  </si>
  <si>
    <t xml:space="preserve">PORCELANATO TIPO 6 - Piso    </t>
  </si>
  <si>
    <t xml:space="preserve">GRANITO TIPO 3 BRANCO - Piso    </t>
  </si>
  <si>
    <t xml:space="preserve">GRANITO TIPO 4 BRANCO - Piso    </t>
  </si>
  <si>
    <t xml:space="preserve">GRANITO TIPO 5 - Piso    </t>
  </si>
  <si>
    <t xml:space="preserve">GRANITO TIPO 6 - Piso    </t>
  </si>
  <si>
    <t xml:space="preserve">GRANITO TIPO 7 - Piso    </t>
  </si>
  <si>
    <t xml:space="preserve">GRANITO TIPO 8 - Piso    </t>
  </si>
  <si>
    <t xml:space="preserve">MÁRMORE TIPO 1 - Piso    </t>
  </si>
  <si>
    <t xml:space="preserve">RODAPÉ EM ARDÓSIA H = 10 CM - TIPO 1    </t>
  </si>
  <si>
    <t xml:space="preserve">RODAPÉ EM CERÂMICA H = 10CM - TIPO 1    </t>
  </si>
  <si>
    <t xml:space="preserve">RODAPÉ EM CERÂMICA H = 10CM - TIPO 2    </t>
  </si>
  <si>
    <t xml:space="preserve">RODAPÉ EM CERÂMICA H = 10CM - TIPO 3    </t>
  </si>
  <si>
    <t xml:space="preserve">RODAPÉ REF. GAIL    </t>
  </si>
  <si>
    <t xml:space="preserve">RODAPÉ EM GRANITO H = 10CM BRANCO - TIPO 1    </t>
  </si>
  <si>
    <t xml:space="preserve">RODAPÉ EM GRANITO H = 10CM - TIPO 2    </t>
  </si>
  <si>
    <t xml:space="preserve">RODAPÉ EM MÁRMORE H=10CM - TIPO 1    </t>
  </si>
  <si>
    <t xml:space="preserve">RODAPÉ EM PORCELANATO H = 10CM - TIPO 1    </t>
  </si>
  <si>
    <t xml:space="preserve">RODAPÉ EM PORCELANATO H = 10CM - TIPO 2    </t>
  </si>
  <si>
    <t xml:space="preserve">SOLEIRA EM GRANITO BRANCO LARG. = 10 CM    </t>
  </si>
  <si>
    <t xml:space="preserve">SOLEIRA EM GRANITO BRANCO LARG. = 15 CM    </t>
  </si>
  <si>
    <t xml:space="preserve">SOLEIRA EM GRANITO BRANCO LARG. = 20 CM    </t>
  </si>
  <si>
    <t xml:space="preserve">SOLEIRA EM MÁRMORE BRANCO LARG. 15CM    </t>
  </si>
  <si>
    <t xml:space="preserve">REVESTIMENTO INTERNO - BANCADAS E DIVISÓRIAS EM GRANITO    </t>
  </si>
  <si>
    <t xml:space="preserve">BANCADA EM GRANITO - TIPO 1    </t>
  </si>
  <si>
    <t xml:space="preserve">BANCADA EM GRANITO - TIPO 2    </t>
  </si>
  <si>
    <t xml:space="preserve">BANCADA EM GRANITO - TIPO 3    </t>
  </si>
  <si>
    <t xml:space="preserve">BANCADA EM GRANITO - TIPO 4    </t>
  </si>
  <si>
    <t xml:space="preserve">BANCADA DE MÁRMORE - TIPO 1    </t>
  </si>
  <si>
    <t xml:space="preserve">DIVISÓRIA EM GRANITO    </t>
  </si>
  <si>
    <t xml:space="preserve">PISO DE MADEIRA    </t>
  </si>
  <si>
    <t xml:space="preserve">LAMINADO DE MADEIRA DURAFLOOR, LINHA LIFE CARVALHO, INCLUSIVE RODAPÉ E ACESSÓRIOS    </t>
  </si>
  <si>
    <t xml:space="preserve">PISO VINÍLICO    </t>
  </si>
  <si>
    <t xml:space="preserve">DECK EM MADEIRA    </t>
  </si>
  <si>
    <t xml:space="preserve">REVESTIMENTO EXTERNO    </t>
  </si>
  <si>
    <t xml:space="preserve">CHAPISCO EXTERNO, INCLUSIVE LIMPEZA E CALAFETAÇÃO    </t>
  </si>
  <si>
    <t xml:space="preserve">CHAPISCO COLANTE EXTERNO, INCLUSIVE LIMPEZA E CALAFETAÇÃO    </t>
  </si>
  <si>
    <t xml:space="preserve">REBOCO EXTERNO + PONTO DE MASSA    </t>
  </si>
  <si>
    <t xml:space="preserve">EMBOÇO EXTERNO + PONTO DE MASSA    </t>
  </si>
  <si>
    <t xml:space="preserve">ENTELAMENTO DA ESTRUTURA    </t>
  </si>
  <si>
    <t xml:space="preserve">JUNTAS DE DILATAÇÃO    </t>
  </si>
  <si>
    <t xml:space="preserve">CERÂMICA FACHADA TIPO 1    </t>
  </si>
  <si>
    <t xml:space="preserve">CERÂMICA FACHADA TIPO 2    </t>
  </si>
  <si>
    <t xml:space="preserve">PORCELANATO FACHADA TIPO 1    </t>
  </si>
  <si>
    <t xml:space="preserve">GRANITO FACHADA - TIPO 1    </t>
  </si>
  <si>
    <t xml:space="preserve">MÁRMORE FACHADA TIPO 1    </t>
  </si>
  <si>
    <t xml:space="preserve">SISTEMA PELE DE VIDRO    </t>
  </si>
  <si>
    <t xml:space="preserve">ALUCOBOND    </t>
  </si>
  <si>
    <t xml:space="preserve">FACHADA AERADA    </t>
  </si>
  <si>
    <t xml:space="preserve">FACHADA AERADA COM ACABAMENTO EM GRANITO (VERGAS PARA FIXAÇÃO DOS INSERTS EM BLOCO CANALETA)    </t>
  </si>
  <si>
    <t xml:space="preserve">FACHADA AERADA COM ACABAMENTO EM GRANITO (VERGAS PARA FIXAÇÃO DOS INSERTS EXECUTADA COM GROUT)    </t>
  </si>
  <si>
    <t xml:space="preserve">TEXTURA ACRÍLICA    </t>
  </si>
  <si>
    <t xml:space="preserve">CHAPÉU DE MURO EM CONCRETO LARG. = 17 CM    </t>
  </si>
  <si>
    <t xml:space="preserve">CHAPÉU DE MURO EM CONCRETO LARG. = 23 CM    </t>
  </si>
  <si>
    <t xml:space="preserve">CHAPÉU DE MURO EM CONCRETO LARG. = 30 CM    </t>
  </si>
  <si>
    <t xml:space="preserve">PEITORIL EM GRANITO BRANCO LARG. = 15CM    </t>
  </si>
  <si>
    <t xml:space="preserve">PEITORIL EM GRANITO BRANCO LARG. 17 CM    </t>
  </si>
  <si>
    <t xml:space="preserve">PEITORIL EM GRANITO BRANCO LARG. = 22CM    </t>
  </si>
  <si>
    <t xml:space="preserve">PEITORIL EM GRANITO LARG. = 42 CM (AC3 CINZA)    </t>
  </si>
  <si>
    <t xml:space="preserve">PEITORIL DE MÁRMORE BRANCO LARG. 22CM    </t>
  </si>
  <si>
    <t xml:space="preserve">PROTEÇÃO DE PISOS    </t>
  </si>
  <si>
    <t xml:space="preserve">PROTEÇÃO DE PISOS COM PLÁSTICO BOLHA E PAPELÃO    </t>
  </si>
  <si>
    <t xml:space="preserve">IMPERMEABILIZAÇÃO E COBERTURA    </t>
  </si>
  <si>
    <t xml:space="preserve">IMPERMEABILIZAÇÃO    </t>
  </si>
  <si>
    <t xml:space="preserve">IMPERMEABILIZAÇÃO DE ÁREAS MOLHADAS COM VIAPLUS 1000    </t>
  </si>
  <si>
    <t xml:space="preserve">IMPERMEABILIZAÇÃO DE LAJE PLANA COM MANTA ASFÁLTICA 4 MM INCLUSIVE CAMADA DE REGULARIZAÇÃO E PROTEÇÃO MECÂNICA    </t>
  </si>
  <si>
    <t xml:space="preserve">IMPERMEABILIZAÇÃO DE LAJE PLANA COM MANTA ASFÁLTICA 4 MM INCLUSIVE PROTEÇÃO MECÂNICA    </t>
  </si>
  <si>
    <t xml:space="preserve">IMPERMEABILIZAÇÃO DE JARDINEIRAS COM MANTA ANTI RAIZ 3 MM INCLUSIVE CAMADA DE REGULARIZAÇÃO E PROTEÇÃO MECÂNICA    </t>
  </si>
  <si>
    <t xml:space="preserve">COBERTURA    </t>
  </si>
  <si>
    <t xml:space="preserve">COBERTURA METÁLICA - ESTRUTURA E TELHAMENTO    </t>
  </si>
  <si>
    <t xml:space="preserve">ESTRUTURA EM MADEIRA PARA COBERTURA    </t>
  </si>
  <si>
    <t xml:space="preserve">TELHA EM FIBROCIMENTO - mo empreiteiro da estrutura cobertura    </t>
  </si>
  <si>
    <t xml:space="preserve">CALHA EM CHAPA METÁLICA - mo empreiteiro da estrutura cobertura    </t>
  </si>
  <si>
    <t xml:space="preserve">RUFO METÁLICO - mo empreiteiro da estrutura cobertura    </t>
  </si>
  <si>
    <t xml:space="preserve">VIDROS    </t>
  </si>
  <si>
    <t xml:space="preserve">VT01    </t>
  </si>
  <si>
    <t xml:space="preserve">VT02    </t>
  </si>
  <si>
    <t xml:space="preserve">VT03    </t>
  </si>
  <si>
    <t xml:space="preserve">VT04    </t>
  </si>
  <si>
    <t xml:space="preserve">VT05    </t>
  </si>
  <si>
    <t xml:space="preserve">VT06    </t>
  </si>
  <si>
    <t xml:space="preserve">VT07    </t>
  </si>
  <si>
    <t xml:space="preserve">VT08    </t>
  </si>
  <si>
    <t xml:space="preserve">VT09    </t>
  </si>
  <si>
    <t xml:space="preserve">VT10    </t>
  </si>
  <si>
    <t xml:space="preserve">VT11    </t>
  </si>
  <si>
    <t xml:space="preserve">VT12    </t>
  </si>
  <si>
    <t xml:space="preserve">VT13    </t>
  </si>
  <si>
    <t xml:space="preserve">VT14    </t>
  </si>
  <si>
    <t xml:space="preserve">VT15    </t>
  </si>
  <si>
    <t xml:space="preserve">PINTURA    </t>
  </si>
  <si>
    <t xml:space="preserve">PINTURA ACRÍLICA COM EMASSAMENTO    </t>
  </si>
  <si>
    <t xml:space="preserve">PINTURA ACRÍLICA SEM EMASSAMENTO    </t>
  </si>
  <si>
    <t xml:space="preserve">PINTURA ACRÍLICA COM EMASSAMENTO SOBRE GESSO CORRIDO (1/2 MASSA)    </t>
  </si>
  <si>
    <t xml:space="preserve">PINTURA LÁTEX COM EMASSAMENTO    </t>
  </si>
  <si>
    <t xml:space="preserve">PINTURA LÁTEX SEM EMASSAMENTO    </t>
  </si>
  <si>
    <t xml:space="preserve">TEXTURA ACRÍLICA TIPO 1    </t>
  </si>
  <si>
    <t xml:space="preserve">TEXTURA ACRÍLICA TIPO 2    </t>
  </si>
  <si>
    <t xml:space="preserve">TEXTURA TIPO GRAFFIATTO    </t>
  </si>
  <si>
    <t xml:space="preserve">TRATAMENTO DE CONCRETO APARENTE    </t>
  </si>
  <si>
    <t xml:space="preserve">PINTURA ESMALTE SOBRE CORRIMÃO METÁLICO    </t>
  </si>
  <si>
    <t xml:space="preserve">PINTURA ESMALTE SOBRE ESQUADRIAS METÁLICAS    </t>
  </si>
  <si>
    <t xml:space="preserve">DEMARCAÇÃO DE VAGAS DE GARAGEM    </t>
  </si>
  <si>
    <t xml:space="preserve">DEMARCAÇÃO DE VAGAS PARA PNE    </t>
  </si>
  <si>
    <t xml:space="preserve">NUMERAÇÃO DE VAGAS DE GARAGEM    </t>
  </si>
  <si>
    <t xml:space="preserve">FAIXA MARCAÇÃO PAREDE GARAGEM COR AMARELA - H=15CM    </t>
  </si>
  <si>
    <t xml:space="preserve">FAIXA MARCAÇÃO PAREDE GARAGEM COR PRETA - H=90CM    </t>
  </si>
  <si>
    <t xml:space="preserve">PINTURA PARA TUBULAÇÃO APARENTE DAS GARAGENS - estimativa    </t>
  </si>
  <si>
    <t xml:space="preserve">PINTURA NOVACOR EM PISO - ESCADA    </t>
  </si>
  <si>
    <t xml:space="preserve">PINTURA SOB PELE DE VIDRO    </t>
  </si>
  <si>
    <t xml:space="preserve">INSTALAÇÃO HIDRÁULICA  - Estimativa    </t>
  </si>
  <si>
    <t xml:space="preserve">INSTALAÇÕES HIDRO-SANITÁRIAS - material - estimado    </t>
  </si>
  <si>
    <t xml:space="preserve">INSTALAÇÕES HIDRO-SANITÁRIAS - mão de obra - estimado    </t>
  </si>
  <si>
    <t xml:space="preserve">LOUÇAS E METAIS SANITÁRIOS  </t>
  </si>
  <si>
    <t xml:space="preserve">BACIA COM CAIXA ACOPLADA TIPO 01    </t>
  </si>
  <si>
    <t xml:space="preserve">BACIA COM CAIXA ACOPLADA TIPO 02    </t>
  </si>
  <si>
    <t xml:space="preserve">BACIA COM CAIXA ACOPLADA TIPO 03    </t>
  </si>
  <si>
    <t xml:space="preserve">BACIA CONVENCIONAL TIPO 01 COM VÁLVULA DE DESCARGA TIPO 01    </t>
  </si>
  <si>
    <t xml:space="preserve">BACIA CONVENCIONAL TIPO 02 COM VÁLVULA DE DESCARGA TIPO 01    </t>
  </si>
  <si>
    <t xml:space="preserve">BACIA CONVENCIONAL TIPO 03 COM VÁLVULA DE DESCARGA TIPO 02    </t>
  </si>
  <si>
    <t xml:space="preserve">BACIA COM CAIXA MONTANA PARA PNE TIPO 01    </t>
  </si>
  <si>
    <t xml:space="preserve">BACIA COM CAIXA MONTANA PARA PNE TIPO 02    </t>
  </si>
  <si>
    <t xml:space="preserve">MICTÓRIO EM LOUÇA COM SIFÃO INTEGRADO TIPO 01    </t>
  </si>
  <si>
    <t xml:space="preserve">MICTÓRIO DE LOUÇA COM SIFÃO INTEGRADO TIPO 02 (c/ cj de instalação p/ mictório)    </t>
  </si>
  <si>
    <t xml:space="preserve">CUBA EM AÇO INOX TIPO 01    </t>
  </si>
  <si>
    <t xml:space="preserve">CUBA EM AÇO INOX TIPO 02    </t>
  </si>
  <si>
    <t xml:space="preserve">CUBA EM AÇO INOX TIPO 03    </t>
  </si>
  <si>
    <t xml:space="preserve">CUBA EM LOUÇA DE EMBUTIR TIPO 01    </t>
  </si>
  <si>
    <t xml:space="preserve">CUBA EM LOUÇA DE EMBUTIR TIPO 02    </t>
  </si>
  <si>
    <t xml:space="preserve">CUBA EM LOUÇA DE EMBUTIR TIPO 03    </t>
  </si>
  <si>
    <t xml:space="preserve">CUBA EM LOUÇA DE SOBREPOR TIPO 01    </t>
  </si>
  <si>
    <t xml:space="preserve">CUBA EM LOUÇA DE SOBREPOR TIPO 02    </t>
  </si>
  <si>
    <t xml:space="preserve">CUBA EM LOUÇA DE SOBREPOR TIPO 03    </t>
  </si>
  <si>
    <t xml:space="preserve">LAVATÓRIO EM LOUÇA COM OU SEM COLUNA TIPO 01    </t>
  </si>
  <si>
    <t xml:space="preserve">LAVATÓRIO EM LOUÇA COM OU SEM COLUNA TIPO 02    </t>
  </si>
  <si>
    <t xml:space="preserve">LAVATÓRIO EM LOUÇA COM OU SEM COLUNA TIPO 03    </t>
  </si>
  <si>
    <t xml:space="preserve">TANQUE EM LOUÇA COM OU SEM COLUNA TIPO 01    </t>
  </si>
  <si>
    <t xml:space="preserve">TANQUE EM LOUÇA COM OU SEM COLUNA TIPO 02    </t>
  </si>
  <si>
    <t xml:space="preserve">TANQUE EM LOUÇA COM OU SEM COLUNA TIPO 03    </t>
  </si>
  <si>
    <t xml:space="preserve">TORNEIRA DE BANHEIRO TIPO 01    </t>
  </si>
  <si>
    <t xml:space="preserve">TORNEIRA DE BANHEIRO TIPO 02    </t>
  </si>
  <si>
    <t xml:space="preserve">TORNEIRA DE BANHEIRO TIPO 03    </t>
  </si>
  <si>
    <t xml:space="preserve">TORNEIRA DE BANHEIRO TIPO 04    </t>
  </si>
  <si>
    <t xml:space="preserve">TORNEIRA DE BANHEIRO TIPO 05    </t>
  </si>
  <si>
    <t xml:space="preserve">TORNEIRA DE COZINHA TIPO 01    </t>
  </si>
  <si>
    <t xml:space="preserve">TORNEIRA DE COZINHA TIPO 02    </t>
  </si>
  <si>
    <t xml:space="preserve">TORNEIRA DE COZINHA TIPO 03    </t>
  </si>
  <si>
    <t xml:space="preserve">TORNEIRA DE COZINHA TIPO 04    </t>
  </si>
  <si>
    <t xml:space="preserve">TORNEIRA DE COZINHA TIPO 05    </t>
  </si>
  <si>
    <t xml:space="preserve">ACABAMENTO TIPO 01    </t>
  </si>
  <si>
    <t xml:space="preserve">ACABAMENTO TIPO 02    </t>
  </si>
  <si>
    <t xml:space="preserve">ACABAMENTO TIPO 03    </t>
  </si>
  <si>
    <t xml:space="preserve">BARRA DE APOIO PNE 01    </t>
  </si>
  <si>
    <t xml:space="preserve">BARRA DE APOIO PNE 02    </t>
  </si>
  <si>
    <t xml:space="preserve">INSTALAÇÃO ELÉTRICA E TELEFÔNICA - Estimativa    </t>
  </si>
  <si>
    <t xml:space="preserve">INSTALAÇÕES ELÉTRICA E TELEFÔNICA - material - estimado    </t>
  </si>
  <si>
    <t xml:space="preserve">INSTALAÇÕES ELÉTRICA E TELEFÔNICA - mão de obra - estimado    </t>
  </si>
  <si>
    <t xml:space="preserve">INSTALAÇÃO DE LUMINÁRIAS - material    </t>
  </si>
  <si>
    <t xml:space="preserve">SPDA - Estimativa    </t>
  </si>
  <si>
    <t xml:space="preserve">INSTALAÇÃO SPDA - estimado    </t>
  </si>
  <si>
    <t xml:space="preserve">INSTALAÇÃO DE PREVENÇÃO E COMBATE A INCÊNDIO - Estimativa    </t>
  </si>
  <si>
    <t xml:space="preserve">INSTALAÇÃO DE PREVENÇÃO E COMBATE A INCÊNDIO - material e mão de obra - estimado    </t>
  </si>
  <si>
    <t xml:space="preserve">INSTALAÇÃO DE PREVENÇÃO E COMBATE A INCÊNDIO - SPRINKLERS - estimado    </t>
  </si>
  <si>
    <t xml:space="preserve">INSTALAÇÃO DE GÁS - Estimativa    </t>
  </si>
  <si>
    <t xml:space="preserve">INSTALAÇÕES DE GÁS CANALIZADO - Estimativa    </t>
  </si>
  <si>
    <t xml:space="preserve">INSTALAÇÕES DIVERSAS    </t>
  </si>
  <si>
    <t xml:space="preserve">ELEVADORES    </t>
  </si>
  <si>
    <t xml:space="preserve">INSTALAÇÃO DE GRUPO GERADOR - material e mão de obra    </t>
  </si>
  <si>
    <t xml:space="preserve">INSTALAÇÃO SUBESTAÇÃO - material e mão de obra    </t>
  </si>
  <si>
    <t xml:space="preserve">AR CONDICIONADO - INFRAESTRUTURA    </t>
  </si>
  <si>
    <t xml:space="preserve">SISTEMA DE EXAUSTÃO    </t>
  </si>
  <si>
    <t xml:space="preserve">SISTEMA DE AQUECIMENTO SOLAR    </t>
  </si>
  <si>
    <t xml:space="preserve">SISTEMA DE ANTENA COLETIVA    </t>
  </si>
  <si>
    <t xml:space="preserve">INTERFONE E AUTOMAÇÃO PORTÃO DE GARAGEM    </t>
  </si>
  <si>
    <t xml:space="preserve">CATRACA PARA ENTRADA DE VEÍCULOS    </t>
  </si>
  <si>
    <t xml:space="preserve">EQUIPAMENTOS PARA PISCINAS    </t>
  </si>
  <si>
    <t xml:space="preserve">EQUIPAMENTOS PARA SAUNA    </t>
  </si>
  <si>
    <t xml:space="preserve">FOSSA SÉPTICA    </t>
  </si>
  <si>
    <t xml:space="preserve">SISTEMA DRENAGEM    </t>
  </si>
  <si>
    <t xml:space="preserve">SISTEMA DE PRESSURIZAÇÃO ESCADA DE INCÊNDIO    </t>
  </si>
  <si>
    <t xml:space="preserve">DIVERSOS    </t>
  </si>
  <si>
    <t xml:space="preserve">NUMERAÇÃO DE APARTAMENTOS / PLACAS / ÁREA COMUM / NOME E NÚMERO DO PRÉDIO    </t>
  </si>
  <si>
    <t xml:space="preserve">CHURRASQUEIRA    </t>
  </si>
  <si>
    <t xml:space="preserve">QUADRA POLIESPORTIVA    </t>
  </si>
  <si>
    <t xml:space="preserve">PAISAGISMO    </t>
  </si>
  <si>
    <t xml:space="preserve">PREPARAÇÃO PARA PAISAGISMO SOBRE LAJE    </t>
  </si>
  <si>
    <t xml:space="preserve">PLANTIO DE JARDINEIRAS SOBRE TERRENO    </t>
  </si>
  <si>
    <t xml:space="preserve">PAVIMENTAÇÃO EXTERNA    </t>
  </si>
  <si>
    <t xml:space="preserve">DEMOLIÇÃO DE PASSEIO EXISTENTE    </t>
  </si>
  <si>
    <t xml:space="preserve">CAMADA DE REGULARIZAÇÃO / CONTRAPISO    </t>
  </si>
  <si>
    <t xml:space="preserve">MEIO FIO PRÉ MOLDADO DE CONCRETO    </t>
  </si>
  <si>
    <t xml:space="preserve">PASSEIO EM LADRILHO HIDRÁULICO    </t>
  </si>
  <si>
    <t xml:space="preserve">CALÇADA PORTUGUESA    </t>
  </si>
  <si>
    <t xml:space="preserve">CALÇADA PORTUGUESA ASSENTADA COM ARGAMASSA    </t>
  </si>
  <si>
    <t xml:space="preserve">CALÇAMENTO EM PEDRA TIPO PARALELEPÍPEDO    </t>
  </si>
  <si>
    <t xml:space="preserve">PISO TÁTIL TIPO ALERTA - LADRILHO    </t>
  </si>
  <si>
    <t xml:space="preserve">PAVIMENTAÇÃO EM BRITA    </t>
  </si>
  <si>
    <t xml:space="preserve">PISO EM GRANILITE RÚSTICO IMPERMEABILIZADO    </t>
  </si>
  <si>
    <t xml:space="preserve">PAVIMENTAÇÃO ASFÁLTICA    </t>
  </si>
  <si>
    <t xml:space="preserve">FECHAMENTOS    </t>
  </si>
  <si>
    <t xml:space="preserve">CERCAMENTO EM TELA - H=250CM, INCLUSIVE CINTA DE FUNDAÇÃO    </t>
  </si>
  <si>
    <t xml:space="preserve">LIMPEZA    </t>
  </si>
  <si>
    <t xml:space="preserve">LIMPEZA FINAL    </t>
  </si>
  <si>
    <t xml:space="preserve">LIMPEZA DA FACHADA    </t>
  </si>
  <si>
    <t>TT1</t>
  </si>
  <si>
    <t>TT2</t>
  </si>
  <si>
    <t xml:space="preserve">OBRA: </t>
  </si>
  <si>
    <t xml:space="preserve">LOCAL: </t>
  </si>
  <si>
    <t>PEITORIL</t>
  </si>
  <si>
    <t>DADOS PRIMARIOS</t>
  </si>
  <si>
    <t>DESC PAR</t>
  </si>
  <si>
    <t>DESC ROD</t>
  </si>
  <si>
    <t>PB1</t>
  </si>
  <si>
    <t>DESCONTO / ACRESCIMO</t>
  </si>
  <si>
    <t>PORTAS</t>
  </si>
  <si>
    <t>JANELAS</t>
  </si>
  <si>
    <t>PEÇA</t>
  </si>
  <si>
    <t>QUANT</t>
  </si>
  <si>
    <t>RT1</t>
  </si>
  <si>
    <t>RT2</t>
  </si>
  <si>
    <t>RT3</t>
  </si>
  <si>
    <t>RT4</t>
  </si>
  <si>
    <t>P4</t>
  </si>
  <si>
    <t>Camada de regularização / contrapiso e=3,0cm</t>
  </si>
  <si>
    <t>AREA COMUM</t>
  </si>
  <si>
    <t>chapisco interno em tetos</t>
  </si>
  <si>
    <t>Emboço interno em tetos</t>
  </si>
  <si>
    <t>Reboco interno em tetos</t>
  </si>
  <si>
    <t>PRATELEIRA</t>
  </si>
  <si>
    <t>j01</t>
  </si>
  <si>
    <t>PLANILHA RESUMO: ESQUADRIAS</t>
  </si>
  <si>
    <t>Data:</t>
  </si>
  <si>
    <t>Levantado por:</t>
  </si>
  <si>
    <t>ESQUADRIAS DE MADEIRA</t>
  </si>
  <si>
    <t>Esquadria</t>
  </si>
  <si>
    <t>Largura</t>
  </si>
  <si>
    <t>Altura</t>
  </si>
  <si>
    <t>DESCONTO</t>
  </si>
  <si>
    <t>1º PAVTO</t>
  </si>
  <si>
    <t>ESQUADRIAS DE ALUMÍNIO</t>
  </si>
  <si>
    <t>ESQUADRIAS METÁLICAS</t>
  </si>
  <si>
    <t>VIDROS TEMPERADOS</t>
  </si>
  <si>
    <t>2º PAVTO</t>
  </si>
  <si>
    <t>Chapisco interno</t>
  </si>
  <si>
    <t>Emboço interno + ponto de masssa</t>
  </si>
  <si>
    <t>Reboco interno + ponto de masssa</t>
  </si>
  <si>
    <t>PAVIMENTO TÉRREO</t>
  </si>
  <si>
    <t>Gesso Corrido</t>
  </si>
  <si>
    <t>Gesso corrido mestrado parede</t>
  </si>
  <si>
    <t>Impermeabilização de piso com manta asfáltica aluminizada 3mm</t>
  </si>
  <si>
    <t>impermeabilização da laje com manta asfáltica aluminizada - Vestiários</t>
  </si>
  <si>
    <t xml:space="preserve">PREDIO DE APOIO </t>
  </si>
  <si>
    <t xml:space="preserve">BANCO </t>
  </si>
  <si>
    <t xml:space="preserve">BC1 </t>
  </si>
  <si>
    <t xml:space="preserve">area total de piso </t>
  </si>
  <si>
    <t>R4</t>
  </si>
  <si>
    <t>R8</t>
  </si>
  <si>
    <t>R9</t>
  </si>
  <si>
    <t>R11</t>
  </si>
  <si>
    <t>R12</t>
  </si>
  <si>
    <t>R13</t>
  </si>
  <si>
    <t>R14</t>
  </si>
  <si>
    <t>R15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</si>
  <si>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</si>
  <si>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</si>
  <si>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</si>
  <si>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</si>
  <si>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</si>
  <si>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</si>
  <si>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</si>
  <si>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</si>
  <si>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</si>
  <si>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</si>
  <si>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</si>
  <si>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RP4</t>
  </si>
  <si>
    <t>RP5</t>
  </si>
  <si>
    <t>RP6</t>
  </si>
  <si>
    <t>RP7</t>
  </si>
  <si>
    <t>RP8</t>
  </si>
  <si>
    <t>RP9</t>
  </si>
  <si>
    <t>RP10</t>
  </si>
  <si>
    <t>RP11</t>
  </si>
  <si>
    <t>RP12</t>
  </si>
  <si>
    <t>RP13</t>
  </si>
  <si>
    <t>RP14</t>
  </si>
  <si>
    <t>PT6</t>
  </si>
  <si>
    <t>PT7</t>
  </si>
  <si>
    <t>3º PAVTO</t>
  </si>
  <si>
    <t>4º PAVTO</t>
  </si>
  <si>
    <t>5º PAVTO</t>
  </si>
  <si>
    <t>6º PAVTO</t>
  </si>
  <si>
    <t>7º PAVTO</t>
  </si>
  <si>
    <t>8º PAVTO</t>
  </si>
  <si>
    <t>9º PAVTO</t>
  </si>
  <si>
    <t>10º PAVTO</t>
  </si>
  <si>
    <t>11º PAVTO</t>
  </si>
  <si>
    <t>M10</t>
  </si>
  <si>
    <t>M11</t>
  </si>
  <si>
    <t>M12</t>
  </si>
  <si>
    <t>M13</t>
  </si>
  <si>
    <t>M14</t>
  </si>
  <si>
    <t>M15</t>
  </si>
  <si>
    <t>M16</t>
  </si>
  <si>
    <r>
      <t>LOCAL:</t>
    </r>
    <r>
      <rPr>
        <sz val="7"/>
        <rFont val="Calibri"/>
        <family val="2"/>
        <scheme val="minor"/>
      </rPr>
      <t xml:space="preserve"> </t>
    </r>
  </si>
  <si>
    <t>RB6</t>
  </si>
  <si>
    <t>RB7</t>
  </si>
  <si>
    <t>TT3</t>
  </si>
  <si>
    <t>TT4</t>
  </si>
  <si>
    <t>TT5</t>
  </si>
  <si>
    <t>TT6</t>
  </si>
  <si>
    <t>TT7</t>
  </si>
  <si>
    <t>BC2</t>
  </si>
  <si>
    <t>BC3</t>
  </si>
  <si>
    <t>BC4</t>
  </si>
  <si>
    <t>DIVISÓRIA</t>
  </si>
  <si>
    <t>REVESTIMENTO</t>
  </si>
  <si>
    <t>P01</t>
  </si>
  <si>
    <t>DIVERSOS</t>
  </si>
  <si>
    <t>IE0009</t>
  </si>
  <si>
    <t>IE0203</t>
  </si>
  <si>
    <t>IE0301</t>
  </si>
  <si>
    <t>IE0303</t>
  </si>
  <si>
    <t>IE1030</t>
  </si>
  <si>
    <t>IE1204</t>
  </si>
  <si>
    <t>IE1608</t>
  </si>
  <si>
    <t>IE1801</t>
  </si>
  <si>
    <t>IE1902</t>
  </si>
  <si>
    <t>IE1903</t>
  </si>
  <si>
    <t>IE1904</t>
  </si>
  <si>
    <t>IE1906</t>
  </si>
  <si>
    <t>IE1907</t>
  </si>
  <si>
    <t>IE2226</t>
  </si>
  <si>
    <t>IE2227</t>
  </si>
  <si>
    <t>IE2228</t>
  </si>
  <si>
    <t>IE2229</t>
  </si>
  <si>
    <t>IE2233</t>
  </si>
  <si>
    <t>IE2235</t>
  </si>
  <si>
    <t>IE2247</t>
  </si>
  <si>
    <t>IE2248</t>
  </si>
  <si>
    <t>IE2250</t>
  </si>
  <si>
    <t>IE2254</t>
  </si>
  <si>
    <t>IE2255</t>
  </si>
  <si>
    <t>IE2256</t>
  </si>
  <si>
    <t>IE2257</t>
  </si>
  <si>
    <t>IE2258</t>
  </si>
  <si>
    <t>IE2260</t>
  </si>
  <si>
    <t>IE2261</t>
  </si>
  <si>
    <t>IE2262</t>
  </si>
  <si>
    <t>IE2263</t>
  </si>
  <si>
    <t>IE2264</t>
  </si>
  <si>
    <t>IE2265</t>
  </si>
  <si>
    <t>IE2266</t>
  </si>
  <si>
    <t>IE2267</t>
  </si>
  <si>
    <t>IE2271</t>
  </si>
  <si>
    <t>IE2292</t>
  </si>
  <si>
    <t>IE2305</t>
  </si>
  <si>
    <t>IE2356</t>
  </si>
  <si>
    <t>IE2357</t>
  </si>
  <si>
    <t>IE2358</t>
  </si>
  <si>
    <t>IE2362</t>
  </si>
  <si>
    <t>IE2363</t>
  </si>
  <si>
    <t>IE2364</t>
  </si>
  <si>
    <t>IE2365</t>
  </si>
  <si>
    <t>IE2367</t>
  </si>
  <si>
    <t>IE2370</t>
  </si>
  <si>
    <t>IE2371</t>
  </si>
  <si>
    <t>IE2372</t>
  </si>
  <si>
    <t>IE2373</t>
  </si>
  <si>
    <t>IE2374</t>
  </si>
  <si>
    <t>IE2375</t>
  </si>
  <si>
    <t>IE2378</t>
  </si>
  <si>
    <t>IE2501</t>
  </si>
  <si>
    <t>IE2503</t>
  </si>
  <si>
    <t>IE2504</t>
  </si>
  <si>
    <t>IE2505</t>
  </si>
  <si>
    <t>IE3003</t>
  </si>
  <si>
    <t>IE3004</t>
  </si>
  <si>
    <t>IE3005</t>
  </si>
  <si>
    <t>IE3006</t>
  </si>
  <si>
    <t>IE3007</t>
  </si>
  <si>
    <t>IE3008</t>
  </si>
  <si>
    <t>IE3009</t>
  </si>
  <si>
    <t>IE3011</t>
  </si>
  <si>
    <t>IE3012</t>
  </si>
  <si>
    <t>IE3503</t>
  </si>
  <si>
    <t>IE5802</t>
  </si>
  <si>
    <t>IE7701</t>
  </si>
  <si>
    <t>IH0002</t>
  </si>
  <si>
    <t>IH0003</t>
  </si>
  <si>
    <t>IH0004</t>
  </si>
  <si>
    <t>IH0024</t>
  </si>
  <si>
    <t>IH0026</t>
  </si>
  <si>
    <t>IH0101</t>
  </si>
  <si>
    <t>IH0102</t>
  </si>
  <si>
    <t>IH0104</t>
  </si>
  <si>
    <t>IH0108</t>
  </si>
  <si>
    <t>IH0114</t>
  </si>
  <si>
    <t>IH0201</t>
  </si>
  <si>
    <t>IH0202</t>
  </si>
  <si>
    <t>IH0203</t>
  </si>
  <si>
    <t>IH0204</t>
  </si>
  <si>
    <t>IH0301</t>
  </si>
  <si>
    <t>IH0302</t>
  </si>
  <si>
    <t>IH1601</t>
  </si>
  <si>
    <t>IH1602</t>
  </si>
  <si>
    <t>IH1801</t>
  </si>
  <si>
    <t>IH1802</t>
  </si>
  <si>
    <t>IH1803</t>
  </si>
  <si>
    <t>IH1804</t>
  </si>
  <si>
    <t>IH1901</t>
  </si>
  <si>
    <t>IH1902</t>
  </si>
  <si>
    <t>IH1905</t>
  </si>
  <si>
    <t>IH1906</t>
  </si>
  <si>
    <t>IH1907</t>
  </si>
  <si>
    <t>IH2006</t>
  </si>
  <si>
    <t>IH2011</t>
  </si>
  <si>
    <t>IH2012</t>
  </si>
  <si>
    <t>IH2019</t>
  </si>
  <si>
    <t>IH2020</t>
  </si>
  <si>
    <t>IH2023</t>
  </si>
  <si>
    <t>IH2024</t>
  </si>
  <si>
    <t>IH2025</t>
  </si>
  <si>
    <t>IH2026</t>
  </si>
  <si>
    <t>IH2027</t>
  </si>
  <si>
    <t>IH2028</t>
  </si>
  <si>
    <t>IH2032</t>
  </si>
  <si>
    <t>IH2033</t>
  </si>
  <si>
    <t>IH2041</t>
  </si>
  <si>
    <t>IH2042</t>
  </si>
  <si>
    <t>IH2044</t>
  </si>
  <si>
    <t>IH2045</t>
  </si>
  <si>
    <t>IH2046</t>
  </si>
  <si>
    <t>IH2050</t>
  </si>
  <si>
    <t>IH9000</t>
  </si>
  <si>
    <t>IH9001</t>
  </si>
  <si>
    <t>IH9002</t>
  </si>
  <si>
    <t>IH9003</t>
  </si>
  <si>
    <t>IH9004</t>
  </si>
  <si>
    <t>IH9005</t>
  </si>
  <si>
    <t>IH9006</t>
  </si>
  <si>
    <t>IH9007</t>
  </si>
  <si>
    <t>IH9008</t>
  </si>
  <si>
    <t>IH9009</t>
  </si>
  <si>
    <t>IH9010</t>
  </si>
  <si>
    <t>IH9011</t>
  </si>
  <si>
    <t>IH9015</t>
  </si>
  <si>
    <t>IH9016</t>
  </si>
  <si>
    <t>IH9017</t>
  </si>
  <si>
    <t>IH9020</t>
  </si>
  <si>
    <t>IH9028</t>
  </si>
  <si>
    <t>IH9029</t>
  </si>
  <si>
    <t>IM0000</t>
  </si>
  <si>
    <t>IM0001</t>
  </si>
  <si>
    <t>IM0002</t>
  </si>
  <si>
    <t>IM0003</t>
  </si>
  <si>
    <t>IM0004</t>
  </si>
  <si>
    <t>IM0005</t>
  </si>
  <si>
    <t>IM0006</t>
  </si>
  <si>
    <t>IM0007</t>
  </si>
  <si>
    <t>IM0008</t>
  </si>
  <si>
    <t>IM0009</t>
  </si>
  <si>
    <t>IM0010</t>
  </si>
  <si>
    <t>IM0012</t>
  </si>
  <si>
    <t>IM0015</t>
  </si>
  <si>
    <t>IM0016</t>
  </si>
  <si>
    <t>IM0017</t>
  </si>
  <si>
    <t>IM0020</t>
  </si>
  <si>
    <t>IM0021</t>
  </si>
  <si>
    <t>IM0035</t>
  </si>
  <si>
    <t>IM0036</t>
  </si>
  <si>
    <t>IM0102</t>
  </si>
  <si>
    <t>IM0110</t>
  </si>
  <si>
    <t>IM0112</t>
  </si>
  <si>
    <t>IM0116</t>
  </si>
  <si>
    <t>IM0117</t>
  </si>
  <si>
    <t>IM0129</t>
  </si>
  <si>
    <t>IM0132</t>
  </si>
  <si>
    <t>IM0143</t>
  </si>
  <si>
    <t>IM0153</t>
  </si>
  <si>
    <t>IM0157</t>
  </si>
  <si>
    <t>IM0158</t>
  </si>
  <si>
    <t>IM0159</t>
  </si>
  <si>
    <t>IM0160</t>
  </si>
  <si>
    <t>IM0161</t>
  </si>
  <si>
    <t>IM0163</t>
  </si>
  <si>
    <t>IM0165</t>
  </si>
  <si>
    <t>IM0177</t>
  </si>
  <si>
    <t>IM0185</t>
  </si>
  <si>
    <t>IM0201</t>
  </si>
  <si>
    <t>IM0219</t>
  </si>
  <si>
    <t>IM0237</t>
  </si>
  <si>
    <t>IM0240</t>
  </si>
  <si>
    <t>IM0241</t>
  </si>
  <si>
    <t>IM0304</t>
  </si>
  <si>
    <t>IM0305</t>
  </si>
  <si>
    <t>IM0322</t>
  </si>
  <si>
    <t>IM0353</t>
  </si>
  <si>
    <t>IM0355</t>
  </si>
  <si>
    <t>IM0391</t>
  </si>
  <si>
    <t>IM0392</t>
  </si>
  <si>
    <t>IM0393</t>
  </si>
  <si>
    <t>IM0394</t>
  </si>
  <si>
    <t>IM0406</t>
  </si>
  <si>
    <t>IM0410</t>
  </si>
  <si>
    <t>IM0419</t>
  </si>
  <si>
    <t>IM0429</t>
  </si>
  <si>
    <t>IM0430</t>
  </si>
  <si>
    <t>IM0445</t>
  </si>
  <si>
    <t>IM0449</t>
  </si>
  <si>
    <t>IM0469</t>
  </si>
  <si>
    <t>IM0476</t>
  </si>
  <si>
    <t>IM0504</t>
  </si>
  <si>
    <t>IM0507</t>
  </si>
  <si>
    <t>IM0508</t>
  </si>
  <si>
    <t>IM0540</t>
  </si>
  <si>
    <t>IM0603</t>
  </si>
  <si>
    <t>IM0625</t>
  </si>
  <si>
    <t>IM0701</t>
  </si>
  <si>
    <t>IM0721</t>
  </si>
  <si>
    <t>IM0732</t>
  </si>
  <si>
    <t>IM0809</t>
  </si>
  <si>
    <t>IM0842</t>
  </si>
  <si>
    <t>IM0856</t>
  </si>
  <si>
    <t>IM0901</t>
  </si>
  <si>
    <t>IM0903</t>
  </si>
  <si>
    <t>IM0904</t>
  </si>
  <si>
    <t>IM0918</t>
  </si>
  <si>
    <t>IM0924</t>
  </si>
  <si>
    <t>IM0925</t>
  </si>
  <si>
    <t>IM0926</t>
  </si>
  <si>
    <t>IM0927</t>
  </si>
  <si>
    <t>IM0929</t>
  </si>
  <si>
    <t>IM0930</t>
  </si>
  <si>
    <t>IM1214</t>
  </si>
  <si>
    <t>IM1215</t>
  </si>
  <si>
    <t>IM1316</t>
  </si>
  <si>
    <t>IM1322</t>
  </si>
  <si>
    <t>IM1327</t>
  </si>
  <si>
    <t>IM1362</t>
  </si>
  <si>
    <t>IM1426</t>
  </si>
  <si>
    <t>IM1430</t>
  </si>
  <si>
    <t>IM1438</t>
  </si>
  <si>
    <t>IM1439</t>
  </si>
  <si>
    <t>IM1460</t>
  </si>
  <si>
    <t>IM1466</t>
  </si>
  <si>
    <t>IM1467</t>
  </si>
  <si>
    <t>IM1470</t>
  </si>
  <si>
    <t>IM1472</t>
  </si>
  <si>
    <t>IM1590</t>
  </si>
  <si>
    <t>IM1591</t>
  </si>
  <si>
    <t>IM1592</t>
  </si>
  <si>
    <t>IM1593</t>
  </si>
  <si>
    <t>IM1595</t>
  </si>
  <si>
    <t>IM1706</t>
  </si>
  <si>
    <t>IM1707</t>
  </si>
  <si>
    <t>IM1711</t>
  </si>
  <si>
    <t>IM1717</t>
  </si>
  <si>
    <t>IM1724</t>
  </si>
  <si>
    <t>IM1726</t>
  </si>
  <si>
    <t>IM1728</t>
  </si>
  <si>
    <t>IM1742</t>
  </si>
  <si>
    <t>IM1774</t>
  </si>
  <si>
    <t>IM1776</t>
  </si>
  <si>
    <t>IM1788</t>
  </si>
  <si>
    <t>IM1789</t>
  </si>
  <si>
    <t>IM1794</t>
  </si>
  <si>
    <t>IM1806</t>
  </si>
  <si>
    <t>IM1812</t>
  </si>
  <si>
    <t>IM1822</t>
  </si>
  <si>
    <t>IM1840</t>
  </si>
  <si>
    <t>IM1967</t>
  </si>
  <si>
    <t>IM1971</t>
  </si>
  <si>
    <t>IM1972</t>
  </si>
  <si>
    <t>IM1976</t>
  </si>
  <si>
    <t>IM1977</t>
  </si>
  <si>
    <t>IM1978</t>
  </si>
  <si>
    <t>IM1982</t>
  </si>
  <si>
    <t>IM1983</t>
  </si>
  <si>
    <t>IM1987</t>
  </si>
  <si>
    <t>IM1988</t>
  </si>
  <si>
    <t>IM1993</t>
  </si>
  <si>
    <t>IM1995</t>
  </si>
  <si>
    <t>IM1996</t>
  </si>
  <si>
    <t>IM1997</t>
  </si>
  <si>
    <t>IM1998</t>
  </si>
  <si>
    <t>IM2000</t>
  </si>
  <si>
    <t>IM2008</t>
  </si>
  <si>
    <t>IM2011</t>
  </si>
  <si>
    <t>IM2022</t>
  </si>
  <si>
    <t>IM2023</t>
  </si>
  <si>
    <t>IM2027</t>
  </si>
  <si>
    <t>IM2030</t>
  </si>
  <si>
    <t>IM2034</t>
  </si>
  <si>
    <t>IM2106</t>
  </si>
  <si>
    <t>IM2108</t>
  </si>
  <si>
    <t>IM2109</t>
  </si>
  <si>
    <t>IM2110</t>
  </si>
  <si>
    <t>IM2112</t>
  </si>
  <si>
    <t>IM2118</t>
  </si>
  <si>
    <t>IM2128</t>
  </si>
  <si>
    <t>IM2129</t>
  </si>
  <si>
    <t>IM2133</t>
  </si>
  <si>
    <t>IM2135</t>
  </si>
  <si>
    <t>IM2147</t>
  </si>
  <si>
    <t>IM2149</t>
  </si>
  <si>
    <t>IM2150</t>
  </si>
  <si>
    <t>IM2151</t>
  </si>
  <si>
    <t>IM2171</t>
  </si>
  <si>
    <t>IM2174</t>
  </si>
  <si>
    <t>IM2175</t>
  </si>
  <si>
    <t>IM2177</t>
  </si>
  <si>
    <t>IM2195</t>
  </si>
  <si>
    <t>IM2217</t>
  </si>
  <si>
    <t>IM2227</t>
  </si>
  <si>
    <t>IM2230</t>
  </si>
  <si>
    <t>IM2237</t>
  </si>
  <si>
    <t>IM2238</t>
  </si>
  <si>
    <t>IM2239</t>
  </si>
  <si>
    <t>IM2259</t>
  </si>
  <si>
    <t>IM2305</t>
  </si>
  <si>
    <t>IM2311</t>
  </si>
  <si>
    <t>IM2312</t>
  </si>
  <si>
    <t>IM2313</t>
  </si>
  <si>
    <t>IM2356</t>
  </si>
  <si>
    <t>IM2403</t>
  </si>
  <si>
    <t>IM2404</t>
  </si>
  <si>
    <t>IM2528</t>
  </si>
  <si>
    <t>IM2530</t>
  </si>
  <si>
    <t>IM2533</t>
  </si>
  <si>
    <t>IM2534</t>
  </si>
  <si>
    <t>IM2535</t>
  </si>
  <si>
    <t>IM2536</t>
  </si>
  <si>
    <t>IM2538</t>
  </si>
  <si>
    <t>IM2539</t>
  </si>
  <si>
    <t>IM2540</t>
  </si>
  <si>
    <t>IM2551</t>
  </si>
  <si>
    <t>IM2552</t>
  </si>
  <si>
    <t>IM2553</t>
  </si>
  <si>
    <t>IM2554</t>
  </si>
  <si>
    <t>IM2555</t>
  </si>
  <si>
    <t>IM2556</t>
  </si>
  <si>
    <t>IM2557</t>
  </si>
  <si>
    <t>IM2558</t>
  </si>
  <si>
    <t>IM2559</t>
  </si>
  <si>
    <t>IM2560</t>
  </si>
  <si>
    <t>IM2564</t>
  </si>
  <si>
    <t>IM2565</t>
  </si>
  <si>
    <t>IM2568</t>
  </si>
  <si>
    <t>IM2569</t>
  </si>
  <si>
    <t>IM2570</t>
  </si>
  <si>
    <t>IM2572</t>
  </si>
  <si>
    <t>IM2573</t>
  </si>
  <si>
    <t>IM2574</t>
  </si>
  <si>
    <t>IM2575</t>
  </si>
  <si>
    <t>IM2578</t>
  </si>
  <si>
    <t>IM2579</t>
  </si>
  <si>
    <t>IM2731</t>
  </si>
  <si>
    <t>IM2805</t>
  </si>
  <si>
    <t>IM2806</t>
  </si>
  <si>
    <t>IM2807</t>
  </si>
  <si>
    <t>IM2814</t>
  </si>
  <si>
    <t>IM2815</t>
  </si>
  <si>
    <t>IM2816</t>
  </si>
  <si>
    <t>IM2817</t>
  </si>
  <si>
    <t>IM2819</t>
  </si>
  <si>
    <t>IM2821</t>
  </si>
  <si>
    <t>IM2822</t>
  </si>
  <si>
    <t>IM2823</t>
  </si>
  <si>
    <t>IM2827</t>
  </si>
  <si>
    <t>IM2828</t>
  </si>
  <si>
    <t>IM2835</t>
  </si>
  <si>
    <t>IM2844</t>
  </si>
  <si>
    <t>IM2845</t>
  </si>
  <si>
    <t>IM2847</t>
  </si>
  <si>
    <t>IM2853</t>
  </si>
  <si>
    <t>IM2861</t>
  </si>
  <si>
    <t>IM2862</t>
  </si>
  <si>
    <t>IM2870</t>
  </si>
  <si>
    <t>IM2871</t>
  </si>
  <si>
    <t>IM2882</t>
  </si>
  <si>
    <t>IM2883</t>
  </si>
  <si>
    <t>IM2890</t>
  </si>
  <si>
    <t>IM2891</t>
  </si>
  <si>
    <t>IM2895</t>
  </si>
  <si>
    <t>IM2898</t>
  </si>
  <si>
    <t>IM2899</t>
  </si>
  <si>
    <t>IM2901</t>
  </si>
  <si>
    <t>IM2931</t>
  </si>
  <si>
    <t>IM2949</t>
  </si>
  <si>
    <t>IM2955</t>
  </si>
  <si>
    <t>IM2962</t>
  </si>
  <si>
    <t>IM2963</t>
  </si>
  <si>
    <t>IM2968</t>
  </si>
  <si>
    <t>IM2972</t>
  </si>
  <si>
    <t>IM2973</t>
  </si>
  <si>
    <t>IM2974</t>
  </si>
  <si>
    <t>IM2980</t>
  </si>
  <si>
    <t>IM2994</t>
  </si>
  <si>
    <t>IM2995</t>
  </si>
  <si>
    <t>IM3007</t>
  </si>
  <si>
    <t>IM3020</t>
  </si>
  <si>
    <t>IM3050</t>
  </si>
  <si>
    <t>IM3053</t>
  </si>
  <si>
    <t>IM3054</t>
  </si>
  <si>
    <t>IM3070</t>
  </si>
  <si>
    <t>IM3071</t>
  </si>
  <si>
    <t>IM3072</t>
  </si>
  <si>
    <t>IM3079</t>
  </si>
  <si>
    <t>IM3080</t>
  </si>
  <si>
    <t>IM3081</t>
  </si>
  <si>
    <t>IM3082</t>
  </si>
  <si>
    <t>IM3083</t>
  </si>
  <si>
    <t>IM3094</t>
  </si>
  <si>
    <t>IM3095</t>
  </si>
  <si>
    <t>IM3096</t>
  </si>
  <si>
    <t>IM3097</t>
  </si>
  <si>
    <t>IM3100</t>
  </si>
  <si>
    <t>IM3101</t>
  </si>
  <si>
    <t>IM3116</t>
  </si>
  <si>
    <t>IM3117</t>
  </si>
  <si>
    <t>IM3118</t>
  </si>
  <si>
    <t>IM3132</t>
  </si>
  <si>
    <t>IM3141</t>
  </si>
  <si>
    <t>IM3151</t>
  </si>
  <si>
    <t>IM3204</t>
  </si>
  <si>
    <t>IM3302</t>
  </si>
  <si>
    <t>IM3311</t>
  </si>
  <si>
    <t>IM3312</t>
  </si>
  <si>
    <t>IM3341</t>
  </si>
  <si>
    <t>IM3345</t>
  </si>
  <si>
    <t>IM3347</t>
  </si>
  <si>
    <t>IM3376</t>
  </si>
  <si>
    <t>IM3378</t>
  </si>
  <si>
    <t>IM3397</t>
  </si>
  <si>
    <t>IM3400</t>
  </si>
  <si>
    <t>IM3408</t>
  </si>
  <si>
    <t>IM3410</t>
  </si>
  <si>
    <t>IM3415</t>
  </si>
  <si>
    <t>IM3453</t>
  </si>
  <si>
    <t>IM3454</t>
  </si>
  <si>
    <t>IM3492</t>
  </si>
  <si>
    <t>IM3493</t>
  </si>
  <si>
    <t>IM3494</t>
  </si>
  <si>
    <t>IM3495</t>
  </si>
  <si>
    <t>IM3496</t>
  </si>
  <si>
    <t>IM3497</t>
  </si>
  <si>
    <t>IM3498</t>
  </si>
  <si>
    <t>IM3500</t>
  </si>
  <si>
    <t>IM3501</t>
  </si>
  <si>
    <t>IM3503</t>
  </si>
  <si>
    <t>IM3505</t>
  </si>
  <si>
    <t>IM3507</t>
  </si>
  <si>
    <t>IM3509</t>
  </si>
  <si>
    <t>IM3514</t>
  </si>
  <si>
    <t>IM3515</t>
  </si>
  <si>
    <t>IM3516</t>
  </si>
  <si>
    <t>IM3517</t>
  </si>
  <si>
    <t>IM3518</t>
  </si>
  <si>
    <t>IM3520</t>
  </si>
  <si>
    <t>IM3522</t>
  </si>
  <si>
    <t>IM3524</t>
  </si>
  <si>
    <t>IM3525</t>
  </si>
  <si>
    <t>IM3526</t>
  </si>
  <si>
    <t>IM3527</t>
  </si>
  <si>
    <t>IM3529</t>
  </si>
  <si>
    <t>IM3547</t>
  </si>
  <si>
    <t>IM3548</t>
  </si>
  <si>
    <t>IM3554</t>
  </si>
  <si>
    <t>IM3555</t>
  </si>
  <si>
    <t>IM3556</t>
  </si>
  <si>
    <t>IM3561</t>
  </si>
  <si>
    <t>IM3575</t>
  </si>
  <si>
    <t>IM3576</t>
  </si>
  <si>
    <t>IM3577</t>
  </si>
  <si>
    <t>IM3583</t>
  </si>
  <si>
    <t>IM3584</t>
  </si>
  <si>
    <t>IM3590</t>
  </si>
  <si>
    <t>IM3632</t>
  </si>
  <si>
    <t>IM3637</t>
  </si>
  <si>
    <t>IM3651</t>
  </si>
  <si>
    <t>IM3653</t>
  </si>
  <si>
    <t>IM3654</t>
  </si>
  <si>
    <t>IM3658</t>
  </si>
  <si>
    <t>IM3674</t>
  </si>
  <si>
    <t>IM3675</t>
  </si>
  <si>
    <t>IM3676</t>
  </si>
  <si>
    <t>IM3686</t>
  </si>
  <si>
    <t>IM3695</t>
  </si>
  <si>
    <t>IM3698</t>
  </si>
  <si>
    <t>IM3700</t>
  </si>
  <si>
    <t>IM3705</t>
  </si>
  <si>
    <t>IM3724</t>
  </si>
  <si>
    <t>IM3726</t>
  </si>
  <si>
    <t>IM3744</t>
  </si>
  <si>
    <t>IM3751</t>
  </si>
  <si>
    <t>IM3752</t>
  </si>
  <si>
    <t>IM3753</t>
  </si>
  <si>
    <t>IM3759</t>
  </si>
  <si>
    <t>IM3761</t>
  </si>
  <si>
    <t>IM3764</t>
  </si>
  <si>
    <t>IM3765</t>
  </si>
  <si>
    <t>IM3766</t>
  </si>
  <si>
    <t>IM3767</t>
  </si>
  <si>
    <t>IM3768</t>
  </si>
  <si>
    <t>IM3769</t>
  </si>
  <si>
    <t>IM3770</t>
  </si>
  <si>
    <t>IM3771</t>
  </si>
  <si>
    <t>IM3772</t>
  </si>
  <si>
    <t>IM3773</t>
  </si>
  <si>
    <t>IM3774</t>
  </si>
  <si>
    <t>IM3775</t>
  </si>
  <si>
    <t>IM3776</t>
  </si>
  <si>
    <t>IM3999</t>
  </si>
  <si>
    <t>IM4065</t>
  </si>
  <si>
    <t>IM4072</t>
  </si>
  <si>
    <t>IM4104</t>
  </si>
  <si>
    <t>IM4122</t>
  </si>
  <si>
    <t>IM4123</t>
  </si>
  <si>
    <t>IM4124</t>
  </si>
  <si>
    <t>IM4126</t>
  </si>
  <si>
    <t>IM4131</t>
  </si>
  <si>
    <t>IM4132</t>
  </si>
  <si>
    <t>IM4134</t>
  </si>
  <si>
    <t>IM4135</t>
  </si>
  <si>
    <t>IM4138</t>
  </si>
  <si>
    <t>IM4142</t>
  </si>
  <si>
    <t>IM4159</t>
  </si>
  <si>
    <t>IM4168</t>
  </si>
  <si>
    <t>IM4204</t>
  </si>
  <si>
    <t>IM4222</t>
  </si>
  <si>
    <t>IM4247</t>
  </si>
  <si>
    <t>IM4285</t>
  </si>
  <si>
    <t>IM4312</t>
  </si>
  <si>
    <t>IM4313</t>
  </si>
  <si>
    <t>IM4315</t>
  </si>
  <si>
    <t>IM4316</t>
  </si>
  <si>
    <t>IM4318</t>
  </si>
  <si>
    <t>IM4348</t>
  </si>
  <si>
    <t>IM4392</t>
  </si>
  <si>
    <t>IM4408</t>
  </si>
  <si>
    <t>IM4504</t>
  </si>
  <si>
    <t>IM4505</t>
  </si>
  <si>
    <t>IM4534</t>
  </si>
  <si>
    <t>IM4541</t>
  </si>
  <si>
    <t>IM4542</t>
  </si>
  <si>
    <t>IM4544</t>
  </si>
  <si>
    <t>IM4546</t>
  </si>
  <si>
    <t>IM4553</t>
  </si>
  <si>
    <t>IM4560</t>
  </si>
  <si>
    <t>IM4601</t>
  </si>
  <si>
    <t>IM4651</t>
  </si>
  <si>
    <t>IM4734</t>
  </si>
  <si>
    <t>IM4736</t>
  </si>
  <si>
    <t>IM5035</t>
  </si>
  <si>
    <t>IM5055</t>
  </si>
  <si>
    <t>IM5066</t>
  </si>
  <si>
    <t>IM5068</t>
  </si>
  <si>
    <t>IM5069</t>
  </si>
  <si>
    <t>IM5070</t>
  </si>
  <si>
    <t>IM5071</t>
  </si>
  <si>
    <t>IM5075</t>
  </si>
  <si>
    <t>IM5200</t>
  </si>
  <si>
    <t>IM5202</t>
  </si>
  <si>
    <t>IM5203</t>
  </si>
  <si>
    <t>IM5204</t>
  </si>
  <si>
    <t>IM5205</t>
  </si>
  <si>
    <t>IM5206</t>
  </si>
  <si>
    <t>IM5214</t>
  </si>
  <si>
    <t>IM5548</t>
  </si>
  <si>
    <t>IM5549</t>
  </si>
  <si>
    <t>IM5697</t>
  </si>
  <si>
    <t>IM6007</t>
  </si>
  <si>
    <t>IM6008</t>
  </si>
  <si>
    <t>IM6011</t>
  </si>
  <si>
    <t>IM6024</t>
  </si>
  <si>
    <t>IM6025</t>
  </si>
  <si>
    <t>IM6026</t>
  </si>
  <si>
    <t>IM6033</t>
  </si>
  <si>
    <t>IM6035</t>
  </si>
  <si>
    <t>IM6036</t>
  </si>
  <si>
    <t>IM6038</t>
  </si>
  <si>
    <t>IM6039</t>
  </si>
  <si>
    <t>IM6041</t>
  </si>
  <si>
    <t>IM6042</t>
  </si>
  <si>
    <t>IM6043</t>
  </si>
  <si>
    <t>IM6044</t>
  </si>
  <si>
    <t>IM6045</t>
  </si>
  <si>
    <t>IM6046</t>
  </si>
  <si>
    <t>IM6047</t>
  </si>
  <si>
    <t>IM6060</t>
  </si>
  <si>
    <t>IM6061</t>
  </si>
  <si>
    <t>IM6063</t>
  </si>
  <si>
    <t>IM6071</t>
  </si>
  <si>
    <t>IM6072</t>
  </si>
  <si>
    <t>IM6318</t>
  </si>
  <si>
    <t>IM6319</t>
  </si>
  <si>
    <t>IM6701</t>
  </si>
  <si>
    <t>IM7001</t>
  </si>
  <si>
    <t>IM7002</t>
  </si>
  <si>
    <t>IM7003</t>
  </si>
  <si>
    <t>IM7004</t>
  </si>
  <si>
    <t>IM7005</t>
  </si>
  <si>
    <t>IM7006</t>
  </si>
  <si>
    <t>IM7007</t>
  </si>
  <si>
    <t>IM7008</t>
  </si>
  <si>
    <t>IM7009</t>
  </si>
  <si>
    <t>IM7010</t>
  </si>
  <si>
    <t>IM7011</t>
  </si>
  <si>
    <t>IM7012</t>
  </si>
  <si>
    <t>IM7013</t>
  </si>
  <si>
    <t>IM7014</t>
  </si>
  <si>
    <t>IM7015</t>
  </si>
  <si>
    <t>IM7016</t>
  </si>
  <si>
    <t>IM7017</t>
  </si>
  <si>
    <t>IM7054</t>
  </si>
  <si>
    <t>IM8570</t>
  </si>
  <si>
    <t>IM8571</t>
  </si>
  <si>
    <t>IM8901</t>
  </si>
  <si>
    <t>IM8902</t>
  </si>
  <si>
    <t>IM8954</t>
  </si>
  <si>
    <t>IM8966</t>
  </si>
  <si>
    <t>IM9101</t>
  </si>
  <si>
    <t>IM9102</t>
  </si>
  <si>
    <t>IM9103</t>
  </si>
  <si>
    <t>IM9104</t>
  </si>
  <si>
    <t>IM9105</t>
  </si>
  <si>
    <t>IM9106</t>
  </si>
  <si>
    <t>IM9107</t>
  </si>
  <si>
    <t>IM9201</t>
  </si>
  <si>
    <t>IM9501</t>
  </si>
  <si>
    <t>IM9613</t>
  </si>
  <si>
    <t>IM9614</t>
  </si>
  <si>
    <t>IM9617</t>
  </si>
  <si>
    <t>IM9624</t>
  </si>
  <si>
    <t>IM9627</t>
  </si>
  <si>
    <t>IM9628</t>
  </si>
  <si>
    <t>IM9630</t>
  </si>
  <si>
    <t>IM9638</t>
  </si>
  <si>
    <t>IM9765</t>
  </si>
  <si>
    <t>IM9766</t>
  </si>
  <si>
    <t>IM9811</t>
  </si>
  <si>
    <t>IM9812</t>
  </si>
  <si>
    <t>IM9813</t>
  </si>
  <si>
    <t>IM9814</t>
  </si>
  <si>
    <t>IM9815</t>
  </si>
  <si>
    <t>IM9816</t>
  </si>
  <si>
    <t>IM9817</t>
  </si>
  <si>
    <t>IM9818</t>
  </si>
  <si>
    <t>IM9819</t>
  </si>
  <si>
    <t>IM9900</t>
  </si>
  <si>
    <t>IM9905</t>
  </si>
  <si>
    <t>IM9966</t>
  </si>
  <si>
    <t>IM9967</t>
  </si>
  <si>
    <t>IM9977</t>
  </si>
  <si>
    <t>IM9978</t>
  </si>
  <si>
    <t>IN5001</t>
  </si>
  <si>
    <t>IN5002</t>
  </si>
  <si>
    <t>IN5003</t>
  </si>
  <si>
    <t>IN5004</t>
  </si>
  <si>
    <t>IO0251</t>
  </si>
  <si>
    <t>IO0252</t>
  </si>
  <si>
    <t>IO0253</t>
  </si>
  <si>
    <t>IO0255</t>
  </si>
  <si>
    <t>IO0256</t>
  </si>
  <si>
    <t>IO0257</t>
  </si>
  <si>
    <t>IO0258</t>
  </si>
  <si>
    <t>IO0259</t>
  </si>
  <si>
    <t>IO0270</t>
  </si>
  <si>
    <t>IO0272</t>
  </si>
  <si>
    <t>IO0283</t>
  </si>
  <si>
    <t>IO0284</t>
  </si>
  <si>
    <t>IO0528</t>
  </si>
  <si>
    <t>IO0531</t>
  </si>
  <si>
    <t>IO0532</t>
  </si>
  <si>
    <t>IO0533</t>
  </si>
  <si>
    <t>IO0534</t>
  </si>
  <si>
    <t>IO0535</t>
  </si>
  <si>
    <t>IO0536</t>
  </si>
  <si>
    <t>IO0537</t>
  </si>
  <si>
    <t>IO0538</t>
  </si>
  <si>
    <t>IO0539</t>
  </si>
  <si>
    <t>IO0540</t>
  </si>
  <si>
    <t>IO1011</t>
  </si>
  <si>
    <t>IO1186</t>
  </si>
  <si>
    <t>IO1187</t>
  </si>
  <si>
    <t>IO1188</t>
  </si>
  <si>
    <t>IO1192</t>
  </si>
  <si>
    <t>IO1194</t>
  </si>
  <si>
    <t>IO1198</t>
  </si>
  <si>
    <t>IO1199</t>
  </si>
  <si>
    <t>IO1409</t>
  </si>
  <si>
    <t>IO1410</t>
  </si>
  <si>
    <t>IO1416</t>
  </si>
  <si>
    <t>IO1715</t>
  </si>
  <si>
    <t>IO2337</t>
  </si>
  <si>
    <t>IO2338</t>
  </si>
  <si>
    <t>IO2351</t>
  </si>
  <si>
    <t>IO2373</t>
  </si>
  <si>
    <t>IO2393</t>
  </si>
  <si>
    <t>IO2520</t>
  </si>
  <si>
    <t>IO2521</t>
  </si>
  <si>
    <t>IO2531</t>
  </si>
  <si>
    <t>IO2552</t>
  </si>
  <si>
    <t>IO2554</t>
  </si>
  <si>
    <t>IO3001</t>
  </si>
  <si>
    <t>IO3002</t>
  </si>
  <si>
    <t>IO4394</t>
  </si>
  <si>
    <t>IO4395</t>
  </si>
  <si>
    <t>IO4397</t>
  </si>
  <si>
    <t>IO4398</t>
  </si>
  <si>
    <t>IO4420</t>
  </si>
  <si>
    <t>IO4425</t>
  </si>
  <si>
    <t>IO4500</t>
  </si>
  <si>
    <t>IO4590</t>
  </si>
  <si>
    <t>IO4593</t>
  </si>
  <si>
    <t>IO4597</t>
  </si>
  <si>
    <t>IO4619</t>
  </si>
  <si>
    <t>IO4622</t>
  </si>
  <si>
    <t>IO4623</t>
  </si>
  <si>
    <t>IO4632</t>
  </si>
  <si>
    <t>IO4633</t>
  </si>
  <si>
    <t>IO4634</t>
  </si>
  <si>
    <t>IO4635</t>
  </si>
  <si>
    <t>IO4636</t>
  </si>
  <si>
    <t>IO4638</t>
  </si>
  <si>
    <t>IO4639</t>
  </si>
  <si>
    <t>IO4640</t>
  </si>
  <si>
    <t>IO4641</t>
  </si>
  <si>
    <t>IO4642</t>
  </si>
  <si>
    <t>IO4644</t>
  </si>
  <si>
    <t>IO4650</t>
  </si>
  <si>
    <t>IO4659</t>
  </si>
  <si>
    <t>IO4833</t>
  </si>
  <si>
    <t>IO5501</t>
  </si>
  <si>
    <t>IO7202</t>
  </si>
  <si>
    <t>IS0002</t>
  </si>
  <si>
    <t>IS0003</t>
  </si>
  <si>
    <t>IS0004</t>
  </si>
  <si>
    <t>IS0005</t>
  </si>
  <si>
    <t>IS0009</t>
  </si>
  <si>
    <t>IS0010</t>
  </si>
  <si>
    <t>IS0011</t>
  </si>
  <si>
    <t>IS0012</t>
  </si>
  <si>
    <t>IS0013</t>
  </si>
  <si>
    <t>IS0014</t>
  </si>
  <si>
    <t>IS0015</t>
  </si>
  <si>
    <t>IS0016</t>
  </si>
  <si>
    <t>IS0017</t>
  </si>
  <si>
    <t>IS0018</t>
  </si>
  <si>
    <t>IS0021</t>
  </si>
  <si>
    <t>IS0024</t>
  </si>
  <si>
    <t>IS0025</t>
  </si>
  <si>
    <t>IS0026</t>
  </si>
  <si>
    <t>IS0028</t>
  </si>
  <si>
    <t>IS0029</t>
  </si>
  <si>
    <t>IS0030</t>
  </si>
  <si>
    <t>IS0031</t>
  </si>
  <si>
    <t>IS0032</t>
  </si>
  <si>
    <t>IS0033</t>
  </si>
  <si>
    <t>IS0035</t>
  </si>
  <si>
    <t>IS0038</t>
  </si>
  <si>
    <t>IS0039</t>
  </si>
  <si>
    <t>IS0040</t>
  </si>
  <si>
    <t>IS0041</t>
  </si>
  <si>
    <t>IS0042</t>
  </si>
  <si>
    <t>IS0043</t>
  </si>
  <si>
    <t>IS0044</t>
  </si>
  <si>
    <t>IS0045</t>
  </si>
  <si>
    <t>IS0046</t>
  </si>
  <si>
    <t>IS0048</t>
  </si>
  <si>
    <t>IS0050</t>
  </si>
  <si>
    <t>IS0051</t>
  </si>
  <si>
    <t>IS0053</t>
  </si>
  <si>
    <t>IS0054</t>
  </si>
  <si>
    <t>IS0056</t>
  </si>
  <si>
    <t>IS0057</t>
  </si>
  <si>
    <t>IS0059</t>
  </si>
  <si>
    <t>IS0064</t>
  </si>
  <si>
    <t>IS0069</t>
  </si>
  <si>
    <t>IS0071</t>
  </si>
  <si>
    <t>IS0072</t>
  </si>
  <si>
    <t>IS0074</t>
  </si>
  <si>
    <t>IS0075</t>
  </si>
  <si>
    <t>IS0095</t>
  </si>
  <si>
    <t>IS0101</t>
  </si>
  <si>
    <t>IS0102</t>
  </si>
  <si>
    <t>IS0122</t>
  </si>
  <si>
    <t>IS0123</t>
  </si>
  <si>
    <t>IS0124</t>
  </si>
  <si>
    <t>IS0126</t>
  </si>
  <si>
    <t>IS0142</t>
  </si>
  <si>
    <t>IS0145</t>
  </si>
  <si>
    <t>IS0148</t>
  </si>
  <si>
    <t>IS0150</t>
  </si>
  <si>
    <t>IS0151</t>
  </si>
  <si>
    <t>IS0153</t>
  </si>
  <si>
    <t>IS0160</t>
  </si>
  <si>
    <t>IS0168</t>
  </si>
  <si>
    <t>IS0174</t>
  </si>
  <si>
    <t>IS0176</t>
  </si>
  <si>
    <t>IS0177</t>
  </si>
  <si>
    <t>IS0179</t>
  </si>
  <si>
    <t>IS0191</t>
  </si>
  <si>
    <t>IS0195</t>
  </si>
  <si>
    <t>IS0196</t>
  </si>
  <si>
    <t>IS0197</t>
  </si>
  <si>
    <t>IS0198</t>
  </si>
  <si>
    <t>IS0209</t>
  </si>
  <si>
    <t>IS0210</t>
  </si>
  <si>
    <t>IS0215</t>
  </si>
  <si>
    <t>IS0222</t>
  </si>
  <si>
    <t>IS0228</t>
  </si>
  <si>
    <t>IS0229</t>
  </si>
  <si>
    <t>IS0230</t>
  </si>
  <si>
    <t>IS0253</t>
  </si>
  <si>
    <t>IS0276</t>
  </si>
  <si>
    <t>IS0293</t>
  </si>
  <si>
    <t>IS0294</t>
  </si>
  <si>
    <t>IS0295</t>
  </si>
  <si>
    <t>IS0296</t>
  </si>
  <si>
    <t>IS0297</t>
  </si>
  <si>
    <t>IS0299</t>
  </si>
  <si>
    <t>IS0304</t>
  </si>
  <si>
    <t>IS0308</t>
  </si>
  <si>
    <t>IS0310</t>
  </si>
  <si>
    <t>IS0311</t>
  </si>
  <si>
    <t>IS0314</t>
  </si>
  <si>
    <t>IS0315</t>
  </si>
  <si>
    <t>IS0322</t>
  </si>
  <si>
    <t>IS0324</t>
  </si>
  <si>
    <t>IS0325</t>
  </si>
  <si>
    <t>IS0326</t>
  </si>
  <si>
    <t>IS0327</t>
  </si>
  <si>
    <t>IS0328</t>
  </si>
  <si>
    <t>IS0330</t>
  </si>
  <si>
    <t>IS0332</t>
  </si>
  <si>
    <t>IS0333</t>
  </si>
  <si>
    <t>IS0337</t>
  </si>
  <si>
    <t>IS0338</t>
  </si>
  <si>
    <t>IS0339</t>
  </si>
  <si>
    <t>IS0340</t>
  </si>
  <si>
    <t>IS0341</t>
  </si>
  <si>
    <t>IS0342</t>
  </si>
  <si>
    <t>IS0343</t>
  </si>
  <si>
    <t>IS0344</t>
  </si>
  <si>
    <t>IS0345</t>
  </si>
  <si>
    <t>IS0346</t>
  </si>
  <si>
    <t>IS0347</t>
  </si>
  <si>
    <t>IS0348</t>
  </si>
  <si>
    <t>IS0349</t>
  </si>
  <si>
    <t>IS0350</t>
  </si>
  <si>
    <t>IS0351</t>
  </si>
  <si>
    <t>IS0352</t>
  </si>
  <si>
    <t>IS0354</t>
  </si>
  <si>
    <t>IS0360</t>
  </si>
  <si>
    <t>IS0361</t>
  </si>
  <si>
    <t>IS0395</t>
  </si>
  <si>
    <t>IS0454</t>
  </si>
  <si>
    <t>IS0455</t>
  </si>
  <si>
    <t>IS0456</t>
  </si>
  <si>
    <t>IS0457</t>
  </si>
  <si>
    <t>IS0458</t>
  </si>
  <si>
    <t>IS0459</t>
  </si>
  <si>
    <t>IS0461</t>
  </si>
  <si>
    <t>IS0462</t>
  </si>
  <si>
    <t>IS0463</t>
  </si>
  <si>
    <t>IS0464</t>
  </si>
  <si>
    <t>IS0471</t>
  </si>
  <si>
    <t>IS0472</t>
  </si>
  <si>
    <t>IS0511</t>
  </si>
  <si>
    <t>IS0666</t>
  </si>
  <si>
    <t>IS0726</t>
  </si>
  <si>
    <t>IS1000</t>
  </si>
  <si>
    <t>IS1001</t>
  </si>
  <si>
    <t>IS1010</t>
  </si>
  <si>
    <t>IS1011</t>
  </si>
  <si>
    <t>IS1131</t>
  </si>
  <si>
    <t>IS1132</t>
  </si>
  <si>
    <t>IS1201</t>
  </si>
  <si>
    <t>IS1203</t>
  </si>
  <si>
    <t>IS1218</t>
  </si>
  <si>
    <t>IS1219</t>
  </si>
  <si>
    <t>IS1306</t>
  </si>
  <si>
    <t>IS1308</t>
  </si>
  <si>
    <t>IS1309</t>
  </si>
  <si>
    <t>IS1310</t>
  </si>
  <si>
    <t>IS1312</t>
  </si>
  <si>
    <t>IS1314</t>
  </si>
  <si>
    <t>IS1412</t>
  </si>
  <si>
    <t>IS1414</t>
  </si>
  <si>
    <t>IS1415</t>
  </si>
  <si>
    <t>IS1419</t>
  </si>
  <si>
    <t>IS1589</t>
  </si>
  <si>
    <t>IS1590</t>
  </si>
  <si>
    <t>IS1592</t>
  </si>
  <si>
    <t>IS1594</t>
  </si>
  <si>
    <t>IS1599</t>
  </si>
  <si>
    <t>IS1600</t>
  </si>
  <si>
    <t>IS1603</t>
  </si>
  <si>
    <t>IS1605</t>
  </si>
  <si>
    <t>IS1606</t>
  </si>
  <si>
    <t>IS1610</t>
  </si>
  <si>
    <t>IS1613</t>
  </si>
  <si>
    <t>IS1620</t>
  </si>
  <si>
    <t>IS1625</t>
  </si>
  <si>
    <t>IS1631</t>
  </si>
  <si>
    <t>IS1635</t>
  </si>
  <si>
    <t>IS1637</t>
  </si>
  <si>
    <t>IS1638</t>
  </si>
  <si>
    <t>IS1661</t>
  </si>
  <si>
    <t>IS1699</t>
  </si>
  <si>
    <t>IS1702</t>
  </si>
  <si>
    <t>IS1703</t>
  </si>
  <si>
    <t>IS1704</t>
  </si>
  <si>
    <t>IS1706</t>
  </si>
  <si>
    <t>IS1707</t>
  </si>
  <si>
    <t>IS1712</t>
  </si>
  <si>
    <t>IS1748</t>
  </si>
  <si>
    <t>IS1901</t>
  </si>
  <si>
    <t>IS1909</t>
  </si>
  <si>
    <t>IS2019</t>
  </si>
  <si>
    <t>IS2020</t>
  </si>
  <si>
    <t>IS2021</t>
  </si>
  <si>
    <t>IS2230</t>
  </si>
  <si>
    <t>IS2292</t>
  </si>
  <si>
    <t>IS2301</t>
  </si>
  <si>
    <t>IS2302</t>
  </si>
  <si>
    <t>IS2311</t>
  </si>
  <si>
    <t>IS2366</t>
  </si>
  <si>
    <t>IS2507</t>
  </si>
  <si>
    <t>IS2513</t>
  </si>
  <si>
    <t>IS2815</t>
  </si>
  <si>
    <t>IS2817</t>
  </si>
  <si>
    <t>IS2957</t>
  </si>
  <si>
    <t>IS2958</t>
  </si>
  <si>
    <t>IS2966</t>
  </si>
  <si>
    <t>IS2967</t>
  </si>
  <si>
    <t>IS2968</t>
  </si>
  <si>
    <t>IS2969</t>
  </si>
  <si>
    <t>IS2970</t>
  </si>
  <si>
    <t>IS2971</t>
  </si>
  <si>
    <t>IS2973</t>
  </si>
  <si>
    <t>IS2974</t>
  </si>
  <si>
    <t>IS2975</t>
  </si>
  <si>
    <t>IS3039</t>
  </si>
  <si>
    <t>IS3041</t>
  </si>
  <si>
    <t>IS3151</t>
  </si>
  <si>
    <t>IS3152</t>
  </si>
  <si>
    <t>IS3154</t>
  </si>
  <si>
    <t>IS3204</t>
  </si>
  <si>
    <t>IS3361</t>
  </si>
  <si>
    <t>IS3379</t>
  </si>
  <si>
    <t>IS3501</t>
  </si>
  <si>
    <t>IS3638</t>
  </si>
  <si>
    <t>IS3639</t>
  </si>
  <si>
    <t>IS3645</t>
  </si>
  <si>
    <t>IS3648</t>
  </si>
  <si>
    <t>IS3652</t>
  </si>
  <si>
    <t>IS3770</t>
  </si>
  <si>
    <t>IS3774</t>
  </si>
  <si>
    <t>IS3785</t>
  </si>
  <si>
    <t>IS3789</t>
  </si>
  <si>
    <t>IS3790</t>
  </si>
  <si>
    <t>IS3791</t>
  </si>
  <si>
    <t>IS3792</t>
  </si>
  <si>
    <t>IS3809</t>
  </si>
  <si>
    <t>IS3810</t>
  </si>
  <si>
    <t>IS3811</t>
  </si>
  <si>
    <t>IS4136</t>
  </si>
  <si>
    <t>IS4137</t>
  </si>
  <si>
    <t>IS4151</t>
  </si>
  <si>
    <t>IS4162</t>
  </si>
  <si>
    <t>IS4185</t>
  </si>
  <si>
    <t>IS4220</t>
  </si>
  <si>
    <t>IS4301</t>
  </si>
  <si>
    <t>IS4302</t>
  </si>
  <si>
    <t>IS4311</t>
  </si>
  <si>
    <t>IS4500</t>
  </si>
  <si>
    <t>IS4507</t>
  </si>
  <si>
    <t>IS4511</t>
  </si>
  <si>
    <t>IS4528</t>
  </si>
  <si>
    <t>IS4535</t>
  </si>
  <si>
    <t>IS4539</t>
  </si>
  <si>
    <t>IS4540</t>
  </si>
  <si>
    <t>IS4541</t>
  </si>
  <si>
    <t>IS4547</t>
  </si>
  <si>
    <t>IS4548</t>
  </si>
  <si>
    <t>IS4549</t>
  </si>
  <si>
    <t>IS4558</t>
  </si>
  <si>
    <t>IS4565</t>
  </si>
  <si>
    <t>IS4582</t>
  </si>
  <si>
    <t>IS4597</t>
  </si>
  <si>
    <t>IS4773</t>
  </si>
  <si>
    <t>IS4801</t>
  </si>
  <si>
    <t>IS4946</t>
  </si>
  <si>
    <t>IS5050</t>
  </si>
  <si>
    <t>IS5051</t>
  </si>
  <si>
    <t>IS5555</t>
  </si>
  <si>
    <t>IS5556</t>
  </si>
  <si>
    <t>IS5688</t>
  </si>
  <si>
    <t>IS5693</t>
  </si>
  <si>
    <t>IS5694</t>
  </si>
  <si>
    <t>IS5698</t>
  </si>
  <si>
    <t>IS5701</t>
  </si>
  <si>
    <t>IS5716</t>
  </si>
  <si>
    <t>IS5804</t>
  </si>
  <si>
    <t>IS5805</t>
  </si>
  <si>
    <t>IS5806</t>
  </si>
  <si>
    <t>IS5807</t>
  </si>
  <si>
    <t>IS5810</t>
  </si>
  <si>
    <t>IS5811</t>
  </si>
  <si>
    <t>IS5812</t>
  </si>
  <si>
    <t>IS5815</t>
  </si>
  <si>
    <t>IS6001</t>
  </si>
  <si>
    <t>IS6003</t>
  </si>
  <si>
    <t>IS6012</t>
  </si>
  <si>
    <t>IS6013</t>
  </si>
  <si>
    <t>IS6014</t>
  </si>
  <si>
    <t>IS6023</t>
  </si>
  <si>
    <t>IS6033</t>
  </si>
  <si>
    <t>IS6036</t>
  </si>
  <si>
    <t>IS6141</t>
  </si>
  <si>
    <t>IS6168</t>
  </si>
  <si>
    <t>IS6169</t>
  </si>
  <si>
    <t>IS6170</t>
  </si>
  <si>
    <t>IS6171</t>
  </si>
  <si>
    <t>IS6172</t>
  </si>
  <si>
    <t>IS6173</t>
  </si>
  <si>
    <t>IS6174</t>
  </si>
  <si>
    <t>IS6175</t>
  </si>
  <si>
    <t>IS6176</t>
  </si>
  <si>
    <t>IS6177</t>
  </si>
  <si>
    <t>IS6178</t>
  </si>
  <si>
    <t>IS6179</t>
  </si>
  <si>
    <t>IS6180</t>
  </si>
  <si>
    <t>IS6181</t>
  </si>
  <si>
    <t>IS6182</t>
  </si>
  <si>
    <t>IS6183</t>
  </si>
  <si>
    <t>IS6197</t>
  </si>
  <si>
    <t>IS6199</t>
  </si>
  <si>
    <t>IS6200</t>
  </si>
  <si>
    <t>IS6201</t>
  </si>
  <si>
    <t>IS6203</t>
  </si>
  <si>
    <t>IS6204</t>
  </si>
  <si>
    <t>IS6225</t>
  </si>
  <si>
    <t>IS6226</t>
  </si>
  <si>
    <t>IS6227</t>
  </si>
  <si>
    <t>IS6228</t>
  </si>
  <si>
    <t>IS6229</t>
  </si>
  <si>
    <t>IS6230</t>
  </si>
  <si>
    <t>IS6231</t>
  </si>
  <si>
    <t>IS6232</t>
  </si>
  <si>
    <t>IS6233</t>
  </si>
  <si>
    <t>IS6501</t>
  </si>
  <si>
    <t>IS6502</t>
  </si>
  <si>
    <t>IS6503</t>
  </si>
  <si>
    <t>IS6504</t>
  </si>
  <si>
    <t>IS6505</t>
  </si>
  <si>
    <t>IS6506</t>
  </si>
  <si>
    <t>IS6507</t>
  </si>
  <si>
    <t>IS6508</t>
  </si>
  <si>
    <t>IS6509</t>
  </si>
  <si>
    <t>IS6510</t>
  </si>
  <si>
    <t>IS6511</t>
  </si>
  <si>
    <t>IS6802</t>
  </si>
  <si>
    <t>IS7000</t>
  </si>
  <si>
    <t>IS7001</t>
  </si>
  <si>
    <t>IS7002</t>
  </si>
  <si>
    <t>IS7003</t>
  </si>
  <si>
    <t>IS7103</t>
  </si>
  <si>
    <t>IS7104</t>
  </si>
  <si>
    <t>IS8001</t>
  </si>
  <si>
    <t>IS8002</t>
  </si>
  <si>
    <t>IS8013</t>
  </si>
  <si>
    <t>IS8508</t>
  </si>
  <si>
    <t>IS8509</t>
  </si>
  <si>
    <t>IS8510</t>
  </si>
  <si>
    <t>IS8515</t>
  </si>
  <si>
    <t>IS8522</t>
  </si>
  <si>
    <t>IS8527</t>
  </si>
  <si>
    <t>IS8529</t>
  </si>
  <si>
    <t>IS8531</t>
  </si>
  <si>
    <t>IS8532</t>
  </si>
  <si>
    <t>IS8533</t>
  </si>
  <si>
    <t>IS8535</t>
  </si>
  <si>
    <t>IS8538</t>
  </si>
  <si>
    <t>IS8543</t>
  </si>
  <si>
    <t>IS8544</t>
  </si>
  <si>
    <t>IS8545</t>
  </si>
  <si>
    <t>IS8546</t>
  </si>
  <si>
    <t>IS8547</t>
  </si>
  <si>
    <t>IS8548</t>
  </si>
  <si>
    <t>IS8549</t>
  </si>
  <si>
    <t>IS8550</t>
  </si>
  <si>
    <t>IS8551</t>
  </si>
  <si>
    <t>IS8552</t>
  </si>
  <si>
    <t>IS8554</t>
  </si>
  <si>
    <t>IS8555</t>
  </si>
  <si>
    <t>IS8593</t>
  </si>
  <si>
    <t>IS8594</t>
  </si>
  <si>
    <t>IS8604</t>
  </si>
  <si>
    <t>IS8816</t>
  </si>
  <si>
    <t>IS8903</t>
  </si>
  <si>
    <t>IS9000</t>
  </si>
  <si>
    <t>IS9001</t>
  </si>
  <si>
    <t>IS9002</t>
  </si>
  <si>
    <t>IS9034</t>
  </si>
  <si>
    <t>IS9036</t>
  </si>
  <si>
    <t>IS9050</t>
  </si>
  <si>
    <t>IS9101</t>
  </si>
  <si>
    <t>IS9112</t>
  </si>
  <si>
    <t>IS9115</t>
  </si>
  <si>
    <t>IS9117</t>
  </si>
  <si>
    <t>IS9119</t>
  </si>
  <si>
    <t>IS9120</t>
  </si>
  <si>
    <t>IS9121</t>
  </si>
  <si>
    <t>IS9122</t>
  </si>
  <si>
    <t>IS9123</t>
  </si>
  <si>
    <t>IS9124</t>
  </si>
  <si>
    <t>IS9342</t>
  </si>
  <si>
    <t>IS9354</t>
  </si>
  <si>
    <t>IS9501</t>
  </si>
  <si>
    <t>IS9506</t>
  </si>
  <si>
    <t>IS9633</t>
  </si>
  <si>
    <t>IS9634</t>
  </si>
  <si>
    <t>IS9641</t>
  </si>
  <si>
    <t>IS9642</t>
  </si>
  <si>
    <t>IS9650</t>
  </si>
  <si>
    <t>IS9651</t>
  </si>
  <si>
    <t>IS9652</t>
  </si>
  <si>
    <t>IS9653</t>
  </si>
  <si>
    <t>IS9654</t>
  </si>
  <si>
    <t>IS9669</t>
  </si>
  <si>
    <t>IS9671</t>
  </si>
  <si>
    <t>IS9672</t>
  </si>
  <si>
    <t>IS9673</t>
  </si>
  <si>
    <t>IS9679</t>
  </si>
  <si>
    <t>IS9689</t>
  </si>
  <si>
    <t>IS9698</t>
  </si>
  <si>
    <t>IS9701</t>
  </si>
  <si>
    <t>IS9702</t>
  </si>
  <si>
    <t>IS9705</t>
  </si>
  <si>
    <t>IS9710</t>
  </si>
  <si>
    <t>IS9720</t>
  </si>
  <si>
    <t>IS9747</t>
  </si>
  <si>
    <t>IS9801</t>
  </si>
  <si>
    <t>IS9810</t>
  </si>
  <si>
    <t>IS9820</t>
  </si>
  <si>
    <t>IS9821</t>
  </si>
  <si>
    <t>IS9830</t>
  </si>
  <si>
    <t>IS9831</t>
  </si>
  <si>
    <t>IS9832</t>
  </si>
  <si>
    <t>IS9833</t>
  </si>
  <si>
    <t>IS9834</t>
  </si>
  <si>
    <t>IS9835</t>
  </si>
  <si>
    <t>IS9937</t>
  </si>
  <si>
    <t>IS9941</t>
  </si>
  <si>
    <t>IS9951</t>
  </si>
  <si>
    <t>IS9952</t>
  </si>
  <si>
    <t>IS9953</t>
  </si>
  <si>
    <t>IS9954</t>
  </si>
  <si>
    <t>IS9955</t>
  </si>
  <si>
    <t>IS9974</t>
  </si>
  <si>
    <t>IT0001</t>
  </si>
  <si>
    <t>IT0002</t>
  </si>
  <si>
    <t>IT0003</t>
  </si>
  <si>
    <t>IT0008</t>
  </si>
  <si>
    <t>IT0009</t>
  </si>
  <si>
    <t>IT0010</t>
  </si>
  <si>
    <t>IT0011</t>
  </si>
  <si>
    <t>IT0014</t>
  </si>
  <si>
    <t>IT0017</t>
  </si>
  <si>
    <t>IT0022</t>
  </si>
  <si>
    <t>IT0035</t>
  </si>
  <si>
    <t>IT0037</t>
  </si>
  <si>
    <t>IT0038</t>
  </si>
  <si>
    <t>IT0039</t>
  </si>
  <si>
    <t>IT0048</t>
  </si>
  <si>
    <t>IT0058</t>
  </si>
  <si>
    <t>IT0063</t>
  </si>
  <si>
    <t>IT0111</t>
  </si>
  <si>
    <t>IT0501</t>
  </si>
  <si>
    <t>IT0601</t>
  </si>
  <si>
    <t>IT1001</t>
  </si>
  <si>
    <t>IT1021</t>
  </si>
  <si>
    <t>IT1028</t>
  </si>
  <si>
    <t>IT1029</t>
  </si>
  <si>
    <t>IT1030</t>
  </si>
  <si>
    <t>IT1031</t>
  </si>
  <si>
    <t>IT1032</t>
  </si>
  <si>
    <t>IT1033</t>
  </si>
  <si>
    <t>IT1034</t>
  </si>
  <si>
    <t>IT1038</t>
  </si>
  <si>
    <t>IT1039</t>
  </si>
  <si>
    <t>IT1040</t>
  </si>
  <si>
    <t>IT1041</t>
  </si>
  <si>
    <t>IT1042</t>
  </si>
  <si>
    <t>IT1047</t>
  </si>
  <si>
    <t>IT1060</t>
  </si>
  <si>
    <t>IT1061</t>
  </si>
  <si>
    <t>IT1412</t>
  </si>
  <si>
    <t>IT1601</t>
  </si>
  <si>
    <t>IT1609</t>
  </si>
  <si>
    <t>IT2001</t>
  </si>
  <si>
    <t>IT2002</t>
  </si>
  <si>
    <t>IT2301</t>
  </si>
  <si>
    <t>IT2302</t>
  </si>
  <si>
    <t>IT2303</t>
  </si>
  <si>
    <t>IT3001</t>
  </si>
  <si>
    <t>IT4003</t>
  </si>
  <si>
    <t>IT4004</t>
  </si>
  <si>
    <t>IT4005</t>
  </si>
  <si>
    <t>IT4007</t>
  </si>
  <si>
    <t>IT4008</t>
  </si>
  <si>
    <t>IT4009</t>
  </si>
  <si>
    <t>IT4012</t>
  </si>
  <si>
    <t>IT4015</t>
  </si>
  <si>
    <t>IT4016</t>
  </si>
  <si>
    <t>IT4020</t>
  </si>
  <si>
    <t>IT4024</t>
  </si>
  <si>
    <t>IT9303</t>
  </si>
  <si>
    <t>IT9304</t>
  </si>
  <si>
    <t>IT9606</t>
  </si>
  <si>
    <t>IT9701</t>
  </si>
  <si>
    <t>IT9702</t>
  </si>
  <si>
    <t>IT9703</t>
  </si>
  <si>
    <t>IT9704</t>
  </si>
  <si>
    <t>IT9705</t>
  </si>
  <si>
    <t>IT9706</t>
  </si>
  <si>
    <t>IT9707</t>
  </si>
  <si>
    <t>IT9710</t>
  </si>
  <si>
    <t>IT9711</t>
  </si>
  <si>
    <t>IT9713</t>
  </si>
  <si>
    <t>Cód</t>
  </si>
  <si>
    <t>Cód link</t>
  </si>
  <si>
    <t>TAXA DE ADMINISTRAÇÃO</t>
  </si>
  <si>
    <t>TAXA DE ADMINISTRAÇÃO - 10% (CUSTOS DIRETOS + INDIRETOS + PROJETOS)</t>
  </si>
  <si>
    <t>VB</t>
  </si>
  <si>
    <t>PROJETOS / SERVIÇOS TÉCNICOS</t>
  </si>
  <si>
    <t>PROJETO ARQUITETÔNICO</t>
  </si>
  <si>
    <t>PROJETO DE FACHADA</t>
  </si>
  <si>
    <t>PROJETO DE INSTALAÇÕES COMPLEMENTARES</t>
  </si>
  <si>
    <t>PROJETO DE INSTALAÇÕES ELÉTRICAS, ESPECIAIS/TELEFONIA, HIDRÁULICO-SANITÁRIAS</t>
  </si>
  <si>
    <t>PROJETO DE PISO DE CONCRETO ARMADO E PISO PARA ÁREA EXTERNA</t>
  </si>
  <si>
    <t>PROJETO DE PREVENÇÃO E COMBATE A INCÊNDIO</t>
  </si>
  <si>
    <t>PROJETO DECORAÇÃO ÁREA COMUM</t>
  </si>
  <si>
    <t>PROJETO DETALHAMENTO</t>
  </si>
  <si>
    <t>PROJETO ESQUADRIAS</t>
  </si>
  <si>
    <t>PROJETO ESTRUTURAL</t>
  </si>
  <si>
    <t>PROJETO FACHADA</t>
  </si>
  <si>
    <t>PROJETO FUNDAÇÃO</t>
  </si>
  <si>
    <t>PROJETO GÁS</t>
  </si>
  <si>
    <t>PROJETO HALL DE ENTRADA</t>
  </si>
  <si>
    <t>PROJETO IMPERMEABILIZAÇÃO</t>
  </si>
  <si>
    <t>PROJETO IRRIGAÇÃO</t>
  </si>
  <si>
    <t>PROJETO LUMINOTÉCNICO</t>
  </si>
  <si>
    <t>PROJETO PAISAGISMO</t>
  </si>
  <si>
    <t>PROJETO TOPOGRÁFICO</t>
  </si>
  <si>
    <t>PROJETOS AS BUILT</t>
  </si>
  <si>
    <t>PROJETO ESTRUTURA METÁLICA</t>
  </si>
  <si>
    <t>PROJETO DE CONTENÇÃO</t>
  </si>
  <si>
    <t>PROJETO DE DRENAGEM</t>
  </si>
  <si>
    <t>PROJETO DE AR CONDICIONADO</t>
  </si>
  <si>
    <t>PROJETO EXECUTIVO DA ARQUITETURA</t>
  </si>
  <si>
    <t>PROJETO INSTALAÇÕES HIDROSSANITÁRIO</t>
  </si>
  <si>
    <t>SONDAGEM</t>
  </si>
  <si>
    <t>CONSULTORIAS</t>
  </si>
  <si>
    <t>ORÇAMENTO DA OBRA</t>
  </si>
  <si>
    <t>PLANEJAMENTO DA OBRA</t>
  </si>
  <si>
    <t>ACOMPANHAMENTO FÍSICO DA OBRA</t>
  </si>
  <si>
    <t xml:space="preserve">MÊS </t>
  </si>
  <si>
    <t>CONTROLE DOS SOLOS</t>
  </si>
  <si>
    <t>CONTROLE TECNOLÓGICO - ENSAIO DE ROMPIMENTO - ESTIMATIVA</t>
  </si>
  <si>
    <t>VISTORIA INICIAL PARA ACOMPANHAMENTO DE REFLEXOS EM EDIFICAÇÕES VIZINHAS</t>
  </si>
  <si>
    <t>CANTEIRO DE OBRAS</t>
  </si>
  <si>
    <t>PLACA DE OBRA</t>
  </si>
  <si>
    <t>TAPUME DE COMPENSADO</t>
  </si>
  <si>
    <t>MOBILIZAÇÃO DE CONTAINERS</t>
  </si>
  <si>
    <t>LOCAÇÃO DE CONTAINER ESCRITÓRIO</t>
  </si>
  <si>
    <t>LOCAÇÃO DE CONTAINER ALMOXARIFADO</t>
  </si>
  <si>
    <t>LOCAÇÃO DE CONTAINER VESTIÁRIO</t>
  </si>
  <si>
    <t>LOCAÇÃO DE CONTAINER SANITÁRIO</t>
  </si>
  <si>
    <t>LOCAÇÃO DE CONTAINER REFEITÓRIO</t>
  </si>
  <si>
    <t>INSTALAÇÃO PROVISÓRIA DE ENERGIA ELÉTRICA, ÁGUA E ESGOTO</t>
  </si>
  <si>
    <t>BARRACÃO PROVISÓRIO DE OBRA + INSTALAÇÃO PROVISÓRIA DE ENERGIA ELÉTRICA, ÁGUA E ESGOTO</t>
  </si>
  <si>
    <t>DESMOBILIZAÇÃO DO CANTEIRO DE OBRAS, PESSOAL E EQUIPAMENTOS</t>
  </si>
  <si>
    <t>EQUIPAMENTOS E MÓVEIS DE ESCRITÓRIO</t>
  </si>
  <si>
    <t>ALOJAMENTO</t>
  </si>
  <si>
    <t>MANUTENÇÃO DE CANTEIRO DE OBRAS</t>
  </si>
  <si>
    <t>ENGENHEIRO COORDENADOR</t>
  </si>
  <si>
    <t>ENGENHEIRO RESIDENTE</t>
  </si>
  <si>
    <t>TÉCNICO DE SEGURANÇA DO TRABALHO</t>
  </si>
  <si>
    <t>ESTAGIÁRIO DE ENGENHARIA</t>
  </si>
  <si>
    <t>ALMOXARIFE</t>
  </si>
  <si>
    <t>AUXILIAR DE ALMOXARIFE</t>
  </si>
  <si>
    <t>APONTADOR</t>
  </si>
  <si>
    <t>MESTRE DE OBRA</t>
  </si>
  <si>
    <t>ENCARREGADO GERAL</t>
  </si>
  <si>
    <t>ENCARREGADO DE FACHADA</t>
  </si>
  <si>
    <t>ENCARREGADO DE SERVENTE</t>
  </si>
  <si>
    <t>ENCARREGADO DE ACABAMENTO</t>
  </si>
  <si>
    <t>ENCARREGADO DE ELÉTRICA</t>
  </si>
  <si>
    <t>ENCARREGADO DE HIDRÁULICA</t>
  </si>
  <si>
    <t>OPERADOR DE GUINCHO DE COLUNA</t>
  </si>
  <si>
    <t>OPERADOR DE BETONEIRA</t>
  </si>
  <si>
    <t>AUXILIAR DE BETONEIRA (SERVENTE)</t>
  </si>
  <si>
    <t>OPERADOR DE ELEVADOR MISTO + CARGA + DEFINITIVO</t>
  </si>
  <si>
    <t>OPERADOR DE ELEVADOR CREMALHEIRA</t>
  </si>
  <si>
    <t>OPERADOR MINI-GRUA</t>
  </si>
  <si>
    <t>CARPINTEIRO DE APOIO E SEGURANÇA</t>
  </si>
  <si>
    <t>BOMBEIRO DE APOIO</t>
  </si>
  <si>
    <t>AJUDANTE DE BOMBEIRO</t>
  </si>
  <si>
    <t>ELETRICISTA DE APOIO</t>
  </si>
  <si>
    <t>AJUDANTE DE ELETRICISTA</t>
  </si>
  <si>
    <t>PEDREIRO DE APOIO</t>
  </si>
  <si>
    <t>SERVENTE DE APOIO</t>
  </si>
  <si>
    <t>VIGIA</t>
  </si>
  <si>
    <t>PORTEIRO</t>
  </si>
  <si>
    <t>ENCARGOS TRABALHISTAS</t>
  </si>
  <si>
    <t/>
  </si>
  <si>
    <t>DESPESAS ADICIONAIS</t>
  </si>
  <si>
    <t>CESTA BÁSICA (47 homens)</t>
  </si>
  <si>
    <t>VALE TRANSPORTE (47 homens) - 4UN/DIA</t>
  </si>
  <si>
    <t>CAFÉ DA MANHÃ (47 homens)</t>
  </si>
  <si>
    <t>E.P.I.  (47 homens)</t>
  </si>
  <si>
    <t>SECONCI (47 homens)</t>
  </si>
  <si>
    <t>PCMSO / PCMAT</t>
  </si>
  <si>
    <t>BONIFICAÇÃO MENSAL</t>
  </si>
  <si>
    <t>CUSTO PARA EMISSÃO DE NF EM NOME DA CONSTRUTORA - XX%</t>
  </si>
  <si>
    <t>SEGURANÇA DO TRABALHO</t>
  </si>
  <si>
    <t>EMPRESA DE SEGURANÇA DO TRABALHO</t>
  </si>
  <si>
    <t>EQUIPAMENTOS E FERRAMENTAS</t>
  </si>
  <si>
    <t>EQUIPAMENTOS</t>
  </si>
  <si>
    <t>BEBEDOURO (compra)</t>
  </si>
  <si>
    <t>ESTUFA ELÉTRICA (compra)</t>
  </si>
  <si>
    <t>RÁDIO DE COMUNICAÇÃO MOTOROLA EP150 (compra)</t>
  </si>
  <si>
    <t>RELÓGIO DE PONTO DIGITAL (compra)</t>
  </si>
  <si>
    <t>BETONEIRA 400 LITROS SEM CARREGADOR</t>
  </si>
  <si>
    <t>BETONEIRA 580 LITROS COM CARREGADOR</t>
  </si>
  <si>
    <t>BETONEIRA 600 LITROS COM CARREGADOR</t>
  </si>
  <si>
    <t>MOTOR VIBRADOR + MANGOTE</t>
  </si>
  <si>
    <t>SERRA CIRCULAR ELÉTRICA MANUAL</t>
  </si>
  <si>
    <t>SERRA CIRCULAR ELÉTRICA BANCADA</t>
  </si>
  <si>
    <t>COMPACTADOR CM20 TIPO SAPO MECÂNICO</t>
  </si>
  <si>
    <t>MÁQUINA DE CORTAR FERRO - policorte</t>
  </si>
  <si>
    <t>GUINCHO COLUNA + CABO</t>
  </si>
  <si>
    <t>FURADEIRA BATEDEIRA</t>
  </si>
  <si>
    <t>FURADEIRA BOSCH SDS (compra)</t>
  </si>
  <si>
    <t>FURADEIRA DE IMPACTO</t>
  </si>
  <si>
    <t>MARTELO</t>
  </si>
  <si>
    <t>SERRA MÁRMORE - makita</t>
  </si>
  <si>
    <t>LIXADEIRA PORTÁTIL</t>
  </si>
  <si>
    <t>PISTOLA HILT / WALSIVA - finca pino</t>
  </si>
  <si>
    <t>MARTELETE ROMPEDOR 15KG</t>
  </si>
  <si>
    <t>MAKITÃO</t>
  </si>
  <si>
    <t>ESMERILHADEIRA</t>
  </si>
  <si>
    <t>ELEVADOR TIPO CREMALHEIRA CABINE DUPLA</t>
  </si>
  <si>
    <t>CT2205</t>
  </si>
  <si>
    <t>MONTAGEM E DESMONTAGEM DE ELEVADOR CREMALHEIRA</t>
  </si>
  <si>
    <t>ACESSÓRIOS PARA MONTAGEM DOS ELEVADORES DE OBRA - Lista de materiais fornecida pela Mecan</t>
  </si>
  <si>
    <t>CZ2201</t>
  </si>
  <si>
    <t>LOCAÇÃO DE CAMINHÃO MUNCK PARA CARGA/DESCARGA DE ELEVADOR DE CREMALHEIRA</t>
  </si>
  <si>
    <t xml:space="preserve">H </t>
  </si>
  <si>
    <t>FERRAMENTAS LEVES E DISCOS DE CORTE</t>
  </si>
  <si>
    <t>COMPRESSOR 250CPM</t>
  </si>
  <si>
    <t>CT2210</t>
  </si>
  <si>
    <t>GRUA</t>
  </si>
  <si>
    <t>GUINDASTE</t>
  </si>
  <si>
    <t xml:space="preserve">DIA </t>
  </si>
  <si>
    <t>MINIESCAVADEIRA</t>
  </si>
  <si>
    <t>MINI-GRUA</t>
  </si>
  <si>
    <t>RETROESCAVADEIRA</t>
  </si>
  <si>
    <t>MANUTENÇÃO DE EQUIPAMENTOS</t>
  </si>
  <si>
    <t>ANDAIMES</t>
  </si>
  <si>
    <t>CT1001</t>
  </si>
  <si>
    <t>LOCAÇÃO DE ANDAIME LEVE SUSPENSO</t>
  </si>
  <si>
    <t>CT2206</t>
  </si>
  <si>
    <t>MONTAGEM E DESMONTAGEM DE ANDAIME LEVE SUSPENSO</t>
  </si>
  <si>
    <t>CT5001</t>
  </si>
  <si>
    <t>LOCAÇÃO DE ANDAIME FACHADEIRO - 422,96 m²</t>
  </si>
  <si>
    <t>CT2207</t>
  </si>
  <si>
    <t>MONTAGEM E DESMONTAGEM DE ANDAIME FACHADEIRO INCLUSIVE ENTELAMENTO</t>
  </si>
  <si>
    <t>BALANCIM 3 m (2 CJ x 16 MESES)</t>
  </si>
  <si>
    <t>ANDAIME INTERNO - Estimado</t>
  </si>
  <si>
    <t>EQUIPAMENTOS DE PROTEÇÃO COLETIVA</t>
  </si>
  <si>
    <t>CF2001</t>
  </si>
  <si>
    <t>MADEIRA PARA BANDEJA SALVA-VIDAS LARG=250 cm</t>
  </si>
  <si>
    <t xml:space="preserve">M </t>
  </si>
  <si>
    <t>CT2202</t>
  </si>
  <si>
    <t>LOCAÇÃO DE MÃO FRANCESA PARA BANDEJA SALVA-VIDAS</t>
  </si>
  <si>
    <t>CT2204</t>
  </si>
  <si>
    <t>MÃO DE OBRA PARA MONTAGEM E DESMONTAGEM DE BANDEJA SALVA-VIDAS</t>
  </si>
  <si>
    <t>CF2002</t>
  </si>
  <si>
    <t>MADEIRA PARA BANDEJA APARALIXO LARG=150 cm - 2 jogos</t>
  </si>
  <si>
    <t>CT2203</t>
  </si>
  <si>
    <t>LOCAÇÃO DE MÃO FRANCESA PARA BANDEJA APARALIXO</t>
  </si>
  <si>
    <t>MÃO DE OBRA PARA MONTAGEM E DESMONTAGEM DE BANDEJA APARALIXO</t>
  </si>
  <si>
    <t>CF5001</t>
  </si>
  <si>
    <t>FORNECIMENTO DE MADEIRA E TELA PARA ANDAIME FACHADEIRO</t>
  </si>
  <si>
    <t>CT1002</t>
  </si>
  <si>
    <t>TELA PARA ANDAIME LEVE SUSPENSO 124,94m x 59,14m</t>
  </si>
  <si>
    <t>EQUIPAMENTOS DE PROTEÇÃO COLETIVA (E.P.C.)</t>
  </si>
  <si>
    <t>CONSUMOS</t>
  </si>
  <si>
    <t>CONSUMOS DE ÁGUA, ENERGIA, TELEFONE/INTERNET</t>
  </si>
  <si>
    <t>CONSUMO DE ÁGUA E ESGOTO</t>
  </si>
  <si>
    <t>CONSUMO DE ENERGIA ELÉTRICA</t>
  </si>
  <si>
    <t>CONSUMO DE TELEFONE / INTERNET</t>
  </si>
  <si>
    <t>MATERIAL DE LIMPEZA E ESCRITÓRIO</t>
  </si>
  <si>
    <t>MATERIAL DE ESCRITÓRIO</t>
  </si>
  <si>
    <t>MATERIAL SAÚDE E SEGURANÇA DO TRABALHO</t>
  </si>
  <si>
    <t>MATERIAL DE LIMPEZA</t>
  </si>
  <si>
    <t>CÓPIAS E PLOTAGENS</t>
  </si>
  <si>
    <t>TRANSPORTES</t>
  </si>
  <si>
    <t>COMUNICAÇÃO DE DADOS / CORREIO / MOTOBOY</t>
  </si>
  <si>
    <t>CT2208</t>
  </si>
  <si>
    <t>FRETE (8 por mês)</t>
  </si>
  <si>
    <t>CT2209</t>
  </si>
  <si>
    <t>CAÇAMBA PARA BOTA FORA (8 por mês)</t>
  </si>
  <si>
    <t>SEGUROS</t>
  </si>
  <si>
    <t>SEGURO DE RISCO DE ENGENHARIA</t>
  </si>
  <si>
    <t>TAXAS DIVERSAS</t>
  </si>
  <si>
    <t>MEDIDA COMPENSATÓRIA</t>
  </si>
  <si>
    <t>CONTABILIDADE</t>
  </si>
  <si>
    <t>TAXAS PREFEITURA - aprovação do projeto, taxa de fiscalização de obra ITBI de transmissão das frações a SPE</t>
  </si>
  <si>
    <t>TAXAS DE LEGALIZAÇÃO (CARTÓRIO) - incorporação da obra, averbação de habite-se da obra, escritura e registro das frações da SPE</t>
  </si>
  <si>
    <t>TAXAS PARA OBTENÇÃO DE FINANCIAMENTO DA PRODUÇÃO</t>
  </si>
  <si>
    <t>TAXAS CREA</t>
  </si>
  <si>
    <t>IPTU</t>
  </si>
  <si>
    <t>SERVIÇOS INICIAIS DE OBRA</t>
  </si>
  <si>
    <t>LIMPEZA SUPERFICIAL DO TERRENO</t>
  </si>
  <si>
    <t>DEMOLIÇÃO</t>
  </si>
  <si>
    <t>DEMOLIÇÕES, REMOÇÕES E BOTA-FORA DE DE MATERIAL DEMOLIDO</t>
  </si>
  <si>
    <t>LEVANTAMENTO TOPOGRÁFICO</t>
  </si>
  <si>
    <t>TOPOGRAFIA</t>
  </si>
  <si>
    <t>TOPOGRAFIA (MENSAL)</t>
  </si>
  <si>
    <t>LOCAÇÃO DE OBRAS</t>
  </si>
  <si>
    <t>LOCAÇÃO DA OBRA (IMPLANTAÇÃO COM DIMENSÕES MENORES)</t>
  </si>
  <si>
    <t>LOCAÇÃO DE OBRAS (IMPLANTAÇÃO COM DIMENSÕES MAIORES)</t>
  </si>
  <si>
    <t>DRENAGEM</t>
  </si>
  <si>
    <t>DRENAGEM PROFUNDA</t>
  </si>
  <si>
    <t>DRENAGEM SUPERFICIAL</t>
  </si>
  <si>
    <t>TERRAPLENAGEM</t>
  </si>
  <si>
    <t>MOBILIZAÇÃO/DESMOBILIZAÇÃO DE EQUIPAMENTO DE TERRAPLENAGEM</t>
  </si>
  <si>
    <t>LIMPEZA SUPERFICIAL DO TERRENO (E=0,25CM)</t>
  </si>
  <si>
    <t>ESCAVAÇÃO EM MATERIAL DE 1ª CATEGORIA, CARGA, TRANSPORTE E BOTA-FORA - Estimado</t>
  </si>
  <si>
    <t>ESCAVAÇÃO EM MATERIAL DE 1ª CATEGORIA - Estimado</t>
  </si>
  <si>
    <t>CARGA, TRANSPORTE BOTA FORA DE MATERIAL EXCEDENTE</t>
  </si>
  <si>
    <t>ATERRO COMPACTADO - Estimado</t>
  </si>
  <si>
    <t>EMPRÉSTIMO DE TERRA</t>
  </si>
  <si>
    <t>CONTENÇÃO</t>
  </si>
  <si>
    <t>PAREDE DIAFRAGMA</t>
  </si>
  <si>
    <t>MURETA GUIA</t>
  </si>
  <si>
    <t>CX0701</t>
  </si>
  <si>
    <t>EMPREITEIRO PARA ESCAVAÇÃO MANUAL DE VALAS</t>
  </si>
  <si>
    <t>FORMA PARA BLOCOS / CINTAS / RESERVATÓRIO</t>
  </si>
  <si>
    <t>ARMAÇÃO AÇO CA-50A/60B</t>
  </si>
  <si>
    <t>KG</t>
  </si>
  <si>
    <t>CONCRETO FCK 20,0 MPa LANÇADO EM FUNDAÇÕES</t>
  </si>
  <si>
    <t>REATERRO COMPACTADO DE VALAS - (Compactador incluso no indireto)</t>
  </si>
  <si>
    <t>TRANSPORTE HORIZONTAL E BOTA FORA DE MATERIAL EXCEDENTE (CAÇAMBA)</t>
  </si>
  <si>
    <t>PAREDES DIAFRAGMA</t>
  </si>
  <si>
    <t>EXECUÇÃO DE PAREDE DIAFRAGMA MOLDADA "IN LOCO" ESCAVADA MECANICAMENTE COM O EMPREGO DE LAMA BENTONÍTICA, ATÉ A PROFUNDIDADE DE PROJETO, COMPREENDIDA DEPERFURAÇÃO, FORNECIMENTO DA LAMA BENTONÍTICA, COLOCAÇÃO DA ARMADURA E CONCRETAGEM DA PAREDE - ESP=40CM</t>
  </si>
  <si>
    <t>CONCRETO ESPECIAL BOMBEADO FCK 20MPa SLUMP 20±2CM</t>
  </si>
  <si>
    <t>DEMOLIÇÃO DE ESTRUTURA DE CONCRETO DAS LAMELAS DA PAREDE DIAFRAGMA ATÉ A COTA DE ARRASAMENTO E MURETAS GUIAS</t>
  </si>
  <si>
    <t>REMOÇÃO DE LAMA BENTONÍTICA NÃO-REAPROVEITÁVEL PARA BOTA-FORA AUTORIZADO E LEGALIZADO</t>
  </si>
  <si>
    <t>VIGAS DE TRAVAMENTO</t>
  </si>
  <si>
    <t>CONCRETO FCK 30,0 MPA LANÇADO EM FUNDAÇÕES</t>
  </si>
  <si>
    <t>MURO DE ARRIMO</t>
  </si>
  <si>
    <t>ACERTO E APILOAMENTO DE FUNDO DE VALAS - (Compactador incluso nos custos indiretos)</t>
  </si>
  <si>
    <t>LASTRO DE CONCRETO FCK 9,0 MPA</t>
  </si>
  <si>
    <t>BLOCO DE CONCRETO VAZADO L=15CM PREENCHIDO COM CONCRETO FCK 20,0MPa</t>
  </si>
  <si>
    <t>BLOCO DE CONCRETO VAZADO L=20CM PREENCHIDO COM CONCRETO FCK 20,0MPa</t>
  </si>
  <si>
    <t>CONTRAFORTE</t>
  </si>
  <si>
    <t>ESCAVAÇÃO</t>
  </si>
  <si>
    <t>ABERTURA MECANIZADA DE NICHO</t>
  </si>
  <si>
    <t>TUBULÃO</t>
  </si>
  <si>
    <t>MOBILIZAÇÃO DE EQUIPAMENTO PARA FUNDAÇÃO TRADO</t>
  </si>
  <si>
    <t>ESCAVAÇÃO DE TUBULÃO (BASE+ RODAPÉ)</t>
  </si>
  <si>
    <t>CONCRETO FCK 25,0 MPA LANÇADO EM FUNDAÇÕES</t>
  </si>
  <si>
    <t>BLOCOS</t>
  </si>
  <si>
    <t>FORMA PARA SUPER-ESTRUTURA (ESCORAMENTO, MATERIAL E MÃO-DE-OBRA)</t>
  </si>
  <si>
    <t>CONCRETO BOMBEADO FCK 25,0 MPa LANÇADO EM ESTRUTURA</t>
  </si>
  <si>
    <t>FECHAMENTO DE BLOCOS</t>
  </si>
  <si>
    <t>BLOCO VAZADO L=20CM DE CONCRETO PREENCHIDO COM MASSA</t>
  </si>
  <si>
    <t>VIGAS DE TRAVAMENTO (INFERIOR / MÉDIA / SUPERIOR)</t>
  </si>
  <si>
    <t>REATERRO E BOTA-FORA</t>
  </si>
  <si>
    <t>REATERRO DOS NICHOS - (Compactador incluso no indireto)</t>
  </si>
  <si>
    <t>RETANGULÃO</t>
  </si>
  <si>
    <t>RETANGULÃO - 60x70CM</t>
  </si>
  <si>
    <t>ESCAVAÇÃO DE RETANGULÃO</t>
  </si>
  <si>
    <t>FECHAMENTO DE BLOCO E VIGA DE TRAVAMENTO</t>
  </si>
  <si>
    <t>VIGA TRAVAMENTO - 60x30CM</t>
  </si>
  <si>
    <t>BOTA-FORA</t>
  </si>
  <si>
    <t>FUNDAÇÃO</t>
  </si>
  <si>
    <t>FUNDAÇÃO PROFUNDA</t>
  </si>
  <si>
    <t>TRADO MECÂNICO</t>
  </si>
  <si>
    <t>ESTACA TIPO TRADO MECÂNICO Ø300mm</t>
  </si>
  <si>
    <t>ESTACA TIPO TRADO MECÂNICO Ø400mm</t>
  </si>
  <si>
    <t>ESTACA TIPO TRADO MECÂNICO Ø500mm</t>
  </si>
  <si>
    <t>ESTACA TIPO TRADO MECÂNICO Ø600mm</t>
  </si>
  <si>
    <t>ESTACA TIPO TRADO MECÂNICO Ø700mm</t>
  </si>
  <si>
    <t>ESTACA TIPO TRADO MECÂNICO Ø800mm</t>
  </si>
  <si>
    <t>SERVENTE DE APOIO - (Dois serventes por mês)</t>
  </si>
  <si>
    <t>CORTE E PREPARO DE CABEÇA DE ESTACA</t>
  </si>
  <si>
    <t>ESCAVAÇÃO DE TUBULÃO (FUSTE)</t>
  </si>
  <si>
    <t>ESTACAS HÉLICE</t>
  </si>
  <si>
    <t>MOBILIZAÇÃO DE EQUIPAMENTO PARA FUNDAÇÃO HÉLICE CONTÍNUA</t>
  </si>
  <si>
    <t>ESTACA TIPO HÉLICE CONTÍNUA Ø300mm</t>
  </si>
  <si>
    <t>ESTACA TIPO HÉLICE CONTÍNUA Ø400mm</t>
  </si>
  <si>
    <t>ESTACA TIPO HÉLICE CONTÍNUA Ø500mm</t>
  </si>
  <si>
    <t>ESTACA TIPO HÉLICE CONTÍNUA Ø600mm</t>
  </si>
  <si>
    <t>ESTACA TIPO HÉLICE CONTÍNUA Ø700mm</t>
  </si>
  <si>
    <t>ESTACA TIPO HÉLICE CONTÍNUA Ø800mm</t>
  </si>
  <si>
    <t>SERVENTE DE APOIO ESTACA HÉLICE CONTÍNUA</t>
  </si>
  <si>
    <t>FUNDAÇÃO SUPERFICIAL</t>
  </si>
  <si>
    <t>LASTRO DE CONCRETO FCK 9,0 MPa</t>
  </si>
  <si>
    <t>CONCRETO FCK 25,0 MPa LANÇADO EM FUNDAÇÕES</t>
  </si>
  <si>
    <t>CONCRETO FCK 30,0 MPa LANÇADO EM FUNDAÇÕES</t>
  </si>
  <si>
    <t>CONCRETO FCK 35,0 MPa LANÇADO EM FUNDAÇÕES</t>
  </si>
  <si>
    <t>EPS (isopor) PARA JUNTA DE DILATAÇÃO e= 2,0cm</t>
  </si>
  <si>
    <t>CALAFETAÇÃO DE JUNTA DE DILATAÇÃO COM MASTIQUE FLEXÍVEL</t>
  </si>
  <si>
    <t>CZ1001</t>
  </si>
  <si>
    <t>IMPERMEABILIZAÇÃO DE BLOCOS/CINTAS COM PINTURA ASFÁLTICA (MAT.+M.O.)</t>
  </si>
  <si>
    <t>ESTRUTURA</t>
  </si>
  <si>
    <t>ESTRUTURA EM CONCRETO ARMADO</t>
  </si>
  <si>
    <t>FORMA PARA ESCADA (ESCORAMENTO, MATERIAL E MÃO-DE-OBRA)</t>
  </si>
  <si>
    <t>FORMA PARA RAMPA (ESCORAMENTO, MATERIAL E MÃO-DE-OBRA)</t>
  </si>
  <si>
    <t>FORMA ATEX (ESCORAMENTO, MATERIAL E MÃO-DE-OBRA)</t>
  </si>
  <si>
    <t>CORDOALHA DE 7 FIOS ENGRAXADA E PLASTIFICADA CP 190 RB07 - Ø15,2MM</t>
  </si>
  <si>
    <t>CONCRETO BOMBEADO FCK 20,0 MPa LANÇADO EM ESTRUTURA</t>
  </si>
  <si>
    <t>CONCRETO BOMBEADO FCK 30,0 MPa LANÇADO EM ESTRUTURA</t>
  </si>
  <si>
    <t>CONCRETO BOMBEADO FCK 35,0 MPa LANÇADO EM ESTRUTURA</t>
  </si>
  <si>
    <t>CONCRETO BOMBEADO FCK 40,0 MPa LANÇADO EM ESTRUTURA</t>
  </si>
  <si>
    <t>ACABAMENTO NÍVEL ZERO POLIDO</t>
  </si>
  <si>
    <t>ACABAMENTO NÍVEL ZERO CAMURÇADO</t>
  </si>
  <si>
    <t>ESTRUTURA DE CONCRETO PRÉ-MOLDADO</t>
  </si>
  <si>
    <t>ESTRUTURA METÁLICA</t>
  </si>
  <si>
    <t>REFORÇO ESTRUTURAL</t>
  </si>
  <si>
    <t>ALVENARIA</t>
  </si>
  <si>
    <t>MARCAÇÃO DE ALVENARIA</t>
  </si>
  <si>
    <t>ALVENARIA DE TIJOLO FURADO E= 09CM</t>
  </si>
  <si>
    <t>ALVENARIA DE TIJOLO FURADO E= 14CM</t>
  </si>
  <si>
    <t>ALVENARIA DE TIJOLO FURADO E= 19CM</t>
  </si>
  <si>
    <t>ALVENARIA ESTRUTURADA EM TIJOLO FURADO PARA MUROS E MURETAS E= 09CM</t>
  </si>
  <si>
    <t>ALVENARIA ESTRUTURADA EM TIJOLO FURADO PARA MUROS E MURETAS E= 14CM</t>
  </si>
  <si>
    <t>ALVENARIA ESTRUTURADA EM TIJOLO FURADO PARA MUROS E MURETAS E= 19CM</t>
  </si>
  <si>
    <t>VERGAS E CONTRA-VERGAS EM CONCRETO ARMADO</t>
  </si>
  <si>
    <t>ALVENARIA DE VEDAÇÃO COM BLOCO DE CONCRETO,ESP= 9 CM</t>
  </si>
  <si>
    <t>ALVENARIA DE VEDAÇÃO COM BLOCO DE CONCRETO,ESP= 14 CM</t>
  </si>
  <si>
    <t>ALVENARIA DE VEDAÇÃO COM BLOCO DE CONCRETO,ESP= 19 CM</t>
  </si>
  <si>
    <t>ENCUNHAMENTO DE ALVENARIAS COM ARGAMASSA EXPANSIVA E=09CM</t>
  </si>
  <si>
    <t>ENCUNHAMENTO DE ALVENARIAS COM ARGAMASSA EXPANSIVA E=14CM</t>
  </si>
  <si>
    <t>ENCUNHAMENTO DE ALVENARIAS COM ARGAMASSA EXPANSIVA E=19CM</t>
  </si>
  <si>
    <t>ENCUNHAMENTO DE ALVENARIAS COM ADITIVO EXPANSOR</t>
  </si>
  <si>
    <t>DEMOLIÇÃO DE ALVENARIA SEM REAPROVEITAMENTO</t>
  </si>
  <si>
    <t>DRYWALL</t>
  </si>
  <si>
    <t>ALVENARIA DE DRY-WALL ST/ST</t>
  </si>
  <si>
    <t>ALVENARIA DE DRY-WALL ST/RU</t>
  </si>
  <si>
    <t>ALVENARIA DE DRY-WALL RU/RU</t>
  </si>
  <si>
    <t>REVESTIMENTOS BRUTOS</t>
  </si>
  <si>
    <t>REVESTIMENTOS BRUTOS EM PAREDES</t>
  </si>
  <si>
    <t>CHAPISCO INTERNO</t>
  </si>
  <si>
    <t>CALAFETAÇÃO DE ALVENARIA</t>
  </si>
  <si>
    <t>CHAPISCO COLANTE INTERNO</t>
  </si>
  <si>
    <t>REBOCO INTERNO + PONTO DE MASSA</t>
  </si>
  <si>
    <t>EMBOÇO INTERNO + PONTO DE MASSA</t>
  </si>
  <si>
    <t>REVESTIMENTOS BRUTOS EM PISOS</t>
  </si>
  <si>
    <t>PISO EM CONCRETO FCK 25 MPa ESP. 10CM, COM ACABAMENTO POLIDO</t>
  </si>
  <si>
    <t>PISO EM CONCRETO FCK 25 MPa ESP. 10CM, COM ACABAMENTO CAMURÇADO</t>
  </si>
  <si>
    <t>CAMADA DE REGULARIZAÇÃO / CONTRAPISO E=3,0CM</t>
  </si>
  <si>
    <t>ENCHIMENTO DE PISO COM CACO DE BLOCO SICAL</t>
  </si>
  <si>
    <t>PISO CIMENTADO LISO</t>
  </si>
  <si>
    <t>REVESTIMENTOS BRUTOS EM PISOS PARA IMPERMEABILIZAÇÃO</t>
  </si>
  <si>
    <t>CZ5001</t>
  </si>
  <si>
    <t>PROTEÇÃO MECÂNICA SOBRE MANTA - (M.O. no preço da manta)</t>
  </si>
  <si>
    <t>REVESTIMENTOS BRUTOS EM TETOS</t>
  </si>
  <si>
    <t>ARGAMASSA PARA INSTALAÇÃO DE ESQUADRIAS</t>
  </si>
  <si>
    <t>CX1501</t>
  </si>
  <si>
    <t>INSTALAÇÃO DE CONTRAMARCOS EM ALUMÍNIO</t>
  </si>
  <si>
    <t>CX1502</t>
  </si>
  <si>
    <t>INSTALAÇÃO DE ESQUADRIAS DE ALUMÍNIO</t>
  </si>
  <si>
    <t>SERRALHERIA</t>
  </si>
  <si>
    <t>CX0001</t>
  </si>
  <si>
    <t>PCF 90 X 210 CM</t>
  </si>
  <si>
    <t>CX1601</t>
  </si>
  <si>
    <t>CORRIMÃO EM TUBO DE FERRO 1 1/4"</t>
  </si>
  <si>
    <t>CX0002</t>
  </si>
  <si>
    <t>GUARDA-CORPO METÁLICO COM CORRIMÃO PARA ESCADA DE INCÊNDIO H=1,10M</t>
  </si>
  <si>
    <t>CX0003</t>
  </si>
  <si>
    <t>GUARDA-CORPO METÁLICO PARA ESCADA DE INCÊNDIO H=1,10M</t>
  </si>
  <si>
    <t>CX1602</t>
  </si>
  <si>
    <t>ALÇAPÃO METÁLICO 70 X 70 CM</t>
  </si>
  <si>
    <t>CX1503</t>
  </si>
  <si>
    <t>P- 80 X 210 CM</t>
  </si>
  <si>
    <t>CX1504</t>
  </si>
  <si>
    <t>P- 70 X 210 CM</t>
  </si>
  <si>
    <t>CX2001</t>
  </si>
  <si>
    <t>ESCADA MARINHEIRO</t>
  </si>
  <si>
    <t>CX1603</t>
  </si>
  <si>
    <t>BRISE METÁLICO</t>
  </si>
  <si>
    <t>REVESTIMENTOS BRUTOS - EXTERNO</t>
  </si>
  <si>
    <t>CHAPISCO EXTERNO, INCLUSIVE LIMPEZA E CALAFETAÇÃO</t>
  </si>
  <si>
    <t>CHAPISCO COLANTE EXTERNO, INCLUSIVE LIMPEZA E CALAFETAÇÃO</t>
  </si>
  <si>
    <t>REBOCO EXTERNO + PONTO DE MASSA</t>
  </si>
  <si>
    <t>EMBOÇO EXTERNO + PONTO DE MASSA</t>
  </si>
  <si>
    <t>REVESTIMENTOS DE GESSO</t>
  </si>
  <si>
    <t>REVESTIMENTOS DE GESSO EM PAREDES</t>
  </si>
  <si>
    <t>GESSO CORRIDO MESTRADO</t>
  </si>
  <si>
    <t>GESSO CORRIDO DISTORCIDO</t>
  </si>
  <si>
    <t>REVESTIMENTOS DE GESSO EM TETOS</t>
  </si>
  <si>
    <t>ESQUADRIAS</t>
  </si>
  <si>
    <t>PORTA PRONTA - 80x210 CM - ABRIR</t>
  </si>
  <si>
    <t>PORTA PRONTA - 70x210 CM - ABRIR</t>
  </si>
  <si>
    <t>PORTA PRONTA - 60x210 CM - ABRIR</t>
  </si>
  <si>
    <t>PORTA PRONTA - 80x210 CM - CORRER</t>
  </si>
  <si>
    <t>PORTA PRONTA - 70x210 CM - CORRER</t>
  </si>
  <si>
    <t>PORTA PRONTA - 60x210 CM - CORRER</t>
  </si>
  <si>
    <t>PORTA PRONTA - 80x210 CM - PIVOTANTE</t>
  </si>
  <si>
    <t>PORTA PRONTA - 70x210 CM - PIVOTANTE</t>
  </si>
  <si>
    <t>PORTA PRONTA - 60x210 CM - PIVOTANTE</t>
  </si>
  <si>
    <t>FECHADURA EXTERNA</t>
  </si>
  <si>
    <t>FECHADURA INTERNA</t>
  </si>
  <si>
    <t>FECHADURA BANHOS</t>
  </si>
  <si>
    <t>DOBRADIÇAS PARA PORTA PRONTA</t>
  </si>
  <si>
    <t>PAINEL EM MADEIRA</t>
  </si>
  <si>
    <t>FECHAMENTO DE SHAFT EM MDF</t>
  </si>
  <si>
    <t>CONTRAMARCOS</t>
  </si>
  <si>
    <t>ESQUADRIA DE ALUMÍNIO, INCLUSIVE VIDRO</t>
  </si>
  <si>
    <t>JA01</t>
  </si>
  <si>
    <t>JA02</t>
  </si>
  <si>
    <t>JA03</t>
  </si>
  <si>
    <t>JA04</t>
  </si>
  <si>
    <t>JA05</t>
  </si>
  <si>
    <t>JA06</t>
  </si>
  <si>
    <t>JA07</t>
  </si>
  <si>
    <t>JA08</t>
  </si>
  <si>
    <t>JA09</t>
  </si>
  <si>
    <t>JA10</t>
  </si>
  <si>
    <t>JA11</t>
  </si>
  <si>
    <t>JA12</t>
  </si>
  <si>
    <t>JA13</t>
  </si>
  <si>
    <t>JA14</t>
  </si>
  <si>
    <t>JA15</t>
  </si>
  <si>
    <t>JA16</t>
  </si>
  <si>
    <t>JA17</t>
  </si>
  <si>
    <t>JA18</t>
  </si>
  <si>
    <t>JA19</t>
  </si>
  <si>
    <t>JA20</t>
  </si>
  <si>
    <t>P02</t>
  </si>
  <si>
    <t>P03</t>
  </si>
  <si>
    <t>P04</t>
  </si>
  <si>
    <t>P05</t>
  </si>
  <si>
    <t>P06</t>
  </si>
  <si>
    <t>P07</t>
  </si>
  <si>
    <t>P08</t>
  </si>
  <si>
    <t>P09</t>
  </si>
  <si>
    <t>P20</t>
  </si>
  <si>
    <t>CORRIMÃO EM AÇO INOX FIXADO NA PAREDE</t>
  </si>
  <si>
    <t>GUARDA CORPO EM AÇO INOX H = 110 CM COM CORRIMÃO EM AÇO INOX</t>
  </si>
  <si>
    <t>GUARDA CORPO EM AÇO INOX H = 100 CM</t>
  </si>
  <si>
    <t>GUARDA CORPO EM INOX H = 110 CM</t>
  </si>
  <si>
    <t>VENEZIANAS DE ALUMÍNIO NATURAL 1611X100 CM</t>
  </si>
  <si>
    <t>VENEZIANAS DE ALUMÍNIO NATURAL 2889X100 CM</t>
  </si>
  <si>
    <t>VIDROS</t>
  </si>
  <si>
    <t>VT01</t>
  </si>
  <si>
    <t>VT02</t>
  </si>
  <si>
    <t>VT03</t>
  </si>
  <si>
    <t>VT04</t>
  </si>
  <si>
    <t>VT05</t>
  </si>
  <si>
    <t>VT06</t>
  </si>
  <si>
    <t>VT07</t>
  </si>
  <si>
    <t>VT08</t>
  </si>
  <si>
    <t>VT09</t>
  </si>
  <si>
    <t>VT10</t>
  </si>
  <si>
    <t>VT11</t>
  </si>
  <si>
    <t>VT12</t>
  </si>
  <si>
    <t>VT13</t>
  </si>
  <si>
    <t>VT14</t>
  </si>
  <si>
    <t>VT15</t>
  </si>
  <si>
    <t>ESCADA METÁLICA CONFORME PROJETO</t>
  </si>
  <si>
    <t>CERÂMICA TIPO 1 - Parede</t>
  </si>
  <si>
    <t>CERÂMICA TIPO 2 - Parede</t>
  </si>
  <si>
    <t>CERÂMICA TIPO 3 - Parede</t>
  </si>
  <si>
    <t>CERÂMICA TIPO 4 - Parede</t>
  </si>
  <si>
    <t>CERÂMICA TIPO 5 - Parede</t>
  </si>
  <si>
    <t>CERÂMICA REF. GAIL</t>
  </si>
  <si>
    <t>PASTILHA TIPO 1 - Parede</t>
  </si>
  <si>
    <t>PASTILHA TIPO 2 - Parede</t>
  </si>
  <si>
    <t>GRANITO TIPO 1 - Parede</t>
  </si>
  <si>
    <t>GRANITO TIPO 2 - Parede</t>
  </si>
  <si>
    <t>MÁRMORE TIPO 1 - Parede</t>
  </si>
  <si>
    <t>LAMINADO MELAMÍNICO</t>
  </si>
  <si>
    <t>CERÂMICA TIPO 6 - Piso</t>
  </si>
  <si>
    <t>CERÂMICA TIPO 7 - Piso</t>
  </si>
  <si>
    <t>CERÂMICA TIPO 8 - Piso</t>
  </si>
  <si>
    <t>CERÂMICA TIPO 9 - Piso</t>
  </si>
  <si>
    <t>CERÂMICA REF. GAIL - Piso</t>
  </si>
  <si>
    <t>PORCELANATO TIPO 1 - Piso</t>
  </si>
  <si>
    <t>PORCELANATO TIPO 2 - Piso</t>
  </si>
  <si>
    <t>PORCELANATO TIPO 3 - Piso</t>
  </si>
  <si>
    <t>PORCELANATO TIPO 4 - Piso</t>
  </si>
  <si>
    <t>PORCELANATO TIPO 5 - Piso</t>
  </si>
  <si>
    <t>PORCELANATO TIPO 6 - Piso</t>
  </si>
  <si>
    <t>GRANITO TIPO 3 BRANCO - Piso</t>
  </si>
  <si>
    <t>GRANITO TIPO 4 BRANCO - Piso</t>
  </si>
  <si>
    <t>GRANITO TIPO 5 - Piso</t>
  </si>
  <si>
    <t>GRANITO TIPO 6 - Piso</t>
  </si>
  <si>
    <t>GRANITO TIPO 7 - Piso</t>
  </si>
  <si>
    <t>GRANITO TIPO 8 - Piso</t>
  </si>
  <si>
    <t>MÁRMORE TIPO 1 - Piso</t>
  </si>
  <si>
    <t>PISOS DE MADEIRA</t>
  </si>
  <si>
    <t>LAMINADO DE MADEIRA DURAFLOOR, LINHA LIFE CARVALHO, INCLUSIVE RODAPÉ E ACESSÓRIOS</t>
  </si>
  <si>
    <t>PISO VINÍLICO</t>
  </si>
  <si>
    <t>DECK EM MADEIRA</t>
  </si>
  <si>
    <t>PROTEÇÃO DE PISOS</t>
  </si>
  <si>
    <t>PROTEÇÃO DE PISOS COM PLÁSTICO BOLHA E PAPELÃO</t>
  </si>
  <si>
    <t>RODAPÉS/SOLEIRAS/PEITORIL/ADUELAS</t>
  </si>
  <si>
    <t>RODAPÉ EM ARDÓSIA H = 10 CM - TIPO 1</t>
  </si>
  <si>
    <t>RODAPÉ EM CERÂMICA H = 10CM - TIPO 1</t>
  </si>
  <si>
    <t>RODAPÉ EM CERÂMICA H = 10CM - TIPO 2</t>
  </si>
  <si>
    <t>RODAPÉ EM CERÂMICA H = 10CM - TIPO 3</t>
  </si>
  <si>
    <t>RODAPÉ REF. GAIL</t>
  </si>
  <si>
    <t>RODAPÉ EM GRANITO H = 10CM BRANCO - TIPO 1</t>
  </si>
  <si>
    <t>RODAPÉ EM GRANITO H = 10CM - TIPO 2</t>
  </si>
  <si>
    <t>RODAPÉ EM MÁRMORE H=10CM - TIPO 1</t>
  </si>
  <si>
    <t>RODAPÉ EM PORCELANATO H = 10CM - TIPO 1</t>
  </si>
  <si>
    <t>RODAPÉ EM PORCELANATO H = 10CM - TIPO 2</t>
  </si>
  <si>
    <t>SOLEIRA EM GRANITO BRANCO LARG. = 10 CM</t>
  </si>
  <si>
    <t>SOLEIRA EM GRANITO BRANCO LARG. = 15 CM</t>
  </si>
  <si>
    <t>SOLEIRA EM GRANITO BRANCO LARG. = 20 CM</t>
  </si>
  <si>
    <t>SOLEIRA EM MÁRMORE BRANCO LARG. 15CM</t>
  </si>
  <si>
    <t>CX3801</t>
  </si>
  <si>
    <t>PEITORIL EM GRANITO BRANCO LARG. = 15CM - Interno</t>
  </si>
  <si>
    <t>ADUELAS</t>
  </si>
  <si>
    <t>ADUELA EM GRANITO LARG. 12 CM</t>
  </si>
  <si>
    <t>ALIZAR EM GRANITO LARG. 12CM</t>
  </si>
  <si>
    <t>ADUELA EM GRANITO BRANCO LARG.12 CM</t>
  </si>
  <si>
    <t>ALIZAR EM GRANITO BRANCO LARG. 12 CM</t>
  </si>
  <si>
    <t>BANCADAS E DIVISÓRIAS</t>
  </si>
  <si>
    <t>BANCADA EM GRANITO - TIPO 1</t>
  </si>
  <si>
    <t>BANCADA EM GRANITO - TIPO 2</t>
  </si>
  <si>
    <t>BANCADA EM GRANITO - TIPO 3</t>
  </si>
  <si>
    <t>BANCADA EM GRANITO - TIPO 4</t>
  </si>
  <si>
    <t>BANCADA DE MÁRMORE - TIPO 1</t>
  </si>
  <si>
    <t>DIVISÓRIA EM GRANITO</t>
  </si>
  <si>
    <t>REVESTIMENTO EXTERNO</t>
  </si>
  <si>
    <t>ENTELAMENTO DA ESTRUTURA</t>
  </si>
  <si>
    <t>JUNTAS DE DILATAÇÃO</t>
  </si>
  <si>
    <t>CERÂMICA FACHADA TIPO 1</t>
  </si>
  <si>
    <t>CERÂMICA FACHADA TIPO 2</t>
  </si>
  <si>
    <t>PORCELANATO FACHADA TIPO 1</t>
  </si>
  <si>
    <t>GRANITO FACHADA - TIPO 1</t>
  </si>
  <si>
    <t>MÁRMORE FACHADA TIPO 1</t>
  </si>
  <si>
    <t>SISTEMA PELE DE VIDRO</t>
  </si>
  <si>
    <t>ALUCOBOND</t>
  </si>
  <si>
    <t>FACHADA AERADA</t>
  </si>
  <si>
    <t>FACHADA AERADA COM ACABAMENTO EM GRANITO (VERGAS PARA FIXAÇÃO DOS INSERTS EM BLOCO CANALETA)</t>
  </si>
  <si>
    <t>FACHADA AERADA COM ACABAMENTO EM GRANITO (VERGAS PARA FIXAÇÃO DOS INSERTS EXECUTADA COM GROUT)</t>
  </si>
  <si>
    <t>TEXTURA ACRÍLICA</t>
  </si>
  <si>
    <t>CHAPÉU DE MURO EM CONCRETO LARG. = 17 CM</t>
  </si>
  <si>
    <t>CHAPÉU DE MURO EM CONCRETO LARG. = 23 CM</t>
  </si>
  <si>
    <t>CHAPÉU DE MURO EM CONCRETO LARG. = 30 CM</t>
  </si>
  <si>
    <t>PEITORIL EM GRANITO BRANCO LARG. = 15CM</t>
  </si>
  <si>
    <t>PEITORIL EM GRANITO BRANCO LARG. 17 CM</t>
  </si>
  <si>
    <t>PEITORIL EM GRANITO BRANCO LARG. = 22CM</t>
  </si>
  <si>
    <t>PEITORIL EM GRANITO LARG. = 42 CM (AC3 CINZA)</t>
  </si>
  <si>
    <t>PEITORIL DE MÁRMORE BRANCO LARG. 22CM</t>
  </si>
  <si>
    <t>TRATAMENTO ACÚSTICO</t>
  </si>
  <si>
    <t>FORROS E DIVISÓRIAS</t>
  </si>
  <si>
    <t>FORRO DE GESSO</t>
  </si>
  <si>
    <t>JUNTA METÁLICA DE DILATAÇÃO</t>
  </si>
  <si>
    <t>FORRO DE PVC BRANCO</t>
  </si>
  <si>
    <t>FORRO MINERAL</t>
  </si>
  <si>
    <t>IMPERMEABILIZAÇÃO</t>
  </si>
  <si>
    <t>IMPERMEABILIZAÇÃO DE LAJE PLANA COM MANTA ASFÁLTICA 4 MM</t>
  </si>
  <si>
    <t>IMPERMEABILIZAÇÃO DE JARDINEIRAS COM MANTA ANTI RAIZ 3 MM</t>
  </si>
  <si>
    <t>COBERTURA</t>
  </si>
  <si>
    <t>COBERTURA METÁLICA - ESTRUTURA E TELHAMENTO</t>
  </si>
  <si>
    <t>ESTRUTURA EM MADEIRA PARA COBERTURA</t>
  </si>
  <si>
    <t>TELHA EM FIBROCIMENTO - mo empreiteiro da estrutura cobertura</t>
  </si>
  <si>
    <t>CALHA EM CHAPA METÁLICA - mo empreiteiro da estrutura cobertura</t>
  </si>
  <si>
    <t>RUFO METÁLICO - mo empreiteiro da estrutura cobertura</t>
  </si>
  <si>
    <t>INSTALAÇÕES ELÉTRICAS</t>
  </si>
  <si>
    <t>INSTALAÇÕES ELÉTRICAS - material - estimado</t>
  </si>
  <si>
    <t>INSTALAÇÕES ELÉTRICAS - mão de obra - estimado</t>
  </si>
  <si>
    <t>INSTALAÇÃO DE GRUPO GERADOR - material e mão de obra</t>
  </si>
  <si>
    <t>INSTALAÇÃO SUBESTAÇÃO - material e mão de obra</t>
  </si>
  <si>
    <t>LUMINÁRIAS</t>
  </si>
  <si>
    <t>INSTALAÇÃO DE LUMINÁRIAS - material</t>
  </si>
  <si>
    <t>INSTALAÇÕES DE TELECOMUNICAÇÕES</t>
  </si>
  <si>
    <t>INSTALAÇÕES DE TELECOM - material - estimado</t>
  </si>
  <si>
    <t>INSTALAÇÕES DE TELECOM - mão de obra - estimado</t>
  </si>
  <si>
    <t>SPDA</t>
  </si>
  <si>
    <t>INSTALAÇÃO SPDA - estimado</t>
  </si>
  <si>
    <t>INSTALAÇÕES HIDROSANITÁRIAS</t>
  </si>
  <si>
    <t>INSTALAÇÕES HIDRO-SANITÁRIAS - material - estimado</t>
  </si>
  <si>
    <t>INSTALAÇÕES HIDRO-SANITÁRIAS - mão de obra - estimado</t>
  </si>
  <si>
    <t>GÁS CANALIZADO</t>
  </si>
  <si>
    <t>INSTALAÇÕES DE GÁS CANALIZADO - Estimativa</t>
  </si>
  <si>
    <t>CLIMATIZAÇÃO E EXAUSTÃO</t>
  </si>
  <si>
    <t>AR CONDICIONADO - INFRAESTRUTURA</t>
  </si>
  <si>
    <t>SISTEMA DE EXAUSTÃO</t>
  </si>
  <si>
    <t>INSTALAÇÕES COMBATE INCÊNDIO</t>
  </si>
  <si>
    <t>INSTALAÇÃO DE PREVENÇÃO E COMBATE A INCÊNDIO - material e mão de obra - estimado</t>
  </si>
  <si>
    <t>INSTALAÇÃO DE PREVENÇÃO E COMBATE A INCÊNDIO - SPRINKLERS - estimado</t>
  </si>
  <si>
    <t>SISTEMA DE PRESSURIZAÇÃO ESCADA DE INCÊNDIO</t>
  </si>
  <si>
    <t>INSTALAÇÕES ESPECIAIS</t>
  </si>
  <si>
    <t>SISTEMA DE AQUECIMENTO SOLAR</t>
  </si>
  <si>
    <t>SISTEMA DE ANTENA COLETIVA</t>
  </si>
  <si>
    <t>INTERFONE E AUTOMAÇÃO PORTÃO DE GARAGEM</t>
  </si>
  <si>
    <t>CATRACA PARA ENTRADA DE VEÍCULOS</t>
  </si>
  <si>
    <t>EQUIPAMENTOS PARA PISCINAS</t>
  </si>
  <si>
    <t>EQUIPAMENTOS PARA SAUNA</t>
  </si>
  <si>
    <t>FOSSA SÉPTICA</t>
  </si>
  <si>
    <t>PINTURA</t>
  </si>
  <si>
    <t>PINTURA ACRÍLICA COM EMASSAMENTO</t>
  </si>
  <si>
    <t>PINTURA ACRÍLICA SEM EMASSAMENTO</t>
  </si>
  <si>
    <t>PINTURA ACRÍLICA COM EMASSAMENTO SOBRE GESSO CORRIDO (1/2 MASSA)</t>
  </si>
  <si>
    <t>PINTURA LÁTEX COM EMASSAMENTO</t>
  </si>
  <si>
    <t>PINTURA LÁTEX SEM EMASSAMENTO</t>
  </si>
  <si>
    <t>TEXTURA TIPO GRAFFIATTO</t>
  </si>
  <si>
    <t>TRATAMENTO DE CONCRETO APARENTE</t>
  </si>
  <si>
    <t>PINTURA ESMALTE SOBRE CORRIMÃO METÁLICO</t>
  </si>
  <si>
    <t>PINTURA ESMALTE SOBRE ESQUADRIAS METÁLICAS</t>
  </si>
  <si>
    <t>DEMARCAÇÃO DE VAGAS DE GARAGEM</t>
  </si>
  <si>
    <t>DEMARCAÇÃO DE VAGAS PARA PNE</t>
  </si>
  <si>
    <t>NUMERAÇÃO DE VAGAS DE GARAGEM</t>
  </si>
  <si>
    <t>FAIXA MARCAÇÃO PAREDE GARAGEM COR AMARELA - H=15CM</t>
  </si>
  <si>
    <t>FAIXA MARCAÇÃO PAREDE GARAGEM COR PRETA - H=90CM</t>
  </si>
  <si>
    <t>PINTURA PARA TUBULAÇÃO APARENTE DAS GARAGENS - estimativa</t>
  </si>
  <si>
    <t>PINTURA NOVACOR EM PISO - ESCADA</t>
  </si>
  <si>
    <t>PINTURA SOB PELE DE VIDRO</t>
  </si>
  <si>
    <t>ELEVADORES E EQUIPAMENTOS DIVERSOS</t>
  </si>
  <si>
    <t>ELEVADORES</t>
  </si>
  <si>
    <t>LOUÇAS SANITÁRIAS, METAIS E ACESSÓRIOS</t>
  </si>
  <si>
    <t>BACIA COM CAIXA ACOPLADA TIPO 01</t>
  </si>
  <si>
    <t>BACIA COM CAIXA ACOPLADA TIPO 02</t>
  </si>
  <si>
    <t>BACIA COM CAIXA ACOPLADA TIPO 03</t>
  </si>
  <si>
    <t>BACIA CONVENCIONAL TIPO 01 COM VÁLVULA DE DESCARGA TIPO 01</t>
  </si>
  <si>
    <t>BACIA CONVENCIONAL TIPO 02 COM VÁLVULA DE DESCARGA TIPO 01</t>
  </si>
  <si>
    <t>BACIA CONVENCIONAL TIPO 03 COM VÁLVULA DE DESCARGA TIPO 02</t>
  </si>
  <si>
    <t>BACIA COM CAIXA MONTANA PARA PNE TIPO 01</t>
  </si>
  <si>
    <t>BACIA COM CAIXA MONTANA PARA PNE TIPO 02</t>
  </si>
  <si>
    <t>MICTÓRIO EM LOUÇA COM SIFÃO INTEGRADO TIPO 01</t>
  </si>
  <si>
    <t>MICTÓRIO DE LOUÇA COM SIFÃO INTEGRADO TIPO 02 (c/ cj de instalação p/ mictório)</t>
  </si>
  <si>
    <t>CUBA EM AÇO INOX TIPO 01</t>
  </si>
  <si>
    <t>CUBA EM AÇO INOX TIPO 02</t>
  </si>
  <si>
    <t>CUBA EM AÇO INOX TIPO 03</t>
  </si>
  <si>
    <t>CUBA EM LOUÇA DE EMBUTIR TIPO 01</t>
  </si>
  <si>
    <t>CUBA EM LOUÇA DE EMBUTIR TIPO 02</t>
  </si>
  <si>
    <t>CUBA EM LOUÇA DE EMBUTIR TIPO 03</t>
  </si>
  <si>
    <t>CUBA EM LOUÇA DE SOBREPOR TIPO 01</t>
  </si>
  <si>
    <t>CUBA EM LOUÇA DE SOBREPOR TIPO 02</t>
  </si>
  <si>
    <t>CUBA EM LOUÇA DE SOBREPOR TIPO 03</t>
  </si>
  <si>
    <t>LAVATÓRIO EM LOUÇA COM OU SEM COLUNA TIPO 01</t>
  </si>
  <si>
    <t>LAVATÓRIO EM LOUÇA COM OU SEM COLUNA TIPO 02</t>
  </si>
  <si>
    <t>LAVATÓRIO EM LOUÇA COM OU SEM COLUNA TIPO 03</t>
  </si>
  <si>
    <t>TANQUE EM LOUÇA COM OU SEM COLUNA TIPO 01</t>
  </si>
  <si>
    <t>TANQUE EM LOUÇA COM OU SEM COLUNA TIPO 02</t>
  </si>
  <si>
    <t>TANQUE EM LOUÇA COM OU SEM COLUNA TIPO 03</t>
  </si>
  <si>
    <t>TORNEIRA DE BANHEIRO TIPO 01</t>
  </si>
  <si>
    <t>TORNEIRA DE BANHEIRO TIPO 02</t>
  </si>
  <si>
    <t>TORNEIRA DE BANHEIRO TIPO 03</t>
  </si>
  <si>
    <t>TORNEIRA DE BANHEIRO TIPO 04</t>
  </si>
  <si>
    <t>TORNEIRA DE BANHEIRO TIPO 05</t>
  </si>
  <si>
    <t>TORNEIRA DE COZINHA TIPO 01</t>
  </si>
  <si>
    <t>TORNEIRA DE COZINHA TIPO 02</t>
  </si>
  <si>
    <t>TORNEIRA DE COZINHA TIPO 03</t>
  </si>
  <si>
    <t>TORNEIRA DE COZINHA TIPO 04</t>
  </si>
  <si>
    <t>TORNEIRA DE COZINHA TIPO 05</t>
  </si>
  <si>
    <t>ACABAMENTO TIPO 01</t>
  </si>
  <si>
    <t>ACABAMENTO TIPO 02</t>
  </si>
  <si>
    <t>ACABAMENTO TIPO 03</t>
  </si>
  <si>
    <t>BARRA DE APOIO PNE 01</t>
  </si>
  <si>
    <t>BARRA DE APOIO PNE 02</t>
  </si>
  <si>
    <t>DEMOLIÇÃO DE PASSEIO EXISTENTE</t>
  </si>
  <si>
    <t>MEIO FIO PRÉ MOLDADO DE CONCRETO</t>
  </si>
  <si>
    <t>PASSEIO EM LADRILHO HIDRÁULICO</t>
  </si>
  <si>
    <t>CALÇADA PORTUGUESA</t>
  </si>
  <si>
    <t>CALÇADA PORTUGUESA ASSENTADA COM ARGAMASSA</t>
  </si>
  <si>
    <t>CALÇAMENTO EM PEDRA TIPO PARALELEPÍPEDO</t>
  </si>
  <si>
    <t>PISO TÁTIL TIPO ALERTA - LADRILHO</t>
  </si>
  <si>
    <t>PAVIMENTAÇÃO EM BRITA</t>
  </si>
  <si>
    <t>PISO EM GRANILITE RÚSTICO IMPERMEABILIZADO</t>
  </si>
  <si>
    <t>PAVIMENTAÇÃO ASFÁLTICA</t>
  </si>
  <si>
    <t>FECHAMENTOS</t>
  </si>
  <si>
    <t>CERCAMENTO EM TELA - H=250CM, INCLUSIVE CINTA DE FUNDAÇÃO</t>
  </si>
  <si>
    <t>OBRA</t>
  </si>
  <si>
    <t>NUMERAÇÃO DE APARTAMENTOS / PLACAS / ÁREA COMUM / NOME E NÚMERO DO PRÉDIO</t>
  </si>
  <si>
    <t>CHURRASQUEIRA</t>
  </si>
  <si>
    <t>QUADRA POLIESPORTIVA</t>
  </si>
  <si>
    <t>PUBLICIDADE</t>
  </si>
  <si>
    <t>STAND DE VENDAS</t>
  </si>
  <si>
    <t>MARKETING</t>
  </si>
  <si>
    <t>PAISAGISMO</t>
  </si>
  <si>
    <t>PREPARAÇÃO PARA PAISAGISMO SOBRE LAJE</t>
  </si>
  <si>
    <t>PLANTIO DE JARDINEIRAS SOBRE TERRENO</t>
  </si>
  <si>
    <t>LIMPEZA FINAL DE OBRA</t>
  </si>
  <si>
    <t>LIMPEZA FINAL</t>
  </si>
  <si>
    <t>LIMPEZA DA FACHADA</t>
  </si>
  <si>
    <t>MARCENARIA</t>
  </si>
  <si>
    <t>DEVOLUÇÃO DE CAIXA DE OBRA</t>
  </si>
  <si>
    <t>REEMBOLSO MATERIAIS E SERVIÇOS</t>
  </si>
  <si>
    <t>PLANILHA MODELO EMPREITEIRO - REV.01 - PROJETO COMPOR: Nº 10013</t>
  </si>
  <si>
    <t>CX1701</t>
  </si>
  <si>
    <t>CX1702</t>
  </si>
  <si>
    <t>CX1703</t>
  </si>
  <si>
    <t>IS1261</t>
  </si>
  <si>
    <t>CX1704</t>
  </si>
  <si>
    <t>IS1262</t>
  </si>
  <si>
    <t>CX1705</t>
  </si>
  <si>
    <t>CX1706</t>
  </si>
  <si>
    <t>IS1263</t>
  </si>
  <si>
    <t>CX1707</t>
  </si>
  <si>
    <t>IS0604</t>
  </si>
  <si>
    <t>CX1708</t>
  </si>
  <si>
    <t>IS1264</t>
  </si>
  <si>
    <t>CX1709</t>
  </si>
  <si>
    <t>IS9758</t>
  </si>
  <si>
    <t>CX1710</t>
  </si>
  <si>
    <t>IS1265</t>
  </si>
  <si>
    <t>CX1711</t>
  </si>
  <si>
    <t>CX1712</t>
  </si>
  <si>
    <t>CX1713</t>
  </si>
  <si>
    <t>CX1714</t>
  </si>
  <si>
    <t>IS9750</t>
  </si>
  <si>
    <t>CX1715</t>
  </si>
  <si>
    <t>IS1266</t>
  </si>
  <si>
    <t>CX1716</t>
  </si>
  <si>
    <t>CX1717</t>
  </si>
  <si>
    <t>IS9751</t>
  </si>
  <si>
    <t>CX1718</t>
  </si>
  <si>
    <t>CX1719</t>
  </si>
  <si>
    <t>IS9757</t>
  </si>
  <si>
    <t>CX1720</t>
  </si>
  <si>
    <t>CX1721</t>
  </si>
  <si>
    <t>CX1722</t>
  </si>
  <si>
    <t>CX1723</t>
  </si>
  <si>
    <t>CX1724</t>
  </si>
  <si>
    <t>CX1725</t>
  </si>
  <si>
    <t>CX1726</t>
  </si>
  <si>
    <t>CX1727</t>
  </si>
  <si>
    <t>CX1728</t>
  </si>
  <si>
    <t>CX1729</t>
  </si>
  <si>
    <t>IS3344</t>
  </si>
  <si>
    <t>CX1730</t>
  </si>
  <si>
    <t>IS1282</t>
  </si>
  <si>
    <t>CX1731</t>
  </si>
  <si>
    <t>IS3345</t>
  </si>
  <si>
    <t>CX1732</t>
  </si>
  <si>
    <t>IS1279</t>
  </si>
  <si>
    <t>CX1733</t>
  </si>
  <si>
    <t>CX1734</t>
  </si>
  <si>
    <t>CX1735</t>
  </si>
  <si>
    <t>CX1736</t>
  </si>
  <si>
    <t>IR0010</t>
  </si>
  <si>
    <t>CX1737</t>
  </si>
  <si>
    <t>IS1269</t>
  </si>
  <si>
    <t>CX1738</t>
  </si>
  <si>
    <t>CX1739</t>
  </si>
  <si>
    <t>CX1740</t>
  </si>
  <si>
    <t>CX1741</t>
  </si>
  <si>
    <t>CX1742</t>
  </si>
  <si>
    <t>CX1743</t>
  </si>
  <si>
    <t>CX1744</t>
  </si>
  <si>
    <t>CX1745</t>
  </si>
  <si>
    <t>IS3335</t>
  </si>
  <si>
    <t>CX1746</t>
  </si>
  <si>
    <t>CX1747</t>
  </si>
  <si>
    <t>CX1748</t>
  </si>
  <si>
    <t>IS3334</t>
  </si>
  <si>
    <t>CX1749</t>
  </si>
  <si>
    <t>CX1750</t>
  </si>
  <si>
    <t>CX1751</t>
  </si>
  <si>
    <t>CX1752</t>
  </si>
  <si>
    <t>CX1753</t>
  </si>
  <si>
    <t>CX1754</t>
  </si>
  <si>
    <t>CX1755</t>
  </si>
  <si>
    <t>IH3287</t>
  </si>
  <si>
    <t>CX1756</t>
  </si>
  <si>
    <t>CX1757</t>
  </si>
  <si>
    <t>CX1758</t>
  </si>
  <si>
    <t>CX1759</t>
  </si>
  <si>
    <t>CX1760</t>
  </si>
  <si>
    <t>CX1761</t>
  </si>
  <si>
    <t>CX1762</t>
  </si>
  <si>
    <t>CX1763</t>
  </si>
  <si>
    <t>CX1764</t>
  </si>
  <si>
    <t>CX1765</t>
  </si>
  <si>
    <t>CX1766</t>
  </si>
  <si>
    <t>CX1767</t>
  </si>
  <si>
    <t>CX1768</t>
  </si>
  <si>
    <t>CX1769</t>
  </si>
  <si>
    <t>CX1770</t>
  </si>
  <si>
    <t>CX1771</t>
  </si>
  <si>
    <t>CX1772</t>
  </si>
  <si>
    <t>CX1773</t>
  </si>
  <si>
    <t>CX1774</t>
  </si>
  <si>
    <t>CX1775</t>
  </si>
  <si>
    <t>CX1776</t>
  </si>
  <si>
    <t>CX1777</t>
  </si>
  <si>
    <t>CX1778</t>
  </si>
  <si>
    <t>CX1779</t>
  </si>
  <si>
    <t>IS3336</t>
  </si>
  <si>
    <t>CX1780</t>
  </si>
  <si>
    <t>IS3338</t>
  </si>
  <si>
    <t>CX1781</t>
  </si>
  <si>
    <t>IS3339</t>
  </si>
  <si>
    <t>CX1782</t>
  </si>
  <si>
    <t>IS3356</t>
  </si>
  <si>
    <t>CX1783</t>
  </si>
  <si>
    <t>IS1270</t>
  </si>
  <si>
    <t>CX1784</t>
  </si>
  <si>
    <t>IS3357</t>
  </si>
  <si>
    <t>CX1785</t>
  </si>
  <si>
    <t>IS3360</t>
  </si>
  <si>
    <t>CX1786</t>
  </si>
  <si>
    <t>CX1787</t>
  </si>
  <si>
    <t>IS1288</t>
  </si>
  <si>
    <t>CX1788</t>
  </si>
  <si>
    <t>CX1789</t>
  </si>
  <si>
    <t>CX1790</t>
  </si>
  <si>
    <t>CX1791</t>
  </si>
  <si>
    <t>IE0005</t>
  </si>
  <si>
    <t>CX1792</t>
  </si>
  <si>
    <t>CX1793</t>
  </si>
  <si>
    <t>IE6921</t>
  </si>
  <si>
    <t>CX1794</t>
  </si>
  <si>
    <t>IE9315</t>
  </si>
  <si>
    <t>CX1795</t>
  </si>
  <si>
    <t>CX1796</t>
  </si>
  <si>
    <t>CX1797</t>
  </si>
  <si>
    <t>CX1798</t>
  </si>
  <si>
    <t>CX1799</t>
  </si>
  <si>
    <t>CX1800</t>
  </si>
  <si>
    <t>IE1313</t>
  </si>
  <si>
    <t>CX1801</t>
  </si>
  <si>
    <t>CX1802</t>
  </si>
  <si>
    <t>CX1803</t>
  </si>
  <si>
    <t>CX1804</t>
  </si>
  <si>
    <t>CX1805</t>
  </si>
  <si>
    <t>CX1806</t>
  </si>
  <si>
    <t>CX1807</t>
  </si>
  <si>
    <t>CX1808</t>
  </si>
  <si>
    <t>CX1809</t>
  </si>
  <si>
    <t>CX1810</t>
  </si>
  <si>
    <t>CX1811</t>
  </si>
  <si>
    <t>CX1812</t>
  </si>
  <si>
    <t>CX1813</t>
  </si>
  <si>
    <t>CX1814</t>
  </si>
  <si>
    <t>IE0016</t>
  </si>
  <si>
    <t>CX1815</t>
  </si>
  <si>
    <t>IE6000</t>
  </si>
  <si>
    <t>CX1816</t>
  </si>
  <si>
    <t>CX1817</t>
  </si>
  <si>
    <t>CX1818</t>
  </si>
  <si>
    <t>CX1819</t>
  </si>
  <si>
    <t>CX1820</t>
  </si>
  <si>
    <t>CX1821</t>
  </si>
  <si>
    <t>IE6001</t>
  </si>
  <si>
    <t>IE0011</t>
  </si>
  <si>
    <t>CX1822</t>
  </si>
  <si>
    <t>CX1823</t>
  </si>
  <si>
    <t>CX1824</t>
  </si>
  <si>
    <t>IS4073</t>
  </si>
  <si>
    <t>CX1825</t>
  </si>
  <si>
    <t>IS3348</t>
  </si>
  <si>
    <t>CX1826</t>
  </si>
  <si>
    <t>IS3349</t>
  </si>
  <si>
    <t>CX1827</t>
  </si>
  <si>
    <t>IS3350</t>
  </si>
  <si>
    <t>CX1828</t>
  </si>
  <si>
    <t>IS3351</t>
  </si>
  <si>
    <t>CX1829</t>
  </si>
  <si>
    <t>IS1287</t>
  </si>
  <si>
    <t>CX1830</t>
  </si>
  <si>
    <t>CX1831</t>
  </si>
  <si>
    <t>IS3342</t>
  </si>
  <si>
    <t>CX1832</t>
  </si>
  <si>
    <t>IS3354</t>
  </si>
  <si>
    <t>IS0060</t>
  </si>
  <si>
    <t>CX1833</t>
  </si>
  <si>
    <t>IS3343</t>
  </si>
  <si>
    <t>CX1834</t>
  </si>
  <si>
    <t>IS3362</t>
  </si>
  <si>
    <t>CX1835</t>
  </si>
  <si>
    <t>IS2578</t>
  </si>
  <si>
    <t>CX1836</t>
  </si>
  <si>
    <t>IS3364</t>
  </si>
  <si>
    <t>CX1837</t>
  </si>
  <si>
    <t>IS1285</t>
  </si>
  <si>
    <t>CX1838</t>
  </si>
  <si>
    <t>IS1286</t>
  </si>
  <si>
    <t>CX1839</t>
  </si>
  <si>
    <t>IS1280</t>
  </si>
  <si>
    <t>CX1840</t>
  </si>
  <si>
    <t>IS1284</t>
  </si>
  <si>
    <t>CX1841</t>
  </si>
  <si>
    <t>CX1842</t>
  </si>
  <si>
    <t>CX1843</t>
  </si>
  <si>
    <t>CX1844</t>
  </si>
  <si>
    <t>CX1845</t>
  </si>
  <si>
    <t>CX1846</t>
  </si>
  <si>
    <t>IS1277</t>
  </si>
  <si>
    <t>CX1847</t>
  </si>
  <si>
    <t>CX1848</t>
  </si>
  <si>
    <t>IS3370</t>
  </si>
  <si>
    <t>CX1849</t>
  </si>
  <si>
    <t>CX1850</t>
  </si>
  <si>
    <t>CX1851</t>
  </si>
  <si>
    <t>CX1852</t>
  </si>
  <si>
    <t>CX1853</t>
  </si>
  <si>
    <t>CX1854</t>
  </si>
  <si>
    <t>CX1855</t>
  </si>
  <si>
    <t>CX1856</t>
  </si>
  <si>
    <t>IS1271</t>
  </si>
  <si>
    <t>CX1857</t>
  </si>
  <si>
    <t>CX1858</t>
  </si>
  <si>
    <t>CX1859</t>
  </si>
  <si>
    <t>CX1860</t>
  </si>
  <si>
    <t>CX1861</t>
  </si>
  <si>
    <t>CX1862</t>
  </si>
  <si>
    <t>IS1700</t>
  </si>
  <si>
    <t>CX1863</t>
  </si>
  <si>
    <t>CX1864</t>
  </si>
  <si>
    <t>CX1865</t>
  </si>
  <si>
    <t>CX1866</t>
  </si>
  <si>
    <t>CX1867</t>
  </si>
  <si>
    <t>CX1868</t>
  </si>
  <si>
    <t>CX1869</t>
  </si>
  <si>
    <t>CX1870</t>
  </si>
  <si>
    <t>CX1871</t>
  </si>
  <si>
    <t>CX1872</t>
  </si>
  <si>
    <t>IS1278</t>
  </si>
  <si>
    <t>CX1873</t>
  </si>
  <si>
    <t>CX1874</t>
  </si>
  <si>
    <t>CX1875</t>
  </si>
  <si>
    <t>CX1876</t>
  </si>
  <si>
    <t>CX1877</t>
  </si>
  <si>
    <t>CX1878</t>
  </si>
  <si>
    <t>CX1879</t>
  </si>
  <si>
    <t>CX1880</t>
  </si>
  <si>
    <t>CX1881</t>
  </si>
  <si>
    <t>CX1882</t>
  </si>
  <si>
    <t>CX1883</t>
  </si>
  <si>
    <t>IS5055</t>
  </si>
  <si>
    <t>CX1884</t>
  </si>
  <si>
    <t>IS1220</t>
  </si>
  <si>
    <t>CP1580</t>
  </si>
  <si>
    <t>CX1885</t>
  </si>
  <si>
    <t>CX1886</t>
  </si>
  <si>
    <t>CX1887</t>
  </si>
  <si>
    <t>CX1888</t>
  </si>
  <si>
    <t>CX1889</t>
  </si>
  <si>
    <t>CX1890</t>
  </si>
  <si>
    <t>IS9372</t>
  </si>
  <si>
    <t>CX1891</t>
  </si>
  <si>
    <t>CX1892</t>
  </si>
  <si>
    <t>CX1893</t>
  </si>
  <si>
    <t>CX1894</t>
  </si>
  <si>
    <t>CX1895</t>
  </si>
  <si>
    <t>CX1896</t>
  </si>
  <si>
    <t>CX1897</t>
  </si>
  <si>
    <t>CX1898</t>
  </si>
  <si>
    <t>IS1101</t>
  </si>
  <si>
    <t>CX1899</t>
  </si>
  <si>
    <t>IS1102</t>
  </si>
  <si>
    <t>CX1900</t>
  </si>
  <si>
    <t>IS1103</t>
  </si>
  <si>
    <t>CX1901</t>
  </si>
  <si>
    <t>IS1104</t>
  </si>
  <si>
    <t>CX1902</t>
  </si>
  <si>
    <t>IS1105</t>
  </si>
  <si>
    <t>CX1903</t>
  </si>
  <si>
    <t>IS1106</t>
  </si>
  <si>
    <t>CX1904</t>
  </si>
  <si>
    <t>IS1107</t>
  </si>
  <si>
    <t>CX1905</t>
  </si>
  <si>
    <t>IS1108</t>
  </si>
  <si>
    <t>CX1906</t>
  </si>
  <si>
    <t>IS1109</t>
  </si>
  <si>
    <t>CX1907</t>
  </si>
  <si>
    <t>IS1110</t>
  </si>
  <si>
    <t>CX1908</t>
  </si>
  <si>
    <t>IS1111</t>
  </si>
  <si>
    <t>CX1909</t>
  </si>
  <si>
    <t>IS1112</t>
  </si>
  <si>
    <t>CX1910</t>
  </si>
  <si>
    <t>IS1113</t>
  </si>
  <si>
    <t>CX1911</t>
  </si>
  <si>
    <t>IS1114</t>
  </si>
  <si>
    <t>CX1912</t>
  </si>
  <si>
    <t>IS1115</t>
  </si>
  <si>
    <t>CX1913</t>
  </si>
  <si>
    <t>IS1116</t>
  </si>
  <si>
    <t>CX1914</t>
  </si>
  <si>
    <t>IS1117</t>
  </si>
  <si>
    <t>CX1915</t>
  </si>
  <si>
    <t>IS1118</t>
  </si>
  <si>
    <t>CX1916</t>
  </si>
  <si>
    <t>IS1119</t>
  </si>
  <si>
    <t>CX1917</t>
  </si>
  <si>
    <t>IS1120</t>
  </si>
  <si>
    <t>CX1918</t>
  </si>
  <si>
    <t>IS1121</t>
  </si>
  <si>
    <t>CX1919</t>
  </si>
  <si>
    <t>IS1122</t>
  </si>
  <si>
    <t>CX1920</t>
  </si>
  <si>
    <t>IS1123</t>
  </si>
  <si>
    <t>CX1921</t>
  </si>
  <si>
    <t>IS1124</t>
  </si>
  <si>
    <t>CX1922</t>
  </si>
  <si>
    <t>IS1125</t>
  </si>
  <si>
    <t>CX1923</t>
  </si>
  <si>
    <t>IS1126</t>
  </si>
  <si>
    <t>CX1924</t>
  </si>
  <si>
    <t>IS1127</t>
  </si>
  <si>
    <t>CX1925</t>
  </si>
  <si>
    <t>IS1128</t>
  </si>
  <si>
    <t>CX1926</t>
  </si>
  <si>
    <t>IS1129</t>
  </si>
  <si>
    <t>CX1927</t>
  </si>
  <si>
    <t>IS1130</t>
  </si>
  <si>
    <t>CX1928</t>
  </si>
  <si>
    <t>CX1929</t>
  </si>
  <si>
    <t>CX1930</t>
  </si>
  <si>
    <t>IS1133</t>
  </si>
  <si>
    <t>CX1931</t>
  </si>
  <si>
    <t>CX1932</t>
  </si>
  <si>
    <t>CX1933</t>
  </si>
  <si>
    <t>IS1254</t>
  </si>
  <si>
    <t>CX1934</t>
  </si>
  <si>
    <t>IS1255</t>
  </si>
  <si>
    <t>CX1935</t>
  </si>
  <si>
    <t>IS1256</t>
  </si>
  <si>
    <t>CX1936</t>
  </si>
  <si>
    <t>IS1257</t>
  </si>
  <si>
    <t>CX1937</t>
  </si>
  <si>
    <t>IS1134</t>
  </si>
  <si>
    <t>CX1938</t>
  </si>
  <si>
    <t>IS1135</t>
  </si>
  <si>
    <t>CX1939</t>
  </si>
  <si>
    <t>IS1136</t>
  </si>
  <si>
    <t>CX1940</t>
  </si>
  <si>
    <t>IS1137</t>
  </si>
  <si>
    <t>CX1941</t>
  </si>
  <si>
    <t>IS1138</t>
  </si>
  <si>
    <t>CX1942</t>
  </si>
  <si>
    <t>IS1139</t>
  </si>
  <si>
    <t>CX1943</t>
  </si>
  <si>
    <t>IS1140</t>
  </si>
  <si>
    <t>CX1944</t>
  </si>
  <si>
    <t>IS1141</t>
  </si>
  <si>
    <t>CX1945</t>
  </si>
  <si>
    <t>IS1142</t>
  </si>
  <si>
    <t>CX1946</t>
  </si>
  <si>
    <t>IS1143</t>
  </si>
  <si>
    <t>CX1947</t>
  </si>
  <si>
    <t>IS1144</t>
  </si>
  <si>
    <t>CX1948</t>
  </si>
  <si>
    <t>IS1145</t>
  </si>
  <si>
    <t>CX1949</t>
  </si>
  <si>
    <t>IS1146</t>
  </si>
  <si>
    <t>CX1950</t>
  </si>
  <si>
    <t>IS1147</t>
  </si>
  <si>
    <t>CX1951</t>
  </si>
  <si>
    <t>IS1148</t>
  </si>
  <si>
    <t>CX1952</t>
  </si>
  <si>
    <t>CX1953</t>
  </si>
  <si>
    <t>CX1954</t>
  </si>
  <si>
    <t>IS1259</t>
  </si>
  <si>
    <t>CX1955</t>
  </si>
  <si>
    <t>IS6543</t>
  </si>
  <si>
    <t>CX1956</t>
  </si>
  <si>
    <t>IM6212</t>
  </si>
  <si>
    <t>CX1957</t>
  </si>
  <si>
    <t>CX1958</t>
  </si>
  <si>
    <t>IS1356</t>
  </si>
  <si>
    <t>CX1959</t>
  </si>
  <si>
    <t>CX1960</t>
  </si>
  <si>
    <t>CX1961</t>
  </si>
  <si>
    <t>CX1962</t>
  </si>
  <si>
    <t>IS1213</t>
  </si>
  <si>
    <t>CX1963</t>
  </si>
  <si>
    <t>CX1964</t>
  </si>
  <si>
    <t>CX1965</t>
  </si>
  <si>
    <t>CX1966</t>
  </si>
  <si>
    <t>IS1260</t>
  </si>
  <si>
    <t>CX1967</t>
  </si>
  <si>
    <t>IS9249</t>
  </si>
  <si>
    <t>CX1968</t>
  </si>
  <si>
    <t>CX1969</t>
  </si>
  <si>
    <t>CX1970</t>
  </si>
  <si>
    <t>CX1971</t>
  </si>
  <si>
    <t>CX1972</t>
  </si>
  <si>
    <t>CX1973</t>
  </si>
  <si>
    <t>CX1974</t>
  </si>
  <si>
    <t>CX1975</t>
  </si>
  <si>
    <t>CX1976</t>
  </si>
  <si>
    <t>CX1977</t>
  </si>
  <si>
    <t>CX1978</t>
  </si>
  <si>
    <t>CX1979</t>
  </si>
  <si>
    <t>IS9735</t>
  </si>
  <si>
    <t>CX1980</t>
  </si>
  <si>
    <t>CX1981</t>
  </si>
  <si>
    <t>IS0357</t>
  </si>
  <si>
    <t>CX1982</t>
  </si>
  <si>
    <t>CX1983</t>
  </si>
  <si>
    <t>IS1258</t>
  </si>
  <si>
    <t>CX1984</t>
  </si>
  <si>
    <t>CX1985</t>
  </si>
  <si>
    <t>CX1986</t>
  </si>
  <si>
    <t>IS7051</t>
  </si>
  <si>
    <t>CX1987</t>
  </si>
  <si>
    <t>IO9344</t>
  </si>
  <si>
    <t>CX1988</t>
  </si>
  <si>
    <t>CX1989</t>
  </si>
  <si>
    <t>CX1990</t>
  </si>
  <si>
    <t>CX1991</t>
  </si>
  <si>
    <t>CX1992</t>
  </si>
  <si>
    <t>IO3246</t>
  </si>
  <si>
    <t>CX1993</t>
  </si>
  <si>
    <t>IO6324</t>
  </si>
  <si>
    <t>CX1994</t>
  </si>
  <si>
    <t>CX1995</t>
  </si>
  <si>
    <t>CX1996</t>
  </si>
  <si>
    <t>CX1997</t>
  </si>
  <si>
    <t>CX1998</t>
  </si>
  <si>
    <t>CX1999</t>
  </si>
  <si>
    <t>CX2000</t>
  </si>
  <si>
    <t>CX2002</t>
  </si>
  <si>
    <t>CX2003</t>
  </si>
  <si>
    <t>CX2004</t>
  </si>
  <si>
    <t>CX2006</t>
  </si>
  <si>
    <t>CX2007</t>
  </si>
  <si>
    <t>IS1281</t>
  </si>
  <si>
    <t>CX2008</t>
  </si>
  <si>
    <t>IS1283</t>
  </si>
  <si>
    <t>CX2009</t>
  </si>
  <si>
    <t>CX2010</t>
  </si>
  <si>
    <t>CX2011</t>
  </si>
  <si>
    <t>CX2012</t>
  </si>
  <si>
    <t>001</t>
  </si>
  <si>
    <t>001.001</t>
  </si>
  <si>
    <t>002</t>
  </si>
  <si>
    <t>002.001</t>
  </si>
  <si>
    <t>002.002</t>
  </si>
  <si>
    <t>002.003</t>
  </si>
  <si>
    <t>002.004</t>
  </si>
  <si>
    <t>002.005</t>
  </si>
  <si>
    <t>002.006</t>
  </si>
  <si>
    <t>002.007</t>
  </si>
  <si>
    <t>002.008</t>
  </si>
  <si>
    <t>002.009</t>
  </si>
  <si>
    <t>002.010</t>
  </si>
  <si>
    <t>002.011</t>
  </si>
  <si>
    <t>002.012</t>
  </si>
  <si>
    <t>002.013</t>
  </si>
  <si>
    <t>002.014</t>
  </si>
  <si>
    <t>002.015</t>
  </si>
  <si>
    <t>002.016</t>
  </si>
  <si>
    <t>002.017</t>
  </si>
  <si>
    <t>002.018</t>
  </si>
  <si>
    <t>002.019</t>
  </si>
  <si>
    <t>002.020</t>
  </si>
  <si>
    <t>002.021</t>
  </si>
  <si>
    <t>002.022</t>
  </si>
  <si>
    <t>002.023</t>
  </si>
  <si>
    <t>002.024</t>
  </si>
  <si>
    <t>002.025</t>
  </si>
  <si>
    <t>002.026</t>
  </si>
  <si>
    <t>002.027</t>
  </si>
  <si>
    <t>003</t>
  </si>
  <si>
    <t>003.001</t>
  </si>
  <si>
    <t>003.002</t>
  </si>
  <si>
    <t>003.003</t>
  </si>
  <si>
    <t>003.004</t>
  </si>
  <si>
    <t>003.005</t>
  </si>
  <si>
    <t>003.006</t>
  </si>
  <si>
    <t>004</t>
  </si>
  <si>
    <t>004.001</t>
  </si>
  <si>
    <t>004.002</t>
  </si>
  <si>
    <t>004.003</t>
  </si>
  <si>
    <t>004.004</t>
  </si>
  <si>
    <t>004.005</t>
  </si>
  <si>
    <t>004.006</t>
  </si>
  <si>
    <t>004.007</t>
  </si>
  <si>
    <t>004.008</t>
  </si>
  <si>
    <t>004.009</t>
  </si>
  <si>
    <t>004.010</t>
  </si>
  <si>
    <t>004.011</t>
  </si>
  <si>
    <t>004.012</t>
  </si>
  <si>
    <t>004.013</t>
  </si>
  <si>
    <t>004.014</t>
  </si>
  <si>
    <t>005</t>
  </si>
  <si>
    <t>005.001</t>
  </si>
  <si>
    <t>005.001.001</t>
  </si>
  <si>
    <t>005.001.002</t>
  </si>
  <si>
    <t>005.001.003</t>
  </si>
  <si>
    <t>005.001.004</t>
  </si>
  <si>
    <t>005.001.005</t>
  </si>
  <si>
    <t>005.001.006</t>
  </si>
  <si>
    <t>005.001.007</t>
  </si>
  <si>
    <t>005.001.008</t>
  </si>
  <si>
    <t>005.001.009</t>
  </si>
  <si>
    <t>005.001.010</t>
  </si>
  <si>
    <t>005.001.011</t>
  </si>
  <si>
    <t>005.001.012</t>
  </si>
  <si>
    <t>005.001.013</t>
  </si>
  <si>
    <t>005.001.014</t>
  </si>
  <si>
    <t>005.001.015</t>
  </si>
  <si>
    <t>005.001.016</t>
  </si>
  <si>
    <t>005.001.017</t>
  </si>
  <si>
    <t>005.001.018</t>
  </si>
  <si>
    <t>005.001.019</t>
  </si>
  <si>
    <t>005.001.020</t>
  </si>
  <si>
    <t>005.001.021</t>
  </si>
  <si>
    <t>005.001.022</t>
  </si>
  <si>
    <t>005.001.023</t>
  </si>
  <si>
    <t>005.001.024</t>
  </si>
  <si>
    <t>005.001.025</t>
  </si>
  <si>
    <t>005.001.026</t>
  </si>
  <si>
    <t>005.001.027</t>
  </si>
  <si>
    <t>005.001.028</t>
  </si>
  <si>
    <t>005.001.029</t>
  </si>
  <si>
    <t>005.002</t>
  </si>
  <si>
    <t>005.002.001</t>
  </si>
  <si>
    <t>005.003</t>
  </si>
  <si>
    <t>005.003.001</t>
  </si>
  <si>
    <t>005.003.002</t>
  </si>
  <si>
    <t>005.003.003</t>
  </si>
  <si>
    <t>005.003.004</t>
  </si>
  <si>
    <t>005.003.005</t>
  </si>
  <si>
    <t>005.003.006</t>
  </si>
  <si>
    <t>005.004</t>
  </si>
  <si>
    <t>005.004.001</t>
  </si>
  <si>
    <t>005.004.002</t>
  </si>
  <si>
    <t>005.005</t>
  </si>
  <si>
    <t>005.005.001</t>
  </si>
  <si>
    <t>006</t>
  </si>
  <si>
    <t>006.001</t>
  </si>
  <si>
    <t>006.001.001</t>
  </si>
  <si>
    <t>006.001.002</t>
  </si>
  <si>
    <t>006.001.003</t>
  </si>
  <si>
    <t>006.001.004</t>
  </si>
  <si>
    <t>006.001.005</t>
  </si>
  <si>
    <t>006.001.006</t>
  </si>
  <si>
    <t>006.001.007</t>
  </si>
  <si>
    <t>006.001.008</t>
  </si>
  <si>
    <t>006.001.009</t>
  </si>
  <si>
    <t>006.001.010</t>
  </si>
  <si>
    <t>006.001.011</t>
  </si>
  <si>
    <t>006.001.012</t>
  </si>
  <si>
    <t>006.001.013</t>
  </si>
  <si>
    <t>006.001.014</t>
  </si>
  <si>
    <t>006.001.015</t>
  </si>
  <si>
    <t>006.001.016</t>
  </si>
  <si>
    <t>006.001.017</t>
  </si>
  <si>
    <t>006.001.018</t>
  </si>
  <si>
    <t>006.001.019</t>
  </si>
  <si>
    <t>006.001.020</t>
  </si>
  <si>
    <t>006.001.021</t>
  </si>
  <si>
    <t>006.001.022</t>
  </si>
  <si>
    <t>006.001.023</t>
  </si>
  <si>
    <t>006.001.024</t>
  </si>
  <si>
    <t>006.001.025</t>
  </si>
  <si>
    <t>006.001.026</t>
  </si>
  <si>
    <t>006.001.027</t>
  </si>
  <si>
    <t>006.001.028</t>
  </si>
  <si>
    <t>006.001.029</t>
  </si>
  <si>
    <t>006.001.030</t>
  </si>
  <si>
    <t>006.001.031</t>
  </si>
  <si>
    <t>006.001.032</t>
  </si>
  <si>
    <t>006.001.033</t>
  </si>
  <si>
    <t>006.001.034</t>
  </si>
  <si>
    <t>006.001.035</t>
  </si>
  <si>
    <t>006.001.036</t>
  </si>
  <si>
    <t>006.001.037</t>
  </si>
  <si>
    <t>006.002</t>
  </si>
  <si>
    <t>006.002.001</t>
  </si>
  <si>
    <t>006.002.002</t>
  </si>
  <si>
    <t>006.002.003</t>
  </si>
  <si>
    <t>006.002.004</t>
  </si>
  <si>
    <t>006.002.005</t>
  </si>
  <si>
    <t>006.002.006</t>
  </si>
  <si>
    <t>007</t>
  </si>
  <si>
    <t>007.001</t>
  </si>
  <si>
    <t>007.002</t>
  </si>
  <si>
    <t>007.003</t>
  </si>
  <si>
    <t>007.004</t>
  </si>
  <si>
    <t>007.005</t>
  </si>
  <si>
    <t>007.006</t>
  </si>
  <si>
    <t>007.007</t>
  </si>
  <si>
    <t>007.008</t>
  </si>
  <si>
    <t>007.009</t>
  </si>
  <si>
    <t>008</t>
  </si>
  <si>
    <t>008.001</t>
  </si>
  <si>
    <t>008.001.001</t>
  </si>
  <si>
    <t>008.001.002</t>
  </si>
  <si>
    <t>008.001.003</t>
  </si>
  <si>
    <t>008.002</t>
  </si>
  <si>
    <t>008.002.001</t>
  </si>
  <si>
    <t>008.002.002</t>
  </si>
  <si>
    <t>008.002.003</t>
  </si>
  <si>
    <t>008.002.004</t>
  </si>
  <si>
    <t>009</t>
  </si>
  <si>
    <t>009.001</t>
  </si>
  <si>
    <t>009.002</t>
  </si>
  <si>
    <t>009.003</t>
  </si>
  <si>
    <t>010</t>
  </si>
  <si>
    <t>010.001</t>
  </si>
  <si>
    <t>011</t>
  </si>
  <si>
    <t>011.001</t>
  </si>
  <si>
    <t>011.002</t>
  </si>
  <si>
    <t>011.003</t>
  </si>
  <si>
    <t>011.004</t>
  </si>
  <si>
    <t>011.005</t>
  </si>
  <si>
    <t>011.006</t>
  </si>
  <si>
    <t>011.007</t>
  </si>
  <si>
    <t>012</t>
  </si>
  <si>
    <t>012.001</t>
  </si>
  <si>
    <t>013</t>
  </si>
  <si>
    <t>013.001</t>
  </si>
  <si>
    <t>014</t>
  </si>
  <si>
    <t>014.001</t>
  </si>
  <si>
    <t>014.002</t>
  </si>
  <si>
    <t>015</t>
  </si>
  <si>
    <t>015.001</t>
  </si>
  <si>
    <t>015.002</t>
  </si>
  <si>
    <t>016</t>
  </si>
  <si>
    <t>016.001</t>
  </si>
  <si>
    <t>016.002</t>
  </si>
  <si>
    <t>017</t>
  </si>
  <si>
    <t>017.001</t>
  </si>
  <si>
    <t>017.002</t>
  </si>
  <si>
    <t>017.003</t>
  </si>
  <si>
    <t>017.004</t>
  </si>
  <si>
    <t>017.005</t>
  </si>
  <si>
    <t>017.006</t>
  </si>
  <si>
    <t>017.007</t>
  </si>
  <si>
    <t>018</t>
  </si>
  <si>
    <t>018.001</t>
  </si>
  <si>
    <t>018.001.001</t>
  </si>
  <si>
    <t>018.001.001.001</t>
  </si>
  <si>
    <t>018.001.001.002</t>
  </si>
  <si>
    <t>018.001.001.003</t>
  </si>
  <si>
    <t>018.001.001.004</t>
  </si>
  <si>
    <t>018.001.001.005</t>
  </si>
  <si>
    <t>018.001.001.006</t>
  </si>
  <si>
    <t>018.001.002</t>
  </si>
  <si>
    <t>018.001.002.001</t>
  </si>
  <si>
    <t>018.001.002.002</t>
  </si>
  <si>
    <t>018.001.002.003</t>
  </si>
  <si>
    <t>018.001.002.004</t>
  </si>
  <si>
    <t>018.001.002.005</t>
  </si>
  <si>
    <t>018.001.002.006</t>
  </si>
  <si>
    <t>018.001.003</t>
  </si>
  <si>
    <t>018.001.003.001</t>
  </si>
  <si>
    <t>018.001.003.002</t>
  </si>
  <si>
    <t>018.001.003.003</t>
  </si>
  <si>
    <t>018.001.003.004</t>
  </si>
  <si>
    <t>018.001.003.005</t>
  </si>
  <si>
    <t>018.001.003.006</t>
  </si>
  <si>
    <t>018.002</t>
  </si>
  <si>
    <t>018.002.001</t>
  </si>
  <si>
    <t>018.002.002</t>
  </si>
  <si>
    <t>018.002.003</t>
  </si>
  <si>
    <t>018.002.004</t>
  </si>
  <si>
    <t>018.002.005</t>
  </si>
  <si>
    <t>018.002.006</t>
  </si>
  <si>
    <t>018.002.007</t>
  </si>
  <si>
    <t>018.002.008</t>
  </si>
  <si>
    <t>018.002.009</t>
  </si>
  <si>
    <t>018.002.010</t>
  </si>
  <si>
    <t>018.003</t>
  </si>
  <si>
    <t>018.003.001</t>
  </si>
  <si>
    <t>018.003.001.001</t>
  </si>
  <si>
    <t>018.003.002</t>
  </si>
  <si>
    <t>018.003.002.001</t>
  </si>
  <si>
    <t>018.003.002.002</t>
  </si>
  <si>
    <t>018.003.002.003</t>
  </si>
  <si>
    <t>018.003.002.004</t>
  </si>
  <si>
    <t>018.003.003</t>
  </si>
  <si>
    <t>018.003.003.001</t>
  </si>
  <si>
    <t>018.003.003.002</t>
  </si>
  <si>
    <t>018.003.003.003</t>
  </si>
  <si>
    <t>018.003.003.004</t>
  </si>
  <si>
    <t>018.003.003.005</t>
  </si>
  <si>
    <t>018.003.003.006</t>
  </si>
  <si>
    <t>018.003.003.007</t>
  </si>
  <si>
    <t>018.003.004</t>
  </si>
  <si>
    <t>018.003.004.001</t>
  </si>
  <si>
    <t>018.003.004.002</t>
  </si>
  <si>
    <t>018.003.004.003</t>
  </si>
  <si>
    <t>018.003.005</t>
  </si>
  <si>
    <t>018.003.005.001</t>
  </si>
  <si>
    <t>018.003.005.002</t>
  </si>
  <si>
    <t>018.003.006</t>
  </si>
  <si>
    <t>018.003.006.001</t>
  </si>
  <si>
    <t>018.003.006.002</t>
  </si>
  <si>
    <t>018.003.006.003</t>
  </si>
  <si>
    <t>018.003.007</t>
  </si>
  <si>
    <t>018.003.007.001</t>
  </si>
  <si>
    <t>018.003.007.002</t>
  </si>
  <si>
    <t>018.004</t>
  </si>
  <si>
    <t>018.004.001</t>
  </si>
  <si>
    <t>018.004.001.001</t>
  </si>
  <si>
    <t>018.004.001.002</t>
  </si>
  <si>
    <t>018.004.001.003</t>
  </si>
  <si>
    <t>018.004.002</t>
  </si>
  <si>
    <t>018.004.002.001</t>
  </si>
  <si>
    <t>018.004.002.002</t>
  </si>
  <si>
    <t>018.004.003</t>
  </si>
  <si>
    <t>018.004.003.001</t>
  </si>
  <si>
    <t>018.004.003.002</t>
  </si>
  <si>
    <t>018.004.003.003</t>
  </si>
  <si>
    <t>018.004.004</t>
  </si>
  <si>
    <t>018.004.004.001</t>
  </si>
  <si>
    <t>019</t>
  </si>
  <si>
    <t>019.001</t>
  </si>
  <si>
    <t>019.001.001</t>
  </si>
  <si>
    <t>019.001.001.001</t>
  </si>
  <si>
    <t>019.001.001.002</t>
  </si>
  <si>
    <t>019.001.001.003</t>
  </si>
  <si>
    <t>019.001.001.004</t>
  </si>
  <si>
    <t>019.001.001.005</t>
  </si>
  <si>
    <t>019.001.001.006</t>
  </si>
  <si>
    <t>019.001.001.007</t>
  </si>
  <si>
    <t>019.001.001.008</t>
  </si>
  <si>
    <t>019.001.001.009</t>
  </si>
  <si>
    <t>019.001.001.010</t>
  </si>
  <si>
    <t>019.001.001.011</t>
  </si>
  <si>
    <t>019.001.001.012</t>
  </si>
  <si>
    <t>019.001.002</t>
  </si>
  <si>
    <t>019.001.002.001</t>
  </si>
  <si>
    <t>019.001.002.002</t>
  </si>
  <si>
    <t>019.001.002.003</t>
  </si>
  <si>
    <t>019.001.002.004</t>
  </si>
  <si>
    <t>019.001.002.005</t>
  </si>
  <si>
    <t>019.001.002.006</t>
  </si>
  <si>
    <t>019.001.003</t>
  </si>
  <si>
    <t>019.001.003.001</t>
  </si>
  <si>
    <t>019.001.003.002</t>
  </si>
  <si>
    <t>019.001.003.003</t>
  </si>
  <si>
    <t>019.001.003.004</t>
  </si>
  <si>
    <t>019.001.003.005</t>
  </si>
  <si>
    <t>019.001.003.006</t>
  </si>
  <si>
    <t>019.001.003.007</t>
  </si>
  <si>
    <t>019.001.003.008</t>
  </si>
  <si>
    <t>019.001.003.009</t>
  </si>
  <si>
    <t>019.001.003.010</t>
  </si>
  <si>
    <t>019.001.003.011</t>
  </si>
  <si>
    <t>019.001.003.012</t>
  </si>
  <si>
    <t>019.002</t>
  </si>
  <si>
    <t>019.002.001</t>
  </si>
  <si>
    <t>019.002.002</t>
  </si>
  <si>
    <t>019.002.003</t>
  </si>
  <si>
    <t>019.002.004</t>
  </si>
  <si>
    <t>019.002.005</t>
  </si>
  <si>
    <t>019.002.006</t>
  </si>
  <si>
    <t>019.002.007</t>
  </si>
  <si>
    <t>019.002.008</t>
  </si>
  <si>
    <t>019.002.009</t>
  </si>
  <si>
    <t>019.002.010</t>
  </si>
  <si>
    <t>019.002.011</t>
  </si>
  <si>
    <t>019.002.012</t>
  </si>
  <si>
    <t>019.002.013</t>
  </si>
  <si>
    <t>019.002.014</t>
  </si>
  <si>
    <t>020</t>
  </si>
  <si>
    <t>020.001</t>
  </si>
  <si>
    <t>020.001.001</t>
  </si>
  <si>
    <t>020.001.002</t>
  </si>
  <si>
    <t>020.001.003</t>
  </si>
  <si>
    <t>020.001.004</t>
  </si>
  <si>
    <t>020.001.005</t>
  </si>
  <si>
    <t>020.001.006</t>
  </si>
  <si>
    <t>020.001.007</t>
  </si>
  <si>
    <t>020.001.008</t>
  </si>
  <si>
    <t>020.001.009</t>
  </si>
  <si>
    <t>020.001.010</t>
  </si>
  <si>
    <t>020.001.011</t>
  </si>
  <si>
    <t>020.001.012</t>
  </si>
  <si>
    <t>020.001.013</t>
  </si>
  <si>
    <t>020.001.014</t>
  </si>
  <si>
    <t>020.001.015</t>
  </si>
  <si>
    <t>020.002</t>
  </si>
  <si>
    <t>020.003</t>
  </si>
  <si>
    <t>020.004</t>
  </si>
  <si>
    <t>021</t>
  </si>
  <si>
    <t>021.001</t>
  </si>
  <si>
    <t>021.002</t>
  </si>
  <si>
    <t>021.003</t>
  </si>
  <si>
    <t>021.004</t>
  </si>
  <si>
    <t>021.005</t>
  </si>
  <si>
    <t>021.006</t>
  </si>
  <si>
    <t>021.007</t>
  </si>
  <si>
    <t>021.008</t>
  </si>
  <si>
    <t>021.009</t>
  </si>
  <si>
    <t>021.010</t>
  </si>
  <si>
    <t>021.011</t>
  </si>
  <si>
    <t>021.012</t>
  </si>
  <si>
    <t>021.013</t>
  </si>
  <si>
    <t>021.014</t>
  </si>
  <si>
    <t>021.015</t>
  </si>
  <si>
    <t>021.016</t>
  </si>
  <si>
    <t>022</t>
  </si>
  <si>
    <t>022.001</t>
  </si>
  <si>
    <t>022.002</t>
  </si>
  <si>
    <t>022.003</t>
  </si>
  <si>
    <t>023</t>
  </si>
  <si>
    <t>023.001</t>
  </si>
  <si>
    <t>023.001.001</t>
  </si>
  <si>
    <t>023.001.002</t>
  </si>
  <si>
    <t>023.001.003</t>
  </si>
  <si>
    <t>023.001.005</t>
  </si>
  <si>
    <t>023.001.006</t>
  </si>
  <si>
    <t>023.002</t>
  </si>
  <si>
    <t>023.002.001</t>
  </si>
  <si>
    <t>023.002.002</t>
  </si>
  <si>
    <t>023.002.003</t>
  </si>
  <si>
    <t>023.002.004</t>
  </si>
  <si>
    <t>023.002.005</t>
  </si>
  <si>
    <t>023.003</t>
  </si>
  <si>
    <t>023.003.001</t>
  </si>
  <si>
    <t>023.003.002</t>
  </si>
  <si>
    <t>023.004</t>
  </si>
  <si>
    <t>023.004.001</t>
  </si>
  <si>
    <t>023.004.002</t>
  </si>
  <si>
    <t>023.004.003</t>
  </si>
  <si>
    <t>023.004.004</t>
  </si>
  <si>
    <t>023.005</t>
  </si>
  <si>
    <t>023.005.001</t>
  </si>
  <si>
    <t>023.005.001.001</t>
  </si>
  <si>
    <t>023.005.001.002</t>
  </si>
  <si>
    <t>023.005.002</t>
  </si>
  <si>
    <t>023.005.002.001</t>
  </si>
  <si>
    <t>023.005.002.002</t>
  </si>
  <si>
    <t>023.005.002.003</t>
  </si>
  <si>
    <t>023.005.002.004</t>
  </si>
  <si>
    <t>023.005.002.005</t>
  </si>
  <si>
    <t>023.005.002.006</t>
  </si>
  <si>
    <t>023.005.002.007</t>
  </si>
  <si>
    <t>023.005.002.008</t>
  </si>
  <si>
    <t>023.005.002.009</t>
  </si>
  <si>
    <t>023.006</t>
  </si>
  <si>
    <t>023.006.001</t>
  </si>
  <si>
    <t>023.006.002</t>
  </si>
  <si>
    <t>023.006.003</t>
  </si>
  <si>
    <t>024</t>
  </si>
  <si>
    <t>024.001</t>
  </si>
  <si>
    <t>024.001.001</t>
  </si>
  <si>
    <t>024.001.002</t>
  </si>
  <si>
    <t>024.002</t>
  </si>
  <si>
    <t>024.002.001</t>
  </si>
  <si>
    <t>025</t>
  </si>
  <si>
    <t>025.001</t>
  </si>
  <si>
    <t>025.001.001</t>
  </si>
  <si>
    <t>025.001.002</t>
  </si>
  <si>
    <t>025.001.003</t>
  </si>
  <si>
    <t>025.001.004</t>
  </si>
  <si>
    <t>025.001.005</t>
  </si>
  <si>
    <t>025.001.006</t>
  </si>
  <si>
    <t>025.001.007</t>
  </si>
  <si>
    <t>025.001.008</t>
  </si>
  <si>
    <t>025.001.009</t>
  </si>
  <si>
    <t>025.001.010</t>
  </si>
  <si>
    <t>025.001.011</t>
  </si>
  <si>
    <t>025.001.012</t>
  </si>
  <si>
    <t>025.001.013</t>
  </si>
  <si>
    <t>025.001.014</t>
  </si>
  <si>
    <t>025.001.015</t>
  </si>
  <si>
    <t>025.002</t>
  </si>
  <si>
    <t>025.002.001</t>
  </si>
  <si>
    <t>025.002.001.001</t>
  </si>
  <si>
    <t>025.002.001.002</t>
  </si>
  <si>
    <t>025.002.002</t>
  </si>
  <si>
    <t>025.002.002.001</t>
  </si>
  <si>
    <t>025.002.002.002</t>
  </si>
  <si>
    <t>025.002.002.003</t>
  </si>
  <si>
    <t>025.002.002.004</t>
  </si>
  <si>
    <t>025.002.002.005</t>
  </si>
  <si>
    <t>025.002.002.006</t>
  </si>
  <si>
    <t>025.002.002.007</t>
  </si>
  <si>
    <t>025.002.002.008</t>
  </si>
  <si>
    <t>025.002.002.009</t>
  </si>
  <si>
    <t>025.002.002.010</t>
  </si>
  <si>
    <t>025.002.002.011</t>
  </si>
  <si>
    <t>025.002.002.012</t>
  </si>
  <si>
    <t>025.002.002.013</t>
  </si>
  <si>
    <t>025.002.002.014</t>
  </si>
  <si>
    <t>025.002.002.015</t>
  </si>
  <si>
    <t>025.002.002.016</t>
  </si>
  <si>
    <t>025.002.002.017</t>
  </si>
  <si>
    <t>025.002.002.018</t>
  </si>
  <si>
    <t>025.002.002.019</t>
  </si>
  <si>
    <t>025.002.002.020</t>
  </si>
  <si>
    <t>025.002.002.021</t>
  </si>
  <si>
    <t>025.002.002.022</t>
  </si>
  <si>
    <t>025.002.002.023</t>
  </si>
  <si>
    <t>025.002.002.024</t>
  </si>
  <si>
    <t>025.002.002.025</t>
  </si>
  <si>
    <t>025.002.002.026</t>
  </si>
  <si>
    <t>025.002.002.027</t>
  </si>
  <si>
    <t>025.002.002.028</t>
  </si>
  <si>
    <t>025.002.002.029</t>
  </si>
  <si>
    <t>025.002.002.030</t>
  </si>
  <si>
    <t>025.002.002.031</t>
  </si>
  <si>
    <t>025.002.002.032</t>
  </si>
  <si>
    <t>025.002.002.033</t>
  </si>
  <si>
    <t>025.002.002.034</t>
  </si>
  <si>
    <t>025.002.002.035</t>
  </si>
  <si>
    <t>025.002.002.036</t>
  </si>
  <si>
    <t>025.002.002.037</t>
  </si>
  <si>
    <t>025.002.002.038</t>
  </si>
  <si>
    <t>025.002.002.039</t>
  </si>
  <si>
    <t>025.002.002.040</t>
  </si>
  <si>
    <t>025.002.002.041</t>
  </si>
  <si>
    <t>025.002.002.042</t>
  </si>
  <si>
    <t>025.002.002.043</t>
  </si>
  <si>
    <t>025.002.002.044</t>
  </si>
  <si>
    <t>025.002.002.045</t>
  </si>
  <si>
    <t>025.002.002.046</t>
  </si>
  <si>
    <t>025.003</t>
  </si>
  <si>
    <t>025.003.001</t>
  </si>
  <si>
    <t>025.003.002</t>
  </si>
  <si>
    <t>025.003.003</t>
  </si>
  <si>
    <t>025.003.004</t>
  </si>
  <si>
    <t>025.003.005</t>
  </si>
  <si>
    <t>025.003.006</t>
  </si>
  <si>
    <t>025.003.007</t>
  </si>
  <si>
    <t>025.003.008</t>
  </si>
  <si>
    <t>025.003.009</t>
  </si>
  <si>
    <t>025.003.010</t>
  </si>
  <si>
    <t>025.003.011</t>
  </si>
  <si>
    <t>025.003.012</t>
  </si>
  <si>
    <t>025.003.013</t>
  </si>
  <si>
    <t>025.003.014</t>
  </si>
  <si>
    <t>025.003.015</t>
  </si>
  <si>
    <t>026</t>
  </si>
  <si>
    <t>026.001</t>
  </si>
  <si>
    <t>026.002</t>
  </si>
  <si>
    <t>026.003</t>
  </si>
  <si>
    <t>026.004</t>
  </si>
  <si>
    <t>026.005</t>
  </si>
  <si>
    <t>026.006</t>
  </si>
  <si>
    <t>026.007</t>
  </si>
  <si>
    <t>026.008</t>
  </si>
  <si>
    <t>026.009</t>
  </si>
  <si>
    <t>026.010</t>
  </si>
  <si>
    <t>027</t>
  </si>
  <si>
    <t>027.001</t>
  </si>
  <si>
    <t>027.001.001</t>
  </si>
  <si>
    <t>027.001.002</t>
  </si>
  <si>
    <t>027.001.003</t>
  </si>
  <si>
    <t>027.001.004</t>
  </si>
  <si>
    <t>027.001.005</t>
  </si>
  <si>
    <t>027.001.006</t>
  </si>
  <si>
    <t>027.001.007</t>
  </si>
  <si>
    <t>027.001.008</t>
  </si>
  <si>
    <t>027.002</t>
  </si>
  <si>
    <t>027.002.001</t>
  </si>
  <si>
    <t>027.002.001.001</t>
  </si>
  <si>
    <t>027.002.001.002</t>
  </si>
  <si>
    <t>027.002.001.003</t>
  </si>
  <si>
    <t>027.002.001.004</t>
  </si>
  <si>
    <t>027.002.001.005</t>
  </si>
  <si>
    <t>027.002.001.006</t>
  </si>
  <si>
    <t>027.002.001.007</t>
  </si>
  <si>
    <t>027.002.001.008</t>
  </si>
  <si>
    <t>027.002.001.009</t>
  </si>
  <si>
    <t>027.002.001.010</t>
  </si>
  <si>
    <t>027.002.001.011</t>
  </si>
  <si>
    <t>027.003</t>
  </si>
  <si>
    <t>027.003.001</t>
  </si>
  <si>
    <t>027.003.002</t>
  </si>
  <si>
    <t>027.003.003</t>
  </si>
  <si>
    <t>028</t>
  </si>
  <si>
    <t>028.001</t>
  </si>
  <si>
    <t>028.002</t>
  </si>
  <si>
    <t>028.003</t>
  </si>
  <si>
    <t>028.004</t>
  </si>
  <si>
    <t>028.005</t>
  </si>
  <si>
    <t>028.006</t>
  </si>
  <si>
    <t>029</t>
  </si>
  <si>
    <t>029.001</t>
  </si>
  <si>
    <t>029.002</t>
  </si>
  <si>
    <t>029.003</t>
  </si>
  <si>
    <t>029.004</t>
  </si>
  <si>
    <t>029.005</t>
  </si>
  <si>
    <t>029.006</t>
  </si>
  <si>
    <t>029.007</t>
  </si>
  <si>
    <t>029.008</t>
  </si>
  <si>
    <t>029.009</t>
  </si>
  <si>
    <t>029.010</t>
  </si>
  <si>
    <t>029.010.001</t>
  </si>
  <si>
    <t>029.010.002</t>
  </si>
  <si>
    <t>029.010.003</t>
  </si>
  <si>
    <t>029.011</t>
  </si>
  <si>
    <t>029.012</t>
  </si>
  <si>
    <t>029.013</t>
  </si>
  <si>
    <t>029.014</t>
  </si>
  <si>
    <t>029.015</t>
  </si>
  <si>
    <t>029.016</t>
  </si>
  <si>
    <t>029.017</t>
  </si>
  <si>
    <t>029.018</t>
  </si>
  <si>
    <t>029.019</t>
  </si>
  <si>
    <t>030</t>
  </si>
  <si>
    <t>030.001</t>
  </si>
  <si>
    <t>030.002</t>
  </si>
  <si>
    <t>030.003</t>
  </si>
  <si>
    <t>030.004</t>
  </si>
  <si>
    <t>030.005</t>
  </si>
  <si>
    <t>031</t>
  </si>
  <si>
    <t>031.001</t>
  </si>
  <si>
    <t>031.002</t>
  </si>
  <si>
    <t>031.003</t>
  </si>
  <si>
    <t>032</t>
  </si>
  <si>
    <t>032.001</t>
  </si>
  <si>
    <t>032.002</t>
  </si>
  <si>
    <t>032.003</t>
  </si>
  <si>
    <t>032.004</t>
  </si>
  <si>
    <t>032.005</t>
  </si>
  <si>
    <t>033</t>
  </si>
  <si>
    <t>033.001</t>
  </si>
  <si>
    <t>033.002</t>
  </si>
  <si>
    <t>033.003</t>
  </si>
  <si>
    <t>033.004</t>
  </si>
  <si>
    <t>033.005</t>
  </si>
  <si>
    <t>033.005.001</t>
  </si>
  <si>
    <t>034</t>
  </si>
  <si>
    <t>034.001</t>
  </si>
  <si>
    <t>034.002</t>
  </si>
  <si>
    <t>035</t>
  </si>
  <si>
    <t>035.001</t>
  </si>
  <si>
    <t>036</t>
  </si>
  <si>
    <t>036.001</t>
  </si>
  <si>
    <t>036.002</t>
  </si>
  <si>
    <t>037</t>
  </si>
  <si>
    <t>037.001</t>
  </si>
  <si>
    <t>038</t>
  </si>
  <si>
    <t>038.001</t>
  </si>
  <si>
    <t>038.002</t>
  </si>
  <si>
    <t>039</t>
  </si>
  <si>
    <t>039.001</t>
  </si>
  <si>
    <t>039.002</t>
  </si>
  <si>
    <t>039.003</t>
  </si>
  <si>
    <t>040</t>
  </si>
  <si>
    <t>040.001</t>
  </si>
  <si>
    <t>040.002</t>
  </si>
  <si>
    <t>040.003</t>
  </si>
  <si>
    <t>040.004</t>
  </si>
  <si>
    <t>040.005</t>
  </si>
  <si>
    <t>040.006</t>
  </si>
  <si>
    <t>040.007</t>
  </si>
  <si>
    <t>041</t>
  </si>
  <si>
    <t>041.001</t>
  </si>
  <si>
    <t>041.002</t>
  </si>
  <si>
    <t>041.003</t>
  </si>
  <si>
    <t>041.004</t>
  </si>
  <si>
    <t>041.005</t>
  </si>
  <si>
    <t>041.006</t>
  </si>
  <si>
    <t>041.007</t>
  </si>
  <si>
    <t>041.008</t>
  </si>
  <si>
    <t>041.009</t>
  </si>
  <si>
    <t>041.010</t>
  </si>
  <si>
    <t>041.011</t>
  </si>
  <si>
    <t>041.012</t>
  </si>
  <si>
    <t>041.013</t>
  </si>
  <si>
    <t>041.014</t>
  </si>
  <si>
    <t>041.015</t>
  </si>
  <si>
    <t>041.016</t>
  </si>
  <si>
    <t>041.017</t>
  </si>
  <si>
    <t>041.018</t>
  </si>
  <si>
    <t>042</t>
  </si>
  <si>
    <t>042.001</t>
  </si>
  <si>
    <t>043</t>
  </si>
  <si>
    <t>043.001</t>
  </si>
  <si>
    <t>043.002</t>
  </si>
  <si>
    <t>043.003</t>
  </si>
  <si>
    <t>043.004</t>
  </si>
  <si>
    <t>043.005</t>
  </si>
  <si>
    <t>043.006</t>
  </si>
  <si>
    <t>043.007</t>
  </si>
  <si>
    <t>043.008</t>
  </si>
  <si>
    <t>043.009</t>
  </si>
  <si>
    <t>043.010</t>
  </si>
  <si>
    <t>043.011</t>
  </si>
  <si>
    <t>043.012</t>
  </si>
  <si>
    <t>043.013</t>
  </si>
  <si>
    <t>043.014</t>
  </si>
  <si>
    <t>043.015</t>
  </si>
  <si>
    <t>043.016</t>
  </si>
  <si>
    <t>043.017</t>
  </si>
  <si>
    <t>043.018</t>
  </si>
  <si>
    <t>043.019</t>
  </si>
  <si>
    <t>043.020</t>
  </si>
  <si>
    <t>043.021</t>
  </si>
  <si>
    <t>043.022</t>
  </si>
  <si>
    <t>043.023</t>
  </si>
  <si>
    <t>043.024</t>
  </si>
  <si>
    <t>043.025</t>
  </si>
  <si>
    <t>043.026</t>
  </si>
  <si>
    <t>043.027</t>
  </si>
  <si>
    <t>043.028</t>
  </si>
  <si>
    <t>043.029</t>
  </si>
  <si>
    <t>043.030</t>
  </si>
  <si>
    <t>043.031</t>
  </si>
  <si>
    <t>043.032</t>
  </si>
  <si>
    <t>043.033</t>
  </si>
  <si>
    <t>043.034</t>
  </si>
  <si>
    <t>043.035</t>
  </si>
  <si>
    <t>043.036</t>
  </si>
  <si>
    <t>043.037</t>
  </si>
  <si>
    <t>043.038</t>
  </si>
  <si>
    <t>043.039</t>
  </si>
  <si>
    <t>043.040</t>
  </si>
  <si>
    <t>044</t>
  </si>
  <si>
    <t>044.001</t>
  </si>
  <si>
    <t>044.002</t>
  </si>
  <si>
    <t>044.003</t>
  </si>
  <si>
    <t>044.004</t>
  </si>
  <si>
    <t>044.005</t>
  </si>
  <si>
    <t>044.006</t>
  </si>
  <si>
    <t>044.007</t>
  </si>
  <si>
    <t>044.008</t>
  </si>
  <si>
    <t>044.009</t>
  </si>
  <si>
    <t>044.010</t>
  </si>
  <si>
    <t>044.011</t>
  </si>
  <si>
    <t>044.012</t>
  </si>
  <si>
    <t>044.013</t>
  </si>
  <si>
    <t>044.014</t>
  </si>
  <si>
    <t>044.014.001</t>
  </si>
  <si>
    <t>045</t>
  </si>
  <si>
    <t>045.001</t>
  </si>
  <si>
    <t>045.001.001</t>
  </si>
  <si>
    <t>045.001.002</t>
  </si>
  <si>
    <t>045.001.003</t>
  </si>
  <si>
    <t>045.002</t>
  </si>
  <si>
    <t>045.002.001</t>
  </si>
  <si>
    <t>045.002.002</t>
  </si>
  <si>
    <t>046</t>
  </si>
  <si>
    <t>046.001</t>
  </si>
  <si>
    <t>046.002</t>
  </si>
  <si>
    <t>046.003</t>
  </si>
  <si>
    <t>047</t>
  </si>
  <si>
    <t>047.001</t>
  </si>
  <si>
    <t>047.002</t>
  </si>
  <si>
    <t>IE0002</t>
  </si>
  <si>
    <t>IE0004</t>
  </si>
  <si>
    <t>IE0006</t>
  </si>
  <si>
    <t>IE0007</t>
  </si>
  <si>
    <t>IE0008</t>
  </si>
  <si>
    <t>CAMINHÃO PIPA - estimado</t>
  </si>
  <si>
    <t>IE0010</t>
  </si>
  <si>
    <t>IE0012</t>
  </si>
  <si>
    <t>IE0013</t>
  </si>
  <si>
    <t>IE0014</t>
  </si>
  <si>
    <t>IE0015</t>
  </si>
  <si>
    <t>IE0023</t>
  </si>
  <si>
    <t>IE0024</t>
  </si>
  <si>
    <t>IE0103</t>
  </si>
  <si>
    <t>IE0315</t>
  </si>
  <si>
    <t>IE0317</t>
  </si>
  <si>
    <t>IE0318</t>
  </si>
  <si>
    <t>IE0319</t>
  </si>
  <si>
    <t>IE0320</t>
  </si>
  <si>
    <t>IE0321</t>
  </si>
  <si>
    <t>IE0322</t>
  </si>
  <si>
    <t>IE0324</t>
  </si>
  <si>
    <t>IE0326</t>
  </si>
  <si>
    <t>IE1311</t>
  </si>
  <si>
    <t>IE1312</t>
  </si>
  <si>
    <t>IE1314</t>
  </si>
  <si>
    <t>IE2259</t>
  </si>
  <si>
    <t>IE2268</t>
  </si>
  <si>
    <t>FRESADORA</t>
  </si>
  <si>
    <t>IE2269</t>
  </si>
  <si>
    <t>IE2345</t>
  </si>
  <si>
    <t>MARTELO DEMOLIDOR 5KG</t>
  </si>
  <si>
    <t>PONTEIRO ROMPEDOR SDS</t>
  </si>
  <si>
    <t>IE2587</t>
  </si>
  <si>
    <t>BOMBA MANGOTE 3''</t>
  </si>
  <si>
    <t>IE2985</t>
  </si>
  <si>
    <t>EQUIPAMENTOS - CUSTOS APROPRIADOS</t>
  </si>
  <si>
    <t>IE2987</t>
  </si>
  <si>
    <t>IE3110</t>
  </si>
  <si>
    <t>IE3111</t>
  </si>
  <si>
    <t>IE3112</t>
  </si>
  <si>
    <t>IE3113</t>
  </si>
  <si>
    <t>IE3114</t>
  </si>
  <si>
    <t>IE3115</t>
  </si>
  <si>
    <t>IE3116</t>
  </si>
  <si>
    <t>IE3117</t>
  </si>
  <si>
    <t>IE3624</t>
  </si>
  <si>
    <t>ROMPEDOR HIDRÁULICO</t>
  </si>
  <si>
    <t>IE3694</t>
  </si>
  <si>
    <t>INVERSORA DE SOLDA</t>
  </si>
  <si>
    <t>IE4201</t>
  </si>
  <si>
    <t>MARTELO DEMOLIDOR 18KG</t>
  </si>
  <si>
    <t>IE4202</t>
  </si>
  <si>
    <t>MARTELO DEMOLIDOR 30KG</t>
  </si>
  <si>
    <t>IE5000</t>
  </si>
  <si>
    <t>LUVA VAQUETA</t>
  </si>
  <si>
    <t>IE5687</t>
  </si>
  <si>
    <t>MARTELO ROMPEDOR 16KG</t>
  </si>
  <si>
    <t>IE5698</t>
  </si>
  <si>
    <t>SERRA POLICORTE</t>
  </si>
  <si>
    <t>CAMINHÃO MUNCK (IÇAMENTO DE ARMAÇÃO) - estimado</t>
  </si>
  <si>
    <t>IE6584</t>
  </si>
  <si>
    <t>SOPRADOR TÉRMICO</t>
  </si>
  <si>
    <t>IE6585</t>
  </si>
  <si>
    <t>SOPRADOR DE FOLHAS - BATERIA</t>
  </si>
  <si>
    <t>IE6598</t>
  </si>
  <si>
    <t>MOTOR DE ACIONAMENTO</t>
  </si>
  <si>
    <t>IE8752</t>
  </si>
  <si>
    <t>LOCAÇÃO ESCADA EXTENSIVA</t>
  </si>
  <si>
    <t>IE9000</t>
  </si>
  <si>
    <t>IE9100</t>
  </si>
  <si>
    <t>IE9101</t>
  </si>
  <si>
    <t>IE9102</t>
  </si>
  <si>
    <t>IE9103</t>
  </si>
  <si>
    <t>IE9587</t>
  </si>
  <si>
    <t>BOMBA SUBMERSÍVEL 2"</t>
  </si>
  <si>
    <t>IE9588</t>
  </si>
  <si>
    <t>MANGUEIRA 2"</t>
  </si>
  <si>
    <t>IE9642</t>
  </si>
  <si>
    <t>PODADOR LANÇA</t>
  </si>
  <si>
    <t>IE9950</t>
  </si>
  <si>
    <t>IE9951</t>
  </si>
  <si>
    <t>H</t>
  </si>
  <si>
    <t>IH0005</t>
  </si>
  <si>
    <t>IH0007</t>
  </si>
  <si>
    <t>IH0008</t>
  </si>
  <si>
    <t>IH0011</t>
  </si>
  <si>
    <t>IH0030</t>
  </si>
  <si>
    <t>IH0031</t>
  </si>
  <si>
    <t>IH0032</t>
  </si>
  <si>
    <t>IH0033</t>
  </si>
  <si>
    <t>IH0034</t>
  </si>
  <si>
    <t>IH0035</t>
  </si>
  <si>
    <t>IH0036</t>
  </si>
  <si>
    <t>IH0103</t>
  </si>
  <si>
    <t>IH0130</t>
  </si>
  <si>
    <t>IH0131</t>
  </si>
  <si>
    <t>IH1007</t>
  </si>
  <si>
    <t>IH1008</t>
  </si>
  <si>
    <t>IH1009</t>
  </si>
  <si>
    <t>IH1010</t>
  </si>
  <si>
    <t>IH1011</t>
  </si>
  <si>
    <t>IH1012</t>
  </si>
  <si>
    <t>IH1013</t>
  </si>
  <si>
    <t>IH1014</t>
  </si>
  <si>
    <t>IH1015</t>
  </si>
  <si>
    <t>IH1016</t>
  </si>
  <si>
    <t>IH1017</t>
  </si>
  <si>
    <t>IH1018</t>
  </si>
  <si>
    <t>IH1019</t>
  </si>
  <si>
    <t>IH1020</t>
  </si>
  <si>
    <t>IH1021</t>
  </si>
  <si>
    <t>IH1022</t>
  </si>
  <si>
    <t>IH1023</t>
  </si>
  <si>
    <t>IH1024</t>
  </si>
  <si>
    <t>IH1025</t>
  </si>
  <si>
    <t>IH1026</t>
  </si>
  <si>
    <t>IH1030</t>
  </si>
  <si>
    <t>IH1031</t>
  </si>
  <si>
    <t>IH1032</t>
  </si>
  <si>
    <t>IH1033</t>
  </si>
  <si>
    <t>IH1034</t>
  </si>
  <si>
    <t>IH1035</t>
  </si>
  <si>
    <t>IH1036</t>
  </si>
  <si>
    <t>IH1037</t>
  </si>
  <si>
    <t>IH1038</t>
  </si>
  <si>
    <t>IH1039</t>
  </si>
  <si>
    <t>IH1040</t>
  </si>
  <si>
    <t>IH1050</t>
  </si>
  <si>
    <t>IH1051</t>
  </si>
  <si>
    <t>IH1701</t>
  </si>
  <si>
    <t>IH1702</t>
  </si>
  <si>
    <t>IH2601</t>
  </si>
  <si>
    <t>IH2602</t>
  </si>
  <si>
    <t>IH2603</t>
  </si>
  <si>
    <t>IH2604</t>
  </si>
  <si>
    <t>IH2605</t>
  </si>
  <si>
    <t>IH3001</t>
  </si>
  <si>
    <t>IH3002</t>
  </si>
  <si>
    <t>IH3003</t>
  </si>
  <si>
    <t>IH3004</t>
  </si>
  <si>
    <t>IH3005</t>
  </si>
  <si>
    <t>IH3006</t>
  </si>
  <si>
    <t>IH5001</t>
  </si>
  <si>
    <t>IH5002</t>
  </si>
  <si>
    <t>IH5003</t>
  </si>
  <si>
    <t>IH5004</t>
  </si>
  <si>
    <t>IH5005</t>
  </si>
  <si>
    <t>IH5006</t>
  </si>
  <si>
    <t>IH5007</t>
  </si>
  <si>
    <t>IH6701</t>
  </si>
  <si>
    <t>IH6702</t>
  </si>
  <si>
    <t>IH6703</t>
  </si>
  <si>
    <t>IH6704</t>
  </si>
  <si>
    <t>IH6705</t>
  </si>
  <si>
    <t>IH6706</t>
  </si>
  <si>
    <t>IH6710</t>
  </si>
  <si>
    <t>IH6711</t>
  </si>
  <si>
    <t>IH6712</t>
  </si>
  <si>
    <t>IH6713</t>
  </si>
  <si>
    <t>IH6714</t>
  </si>
  <si>
    <t>IH6715</t>
  </si>
  <si>
    <t>IH6716</t>
  </si>
  <si>
    <t>IH6971</t>
  </si>
  <si>
    <t>LUBRIFICADOR</t>
  </si>
  <si>
    <t>IH7000</t>
  </si>
  <si>
    <t>IH7001</t>
  </si>
  <si>
    <t>IH7003</t>
  </si>
  <si>
    <t>M.O. ALVENARIA TIJOLO FURADO</t>
  </si>
  <si>
    <t>IH7004</t>
  </si>
  <si>
    <t>M.O IMPERMEABILIZAÇÃO</t>
  </si>
  <si>
    <t>IH7005</t>
  </si>
  <si>
    <t>M.O INSTALAÇÃO STUD BOLT</t>
  </si>
  <si>
    <t>IH7006</t>
  </si>
  <si>
    <t>FOLHA DE PAGAMENTO</t>
  </si>
  <si>
    <t>IH8001</t>
  </si>
  <si>
    <t>IH8002</t>
  </si>
  <si>
    <t>IH8003</t>
  </si>
  <si>
    <t>IH8004</t>
  </si>
  <si>
    <t>IH8005</t>
  </si>
  <si>
    <t>IH8006</t>
  </si>
  <si>
    <t>IH8007</t>
  </si>
  <si>
    <t>IH8008</t>
  </si>
  <si>
    <t>IH8009</t>
  </si>
  <si>
    <t>IH8010</t>
  </si>
  <si>
    <t>IH8011</t>
  </si>
  <si>
    <t>IH8012</t>
  </si>
  <si>
    <t>IH8013</t>
  </si>
  <si>
    <t>IH8014</t>
  </si>
  <si>
    <t>IH8015</t>
  </si>
  <si>
    <t>IH8016</t>
  </si>
  <si>
    <t>IH8017</t>
  </si>
  <si>
    <t>IH8018</t>
  </si>
  <si>
    <t>IH8019</t>
  </si>
  <si>
    <t>IH8020</t>
  </si>
  <si>
    <t>IH8021</t>
  </si>
  <si>
    <t>IH8022</t>
  </si>
  <si>
    <t>IH8023</t>
  </si>
  <si>
    <t>IH8024</t>
  </si>
  <si>
    <t>IH8025</t>
  </si>
  <si>
    <t>IH8796</t>
  </si>
  <si>
    <t>CUSTO COM TERMO ADMISSÃO/RESCISÃO</t>
  </si>
  <si>
    <t>IH9040</t>
  </si>
  <si>
    <t>IH9100</t>
  </si>
  <si>
    <t>IH9101</t>
  </si>
  <si>
    <t>IM0038</t>
  </si>
  <si>
    <t>IM0039</t>
  </si>
  <si>
    <t>IM0050</t>
  </si>
  <si>
    <t>IM0051</t>
  </si>
  <si>
    <t>IM0052</t>
  </si>
  <si>
    <t>MECANISMO CAIXA ACOPLADA</t>
  </si>
  <si>
    <t>ARAME RECOZIDO BWG 10 (antigo PG-18)</t>
  </si>
  <si>
    <t>IM0118</t>
  </si>
  <si>
    <t>AREIA LAVADA GROSSA</t>
  </si>
  <si>
    <t>EXPANSOR VEDACIT</t>
  </si>
  <si>
    <t>IM0169</t>
  </si>
  <si>
    <t>IM0171</t>
  </si>
  <si>
    <t>IM0172</t>
  </si>
  <si>
    <t>IM0186</t>
  </si>
  <si>
    <t>IM0200</t>
  </si>
  <si>
    <t>ARGAMASSA INDUSTRIALIZADA (MIX MASSA)</t>
  </si>
  <si>
    <t>IM0261</t>
  </si>
  <si>
    <t>IM0262</t>
  </si>
  <si>
    <t>IM0263</t>
  </si>
  <si>
    <t>IM0264</t>
  </si>
  <si>
    <t>IM0265</t>
  </si>
  <si>
    <t>IM0266</t>
  </si>
  <si>
    <t>IM0267</t>
  </si>
  <si>
    <t>IM0268</t>
  </si>
  <si>
    <t>IM0269</t>
  </si>
  <si>
    <t>IM0270</t>
  </si>
  <si>
    <t>IM0271</t>
  </si>
  <si>
    <t>IM0272</t>
  </si>
  <si>
    <t>IM0273</t>
  </si>
  <si>
    <t>IM0274</t>
  </si>
  <si>
    <t>IM0275</t>
  </si>
  <si>
    <t>IM0276</t>
  </si>
  <si>
    <t>IM0277</t>
  </si>
  <si>
    <t>IM0278</t>
  </si>
  <si>
    <t>IM0306</t>
  </si>
  <si>
    <t>IM0390</t>
  </si>
  <si>
    <t>MANILHA DE CONCRETO DRENAGEM</t>
  </si>
  <si>
    <t>IM0395</t>
  </si>
  <si>
    <t>IM0396</t>
  </si>
  <si>
    <t>IM0397</t>
  </si>
  <si>
    <t>IM0398</t>
  </si>
  <si>
    <t>IM0399</t>
  </si>
  <si>
    <t>IM0407</t>
  </si>
  <si>
    <t>CIMENTO CP-V</t>
  </si>
  <si>
    <t>IM0413</t>
  </si>
  <si>
    <t>IM0505</t>
  </si>
  <si>
    <t>IM0561</t>
  </si>
  <si>
    <t>IM0562</t>
  </si>
  <si>
    <t>IM0563</t>
  </si>
  <si>
    <t>IM0564</t>
  </si>
  <si>
    <t>IM0565</t>
  </si>
  <si>
    <t>IM0566</t>
  </si>
  <si>
    <t>IM0569</t>
  </si>
  <si>
    <t>IM0570</t>
  </si>
  <si>
    <t>IM0571</t>
  </si>
  <si>
    <t>IM0574</t>
  </si>
  <si>
    <t>IM0575</t>
  </si>
  <si>
    <t>IM0576</t>
  </si>
  <si>
    <t>IM0577</t>
  </si>
  <si>
    <t>MASTIQUE REF. TEKVED PU 40 - 310ML</t>
  </si>
  <si>
    <t>IM1000</t>
  </si>
  <si>
    <t>IM1106</t>
  </si>
  <si>
    <t>IM1107</t>
  </si>
  <si>
    <t>IM1108</t>
  </si>
  <si>
    <t>IM1109</t>
  </si>
  <si>
    <t>IM1110</t>
  </si>
  <si>
    <t>IM1111</t>
  </si>
  <si>
    <t>IM1112</t>
  </si>
  <si>
    <t>IM1113</t>
  </si>
  <si>
    <t>IM1114</t>
  </si>
  <si>
    <t>IM1115</t>
  </si>
  <si>
    <t>IM1116</t>
  </si>
  <si>
    <t>IM1117</t>
  </si>
  <si>
    <t>IM1118</t>
  </si>
  <si>
    <t>IM1119</t>
  </si>
  <si>
    <t>IM1120</t>
  </si>
  <si>
    <t>IM1121</t>
  </si>
  <si>
    <t>IM1122</t>
  </si>
  <si>
    <t>IM1123</t>
  </si>
  <si>
    <t>IM1124</t>
  </si>
  <si>
    <t>IM1128</t>
  </si>
  <si>
    <t>IM1129</t>
  </si>
  <si>
    <t>IM1130</t>
  </si>
  <si>
    <t>IM1131</t>
  </si>
  <si>
    <t>IM1132</t>
  </si>
  <si>
    <t>IM1133</t>
  </si>
  <si>
    <t>IM1134</t>
  </si>
  <si>
    <t>IM1135</t>
  </si>
  <si>
    <t>IM1136</t>
  </si>
  <si>
    <t>IM1220</t>
  </si>
  <si>
    <t>IM1345</t>
  </si>
  <si>
    <t>CIMENTO BRANCO ESTRUTURAL</t>
  </si>
  <si>
    <t>IM1515</t>
  </si>
  <si>
    <t>PORCELANATO RETIFICADO GUANABARA 70X70 BEGE-70</t>
  </si>
  <si>
    <t>IM1516</t>
  </si>
  <si>
    <t>PORCELANATO RETIFICADO 70X70 DUNA-70 POLIDO</t>
  </si>
  <si>
    <t>IM1517</t>
  </si>
  <si>
    <t>IM1594</t>
  </si>
  <si>
    <t>IM1598</t>
  </si>
  <si>
    <t>PREGO 18 X 27</t>
  </si>
  <si>
    <t>FERRO CABELO ø8mm</t>
  </si>
  <si>
    <t>MADEIRA SERRADA</t>
  </si>
  <si>
    <t>IM1912</t>
  </si>
  <si>
    <t>IM1913</t>
  </si>
  <si>
    <t>IM2073</t>
  </si>
  <si>
    <t>GUARITA SIMPLES 1,2 X 1,2 X 2,35</t>
  </si>
  <si>
    <t>IM2107</t>
  </si>
  <si>
    <t>IM2114</t>
  </si>
  <si>
    <t>IM2121</t>
  </si>
  <si>
    <t>SARRAFO DE 10 X 2,5 CM</t>
  </si>
  <si>
    <t>IM2203</t>
  </si>
  <si>
    <t>TELA Q138</t>
  </si>
  <si>
    <t>IM2236</t>
  </si>
  <si>
    <t>TELA SOLDADA Q-75</t>
  </si>
  <si>
    <t>IM2300</t>
  </si>
  <si>
    <t>IM2301</t>
  </si>
  <si>
    <t>MASSARANDUBA 10X5CM</t>
  </si>
  <si>
    <t>IM2365</t>
  </si>
  <si>
    <t>TELHA 2.44X1.10 5MM</t>
  </si>
  <si>
    <t>IM2366</t>
  </si>
  <si>
    <t>GANCHO PARA TELHA 250MM PCA 08</t>
  </si>
  <si>
    <t>IM2369</t>
  </si>
  <si>
    <t>PROJETOR RET. SOLAR 72 LEDS</t>
  </si>
  <si>
    <t>IM2537</t>
  </si>
  <si>
    <t>BOTIJÃO DE GÁS</t>
  </si>
  <si>
    <t>MATERIAL PARA CREMALHEIRA</t>
  </si>
  <si>
    <t>ESPAÇADOR NIVELADOR/CERAMICO</t>
  </si>
  <si>
    <t>IM2598</t>
  </si>
  <si>
    <t>IM2623</t>
  </si>
  <si>
    <t>IM2625</t>
  </si>
  <si>
    <t>IM2626</t>
  </si>
  <si>
    <t>IM2627</t>
  </si>
  <si>
    <t>IM2629</t>
  </si>
  <si>
    <t>IM2630</t>
  </si>
  <si>
    <t>IM2631</t>
  </si>
  <si>
    <t>IM2632</t>
  </si>
  <si>
    <t>IM2633</t>
  </si>
  <si>
    <t>IM2634</t>
  </si>
  <si>
    <t>IM2635</t>
  </si>
  <si>
    <t>IM2636</t>
  </si>
  <si>
    <t>IM2637</t>
  </si>
  <si>
    <t>IM2638</t>
  </si>
  <si>
    <t>IM2639</t>
  </si>
  <si>
    <t>IM2739</t>
  </si>
  <si>
    <t>CAIXA DE OBRA</t>
  </si>
  <si>
    <t>IM2789</t>
  </si>
  <si>
    <t>TRELIÇA TR8 C/ 12M</t>
  </si>
  <si>
    <t>CONCRETO USIN. BOMB. FCK 40MPa</t>
  </si>
  <si>
    <t>COMPENSADO PLASTIFICADO 19MM</t>
  </si>
  <si>
    <t>IM2896</t>
  </si>
  <si>
    <t>IM2897</t>
  </si>
  <si>
    <t>IM2906</t>
  </si>
  <si>
    <t>VIGOTA PROTENDIDA VP4111</t>
  </si>
  <si>
    <t>LAJE PROTENDIDA 100X400X80</t>
  </si>
  <si>
    <t>PARAFUSO CASTELO COM BUCHA</t>
  </si>
  <si>
    <t>IM3015</t>
  </si>
  <si>
    <t>CIMENTO QUEIMADO CINZA URBANO 4,2KG ELEGANCE IBRATIN</t>
  </si>
  <si>
    <t>IM3025</t>
  </si>
  <si>
    <t>BLOCO CANALETA 19X19X39CM</t>
  </si>
  <si>
    <t>IM3236</t>
  </si>
  <si>
    <t>COMBUSTÍVEL PARA MAQUINÁRIO</t>
  </si>
  <si>
    <t>IM3265</t>
  </si>
  <si>
    <t>CARRO HIDRÁULICO PALETEIRA</t>
  </si>
  <si>
    <t>IM3269</t>
  </si>
  <si>
    <t>ART CREA</t>
  </si>
  <si>
    <t>APOIO DE NEOPRENE 200x200x10MM</t>
  </si>
  <si>
    <t>IM3490</t>
  </si>
  <si>
    <t>IM3491</t>
  </si>
  <si>
    <t>SARRAFO DE PINUS</t>
  </si>
  <si>
    <t>IM3591</t>
  </si>
  <si>
    <t>ESCORA CONCRETO 2,20M</t>
  </si>
  <si>
    <t>INSERT METALICO INOX 20MM</t>
  </si>
  <si>
    <t>MOURÃO DE CONCRETO 3,2 PONTA VIRADA E ESTICADOR</t>
  </si>
  <si>
    <t>ESPUMA MULTIFLEX CINZA</t>
  </si>
  <si>
    <t>IM3777</t>
  </si>
  <si>
    <t>BIDIM RT16 OU EQUIVALENTE</t>
  </si>
  <si>
    <t>IM4110</t>
  </si>
  <si>
    <t>ARGAMASSA AC-1</t>
  </si>
  <si>
    <t>SIKADUR</t>
  </si>
  <si>
    <t>AÇO CA-50A/60B - material - custo apropriado</t>
  </si>
  <si>
    <t>IM4468</t>
  </si>
  <si>
    <t>IM4587</t>
  </si>
  <si>
    <t>GRANITO FACHADA</t>
  </si>
  <si>
    <t>IM4621</t>
  </si>
  <si>
    <t>VERMICULITA</t>
  </si>
  <si>
    <t>IM4697</t>
  </si>
  <si>
    <t>CIMENTO ASFALTICO SIKA 15KG</t>
  </si>
  <si>
    <t>IM4807</t>
  </si>
  <si>
    <t>IM4875</t>
  </si>
  <si>
    <t>TECIDO PARA PROTEÇAO DE GONDOLAS</t>
  </si>
  <si>
    <t>IM4956</t>
  </si>
  <si>
    <t>COMPRESSOR DE AR COMPRIMIDO</t>
  </si>
  <si>
    <t>IM5119</t>
  </si>
  <si>
    <t>IM5120</t>
  </si>
  <si>
    <t>IM5121</t>
  </si>
  <si>
    <t>IM5122</t>
  </si>
  <si>
    <t>IM5123</t>
  </si>
  <si>
    <t>IM5124</t>
  </si>
  <si>
    <t>IM5125</t>
  </si>
  <si>
    <t>IM5126</t>
  </si>
  <si>
    <t>IM5127</t>
  </si>
  <si>
    <t>IM5128</t>
  </si>
  <si>
    <t>IM5130</t>
  </si>
  <si>
    <t>IM5131</t>
  </si>
  <si>
    <t>IM5132</t>
  </si>
  <si>
    <t>IM5133</t>
  </si>
  <si>
    <t>IM5134</t>
  </si>
  <si>
    <t>IM5135</t>
  </si>
  <si>
    <t>IM5136</t>
  </si>
  <si>
    <t>IM5137</t>
  </si>
  <si>
    <t>IM5138</t>
  </si>
  <si>
    <t>IM5139</t>
  </si>
  <si>
    <t>IM5140</t>
  </si>
  <si>
    <t>IM5142</t>
  </si>
  <si>
    <t>IM5143</t>
  </si>
  <si>
    <t>DESCONTO NF</t>
  </si>
  <si>
    <t>IM5363</t>
  </si>
  <si>
    <t>IM5674</t>
  </si>
  <si>
    <t>CRISTAL INCOLOR TEMPERADO 10MM</t>
  </si>
  <si>
    <t>IM5675</t>
  </si>
  <si>
    <t>CRISTAL INCOLOR TEMPERADO 8MM</t>
  </si>
  <si>
    <t>IM5683</t>
  </si>
  <si>
    <t>IM5684</t>
  </si>
  <si>
    <t>MADEIRA PINUS BRUTO 3M (100 PONT)</t>
  </si>
  <si>
    <t>IM5687</t>
  </si>
  <si>
    <t>IM5698</t>
  </si>
  <si>
    <t>ESPAÇADOR PARA FUNDAÇÃO</t>
  </si>
  <si>
    <t>IM5699</t>
  </si>
  <si>
    <t>TELA ALAMBRADO</t>
  </si>
  <si>
    <t>IM5786</t>
  </si>
  <si>
    <t>PRIMOR PREMIUM</t>
  </si>
  <si>
    <t>IM5851</t>
  </si>
  <si>
    <t>TELA SOLDADA Q-283</t>
  </si>
  <si>
    <t>IM5874</t>
  </si>
  <si>
    <t>MATERIAL DE PINTURA</t>
  </si>
  <si>
    <t>NÍVEL LASER</t>
  </si>
  <si>
    <t>TRIPÉ NÍVEL LASER</t>
  </si>
  <si>
    <t>IM6521</t>
  </si>
  <si>
    <t>FITA PARA ECOGRANITO</t>
  </si>
  <si>
    <t>IM6523</t>
  </si>
  <si>
    <t>IM6565</t>
  </si>
  <si>
    <t>MATERIAIS DIVERSOS SERRALHERIA</t>
  </si>
  <si>
    <t>IM6584</t>
  </si>
  <si>
    <t>CARRINHO DE MÃO</t>
  </si>
  <si>
    <t>IM6587</t>
  </si>
  <si>
    <t>CANALETA U 14X19X30</t>
  </si>
  <si>
    <t>IM6589</t>
  </si>
  <si>
    <t>IM6597</t>
  </si>
  <si>
    <t>ARAME RECOZIDO PG 11 BWG 16</t>
  </si>
  <si>
    <t>IM6598</t>
  </si>
  <si>
    <t>QUIMICO INJECÇÃO HIT-RE 500 ARMAÇÃO</t>
  </si>
  <si>
    <t>IM6599</t>
  </si>
  <si>
    <t>ESTICADOR ARAME LISO</t>
  </si>
  <si>
    <t>IM6702</t>
  </si>
  <si>
    <t>IM6703</t>
  </si>
  <si>
    <t>IM6704</t>
  </si>
  <si>
    <t>IM6705</t>
  </si>
  <si>
    <t>IM6706</t>
  </si>
  <si>
    <t>IM6707</t>
  </si>
  <si>
    <t>IM6708</t>
  </si>
  <si>
    <t>IM6709</t>
  </si>
  <si>
    <t>IM6710</t>
  </si>
  <si>
    <t>IM6711</t>
  </si>
  <si>
    <t>IM6712</t>
  </si>
  <si>
    <t>IM6713</t>
  </si>
  <si>
    <t>IM6714</t>
  </si>
  <si>
    <t>IM6715</t>
  </si>
  <si>
    <t>IM6716</t>
  </si>
  <si>
    <t>IM6717</t>
  </si>
  <si>
    <t>IM6718</t>
  </si>
  <si>
    <t>IM6719</t>
  </si>
  <si>
    <t>IM6720</t>
  </si>
  <si>
    <t>IM6721</t>
  </si>
  <si>
    <t>IM6722</t>
  </si>
  <si>
    <t>IM6723</t>
  </si>
  <si>
    <t>IM6724</t>
  </si>
  <si>
    <t>IM6725</t>
  </si>
  <si>
    <t>IM6726</t>
  </si>
  <si>
    <t>IM6727</t>
  </si>
  <si>
    <t>IM6728</t>
  </si>
  <si>
    <t>IM6729</t>
  </si>
  <si>
    <t>IM6730</t>
  </si>
  <si>
    <t>IM6731</t>
  </si>
  <si>
    <t>IM6732</t>
  </si>
  <si>
    <t>IM6733</t>
  </si>
  <si>
    <t>IM6734</t>
  </si>
  <si>
    <t>IM6735</t>
  </si>
  <si>
    <t>IM6736</t>
  </si>
  <si>
    <t>IM6737</t>
  </si>
  <si>
    <t>IM6738</t>
  </si>
  <si>
    <t>IM6739</t>
  </si>
  <si>
    <t>IM6740</t>
  </si>
  <si>
    <t>IM6741</t>
  </si>
  <si>
    <t>IM6742</t>
  </si>
  <si>
    <t>IM6743</t>
  </si>
  <si>
    <t>IM6744</t>
  </si>
  <si>
    <t>IM6745</t>
  </si>
  <si>
    <t>IM6746</t>
  </si>
  <si>
    <t>IM6747</t>
  </si>
  <si>
    <t>IM6748</t>
  </si>
  <si>
    <t>IM6749</t>
  </si>
  <si>
    <t>IM6750</t>
  </si>
  <si>
    <t>IM6751</t>
  </si>
  <si>
    <t>IM6752</t>
  </si>
  <si>
    <t>IM6753</t>
  </si>
  <si>
    <t>IM6754</t>
  </si>
  <si>
    <t>IM6755</t>
  </si>
  <si>
    <t>IM6756</t>
  </si>
  <si>
    <t>IM6757</t>
  </si>
  <si>
    <t>IM6758</t>
  </si>
  <si>
    <t>IM6759</t>
  </si>
  <si>
    <t>IM6760</t>
  </si>
  <si>
    <t>IM6761</t>
  </si>
  <si>
    <t>IM6762</t>
  </si>
  <si>
    <t>IM6763</t>
  </si>
  <si>
    <t>IM6764</t>
  </si>
  <si>
    <t>IM6765</t>
  </si>
  <si>
    <t>IM6767</t>
  </si>
  <si>
    <t>IM6768</t>
  </si>
  <si>
    <t>IM6769</t>
  </si>
  <si>
    <t>IM6784</t>
  </si>
  <si>
    <t>PEDRA BRITADA SOLO BRITA</t>
  </si>
  <si>
    <t>IM6788</t>
  </si>
  <si>
    <t>ESPAÇADOR PARA FERRAGEM</t>
  </si>
  <si>
    <t>IM6971</t>
  </si>
  <si>
    <t>GESSO EM PÓ</t>
  </si>
  <si>
    <t>IM7000</t>
  </si>
  <si>
    <t>IMPERMEABILIZANTE</t>
  </si>
  <si>
    <t>MANGUEIRA PARA TIRANTE</t>
  </si>
  <si>
    <t>LONA PRETA TALUDE</t>
  </si>
  <si>
    <t>SIKADUR 31 1KG</t>
  </si>
  <si>
    <t>DENVERMANTA PRIMER ACQUA</t>
  </si>
  <si>
    <t>ADESIVO ESTRUTURAL</t>
  </si>
  <si>
    <t>LONA TRANSPARENTE LONAX 6X100</t>
  </si>
  <si>
    <t>MATERIAL PROTEÇÃO DE EQUIPAMENTOS</t>
  </si>
  <si>
    <t>DESCONTO EM CIMENTO</t>
  </si>
  <si>
    <t>CP II-E-32 RS</t>
  </si>
  <si>
    <t>CP V-ARI MAX</t>
  </si>
  <si>
    <t>BRITA/AREIA PRE OBRA</t>
  </si>
  <si>
    <t>BICA CORRIDA</t>
  </si>
  <si>
    <t>AREIA ARTIFICIAL/BRITA</t>
  </si>
  <si>
    <t>ARGAMASSA EXPANSIVA</t>
  </si>
  <si>
    <t>SUPERGROUT</t>
  </si>
  <si>
    <t>MADEIRA PARA CONTENÇÃO</t>
  </si>
  <si>
    <t>MADEIRA PARA BLOCOS</t>
  </si>
  <si>
    <t>IM7018</t>
  </si>
  <si>
    <t>MADEIRA PARA APARALIXO</t>
  </si>
  <si>
    <t>IM7019</t>
  </si>
  <si>
    <t>ALUGUEL DE FORMA ATEX</t>
  </si>
  <si>
    <t>IM7020</t>
  </si>
  <si>
    <t>MADEIRA PARA PLATAFORMAS</t>
  </si>
  <si>
    <t>IM7021</t>
  </si>
  <si>
    <t>MADEIRA PARA ESTRUTURA</t>
  </si>
  <si>
    <t>IM7022</t>
  </si>
  <si>
    <t>BLOCO PARA CORTINA DE CONTENÇÃO</t>
  </si>
  <si>
    <t>IM7023</t>
  </si>
  <si>
    <t>TIJOLO/TELA SUPER-ESTRUTURA</t>
  </si>
  <si>
    <t>IM7125</t>
  </si>
  <si>
    <t>LONA CARRETEIRO</t>
  </si>
  <si>
    <t>IM7302</t>
  </si>
  <si>
    <t>BARONE 1</t>
  </si>
  <si>
    <t>IM7329</t>
  </si>
  <si>
    <t>IM7330</t>
  </si>
  <si>
    <t>IM7331</t>
  </si>
  <si>
    <t>IM7332</t>
  </si>
  <si>
    <t>IM7333</t>
  </si>
  <si>
    <t>IM7334</t>
  </si>
  <si>
    <t>IM7335</t>
  </si>
  <si>
    <t>IM7336</t>
  </si>
  <si>
    <t>IM7338</t>
  </si>
  <si>
    <t>IM7342</t>
  </si>
  <si>
    <t>IM7343</t>
  </si>
  <si>
    <t>IM7344</t>
  </si>
  <si>
    <t>IM7345</t>
  </si>
  <si>
    <t>IM7346</t>
  </si>
  <si>
    <t>IM7347</t>
  </si>
  <si>
    <t>IM7348</t>
  </si>
  <si>
    <t>IM7349</t>
  </si>
  <si>
    <t>IM7350</t>
  </si>
  <si>
    <t>IM7351</t>
  </si>
  <si>
    <t>IM7353</t>
  </si>
  <si>
    <t>IM7354</t>
  </si>
  <si>
    <t>IM7355</t>
  </si>
  <si>
    <t>IM7356</t>
  </si>
  <si>
    <t>IM7357</t>
  </si>
  <si>
    <t>IM7358</t>
  </si>
  <si>
    <t>IM7359</t>
  </si>
  <si>
    <t>IM7360</t>
  </si>
  <si>
    <t>IM7361</t>
  </si>
  <si>
    <t>IM7362</t>
  </si>
  <si>
    <t>IM7363</t>
  </si>
  <si>
    <t>IM7364</t>
  </si>
  <si>
    <t>IM7365</t>
  </si>
  <si>
    <t>IM7366</t>
  </si>
  <si>
    <t>IM7367</t>
  </si>
  <si>
    <t>IM7368</t>
  </si>
  <si>
    <t>IM7369</t>
  </si>
  <si>
    <t>IM7370</t>
  </si>
  <si>
    <t>IM7371</t>
  </si>
  <si>
    <t>IM7372</t>
  </si>
  <si>
    <t>IM7373</t>
  </si>
  <si>
    <t>IM7374</t>
  </si>
  <si>
    <t>IM7375</t>
  </si>
  <si>
    <t>IM7376</t>
  </si>
  <si>
    <t>IM7377</t>
  </si>
  <si>
    <t>IM7378</t>
  </si>
  <si>
    <t>IM7379</t>
  </si>
  <si>
    <t>IM7380</t>
  </si>
  <si>
    <t>IM7381</t>
  </si>
  <si>
    <t>IM7383</t>
  </si>
  <si>
    <t>IM7384</t>
  </si>
  <si>
    <t>IM7385</t>
  </si>
  <si>
    <t>IM7386</t>
  </si>
  <si>
    <t>IM7387</t>
  </si>
  <si>
    <t>IM7388</t>
  </si>
  <si>
    <t>IM7389</t>
  </si>
  <si>
    <t>IM7390</t>
  </si>
  <si>
    <t>IM7391</t>
  </si>
  <si>
    <t>IM7392</t>
  </si>
  <si>
    <t>IM7402</t>
  </si>
  <si>
    <t>IM7625</t>
  </si>
  <si>
    <t>PEDRA DE MÃO</t>
  </si>
  <si>
    <t>IM7652</t>
  </si>
  <si>
    <t>MARMITEIRO 50 MARMITAS</t>
  </si>
  <si>
    <t>IM7894</t>
  </si>
  <si>
    <t>ARAME GALVANIZADO E FARPADO</t>
  </si>
  <si>
    <t>IM7895</t>
  </si>
  <si>
    <t>BARRA DE ANCORAGEM 5/8 0,4M</t>
  </si>
  <si>
    <t>IM7984</t>
  </si>
  <si>
    <t>ESQUADRIAS - CUSTOS APROPRIADOS</t>
  </si>
  <si>
    <t>IM7985</t>
  </si>
  <si>
    <t>VERMICULITA EXPANDIDA</t>
  </si>
  <si>
    <t>IM8204</t>
  </si>
  <si>
    <t>IM8205</t>
  </si>
  <si>
    <t>PIA BOJO EM MASSA MARMORÉ SINT.</t>
  </si>
  <si>
    <t>IM8206</t>
  </si>
  <si>
    <t>PIA BOJO EM INOX MARMORÉ SINT.</t>
  </si>
  <si>
    <t>IM8742</t>
  </si>
  <si>
    <t>ESCANTILHÃO PARA ALVENARIA</t>
  </si>
  <si>
    <t>IM8753</t>
  </si>
  <si>
    <t>PEDRAS FINAS - CUSTOS APROPRIADOS</t>
  </si>
  <si>
    <t>IM8796</t>
  </si>
  <si>
    <t>VÁLVULA HIDRÁULICA DE ACIONAMENTO PARA PISO</t>
  </si>
  <si>
    <t>IM8798</t>
  </si>
  <si>
    <t>PISO METÁLICO 1X1,5</t>
  </si>
  <si>
    <t>IM8799</t>
  </si>
  <si>
    <t>CONJUNTO GUARDA CORPO 1,5M 4 PEÇAS</t>
  </si>
  <si>
    <t>ARAME RECOZIDO RETORCIDO</t>
  </si>
  <si>
    <t>IM8970</t>
  </si>
  <si>
    <t>IM8971</t>
  </si>
  <si>
    <t>IM8972</t>
  </si>
  <si>
    <t>IM8973</t>
  </si>
  <si>
    <t>IM8974</t>
  </si>
  <si>
    <t>IM8975</t>
  </si>
  <si>
    <t>IM8976</t>
  </si>
  <si>
    <t>IM8977</t>
  </si>
  <si>
    <t>IM8978</t>
  </si>
  <si>
    <t>IM8979</t>
  </si>
  <si>
    <t>IM8980</t>
  </si>
  <si>
    <t>IM8981</t>
  </si>
  <si>
    <t>IM8982</t>
  </si>
  <si>
    <t>IM8983</t>
  </si>
  <si>
    <t>IM8984</t>
  </si>
  <si>
    <t>IM8985</t>
  </si>
  <si>
    <t>IM8986</t>
  </si>
  <si>
    <t>IM8987</t>
  </si>
  <si>
    <t>IM8988</t>
  </si>
  <si>
    <t>IM8989</t>
  </si>
  <si>
    <t>IM8990</t>
  </si>
  <si>
    <t>IM8991</t>
  </si>
  <si>
    <t>IM8992</t>
  </si>
  <si>
    <t>IM8993</t>
  </si>
  <si>
    <t>IM8994</t>
  </si>
  <si>
    <t>IM8995</t>
  </si>
  <si>
    <t>IM8996</t>
  </si>
  <si>
    <t>IM8997</t>
  </si>
  <si>
    <t>IM8998</t>
  </si>
  <si>
    <t>IM8999</t>
  </si>
  <si>
    <t>IM9000</t>
  </si>
  <si>
    <t>IM9001</t>
  </si>
  <si>
    <t>IM9002</t>
  </si>
  <si>
    <t>IM9003</t>
  </si>
  <si>
    <t>IM9004</t>
  </si>
  <si>
    <t>IM9005</t>
  </si>
  <si>
    <t>IM9006</t>
  </si>
  <si>
    <t>IM9007</t>
  </si>
  <si>
    <t>IM9008</t>
  </si>
  <si>
    <t>IM9031</t>
  </si>
  <si>
    <t>IM9032</t>
  </si>
  <si>
    <t>IM9033</t>
  </si>
  <si>
    <t>IM9034</t>
  </si>
  <si>
    <t>IM9035</t>
  </si>
  <si>
    <t>IM9036</t>
  </si>
  <si>
    <t>IM9037</t>
  </si>
  <si>
    <t>IM9038</t>
  </si>
  <si>
    <t>IM9039</t>
  </si>
  <si>
    <t>IM9040</t>
  </si>
  <si>
    <t>IM9041</t>
  </si>
  <si>
    <t>IM9042</t>
  </si>
  <si>
    <t>IM9043</t>
  </si>
  <si>
    <t>IM9044</t>
  </si>
  <si>
    <t>IM9046</t>
  </si>
  <si>
    <t>IM9047</t>
  </si>
  <si>
    <t>IM9048</t>
  </si>
  <si>
    <t>IM9050</t>
  </si>
  <si>
    <t>IM9051</t>
  </si>
  <si>
    <t>IM9052</t>
  </si>
  <si>
    <t>IM9053</t>
  </si>
  <si>
    <t>IM9054</t>
  </si>
  <si>
    <t>IM9055</t>
  </si>
  <si>
    <t>IM9056</t>
  </si>
  <si>
    <t>IM9057</t>
  </si>
  <si>
    <t>IM9058</t>
  </si>
  <si>
    <t>IM9059</t>
  </si>
  <si>
    <t>IM9060</t>
  </si>
  <si>
    <t>CONCRETO BOMBEADO FCK 40,0 MPA - TRAÇO ESPECIAL</t>
  </si>
  <si>
    <t>IM9091</t>
  </si>
  <si>
    <t>IM9092</t>
  </si>
  <si>
    <t>IM9093</t>
  </si>
  <si>
    <t>IM9094</t>
  </si>
  <si>
    <t>IM9095</t>
  </si>
  <si>
    <t>IM9096</t>
  </si>
  <si>
    <t>IM9097</t>
  </si>
  <si>
    <t>IM9098</t>
  </si>
  <si>
    <t>IM9099</t>
  </si>
  <si>
    <t>IM9100</t>
  </si>
  <si>
    <t>IM9108</t>
  </si>
  <si>
    <t>IM9109</t>
  </si>
  <si>
    <t>IM9110</t>
  </si>
  <si>
    <t>IM9111</t>
  </si>
  <si>
    <t>IM9112</t>
  </si>
  <si>
    <t>IM9113</t>
  </si>
  <si>
    <t>IM9114</t>
  </si>
  <si>
    <t>IM9115</t>
  </si>
  <si>
    <t>IM9116</t>
  </si>
  <si>
    <t>IM9117</t>
  </si>
  <si>
    <t>IM9118</t>
  </si>
  <si>
    <t>IM9119</t>
  </si>
  <si>
    <t>IM9120</t>
  </si>
  <si>
    <t>IM9178</t>
  </si>
  <si>
    <t>FECHADURA STAM CR 803/11</t>
  </si>
  <si>
    <t>IM9180</t>
  </si>
  <si>
    <t>IM9202</t>
  </si>
  <si>
    <t>IM9203</t>
  </si>
  <si>
    <t>IM9204</t>
  </si>
  <si>
    <t>IM9205</t>
  </si>
  <si>
    <t>IM9206</t>
  </si>
  <si>
    <t>IM9207</t>
  </si>
  <si>
    <t>IM9208</t>
  </si>
  <si>
    <t>IM9452</t>
  </si>
  <si>
    <t>BANCO PRÉ-MOLDADO</t>
  </si>
  <si>
    <t>IM9502</t>
  </si>
  <si>
    <t>IM9503</t>
  </si>
  <si>
    <t>IM9504</t>
  </si>
  <si>
    <t>IM9514</t>
  </si>
  <si>
    <t>CENTRALIZADOR PARA TUBULÃO</t>
  </si>
  <si>
    <t>RIPAS TRAVAMENTO DE VIGAS</t>
  </si>
  <si>
    <t>IM9640</t>
  </si>
  <si>
    <t>IM9641</t>
  </si>
  <si>
    <t>IM9642</t>
  </si>
  <si>
    <t>IM9643</t>
  </si>
  <si>
    <t>IM9644</t>
  </si>
  <si>
    <t>AÇO CA-50 / CA-60 - BARRA</t>
  </si>
  <si>
    <t>IM9645</t>
  </si>
  <si>
    <t>IM9646</t>
  </si>
  <si>
    <t>IM9647</t>
  </si>
  <si>
    <t>IM9648</t>
  </si>
  <si>
    <t>IM9649</t>
  </si>
  <si>
    <t>IM9650</t>
  </si>
  <si>
    <t>IM9651</t>
  </si>
  <si>
    <t>IM9652</t>
  </si>
  <si>
    <t>IM9653</t>
  </si>
  <si>
    <t>IM9654</t>
  </si>
  <si>
    <t>IM9655</t>
  </si>
  <si>
    <t>IM9656</t>
  </si>
  <si>
    <t>IM9657</t>
  </si>
  <si>
    <t>IM9658</t>
  </si>
  <si>
    <t>IM9661</t>
  </si>
  <si>
    <t>IM9662</t>
  </si>
  <si>
    <t>IM9663</t>
  </si>
  <si>
    <t>IM9664</t>
  </si>
  <si>
    <t>IM9665</t>
  </si>
  <si>
    <t>IM9666</t>
  </si>
  <si>
    <t>IM9668</t>
  </si>
  <si>
    <t>IM9669</t>
  </si>
  <si>
    <t>IM9670</t>
  </si>
  <si>
    <t>IM9671</t>
  </si>
  <si>
    <t>IM9672</t>
  </si>
  <si>
    <t>IM9673</t>
  </si>
  <si>
    <t>IM9674</t>
  </si>
  <si>
    <t>IM9675</t>
  </si>
  <si>
    <t>IM9676</t>
  </si>
  <si>
    <t>IM9677</t>
  </si>
  <si>
    <t>IM9678</t>
  </si>
  <si>
    <t>IM9679</t>
  </si>
  <si>
    <t>IM9680</t>
  </si>
  <si>
    <t>IM9681</t>
  </si>
  <si>
    <t>IM9682</t>
  </si>
  <si>
    <t>IM9683</t>
  </si>
  <si>
    <t>IM9684</t>
  </si>
  <si>
    <t>IM9685</t>
  </si>
  <si>
    <t>IM9686</t>
  </si>
  <si>
    <t>IM9687</t>
  </si>
  <si>
    <t>IM9688</t>
  </si>
  <si>
    <t>IM9782</t>
  </si>
  <si>
    <t>ITENS CHURRASCO</t>
  </si>
  <si>
    <t>IM9821</t>
  </si>
  <si>
    <t>REBOCO PRONTO</t>
  </si>
  <si>
    <t>IM9845</t>
  </si>
  <si>
    <t>CIMENTO CP III-32</t>
  </si>
  <si>
    <t>IM9876</t>
  </si>
  <si>
    <t>GUIA DE CONCRETO 50X20X7CM</t>
  </si>
  <si>
    <t>IM9878</t>
  </si>
  <si>
    <t>PINTURA APARA LIXO</t>
  </si>
  <si>
    <t>IN2001</t>
  </si>
  <si>
    <t>IN2002</t>
  </si>
  <si>
    <t>IN2003</t>
  </si>
  <si>
    <t>IN2004</t>
  </si>
  <si>
    <t>IN2005</t>
  </si>
  <si>
    <t>IN2006</t>
  </si>
  <si>
    <t>IN2007</t>
  </si>
  <si>
    <t>IN2008</t>
  </si>
  <si>
    <t>IN2009</t>
  </si>
  <si>
    <t>IN2010</t>
  </si>
  <si>
    <t>IN2011</t>
  </si>
  <si>
    <t>IN2012</t>
  </si>
  <si>
    <t>IN2013</t>
  </si>
  <si>
    <t>IN2014</t>
  </si>
  <si>
    <t>IN2015</t>
  </si>
  <si>
    <t>IN2016</t>
  </si>
  <si>
    <t>IN2017</t>
  </si>
  <si>
    <t>EQUIPAMENTOS/CHURRASQUEIRA - aguardando custo do cliente</t>
  </si>
  <si>
    <t>IN2018</t>
  </si>
  <si>
    <t>IN2019</t>
  </si>
  <si>
    <t>IN2020</t>
  </si>
  <si>
    <t>IN3008</t>
  </si>
  <si>
    <t>IN3009</t>
  </si>
  <si>
    <t>IN3010</t>
  </si>
  <si>
    <t>IN3011</t>
  </si>
  <si>
    <t>IN3012</t>
  </si>
  <si>
    <t>IN3013</t>
  </si>
  <si>
    <t>IN3014</t>
  </si>
  <si>
    <t>IN3016</t>
  </si>
  <si>
    <t>IN3017</t>
  </si>
  <si>
    <t>IN3018</t>
  </si>
  <si>
    <t>IN3022</t>
  </si>
  <si>
    <t>IN3023</t>
  </si>
  <si>
    <t>IN3024</t>
  </si>
  <si>
    <t>IN3025</t>
  </si>
  <si>
    <t>IN3027</t>
  </si>
  <si>
    <t>IN3028</t>
  </si>
  <si>
    <t>IN3029</t>
  </si>
  <si>
    <t>IN3030</t>
  </si>
  <si>
    <t>IN3031</t>
  </si>
  <si>
    <t>IN3032</t>
  </si>
  <si>
    <t>IN3034</t>
  </si>
  <si>
    <t>IN3035</t>
  </si>
  <si>
    <t>IN3036</t>
  </si>
  <si>
    <t>IN3037</t>
  </si>
  <si>
    <t>IN3044</t>
  </si>
  <si>
    <t>IN5000</t>
  </si>
  <si>
    <t>IN5005</t>
  </si>
  <si>
    <t>IN5006</t>
  </si>
  <si>
    <t>IN5007</t>
  </si>
  <si>
    <t>IN5008</t>
  </si>
  <si>
    <t>IN5009</t>
  </si>
  <si>
    <t>IN5010</t>
  </si>
  <si>
    <t>IN5011</t>
  </si>
  <si>
    <t>IN5012</t>
  </si>
  <si>
    <t>IN5013</t>
  </si>
  <si>
    <t>IN5014</t>
  </si>
  <si>
    <t>IN5015</t>
  </si>
  <si>
    <t>IO0254</t>
  </si>
  <si>
    <t>IO0273</t>
  </si>
  <si>
    <t>IO1430</t>
  </si>
  <si>
    <t>IO1431</t>
  </si>
  <si>
    <t>IO1432</t>
  </si>
  <si>
    <t>IO1433</t>
  </si>
  <si>
    <t>IO1434</t>
  </si>
  <si>
    <t>IO1435</t>
  </si>
  <si>
    <t>IO1436</t>
  </si>
  <si>
    <t>IO1437</t>
  </si>
  <si>
    <t>IO1438</t>
  </si>
  <si>
    <t>IO1440</t>
  </si>
  <si>
    <t>IO1441</t>
  </si>
  <si>
    <t>IO1721</t>
  </si>
  <si>
    <t>IO3000</t>
  </si>
  <si>
    <t>IO7203</t>
  </si>
  <si>
    <t>IO7204</t>
  </si>
  <si>
    <t>IO7205</t>
  </si>
  <si>
    <t>IO7206</t>
  </si>
  <si>
    <t>IO7207</t>
  </si>
  <si>
    <t>IO7208</t>
  </si>
  <si>
    <t>IO7209</t>
  </si>
  <si>
    <t>IO7210</t>
  </si>
  <si>
    <t>IO7211</t>
  </si>
  <si>
    <t>IO7212</t>
  </si>
  <si>
    <t>IO7213</t>
  </si>
  <si>
    <t>IO7214</t>
  </si>
  <si>
    <t>IO7215</t>
  </si>
  <si>
    <t>IO7216</t>
  </si>
  <si>
    <t>IO7217</t>
  </si>
  <si>
    <t>IO7218</t>
  </si>
  <si>
    <t>IO7219</t>
  </si>
  <si>
    <t>IO7220</t>
  </si>
  <si>
    <t>IO7221</t>
  </si>
  <si>
    <t>IO7222</t>
  </si>
  <si>
    <t>IO7223</t>
  </si>
  <si>
    <t>IO7224</t>
  </si>
  <si>
    <t>IO7225</t>
  </si>
  <si>
    <t>IO7226</t>
  </si>
  <si>
    <t>IO7227</t>
  </si>
  <si>
    <t>IO7228</t>
  </si>
  <si>
    <t>IO7229</t>
  </si>
  <si>
    <t>IO7230</t>
  </si>
  <si>
    <t>IO7231</t>
  </si>
  <si>
    <t>IO7232</t>
  </si>
  <si>
    <t>IO7233</t>
  </si>
  <si>
    <t>IO7234</t>
  </si>
  <si>
    <t>IO7235</t>
  </si>
  <si>
    <t>IO7236</t>
  </si>
  <si>
    <t>IO7237</t>
  </si>
  <si>
    <t>IO7238</t>
  </si>
  <si>
    <t>IO7239</t>
  </si>
  <si>
    <t>IO7240</t>
  </si>
  <si>
    <t>IO7241</t>
  </si>
  <si>
    <t>IO7242</t>
  </si>
  <si>
    <t>IO7243</t>
  </si>
  <si>
    <t>IO7244</t>
  </si>
  <si>
    <t>IO7245</t>
  </si>
  <si>
    <t>IO7246</t>
  </si>
  <si>
    <t>IO7247</t>
  </si>
  <si>
    <t>IO7248</t>
  </si>
  <si>
    <t>IO7249</t>
  </si>
  <si>
    <t>IO7250</t>
  </si>
  <si>
    <t>IO7251</t>
  </si>
  <si>
    <t>IO7252</t>
  </si>
  <si>
    <t>IO7253</t>
  </si>
  <si>
    <t>IO7254</t>
  </si>
  <si>
    <t>IO7255</t>
  </si>
  <si>
    <t>IO7256</t>
  </si>
  <si>
    <t>IO7257</t>
  </si>
  <si>
    <t>IO7258</t>
  </si>
  <si>
    <t>IO7259</t>
  </si>
  <si>
    <t>IO7260</t>
  </si>
  <si>
    <t>IO7261</t>
  </si>
  <si>
    <t>IO7262</t>
  </si>
  <si>
    <t>IO7263</t>
  </si>
  <si>
    <t>IO7264</t>
  </si>
  <si>
    <t>IO7265</t>
  </si>
  <si>
    <t>IO7266</t>
  </si>
  <si>
    <t>IO7267</t>
  </si>
  <si>
    <t>IO7268</t>
  </si>
  <si>
    <t>IO7269</t>
  </si>
  <si>
    <t>IO7270</t>
  </si>
  <si>
    <t>IO7271</t>
  </si>
  <si>
    <t>IO7272</t>
  </si>
  <si>
    <t>IO7273</t>
  </si>
  <si>
    <t>IO7274</t>
  </si>
  <si>
    <t>IO7275</t>
  </si>
  <si>
    <t>IO7276</t>
  </si>
  <si>
    <t>IO7277</t>
  </si>
  <si>
    <t>IO7278</t>
  </si>
  <si>
    <t>IO7279</t>
  </si>
  <si>
    <t>IO7280</t>
  </si>
  <si>
    <t>IO7281</t>
  </si>
  <si>
    <t>IO7282</t>
  </si>
  <si>
    <t>IO7283</t>
  </si>
  <si>
    <t>IO7284</t>
  </si>
  <si>
    <t>IO7285</t>
  </si>
  <si>
    <t>IO7286</t>
  </si>
  <si>
    <t>IO7287</t>
  </si>
  <si>
    <t>IO7288</t>
  </si>
  <si>
    <t>IO7289</t>
  </si>
  <si>
    <t>IO7290</t>
  </si>
  <si>
    <t>IO7291</t>
  </si>
  <si>
    <t>IO7502</t>
  </si>
  <si>
    <t>IO7503</t>
  </si>
  <si>
    <t>IO7504</t>
  </si>
  <si>
    <t>IO7505</t>
  </si>
  <si>
    <t>IO7506</t>
  </si>
  <si>
    <t>IO7507</t>
  </si>
  <si>
    <t>IO7508</t>
  </si>
  <si>
    <t>IO7509</t>
  </si>
  <si>
    <t>IO9615</t>
  </si>
  <si>
    <t>CAMPAINHA SEM FIO</t>
  </si>
  <si>
    <t>IR0002</t>
  </si>
  <si>
    <t>CERAMICA SD</t>
  </si>
  <si>
    <t>IR0003</t>
  </si>
  <si>
    <t>PINO CONEC S/ CERAMICA</t>
  </si>
  <si>
    <t>IR0013</t>
  </si>
  <si>
    <t>MADEIRITE</t>
  </si>
  <si>
    <t>IR0014</t>
  </si>
  <si>
    <t>PEÇA DE PINUS</t>
  </si>
  <si>
    <t>IR0015</t>
  </si>
  <si>
    <t>TIJOLO FURADO</t>
  </si>
  <si>
    <t>IR0016</t>
  </si>
  <si>
    <t>TELA TAPUME 1,2X50M</t>
  </si>
  <si>
    <t>IR0017</t>
  </si>
  <si>
    <t>TINTA PISO B PRETO 18L</t>
  </si>
  <si>
    <t>IR0021</t>
  </si>
  <si>
    <t>ANTIFERRUGEM PRETO 3.6L</t>
  </si>
  <si>
    <t>IR0022</t>
  </si>
  <si>
    <t>PNEU P/ CARRINHO RODA LONA</t>
  </si>
  <si>
    <t>IR0024</t>
  </si>
  <si>
    <t>BOMBA P/ PNEU RODA LONA</t>
  </si>
  <si>
    <t>IR0026</t>
  </si>
  <si>
    <t>CANALETA LADO PITAGORAS</t>
  </si>
  <si>
    <t>IR0028</t>
  </si>
  <si>
    <t>PROTEÇÃO PASSIVA EST MET</t>
  </si>
  <si>
    <t>IR0030</t>
  </si>
  <si>
    <t>TELA Q159</t>
  </si>
  <si>
    <t>IR0031</t>
  </si>
  <si>
    <t>THINNER COMUM 5L</t>
  </si>
  <si>
    <t>IR0032</t>
  </si>
  <si>
    <t>ESTOPA 1/2 KG</t>
  </si>
  <si>
    <t>IR0033</t>
  </si>
  <si>
    <t>GALVITE 3.6L</t>
  </si>
  <si>
    <t>IR0035</t>
  </si>
  <si>
    <t>THINNER COMUM 9L</t>
  </si>
  <si>
    <t>IR0036</t>
  </si>
  <si>
    <t>IR0037</t>
  </si>
  <si>
    <t>ESMALTE PRETO FOSCO 3,6L</t>
  </si>
  <si>
    <t>IR0038</t>
  </si>
  <si>
    <t>SUVINIL RENDE COBRE MUITO B BRANCO 18L</t>
  </si>
  <si>
    <t>IR0039</t>
  </si>
  <si>
    <t>VERNIZ ACRILICO B</t>
  </si>
  <si>
    <t>IR0041</t>
  </si>
  <si>
    <t>TELA Q-92</t>
  </si>
  <si>
    <t>IR0042</t>
  </si>
  <si>
    <t>IR0044</t>
  </si>
  <si>
    <t>GRANITO PC 1,78X0,22</t>
  </si>
  <si>
    <t>IR0045</t>
  </si>
  <si>
    <t>GRANITO PC 3,63X3,34</t>
  </si>
  <si>
    <t>IR0046</t>
  </si>
  <si>
    <t>GRANITO PC 3,32X0,33</t>
  </si>
  <si>
    <t>IR0047</t>
  </si>
  <si>
    <t>GRANITO PC 3,32X0,140</t>
  </si>
  <si>
    <t>IR0048</t>
  </si>
  <si>
    <t>GRANITO PC 3,460X3,333</t>
  </si>
  <si>
    <t>IR0049</t>
  </si>
  <si>
    <t>MARTELO DEMOLIDOR 10KG</t>
  </si>
  <si>
    <t>IR0050</t>
  </si>
  <si>
    <t>MANGOTE 35MM</t>
  </si>
  <si>
    <t>IR0051</t>
  </si>
  <si>
    <t>THINNER COMUM 18L</t>
  </si>
  <si>
    <t>IR0052</t>
  </si>
  <si>
    <t>MANTA ASFALTICA VEDACIT 4MM</t>
  </si>
  <si>
    <t>IR0053</t>
  </si>
  <si>
    <t>ECOPRIMER BRANCO</t>
  </si>
  <si>
    <t>IR0054</t>
  </si>
  <si>
    <t>M.O LIMPEZAS</t>
  </si>
  <si>
    <t>IR0056</t>
  </si>
  <si>
    <t>GRANITO PC 3,333X0,330</t>
  </si>
  <si>
    <t>IR0057</t>
  </si>
  <si>
    <t>GRANITO PC 3,33X0,140</t>
  </si>
  <si>
    <t>IR0058</t>
  </si>
  <si>
    <t>GRANITO PC 3,66X3,33</t>
  </si>
  <si>
    <t>IR0059</t>
  </si>
  <si>
    <t>GRANITO PC 3,330X0,170</t>
  </si>
  <si>
    <t>IR0060</t>
  </si>
  <si>
    <t>GRANITO PC 4,530X3,330</t>
  </si>
  <si>
    <t>IR0061</t>
  </si>
  <si>
    <t>ESPELHO DE GRANITO</t>
  </si>
  <si>
    <t>IR0064</t>
  </si>
  <si>
    <t>PERFIL U ENRIJECIDO</t>
  </si>
  <si>
    <t>IR0065</t>
  </si>
  <si>
    <t>CHAPA DE AÇO 22,40x350x580</t>
  </si>
  <si>
    <t>IR0066</t>
  </si>
  <si>
    <t>CHAPA DE AÇO 16,0x140x550</t>
  </si>
  <si>
    <t>IR0067</t>
  </si>
  <si>
    <t>CHAPA DE AÇO 16,0x140x950</t>
  </si>
  <si>
    <t>IR0068</t>
  </si>
  <si>
    <t>CHAPA DE AÇO 9,50x384x83</t>
  </si>
  <si>
    <t>IR0069</t>
  </si>
  <si>
    <t>CHAPA DE AÇO 6,30x130x280</t>
  </si>
  <si>
    <t>IR0070</t>
  </si>
  <si>
    <t>CHAPA DE AÇO 6,30x280x83</t>
  </si>
  <si>
    <t>IR0071</t>
  </si>
  <si>
    <t>BARRA DE AÇO 5/8</t>
  </si>
  <si>
    <t>IR0072</t>
  </si>
  <si>
    <t>CHAPA DE AÇO 16,00x260x150</t>
  </si>
  <si>
    <t>IR0073</t>
  </si>
  <si>
    <t>CHAPA DE AÇO 2,00x400x300</t>
  </si>
  <si>
    <t>IR0074</t>
  </si>
  <si>
    <t>CHAPA DE AÇO 3,00x580x350</t>
  </si>
  <si>
    <t>IR0075</t>
  </si>
  <si>
    <t>BARRA DE AÇO 7/8</t>
  </si>
  <si>
    <t>IR0076</t>
  </si>
  <si>
    <t>BLOCO DE CONCRETO 19X19X39</t>
  </si>
  <si>
    <t>SERVIÇO PRESTADO ESCAVAÇÃO TUBULÃO</t>
  </si>
  <si>
    <t>TRANSPORTE BLOCOS E DISTRIBUIÇÃO</t>
  </si>
  <si>
    <t>IS0078</t>
  </si>
  <si>
    <t>IS0107</t>
  </si>
  <si>
    <t>IS0108</t>
  </si>
  <si>
    <t>IS0180</t>
  </si>
  <si>
    <t>IS0240</t>
  </si>
  <si>
    <t>IS0260</t>
  </si>
  <si>
    <t>IS0281</t>
  </si>
  <si>
    <t>IS0283</t>
  </si>
  <si>
    <t>IS0284</t>
  </si>
  <si>
    <t>PROJETO DE INSTALAÇÕES ELÉTRICAS / TELECOMUNICAÇÕES</t>
  </si>
  <si>
    <t>IS0312</t>
  </si>
  <si>
    <t>IS0313</t>
  </si>
  <si>
    <t>IS0358</t>
  </si>
  <si>
    <t>IS0425</t>
  </si>
  <si>
    <t>IS0428</t>
  </si>
  <si>
    <t>PREVISÃO DE PASSAGEM</t>
  </si>
  <si>
    <t>IS0460</t>
  </si>
  <si>
    <t>IS0465</t>
  </si>
  <si>
    <t>IS0466</t>
  </si>
  <si>
    <t>IS0470</t>
  </si>
  <si>
    <t>IS0490</t>
  </si>
  <si>
    <t>IS0491</t>
  </si>
  <si>
    <t>IS0492</t>
  </si>
  <si>
    <t>IS0493</t>
  </si>
  <si>
    <t>IS0494</t>
  </si>
  <si>
    <t>IS0495</t>
  </si>
  <si>
    <t>IS0496</t>
  </si>
  <si>
    <t>IS0497</t>
  </si>
  <si>
    <t>IS0498</t>
  </si>
  <si>
    <t>IS0499</t>
  </si>
  <si>
    <t>IS0500</t>
  </si>
  <si>
    <t>IS0509</t>
  </si>
  <si>
    <t>IS0520</t>
  </si>
  <si>
    <t>IS0530</t>
  </si>
  <si>
    <t>IS0534</t>
  </si>
  <si>
    <t>IS0535</t>
  </si>
  <si>
    <t>IS0601</t>
  </si>
  <si>
    <t>IS0603</t>
  </si>
  <si>
    <t>IS0605</t>
  </si>
  <si>
    <t>IS0606</t>
  </si>
  <si>
    <t>IS0667</t>
  </si>
  <si>
    <t>IS0668</t>
  </si>
  <si>
    <t>IS0669</t>
  </si>
  <si>
    <t>IS0729</t>
  </si>
  <si>
    <t>IS0730</t>
  </si>
  <si>
    <t>IS0731</t>
  </si>
  <si>
    <t>IS0732</t>
  </si>
  <si>
    <t>IS0735</t>
  </si>
  <si>
    <t>IS0736</t>
  </si>
  <si>
    <t>IS0737</t>
  </si>
  <si>
    <t>IS0738</t>
  </si>
  <si>
    <t>IS0739</t>
  </si>
  <si>
    <t>IS0740</t>
  </si>
  <si>
    <t>IS0741</t>
  </si>
  <si>
    <t>IS0742</t>
  </si>
  <si>
    <t>IS0743</t>
  </si>
  <si>
    <t>IS0744</t>
  </si>
  <si>
    <t>IS0745</t>
  </si>
  <si>
    <t>IS0746</t>
  </si>
  <si>
    <t>IS0747</t>
  </si>
  <si>
    <t>IS0748</t>
  </si>
  <si>
    <t>IS0749</t>
  </si>
  <si>
    <t>IS0750</t>
  </si>
  <si>
    <t>IS0751</t>
  </si>
  <si>
    <t>IS0752</t>
  </si>
  <si>
    <t>IS0753</t>
  </si>
  <si>
    <t>IS0754</t>
  </si>
  <si>
    <t>IS0755</t>
  </si>
  <si>
    <t>IS0756</t>
  </si>
  <si>
    <t>IS0757</t>
  </si>
  <si>
    <t>IS0758</t>
  </si>
  <si>
    <t>IS0759</t>
  </si>
  <si>
    <t>IS0760</t>
  </si>
  <si>
    <t>IS0761</t>
  </si>
  <si>
    <t>IS0762</t>
  </si>
  <si>
    <t>IS0763</t>
  </si>
  <si>
    <t>IS0764</t>
  </si>
  <si>
    <t>IS0765</t>
  </si>
  <si>
    <t>IS0766</t>
  </si>
  <si>
    <t>IS0767</t>
  </si>
  <si>
    <t>IS0768</t>
  </si>
  <si>
    <t>IS0769</t>
  </si>
  <si>
    <t>IS0770</t>
  </si>
  <si>
    <t>IS0771</t>
  </si>
  <si>
    <t>IS0772</t>
  </si>
  <si>
    <t>IS0773</t>
  </si>
  <si>
    <t>IS0775</t>
  </si>
  <si>
    <t>IS0776</t>
  </si>
  <si>
    <t>IS0777</t>
  </si>
  <si>
    <t>IS0778</t>
  </si>
  <si>
    <t>IS0779</t>
  </si>
  <si>
    <t>IS0780</t>
  </si>
  <si>
    <t>IS0781</t>
  </si>
  <si>
    <t>IS0782</t>
  </si>
  <si>
    <t>IS0783</t>
  </si>
  <si>
    <t>IS0784</t>
  </si>
  <si>
    <t>IS0785</t>
  </si>
  <si>
    <t>INDUSTRIALIZAÇÃO DE ESTRUTURA METALICA</t>
  </si>
  <si>
    <t>IS0786</t>
  </si>
  <si>
    <t>IS0787</t>
  </si>
  <si>
    <t>IS0788</t>
  </si>
  <si>
    <t>IS0789</t>
  </si>
  <si>
    <t>IS0790</t>
  </si>
  <si>
    <t>IS0791</t>
  </si>
  <si>
    <t>IS0792</t>
  </si>
  <si>
    <t>IS0793</t>
  </si>
  <si>
    <t>IS0794</t>
  </si>
  <si>
    <t>IS0796</t>
  </si>
  <si>
    <t>IS1015</t>
  </si>
  <si>
    <t>IS1016</t>
  </si>
  <si>
    <t>IS1272</t>
  </si>
  <si>
    <t>IS1273</t>
  </si>
  <si>
    <t>IS1274</t>
  </si>
  <si>
    <t>IS1275</t>
  </si>
  <si>
    <t>IS1276</t>
  </si>
  <si>
    <t>IS1289</t>
  </si>
  <si>
    <t>IS1290</t>
  </si>
  <si>
    <t>MONITORAMENTO</t>
  </si>
  <si>
    <t>IS1502</t>
  </si>
  <si>
    <t>IS1503</t>
  </si>
  <si>
    <t>IS1510</t>
  </si>
  <si>
    <t>IS1511</t>
  </si>
  <si>
    <t>IS1512</t>
  </si>
  <si>
    <t>IS1513</t>
  </si>
  <si>
    <t>IS1514</t>
  </si>
  <si>
    <t>IS1515</t>
  </si>
  <si>
    <t>IS1516</t>
  </si>
  <si>
    <t>IS1517</t>
  </si>
  <si>
    <t>IS1518</t>
  </si>
  <si>
    <t>IS1519</t>
  </si>
  <si>
    <t>IS1520</t>
  </si>
  <si>
    <t>IS1521</t>
  </si>
  <si>
    <t>IS1522</t>
  </si>
  <si>
    <t>TELA MILIMÉTRICA 1,2X1,2MM DE AÇO CONTRA ROEDORES E</t>
  </si>
  <si>
    <t>IS1523</t>
  </si>
  <si>
    <t>IS1524</t>
  </si>
  <si>
    <t>IS1525</t>
  </si>
  <si>
    <t>IS1526</t>
  </si>
  <si>
    <t>IS1527</t>
  </si>
  <si>
    <t>IS1528</t>
  </si>
  <si>
    <t>IS1529</t>
  </si>
  <si>
    <t>IS1531</t>
  </si>
  <si>
    <t>IS1532</t>
  </si>
  <si>
    <t>IS1533</t>
  </si>
  <si>
    <t>IS1534</t>
  </si>
  <si>
    <t>IS1535</t>
  </si>
  <si>
    <t>IS1536</t>
  </si>
  <si>
    <t>IS1537</t>
  </si>
  <si>
    <t>IS1538</t>
  </si>
  <si>
    <t>IS1539</t>
  </si>
  <si>
    <t>IS1540</t>
  </si>
  <si>
    <t>IS1541</t>
  </si>
  <si>
    <t>IS1542</t>
  </si>
  <si>
    <t>IS1543</t>
  </si>
  <si>
    <t>IS1544</t>
  </si>
  <si>
    <t>IS1545</t>
  </si>
  <si>
    <t>IS1546</t>
  </si>
  <si>
    <t>IS1547</t>
  </si>
  <si>
    <t>IS1548</t>
  </si>
  <si>
    <t>IS1549</t>
  </si>
  <si>
    <t>IS1550</t>
  </si>
  <si>
    <t>IS1551</t>
  </si>
  <si>
    <t>IS1552</t>
  </si>
  <si>
    <t>IS1553</t>
  </si>
  <si>
    <t>IS1554</t>
  </si>
  <si>
    <t>IS1555</t>
  </si>
  <si>
    <t>IS1556</t>
  </si>
  <si>
    <t>DESCARGA DAS VIGAS PRE MOLDADAS</t>
  </si>
  <si>
    <t>IS1557</t>
  </si>
  <si>
    <t>IS1559</t>
  </si>
  <si>
    <t>IS1560</t>
  </si>
  <si>
    <t>IS1561</t>
  </si>
  <si>
    <t>IS1562</t>
  </si>
  <si>
    <t>IS1563</t>
  </si>
  <si>
    <t>IS1565</t>
  </si>
  <si>
    <t>IS1566</t>
  </si>
  <si>
    <t>IS1567</t>
  </si>
  <si>
    <t>IS1568</t>
  </si>
  <si>
    <t>IS1569</t>
  </si>
  <si>
    <t>IS1570</t>
  </si>
  <si>
    <t>IS1571</t>
  </si>
  <si>
    <t>IS1572</t>
  </si>
  <si>
    <t>IS1573</t>
  </si>
  <si>
    <t>IS1574</t>
  </si>
  <si>
    <t>IS1575</t>
  </si>
  <si>
    <t>IS1576</t>
  </si>
  <si>
    <t>IS1577</t>
  </si>
  <si>
    <t>IS1578</t>
  </si>
  <si>
    <t>IS1579</t>
  </si>
  <si>
    <t>M.O. - VERGAS</t>
  </si>
  <si>
    <t>ISS / ISSQN / COFINS / PIS</t>
  </si>
  <si>
    <t>IS1749</t>
  </si>
  <si>
    <t>IS1915</t>
  </si>
  <si>
    <t>IS1916</t>
  </si>
  <si>
    <t>IS2001</t>
  </si>
  <si>
    <t>EQUIPE DE QUALIDADE</t>
  </si>
  <si>
    <t>TRATAMENTO DE PISO EM CONCRETO APARENTE</t>
  </si>
  <si>
    <t>M.O LAJE PRÉ MOLDADA</t>
  </si>
  <si>
    <t>IS2121</t>
  </si>
  <si>
    <t>DIÁRIA M.O EMPREITEIRO</t>
  </si>
  <si>
    <t>IS2365</t>
  </si>
  <si>
    <t>EXECUÇÃO DA ESTRUTURA DO PASSEIO</t>
  </si>
  <si>
    <t>IS2378</t>
  </si>
  <si>
    <t>LOCAÇÃO CÂMERA TIMELAPSE</t>
  </si>
  <si>
    <t>IS2399</t>
  </si>
  <si>
    <t>IS2411</t>
  </si>
  <si>
    <t>DIÁRIA OPERADOR ROLO COMPACTADOR</t>
  </si>
  <si>
    <t>IS2469</t>
  </si>
  <si>
    <t>IS2474</t>
  </si>
  <si>
    <t>IS2476</t>
  </si>
  <si>
    <t>IS2477</t>
  </si>
  <si>
    <t>IS2478</t>
  </si>
  <si>
    <t>IS2479</t>
  </si>
  <si>
    <t>IS2480</t>
  </si>
  <si>
    <t>IS2481</t>
  </si>
  <si>
    <t>IS2482</t>
  </si>
  <si>
    <t>IS2483</t>
  </si>
  <si>
    <t>IS2484</t>
  </si>
  <si>
    <t>CONSULTORIA TÉCNICA/ACOMPANHAMENTO DE CONTENÇÕES</t>
  </si>
  <si>
    <t>IS2485</t>
  </si>
  <si>
    <t>PROJETO DE INSTALAÇÕES PARA SAUNA</t>
  </si>
  <si>
    <t>IS2486</t>
  </si>
  <si>
    <t>IS2487</t>
  </si>
  <si>
    <t>IS2488</t>
  </si>
  <si>
    <t>IS2489</t>
  </si>
  <si>
    <t>IS2490</t>
  </si>
  <si>
    <t>IS2541</t>
  </si>
  <si>
    <t>ACABAMENTO SARRAFEADO</t>
  </si>
  <si>
    <t>IS2546</t>
  </si>
  <si>
    <t>IS2556</t>
  </si>
  <si>
    <t>IS2557</t>
  </si>
  <si>
    <t>IS2558</t>
  </si>
  <si>
    <t>IS2559</t>
  </si>
  <si>
    <t>IS2560</t>
  </si>
  <si>
    <t>IS2561</t>
  </si>
  <si>
    <t>IS2562</t>
  </si>
  <si>
    <t>IS2563</t>
  </si>
  <si>
    <t>IS2564</t>
  </si>
  <si>
    <t>IS2565</t>
  </si>
  <si>
    <t>IS2566</t>
  </si>
  <si>
    <t>IS2567</t>
  </si>
  <si>
    <t>IS2568</t>
  </si>
  <si>
    <t>IS2569</t>
  </si>
  <si>
    <t>IS2571</t>
  </si>
  <si>
    <t>CÃO DE GUARDA</t>
  </si>
  <si>
    <t>IS2576</t>
  </si>
  <si>
    <t>IS2577</t>
  </si>
  <si>
    <t>IS2579</t>
  </si>
  <si>
    <t>IS2580</t>
  </si>
  <si>
    <t>IS2581</t>
  </si>
  <si>
    <t>IS2615</t>
  </si>
  <si>
    <t>MEDIÇÃO CONSTRUCAWA</t>
  </si>
  <si>
    <t>IS3000</t>
  </si>
  <si>
    <t>IS3003</t>
  </si>
  <si>
    <t>IS3004</t>
  </si>
  <si>
    <t>IS3011</t>
  </si>
  <si>
    <t>IS3012</t>
  </si>
  <si>
    <t>IS3014</t>
  </si>
  <si>
    <t>IS3015</t>
  </si>
  <si>
    <t>IS3019</t>
  </si>
  <si>
    <t>IS3020</t>
  </si>
  <si>
    <t>IS3021</t>
  </si>
  <si>
    <t>IS3026</t>
  </si>
  <si>
    <t>IS3042</t>
  </si>
  <si>
    <t>IS3043</t>
  </si>
  <si>
    <t>IS3110</t>
  </si>
  <si>
    <t>IS3111</t>
  </si>
  <si>
    <t>IS3112</t>
  </si>
  <si>
    <t>IS3113</t>
  </si>
  <si>
    <t>IS3114</t>
  </si>
  <si>
    <t>IS3115</t>
  </si>
  <si>
    <t>IS3116</t>
  </si>
  <si>
    <t>IS3117</t>
  </si>
  <si>
    <t>IS3118</t>
  </si>
  <si>
    <t>IS3119</t>
  </si>
  <si>
    <t>IS3120</t>
  </si>
  <si>
    <t>IS3121</t>
  </si>
  <si>
    <t>IS3122</t>
  </si>
  <si>
    <t>IS3123</t>
  </si>
  <si>
    <t>IS3124</t>
  </si>
  <si>
    <t>IS3125</t>
  </si>
  <si>
    <t>IS3126</t>
  </si>
  <si>
    <t>IS3127</t>
  </si>
  <si>
    <t>IS3128</t>
  </si>
  <si>
    <t>IS3129</t>
  </si>
  <si>
    <t>IS3130</t>
  </si>
  <si>
    <t>IS3131</t>
  </si>
  <si>
    <t>IS3132</t>
  </si>
  <si>
    <t>IS3133</t>
  </si>
  <si>
    <t>IS3134</t>
  </si>
  <si>
    <t>IS3135</t>
  </si>
  <si>
    <t>IS3136</t>
  </si>
  <si>
    <t>IS3137</t>
  </si>
  <si>
    <t>IS3138</t>
  </si>
  <si>
    <t>IS3139</t>
  </si>
  <si>
    <t>IS3140</t>
  </si>
  <si>
    <t>LOCAÇÃO DE FORMA METÁLICA</t>
  </si>
  <si>
    <t>IS3155</t>
  </si>
  <si>
    <t>IS3156</t>
  </si>
  <si>
    <t>IS3157</t>
  </si>
  <si>
    <t>IS3158</t>
  </si>
  <si>
    <t>IS3159</t>
  </si>
  <si>
    <t>IS3160</t>
  </si>
  <si>
    <t>IS3161</t>
  </si>
  <si>
    <t>IS3162</t>
  </si>
  <si>
    <t>IS3163</t>
  </si>
  <si>
    <t>IS3164</t>
  </si>
  <si>
    <t>IS3165</t>
  </si>
  <si>
    <t>IS3166</t>
  </si>
  <si>
    <t>IS3167</t>
  </si>
  <si>
    <t>IS3168</t>
  </si>
  <si>
    <t>IS3169</t>
  </si>
  <si>
    <t>IS3170</t>
  </si>
  <si>
    <t>IS3171</t>
  </si>
  <si>
    <t>IS3172</t>
  </si>
  <si>
    <t>IS3173</t>
  </si>
  <si>
    <t>IS3174</t>
  </si>
  <si>
    <t>IS3177</t>
  </si>
  <si>
    <t>IS3178</t>
  </si>
  <si>
    <t>IS3179</t>
  </si>
  <si>
    <t>IS3180</t>
  </si>
  <si>
    <t>IS3181</t>
  </si>
  <si>
    <t>IS3182</t>
  </si>
  <si>
    <t>IS3185</t>
  </si>
  <si>
    <t>IS3186</t>
  </si>
  <si>
    <t>IS3187</t>
  </si>
  <si>
    <t>IS3188</t>
  </si>
  <si>
    <t>IS3190</t>
  </si>
  <si>
    <t>IS3191</t>
  </si>
  <si>
    <t>IS3230</t>
  </si>
  <si>
    <t>IS3231</t>
  </si>
  <si>
    <t>IS3232</t>
  </si>
  <si>
    <t>IS3233</t>
  </si>
  <si>
    <t>IS3234</t>
  </si>
  <si>
    <t>IS3235</t>
  </si>
  <si>
    <t>IS3236</t>
  </si>
  <si>
    <t>IS3237</t>
  </si>
  <si>
    <t>IS3238</t>
  </si>
  <si>
    <t>IS3239</t>
  </si>
  <si>
    <t>IS3240</t>
  </si>
  <si>
    <t>IS3241</t>
  </si>
  <si>
    <t>IS3242</t>
  </si>
  <si>
    <t>IS3243</t>
  </si>
  <si>
    <t>IS3244</t>
  </si>
  <si>
    <t>IS3245</t>
  </si>
  <si>
    <t>IS3246</t>
  </si>
  <si>
    <t>IS3247</t>
  </si>
  <si>
    <t>IS3248</t>
  </si>
  <si>
    <t>IS3249</t>
  </si>
  <si>
    <t>IS3250</t>
  </si>
  <si>
    <t>IS3251</t>
  </si>
  <si>
    <t>IS3252</t>
  </si>
  <si>
    <t>IS3253</t>
  </si>
  <si>
    <t>IS3254</t>
  </si>
  <si>
    <t>IS3255</t>
  </si>
  <si>
    <t>IS3256</t>
  </si>
  <si>
    <t>IS3257</t>
  </si>
  <si>
    <t>IS3258</t>
  </si>
  <si>
    <t>IS3265</t>
  </si>
  <si>
    <t>ACERTO MEDIÇÃO M.O.</t>
  </si>
  <si>
    <t>IS3300</t>
  </si>
  <si>
    <t>IS3301</t>
  </si>
  <si>
    <t>IS3302</t>
  </si>
  <si>
    <t>IS3303</t>
  </si>
  <si>
    <t>IS3304</t>
  </si>
  <si>
    <t>IS3305</t>
  </si>
  <si>
    <t>IS3306</t>
  </si>
  <si>
    <t>IS3307</t>
  </si>
  <si>
    <t>IS3309</t>
  </si>
  <si>
    <t>IS3310</t>
  </si>
  <si>
    <t>IS3311</t>
  </si>
  <si>
    <t>IS3312</t>
  </si>
  <si>
    <t>IS3313</t>
  </si>
  <si>
    <t>IS3314</t>
  </si>
  <si>
    <t>IS3315</t>
  </si>
  <si>
    <t>IS3316</t>
  </si>
  <si>
    <t>IS3317</t>
  </si>
  <si>
    <t>IS3318</t>
  </si>
  <si>
    <t>IS3319</t>
  </si>
  <si>
    <t>IS3320</t>
  </si>
  <si>
    <t>IS3321</t>
  </si>
  <si>
    <t>IS3322</t>
  </si>
  <si>
    <t>CAPA AUTOMÁTICA PARA PISCINAS - contrato fornecido pelo</t>
  </si>
  <si>
    <t>IS3323</t>
  </si>
  <si>
    <t>IS3324</t>
  </si>
  <si>
    <t>IS3325</t>
  </si>
  <si>
    <t>IS3326</t>
  </si>
  <si>
    <t>IS3327</t>
  </si>
  <si>
    <t>IS3328</t>
  </si>
  <si>
    <t>IS3329</t>
  </si>
  <si>
    <t>IS3330</t>
  </si>
  <si>
    <t>IS3331</t>
  </si>
  <si>
    <t>IS3332</t>
  </si>
  <si>
    <t>IS3333</t>
  </si>
  <si>
    <t>IS3337</t>
  </si>
  <si>
    <t>IS3340</t>
  </si>
  <si>
    <t>IS3341</t>
  </si>
  <si>
    <t>IS3346</t>
  </si>
  <si>
    <t>IS3347</t>
  </si>
  <si>
    <t>IS3352</t>
  </si>
  <si>
    <t>IS3353</t>
  </si>
  <si>
    <t>IS3355</t>
  </si>
  <si>
    <t>IS3358</t>
  </si>
  <si>
    <t>IS3359</t>
  </si>
  <si>
    <t>IS3363</t>
  </si>
  <si>
    <t>IS3365</t>
  </si>
  <si>
    <t>IS3366</t>
  </si>
  <si>
    <t>IS3367</t>
  </si>
  <si>
    <t>IS3368</t>
  </si>
  <si>
    <t>IS3369</t>
  </si>
  <si>
    <t>IS3371</t>
  </si>
  <si>
    <t>IS3372</t>
  </si>
  <si>
    <t>IS3373</t>
  </si>
  <si>
    <t>IS3374</t>
  </si>
  <si>
    <t>IS3375</t>
  </si>
  <si>
    <t>IS3378</t>
  </si>
  <si>
    <t>IS3387</t>
  </si>
  <si>
    <t>IS3398</t>
  </si>
  <si>
    <t>IS3399</t>
  </si>
  <si>
    <t>IS3456</t>
  </si>
  <si>
    <t>SERVIÇO DE RECUPERAÇÃO DE PISO INTERTRAVADO</t>
  </si>
  <si>
    <t>IS3536</t>
  </si>
  <si>
    <t>IMPOSTOS E TAXAS DIVERSAS</t>
  </si>
  <si>
    <t>IS3599</t>
  </si>
  <si>
    <t>ALUGUEL - DIVERSOS</t>
  </si>
  <si>
    <t>IS3631</t>
  </si>
  <si>
    <t>TAXA UTDC</t>
  </si>
  <si>
    <t>R29 - ECO 400 - PEDRA CINZA</t>
  </si>
  <si>
    <t>IS3665</t>
  </si>
  <si>
    <t>LOCAÇÃO DE TRAVAMENTO DE FORMA</t>
  </si>
  <si>
    <t>IS3672</t>
  </si>
  <si>
    <t>CONCRETO FCK 30MPA - MATERIAL E M.O.</t>
  </si>
  <si>
    <t>IS3673</t>
  </si>
  <si>
    <t>ARMAÇÃO EM TELA Q196 - MATERIAL E M.O.</t>
  </si>
  <si>
    <t>IS3674</t>
  </si>
  <si>
    <t>RELOCAÇÃO DE TAPUME - MATERIAL E M.O.</t>
  </si>
  <si>
    <t>IS3675</t>
  </si>
  <si>
    <t>IS3678</t>
  </si>
  <si>
    <t>IS3679</t>
  </si>
  <si>
    <t>IS3680</t>
  </si>
  <si>
    <t>IS3681</t>
  </si>
  <si>
    <t>IS3682</t>
  </si>
  <si>
    <t>IS3683</t>
  </si>
  <si>
    <t>IS3684</t>
  </si>
  <si>
    <t>IS3685</t>
  </si>
  <si>
    <t>IS3687</t>
  </si>
  <si>
    <t>IS3688</t>
  </si>
  <si>
    <t>IS3689</t>
  </si>
  <si>
    <t>IS3690</t>
  </si>
  <si>
    <t>IS3691</t>
  </si>
  <si>
    <t>IS3692</t>
  </si>
  <si>
    <t>IS3693</t>
  </si>
  <si>
    <t>IS3694</t>
  </si>
  <si>
    <t>IS3695</t>
  </si>
  <si>
    <t>IS3696</t>
  </si>
  <si>
    <t>IS3697</t>
  </si>
  <si>
    <t>IS3698</t>
  </si>
  <si>
    <t>IS3699</t>
  </si>
  <si>
    <t>IS3700</t>
  </si>
  <si>
    <t>IS3702</t>
  </si>
  <si>
    <t>IS3703</t>
  </si>
  <si>
    <t>IS3704</t>
  </si>
  <si>
    <t>IS3710</t>
  </si>
  <si>
    <t>IS3716</t>
  </si>
  <si>
    <t>IS4074</t>
  </si>
  <si>
    <t>IS4075</t>
  </si>
  <si>
    <t>IS4076</t>
  </si>
  <si>
    <t>IS4077</t>
  </si>
  <si>
    <t>IS4078</t>
  </si>
  <si>
    <t>IS4120</t>
  </si>
  <si>
    <t>IS4402</t>
  </si>
  <si>
    <t>IS4403</t>
  </si>
  <si>
    <t>IS4404</t>
  </si>
  <si>
    <t>IS4405</t>
  </si>
  <si>
    <t>IS4406</t>
  </si>
  <si>
    <t>IS4407</t>
  </si>
  <si>
    <t>IS4408</t>
  </si>
  <si>
    <t>IS4409</t>
  </si>
  <si>
    <t>IS4410</t>
  </si>
  <si>
    <t>IS4411</t>
  </si>
  <si>
    <t>IS4412</t>
  </si>
  <si>
    <t>IS4415</t>
  </si>
  <si>
    <t>IS4416</t>
  </si>
  <si>
    <t>IS4417</t>
  </si>
  <si>
    <t>IS4418</t>
  </si>
  <si>
    <t>IS4420</t>
  </si>
  <si>
    <t>IS4422</t>
  </si>
  <si>
    <t>IS4423</t>
  </si>
  <si>
    <t>IS4424</t>
  </si>
  <si>
    <t>IS4425</t>
  </si>
  <si>
    <t>IS4426</t>
  </si>
  <si>
    <t>IS4427</t>
  </si>
  <si>
    <t>CAIXOTE EM GESSO PARA ILUMINAÇÃO</t>
  </si>
  <si>
    <t>IS4615</t>
  </si>
  <si>
    <t>IS4697</t>
  </si>
  <si>
    <t>LOCAÇÃO DE EQUIPAMENTOS</t>
  </si>
  <si>
    <t>IS4783</t>
  </si>
  <si>
    <t>IS4784</t>
  </si>
  <si>
    <t>IS4785</t>
  </si>
  <si>
    <t>IS4786</t>
  </si>
  <si>
    <t>IS4787</t>
  </si>
  <si>
    <t>IS4788</t>
  </si>
  <si>
    <t>IS4789</t>
  </si>
  <si>
    <t>IS4790</t>
  </si>
  <si>
    <t>IS4791</t>
  </si>
  <si>
    <t>IS4792</t>
  </si>
  <si>
    <t>IS4793</t>
  </si>
  <si>
    <t>IS4794</t>
  </si>
  <si>
    <t>IS4795</t>
  </si>
  <si>
    <t>IS4796</t>
  </si>
  <si>
    <t>IS4797</t>
  </si>
  <si>
    <t>IS4798</t>
  </si>
  <si>
    <t>IS4799</t>
  </si>
  <si>
    <t>IS4804</t>
  </si>
  <si>
    <t>IS4805</t>
  </si>
  <si>
    <t>IS4806</t>
  </si>
  <si>
    <t>IS4807</t>
  </si>
  <si>
    <t>IS4808</t>
  </si>
  <si>
    <t>IS4809</t>
  </si>
  <si>
    <t>IS4810</t>
  </si>
  <si>
    <t>IS4811</t>
  </si>
  <si>
    <t>IS4812</t>
  </si>
  <si>
    <t>IS4813</t>
  </si>
  <si>
    <t>IS4814</t>
  </si>
  <si>
    <t>IS4815</t>
  </si>
  <si>
    <t>IS4816</t>
  </si>
  <si>
    <t>IS4817</t>
  </si>
  <si>
    <t>IS4818</t>
  </si>
  <si>
    <t>IS4819</t>
  </si>
  <si>
    <t>IS4820</t>
  </si>
  <si>
    <t>IS4821</t>
  </si>
  <si>
    <t>IS4822</t>
  </si>
  <si>
    <t>IS4823</t>
  </si>
  <si>
    <t>IS4845</t>
  </si>
  <si>
    <t>IS4852</t>
  </si>
  <si>
    <t>IS4853</t>
  </si>
  <si>
    <t>IS4854</t>
  </si>
  <si>
    <t>IS4956</t>
  </si>
  <si>
    <t>IS4957</t>
  </si>
  <si>
    <t>IS5000</t>
  </si>
  <si>
    <t>IS5001</t>
  </si>
  <si>
    <t>IS5002</t>
  </si>
  <si>
    <t>IS5003</t>
  </si>
  <si>
    <t>IS5004</t>
  </si>
  <si>
    <t>IS5005</t>
  </si>
  <si>
    <t>IS5006</t>
  </si>
  <si>
    <t>IS5007</t>
  </si>
  <si>
    <t>IS5008</t>
  </si>
  <si>
    <t>IS5009</t>
  </si>
  <si>
    <t>IS5010</t>
  </si>
  <si>
    <t>IS5011</t>
  </si>
  <si>
    <t>IS5012</t>
  </si>
  <si>
    <t>IS5013</t>
  </si>
  <si>
    <t>IS5014</t>
  </si>
  <si>
    <t>IS5015</t>
  </si>
  <si>
    <t>IS5016</t>
  </si>
  <si>
    <t>IS5017</t>
  </si>
  <si>
    <t>IS5018</t>
  </si>
  <si>
    <t>IS5019</t>
  </si>
  <si>
    <t>IS5020</t>
  </si>
  <si>
    <t>IS5021</t>
  </si>
  <si>
    <t>IS5022</t>
  </si>
  <si>
    <t>IS5023</t>
  </si>
  <si>
    <t>IS5052</t>
  </si>
  <si>
    <t>IS5053</t>
  </si>
  <si>
    <t>IS5056</t>
  </si>
  <si>
    <t>IS5079</t>
  </si>
  <si>
    <t>IS5102</t>
  </si>
  <si>
    <t>IS5103</t>
  </si>
  <si>
    <t>IS5109</t>
  </si>
  <si>
    <t>IS5110</t>
  </si>
  <si>
    <t>IS5115</t>
  </si>
  <si>
    <t>IS5116</t>
  </si>
  <si>
    <t>IS5130</t>
  </si>
  <si>
    <t>IS5131</t>
  </si>
  <si>
    <t>IS5132</t>
  </si>
  <si>
    <t>IS5135</t>
  </si>
  <si>
    <t>IS5137</t>
  </si>
  <si>
    <t>IS5142</t>
  </si>
  <si>
    <t>IS5170</t>
  </si>
  <si>
    <t>IS5171</t>
  </si>
  <si>
    <t>IS5195</t>
  </si>
  <si>
    <t>IS5487</t>
  </si>
  <si>
    <t>SERVIÇO DE QUALIDADE</t>
  </si>
  <si>
    <t>CAFÉ DA TARDE</t>
  </si>
  <si>
    <t>IS5623</t>
  </si>
  <si>
    <t>BENEFÍCIOS - FOLHA DE PAGAMENTO</t>
  </si>
  <si>
    <t>IS5632</t>
  </si>
  <si>
    <t>MARMITEX (ALMOÇO)</t>
  </si>
  <si>
    <t>IS5687</t>
  </si>
  <si>
    <t>CONTRUÇÃO PRÉ FAB. EM ESTRUTURA DE AÇO</t>
  </si>
  <si>
    <t>CONTRUÇÃO PRÉ FAB. EM ESTRUTURA DE AÇO M.O</t>
  </si>
  <si>
    <t>M.O REGULARIZAÇÃO DOS PILARES</t>
  </si>
  <si>
    <t>IS5784</t>
  </si>
  <si>
    <t>LIMPEZA PEÇAS PORCELANATO / GRANITO</t>
  </si>
  <si>
    <t>IS5873</t>
  </si>
  <si>
    <t>IS5878</t>
  </si>
  <si>
    <t>FUNDAÇÃO - CUSTOS APROPRIADOS</t>
  </si>
  <si>
    <t>IS5879</t>
  </si>
  <si>
    <t>IS5880</t>
  </si>
  <si>
    <t>IS5881</t>
  </si>
  <si>
    <t>IS5882</t>
  </si>
  <si>
    <t>IS5883</t>
  </si>
  <si>
    <t>IS5889</t>
  </si>
  <si>
    <t>IS5897</t>
  </si>
  <si>
    <t>M.O CALAFETAÇÃO</t>
  </si>
  <si>
    <t>PROJETO INSTALAÇÕES HIDROSANITÁRIO</t>
  </si>
  <si>
    <t>IS6043</t>
  </si>
  <si>
    <t>IS6100</t>
  </si>
  <si>
    <t>IS6142</t>
  </si>
  <si>
    <t>IS6187</t>
  </si>
  <si>
    <t>IS6189</t>
  </si>
  <si>
    <t>IS6190</t>
  </si>
  <si>
    <t>IS6194</t>
  </si>
  <si>
    <t>IS6195</t>
  </si>
  <si>
    <t>IS6196</t>
  </si>
  <si>
    <t>IS6198</t>
  </si>
  <si>
    <t>SISTEMA DE IRRIGAÇÃO - M.O + MAT.</t>
  </si>
  <si>
    <t>IS6218</t>
  </si>
  <si>
    <t>M.O ESCADA METÁLICA</t>
  </si>
  <si>
    <t>IS6223</t>
  </si>
  <si>
    <t>IS6247</t>
  </si>
  <si>
    <t>IS6250</t>
  </si>
  <si>
    <t>IS6251</t>
  </si>
  <si>
    <t>IS6252</t>
  </si>
  <si>
    <t>IS6253</t>
  </si>
  <si>
    <t>IS6254</t>
  </si>
  <si>
    <t>IS6255</t>
  </si>
  <si>
    <t>IS6256</t>
  </si>
  <si>
    <t>IS6257</t>
  </si>
  <si>
    <t>IS6258</t>
  </si>
  <si>
    <t>IS6262</t>
  </si>
  <si>
    <t>CHUMBAMENTO DE ESQUADRIAS</t>
  </si>
  <si>
    <t>IS6317</t>
  </si>
  <si>
    <t>ESTRUTURA DE MADEIRA (MAT + M.O)</t>
  </si>
  <si>
    <t>IS6318</t>
  </si>
  <si>
    <t>INSTALAÇÃO TRANSFORMADOR DE ENERGIA</t>
  </si>
  <si>
    <t>IS6362</t>
  </si>
  <si>
    <t>REGULARIZAÇÃO DO FOSSO</t>
  </si>
  <si>
    <t>IS6394</t>
  </si>
  <si>
    <t>REDE DRENAGEM DO LENÇOL FREÁTICO - (DRENO PROFUNDO)</t>
  </si>
  <si>
    <t>IS6405</t>
  </si>
  <si>
    <t>IS6406</t>
  </si>
  <si>
    <t>IS6407</t>
  </si>
  <si>
    <t>IS6408</t>
  </si>
  <si>
    <t>IS6409</t>
  </si>
  <si>
    <t>IS6410</t>
  </si>
  <si>
    <t>IS6512</t>
  </si>
  <si>
    <t>IS6513</t>
  </si>
  <si>
    <t>IS6514</t>
  </si>
  <si>
    <t>IS6515</t>
  </si>
  <si>
    <t>IS6516</t>
  </si>
  <si>
    <t>IS6517</t>
  </si>
  <si>
    <t>IS6518</t>
  </si>
  <si>
    <t>IS6519</t>
  </si>
  <si>
    <t>IS6520</t>
  </si>
  <si>
    <t>IS6521</t>
  </si>
  <si>
    <t>IS6522</t>
  </si>
  <si>
    <t>IS6523</t>
  </si>
  <si>
    <t>IS6524</t>
  </si>
  <si>
    <t>IS6525</t>
  </si>
  <si>
    <t>IS6526</t>
  </si>
  <si>
    <t>IS6527</t>
  </si>
  <si>
    <t>IS6528</t>
  </si>
  <si>
    <t>IS6529</t>
  </si>
  <si>
    <t>IS6530</t>
  </si>
  <si>
    <t>IS6531</t>
  </si>
  <si>
    <t>IS6532</t>
  </si>
  <si>
    <t>IS6533</t>
  </si>
  <si>
    <t>IS6534</t>
  </si>
  <si>
    <t>IS6535</t>
  </si>
  <si>
    <t>IS6536</t>
  </si>
  <si>
    <t>IS6537</t>
  </si>
  <si>
    <t>IS6538</t>
  </si>
  <si>
    <t>IS6539</t>
  </si>
  <si>
    <t>IS6540</t>
  </si>
  <si>
    <t>IS6541</t>
  </si>
  <si>
    <t>IS6542</t>
  </si>
  <si>
    <t>IS6544</t>
  </si>
  <si>
    <t>IS6545</t>
  </si>
  <si>
    <t>IS6546</t>
  </si>
  <si>
    <t>IS6578</t>
  </si>
  <si>
    <t>IS6598</t>
  </si>
  <si>
    <t>REMOÇÃO DE ENTULHO DA OBRA</t>
  </si>
  <si>
    <t>IS6699</t>
  </si>
  <si>
    <t>LOCAÇÃO TENDA</t>
  </si>
  <si>
    <t>IS6701</t>
  </si>
  <si>
    <t>IS6710</t>
  </si>
  <si>
    <t>IS6720</t>
  </si>
  <si>
    <t>IS6721</t>
  </si>
  <si>
    <t>IS6722</t>
  </si>
  <si>
    <t>IS6724</t>
  </si>
  <si>
    <t>IS6725</t>
  </si>
  <si>
    <t>IS6874</t>
  </si>
  <si>
    <t>IS6989</t>
  </si>
  <si>
    <t>IS6991</t>
  </si>
  <si>
    <t>IS6992</t>
  </si>
  <si>
    <t>IS6993</t>
  </si>
  <si>
    <t>IS6994</t>
  </si>
  <si>
    <t>IS6995</t>
  </si>
  <si>
    <t>IS6996</t>
  </si>
  <si>
    <t>IS6997</t>
  </si>
  <si>
    <t>IS6998</t>
  </si>
  <si>
    <t>IS6999</t>
  </si>
  <si>
    <t>IS7004</t>
  </si>
  <si>
    <t>IS7005</t>
  </si>
  <si>
    <t>IS7006</t>
  </si>
  <si>
    <t>SERVIÇO DE CONCRETAGEM</t>
  </si>
  <si>
    <t>IS7007</t>
  </si>
  <si>
    <t>IS7008</t>
  </si>
  <si>
    <t>IS7009</t>
  </si>
  <si>
    <t>IS7010</t>
  </si>
  <si>
    <t>IS7011</t>
  </si>
  <si>
    <t>IS7012</t>
  </si>
  <si>
    <t>IS7013</t>
  </si>
  <si>
    <t>IS7014</t>
  </si>
  <si>
    <t>IS7015</t>
  </si>
  <si>
    <t>IS7016</t>
  </si>
  <si>
    <t>IS7017</t>
  </si>
  <si>
    <t>IS7018</t>
  </si>
  <si>
    <t>IS7019</t>
  </si>
  <si>
    <t>IS7020</t>
  </si>
  <si>
    <t>IS7021</t>
  </si>
  <si>
    <t>IS7022</t>
  </si>
  <si>
    <t>IS7023</t>
  </si>
  <si>
    <t>IS7024</t>
  </si>
  <si>
    <t>IS7025</t>
  </si>
  <si>
    <t>IS7026</t>
  </si>
  <si>
    <t>IS7027</t>
  </si>
  <si>
    <t>IS7028</t>
  </si>
  <si>
    <t>IS7029</t>
  </si>
  <si>
    <t>IS7030</t>
  </si>
  <si>
    <t>IS7031</t>
  </si>
  <si>
    <t>IS7032</t>
  </si>
  <si>
    <t>IS7033</t>
  </si>
  <si>
    <t>IS7034</t>
  </si>
  <si>
    <t>IS7035</t>
  </si>
  <si>
    <t>IS7038</t>
  </si>
  <si>
    <t>IS7039</t>
  </si>
  <si>
    <t>IS7040</t>
  </si>
  <si>
    <t>IS7041</t>
  </si>
  <si>
    <t>IS7042</t>
  </si>
  <si>
    <t>IS7043</t>
  </si>
  <si>
    <t>IS7044</t>
  </si>
  <si>
    <t>IS7045</t>
  </si>
  <si>
    <t>IS7046</t>
  </si>
  <si>
    <t>IS7047</t>
  </si>
  <si>
    <t>IS7048</t>
  </si>
  <si>
    <t>IS7049</t>
  </si>
  <si>
    <t>IS7050</t>
  </si>
  <si>
    <t>IS7052</t>
  </si>
  <si>
    <t>IS7107</t>
  </si>
  <si>
    <t>IS7112</t>
  </si>
  <si>
    <t>IS7196</t>
  </si>
  <si>
    <t>M.O. REATERRO COMPACTADO DE VALAS</t>
  </si>
  <si>
    <t>IS7475</t>
  </si>
  <si>
    <t>CHUMBAMENTO ELÉTRICA</t>
  </si>
  <si>
    <t>IS7498</t>
  </si>
  <si>
    <t>DESPESAS DE OBRA E VISTORIA</t>
  </si>
  <si>
    <t>IS7500</t>
  </si>
  <si>
    <t>IS7501</t>
  </si>
  <si>
    <t>IS7502</t>
  </si>
  <si>
    <t>IS7503</t>
  </si>
  <si>
    <t>IS7504</t>
  </si>
  <si>
    <t>IS7505</t>
  </si>
  <si>
    <t>IS7506</t>
  </si>
  <si>
    <t>IS7507</t>
  </si>
  <si>
    <t>IS7508</t>
  </si>
  <si>
    <t>IS7509</t>
  </si>
  <si>
    <t>IS7510</t>
  </si>
  <si>
    <t>IS7511</t>
  </si>
  <si>
    <t>IS7512</t>
  </si>
  <si>
    <t>IS7513</t>
  </si>
  <si>
    <t>IS7514</t>
  </si>
  <si>
    <t>IS7515</t>
  </si>
  <si>
    <t>IS7516</t>
  </si>
  <si>
    <t>IS7517</t>
  </si>
  <si>
    <t>IS7518</t>
  </si>
  <si>
    <t>IS7519</t>
  </si>
  <si>
    <t>IS7520</t>
  </si>
  <si>
    <t>IS7521</t>
  </si>
  <si>
    <t>IS7522</t>
  </si>
  <si>
    <t>IS7523</t>
  </si>
  <si>
    <t>IS7524</t>
  </si>
  <si>
    <t>IS7525</t>
  </si>
  <si>
    <t>IS7526</t>
  </si>
  <si>
    <t>IS7527</t>
  </si>
  <si>
    <t>IS7528</t>
  </si>
  <si>
    <t>IS7529</t>
  </si>
  <si>
    <t>IS7530</t>
  </si>
  <si>
    <t>IS7531</t>
  </si>
  <si>
    <t>IS7532</t>
  </si>
  <si>
    <t>IS7533</t>
  </si>
  <si>
    <t>IS7534</t>
  </si>
  <si>
    <t>IS7535</t>
  </si>
  <si>
    <t>IS7536</t>
  </si>
  <si>
    <t>IS7537</t>
  </si>
  <si>
    <t>IS7538</t>
  </si>
  <si>
    <t>IS7539</t>
  </si>
  <si>
    <t>IS7540</t>
  </si>
  <si>
    <t>IS7541</t>
  </si>
  <si>
    <t>IS7542</t>
  </si>
  <si>
    <t>IS7543</t>
  </si>
  <si>
    <t>IS7544</t>
  </si>
  <si>
    <t>IS7545</t>
  </si>
  <si>
    <t>IS7546</t>
  </si>
  <si>
    <t>IS7548</t>
  </si>
  <si>
    <t>IS7549</t>
  </si>
  <si>
    <t>IS7550</t>
  </si>
  <si>
    <t>IS7551</t>
  </si>
  <si>
    <t>IS7552</t>
  </si>
  <si>
    <t>IS7553</t>
  </si>
  <si>
    <t>IS7554</t>
  </si>
  <si>
    <t>IS7555</t>
  </si>
  <si>
    <t>IS7556</t>
  </si>
  <si>
    <t>IS7557</t>
  </si>
  <si>
    <t>IS7558</t>
  </si>
  <si>
    <t>IS7559</t>
  </si>
  <si>
    <t>IS7560</t>
  </si>
  <si>
    <t>IS7561</t>
  </si>
  <si>
    <t>IS7564</t>
  </si>
  <si>
    <t>IS7565</t>
  </si>
  <si>
    <t>IS7566</t>
  </si>
  <si>
    <t>IS7567</t>
  </si>
  <si>
    <t>IS7568</t>
  </si>
  <si>
    <t>IS7570</t>
  </si>
  <si>
    <t>IS7571</t>
  </si>
  <si>
    <t>IS7572</t>
  </si>
  <si>
    <t>IS7573</t>
  </si>
  <si>
    <t>IS7574</t>
  </si>
  <si>
    <t>IS7575</t>
  </si>
  <si>
    <t>IS7576</t>
  </si>
  <si>
    <t>IS7577</t>
  </si>
  <si>
    <t>IS7578</t>
  </si>
  <si>
    <t>IS7583</t>
  </si>
  <si>
    <t>IS7584</t>
  </si>
  <si>
    <t>IS7585</t>
  </si>
  <si>
    <t>IS7586</t>
  </si>
  <si>
    <t>IS7587</t>
  </si>
  <si>
    <t>IS7589</t>
  </si>
  <si>
    <t>ARESTAMENTO</t>
  </si>
  <si>
    <t>IS7845</t>
  </si>
  <si>
    <t>REJUNTE DE RODAPÉ</t>
  </si>
  <si>
    <t>IS7854</t>
  </si>
  <si>
    <t>IS7863</t>
  </si>
  <si>
    <t>TICKET ESTACIONAMENTO</t>
  </si>
  <si>
    <t>IS7889</t>
  </si>
  <si>
    <t>IS7895</t>
  </si>
  <si>
    <t>ACOMPANHAMENTO DE ENTRADA DE ENERGIA DA OBRA</t>
  </si>
  <si>
    <t>IS7984</t>
  </si>
  <si>
    <t>TAXA CORPO DE BOMBEIROS</t>
  </si>
  <si>
    <t>IS8017</t>
  </si>
  <si>
    <t>IS8020</t>
  </si>
  <si>
    <t>IS8021</t>
  </si>
  <si>
    <t>IS8022</t>
  </si>
  <si>
    <t>IS8023</t>
  </si>
  <si>
    <t>IS8024</t>
  </si>
  <si>
    <t>IS8025</t>
  </si>
  <si>
    <t>IS8026</t>
  </si>
  <si>
    <t>IS8028</t>
  </si>
  <si>
    <t>IS8029</t>
  </si>
  <si>
    <t>IS8030</t>
  </si>
  <si>
    <t>IS8031</t>
  </si>
  <si>
    <t>IS8034</t>
  </si>
  <si>
    <t>IS8035</t>
  </si>
  <si>
    <t>IS8037</t>
  </si>
  <si>
    <t>IS8038</t>
  </si>
  <si>
    <t>IS8039</t>
  </si>
  <si>
    <t>IS8040</t>
  </si>
  <si>
    <t>IS8041</t>
  </si>
  <si>
    <t>IS8042</t>
  </si>
  <si>
    <t>IS8043</t>
  </si>
  <si>
    <t>IS8044</t>
  </si>
  <si>
    <t>IS8045</t>
  </si>
  <si>
    <t>IS8046</t>
  </si>
  <si>
    <t>IS8047</t>
  </si>
  <si>
    <t>IS8048</t>
  </si>
  <si>
    <t>IS8049</t>
  </si>
  <si>
    <t>IS8052</t>
  </si>
  <si>
    <t>IS8053</t>
  </si>
  <si>
    <t>IS8057</t>
  </si>
  <si>
    <t>IS8058</t>
  </si>
  <si>
    <t>IS8060</t>
  </si>
  <si>
    <t>IS8061</t>
  </si>
  <si>
    <t>IS8062</t>
  </si>
  <si>
    <t>IS8064</t>
  </si>
  <si>
    <t>IS8070</t>
  </si>
  <si>
    <t>IS8072</t>
  </si>
  <si>
    <t>IS8075</t>
  </si>
  <si>
    <t>IS8076</t>
  </si>
  <si>
    <t>IS8500</t>
  </si>
  <si>
    <t>IS8572</t>
  </si>
  <si>
    <t>TAXA DE PERMANENCIA NA OBRA - CONCRETAGEM</t>
  </si>
  <si>
    <t>IS8597</t>
  </si>
  <si>
    <t>IS8598</t>
  </si>
  <si>
    <t>IS8610</t>
  </si>
  <si>
    <t>IS8741</t>
  </si>
  <si>
    <t>TRANSPORTE DRONE</t>
  </si>
  <si>
    <t>IS8756</t>
  </si>
  <si>
    <t>MONITORAMENTO AMBIENTAL DE AGENTE FISICO</t>
  </si>
  <si>
    <t>IS8763</t>
  </si>
  <si>
    <t>REPARO ESTRUTURAL</t>
  </si>
  <si>
    <t>IS8764</t>
  </si>
  <si>
    <t>IS8765</t>
  </si>
  <si>
    <t>IS8796</t>
  </si>
  <si>
    <t>COLETA E ANÁLISE DE ÁGUA</t>
  </si>
  <si>
    <t>IS8876</t>
  </si>
  <si>
    <t>TAXA DE ADMINISTRAÇÃO - ADIANTAMENTO FINANCEIRO</t>
  </si>
  <si>
    <t>IS9003</t>
  </si>
  <si>
    <t>IS9004</t>
  </si>
  <si>
    <t>IS9005</t>
  </si>
  <si>
    <t>IS9006</t>
  </si>
  <si>
    <t>IS9007</t>
  </si>
  <si>
    <t>IS9008</t>
  </si>
  <si>
    <t>IS9009</t>
  </si>
  <si>
    <t>IS9010</t>
  </si>
  <si>
    <t>IS9011</t>
  </si>
  <si>
    <t>IS9012</t>
  </si>
  <si>
    <t>IS9013</t>
  </si>
  <si>
    <t>IS9014</t>
  </si>
  <si>
    <t>IS9015</t>
  </si>
  <si>
    <t>IS9016</t>
  </si>
  <si>
    <t>IS9017</t>
  </si>
  <si>
    <t>IS9018</t>
  </si>
  <si>
    <t>IS9019</t>
  </si>
  <si>
    <t>IS9020</t>
  </si>
  <si>
    <t>IS9021</t>
  </si>
  <si>
    <t>IS9022</t>
  </si>
  <si>
    <t>FORRO EM MADEIRA</t>
  </si>
  <si>
    <t>IS9023</t>
  </si>
  <si>
    <t>IS9024</t>
  </si>
  <si>
    <t>IS9025</t>
  </si>
  <si>
    <t>IS9026</t>
  </si>
  <si>
    <t>IS9027</t>
  </si>
  <si>
    <t>IS9028</t>
  </si>
  <si>
    <t>IS9029</t>
  </si>
  <si>
    <t>IS9030</t>
  </si>
  <si>
    <t>IS9031</t>
  </si>
  <si>
    <t>IS9032</t>
  </si>
  <si>
    <t>IS9033</t>
  </si>
  <si>
    <t>IS9035</t>
  </si>
  <si>
    <t>IS9037</t>
  </si>
  <si>
    <t>IS9038</t>
  </si>
  <si>
    <t>IS9039</t>
  </si>
  <si>
    <t>IS9040</t>
  </si>
  <si>
    <t>IS9041</t>
  </si>
  <si>
    <t>IS9042</t>
  </si>
  <si>
    <t>IS9043</t>
  </si>
  <si>
    <t>IS9044</t>
  </si>
  <si>
    <t>IS9045</t>
  </si>
  <si>
    <t>IS9046</t>
  </si>
  <si>
    <t>IS9047</t>
  </si>
  <si>
    <t>IS9051</t>
  </si>
  <si>
    <t>IS9052</t>
  </si>
  <si>
    <t>IS9055</t>
  </si>
  <si>
    <t>IS9056</t>
  </si>
  <si>
    <t>IS9057</t>
  </si>
  <si>
    <t>IS9059</t>
  </si>
  <si>
    <t>IS9061</t>
  </si>
  <si>
    <t>IS9062</t>
  </si>
  <si>
    <t>IS9063</t>
  </si>
  <si>
    <t>IS9064</t>
  </si>
  <si>
    <t>IS9065</t>
  </si>
  <si>
    <t>IS9066</t>
  </si>
  <si>
    <t>IS9067</t>
  </si>
  <si>
    <t>IS9068</t>
  </si>
  <si>
    <t>IS9069</t>
  </si>
  <si>
    <t>IS9070</t>
  </si>
  <si>
    <t>IS9071</t>
  </si>
  <si>
    <t>IS9074</t>
  </si>
  <si>
    <t>IS9076</t>
  </si>
  <si>
    <t>IS9110</t>
  </si>
  <si>
    <t>IS9111</t>
  </si>
  <si>
    <t>IS9113</t>
  </si>
  <si>
    <t>IS9118</t>
  </si>
  <si>
    <t>IS9125</t>
  </si>
  <si>
    <t>IS9126</t>
  </si>
  <si>
    <t>IS9127</t>
  </si>
  <si>
    <t>IS9128</t>
  </si>
  <si>
    <t>IS9140</t>
  </si>
  <si>
    <t>IS9146</t>
  </si>
  <si>
    <t>IS9174</t>
  </si>
  <si>
    <t>M.O LASTRO DE CONCRETO</t>
  </si>
  <si>
    <t>IS9176</t>
  </si>
  <si>
    <t>IS9182</t>
  </si>
  <si>
    <t>IS9191</t>
  </si>
  <si>
    <t>IS9192</t>
  </si>
  <si>
    <t>IS9200</t>
  </si>
  <si>
    <t>IS9201</t>
  </si>
  <si>
    <t>IS9202</t>
  </si>
  <si>
    <t>IS9203</t>
  </si>
  <si>
    <t>IS9204</t>
  </si>
  <si>
    <t>IS9205</t>
  </si>
  <si>
    <t>IS9206</t>
  </si>
  <si>
    <t>IS9207</t>
  </si>
  <si>
    <t>IS9208</t>
  </si>
  <si>
    <t>IS9209</t>
  </si>
  <si>
    <t>IS9210</t>
  </si>
  <si>
    <t>IS9211</t>
  </si>
  <si>
    <t>IS9233</t>
  </si>
  <si>
    <t>IS9235</t>
  </si>
  <si>
    <t>IS9240</t>
  </si>
  <si>
    <t>IS9241</t>
  </si>
  <si>
    <t>IS9242</t>
  </si>
  <si>
    <t>IS9243</t>
  </si>
  <si>
    <t>IS9244</t>
  </si>
  <si>
    <t>IS9245</t>
  </si>
  <si>
    <t>IS9246</t>
  </si>
  <si>
    <t>IS9247</t>
  </si>
  <si>
    <t>IS9248</t>
  </si>
  <si>
    <t>IS9250</t>
  </si>
  <si>
    <t>IS9251</t>
  </si>
  <si>
    <t>IS9252</t>
  </si>
  <si>
    <t>IS9253</t>
  </si>
  <si>
    <t>IS9254</t>
  </si>
  <si>
    <t>IS9255</t>
  </si>
  <si>
    <t>IS9257</t>
  </si>
  <si>
    <t>IS9258</t>
  </si>
  <si>
    <t>IS9259</t>
  </si>
  <si>
    <t>IS9260</t>
  </si>
  <si>
    <t>IS9261</t>
  </si>
  <si>
    <t>IS9262</t>
  </si>
  <si>
    <t>IS9263</t>
  </si>
  <si>
    <t>IS9264</t>
  </si>
  <si>
    <t>IS9265</t>
  </si>
  <si>
    <t>IS9266</t>
  </si>
  <si>
    <t>IS9267</t>
  </si>
  <si>
    <t>IS9268</t>
  </si>
  <si>
    <t>IS9269</t>
  </si>
  <si>
    <t>IS9270</t>
  </si>
  <si>
    <t>IS9271</t>
  </si>
  <si>
    <t>IS9272</t>
  </si>
  <si>
    <t>IS9273</t>
  </si>
  <si>
    <t>IS9274</t>
  </si>
  <si>
    <t>IS9275</t>
  </si>
  <si>
    <t>IS9276</t>
  </si>
  <si>
    <t>IS9277</t>
  </si>
  <si>
    <t>IS9278</t>
  </si>
  <si>
    <t>IS9279</t>
  </si>
  <si>
    <t>IS9280</t>
  </si>
  <si>
    <t>IS9281</t>
  </si>
  <si>
    <t>IS9282</t>
  </si>
  <si>
    <t>IS9283</t>
  </si>
  <si>
    <t>IS9284</t>
  </si>
  <si>
    <t>IS9285</t>
  </si>
  <si>
    <t>IS9286</t>
  </si>
  <si>
    <t>IS9301</t>
  </si>
  <si>
    <t>IS9302</t>
  </si>
  <si>
    <t>IS9303</t>
  </si>
  <si>
    <t>IS9304</t>
  </si>
  <si>
    <t>IS9305</t>
  </si>
  <si>
    <t>IS9306</t>
  </si>
  <si>
    <t>IS9307</t>
  </si>
  <si>
    <t>IS9309</t>
  </si>
  <si>
    <t>IS9310</t>
  </si>
  <si>
    <t>IS9311</t>
  </si>
  <si>
    <t>IS9312</t>
  </si>
  <si>
    <t>IS9313</t>
  </si>
  <si>
    <t>IS9314</t>
  </si>
  <si>
    <t>IS9315</t>
  </si>
  <si>
    <t>IS9316</t>
  </si>
  <si>
    <t>IS9317</t>
  </si>
  <si>
    <t>IS9318</t>
  </si>
  <si>
    <t>IS9319</t>
  </si>
  <si>
    <t>IS9320</t>
  </si>
  <si>
    <t>IS9321</t>
  </si>
  <si>
    <t>IS9322</t>
  </si>
  <si>
    <t>TRATAMENTO E IMPERMEABILIZAÇÃO DAS ÁREAS DO VIZINHO</t>
  </si>
  <si>
    <t>IS9323</t>
  </si>
  <si>
    <t>IS9324</t>
  </si>
  <si>
    <t>IS9325</t>
  </si>
  <si>
    <t>IS9326</t>
  </si>
  <si>
    <t>IS9327</t>
  </si>
  <si>
    <t>IS9328</t>
  </si>
  <si>
    <t>IS9340</t>
  </si>
  <si>
    <t>IS9341</t>
  </si>
  <si>
    <t>APLICAÇÃO DE GROUTE E SIKADUR EM ESTRUTURA METÁLICA</t>
  </si>
  <si>
    <t>IS9343</t>
  </si>
  <si>
    <t>IS9350</t>
  </si>
  <si>
    <t>IS9351</t>
  </si>
  <si>
    <t>IS9352</t>
  </si>
  <si>
    <t>IS9353</t>
  </si>
  <si>
    <t>IS9355</t>
  </si>
  <si>
    <t>IS9360</t>
  </si>
  <si>
    <t>IS9361</t>
  </si>
  <si>
    <t>IS9362</t>
  </si>
  <si>
    <t>IS9363</t>
  </si>
  <si>
    <t>IS9364</t>
  </si>
  <si>
    <t>IS9365</t>
  </si>
  <si>
    <t>IS9366</t>
  </si>
  <si>
    <t>IS9367</t>
  </si>
  <si>
    <t>IS9368</t>
  </si>
  <si>
    <t>IS9369</t>
  </si>
  <si>
    <t>IS9370</t>
  </si>
  <si>
    <t>IS9371</t>
  </si>
  <si>
    <t>IS9373</t>
  </si>
  <si>
    <t>IS9374</t>
  </si>
  <si>
    <t>IS9375</t>
  </si>
  <si>
    <t>IS9376</t>
  </si>
  <si>
    <t>IS9377</t>
  </si>
  <si>
    <t>IS9378</t>
  </si>
  <si>
    <t>IS9379</t>
  </si>
  <si>
    <t>IS9380</t>
  </si>
  <si>
    <t>IS9381</t>
  </si>
  <si>
    <t>IS9382</t>
  </si>
  <si>
    <t>IS9383</t>
  </si>
  <si>
    <t>IS9384</t>
  </si>
  <si>
    <t>IS9401</t>
  </si>
  <si>
    <t>IS9402</t>
  </si>
  <si>
    <t>IS9403</t>
  </si>
  <si>
    <t>IS9404</t>
  </si>
  <si>
    <t>IS9420</t>
  </si>
  <si>
    <t>IS9421</t>
  </si>
  <si>
    <t>IS9422</t>
  </si>
  <si>
    <t>IS9450</t>
  </si>
  <si>
    <t>IS9451</t>
  </si>
  <si>
    <t>EXECUÇÃO DE ESTACAS ESCAVADAS TIPO TRADO Ø 300 MM</t>
  </si>
  <si>
    <t>IS9452</t>
  </si>
  <si>
    <t>IS9453</t>
  </si>
  <si>
    <t>IS9454</t>
  </si>
  <si>
    <t>IS9455</t>
  </si>
  <si>
    <t>IS9456</t>
  </si>
  <si>
    <t>IS9457</t>
  </si>
  <si>
    <t>IS9458</t>
  </si>
  <si>
    <t>IS9459</t>
  </si>
  <si>
    <t>APLICAÇÃO DE ASFALTO A FRIO</t>
  </si>
  <si>
    <t>IS9460</t>
  </si>
  <si>
    <t>IS9461</t>
  </si>
  <si>
    <t>IS9462</t>
  </si>
  <si>
    <t>IS9463</t>
  </si>
  <si>
    <t>IS9465</t>
  </si>
  <si>
    <t>IS9510</t>
  </si>
  <si>
    <t>IS9511</t>
  </si>
  <si>
    <t>IS9512</t>
  </si>
  <si>
    <t>IS9513</t>
  </si>
  <si>
    <t>IS9514</t>
  </si>
  <si>
    <t>IS9515</t>
  </si>
  <si>
    <t>IS9516</t>
  </si>
  <si>
    <t>IS9517</t>
  </si>
  <si>
    <t>IS9518</t>
  </si>
  <si>
    <t>IS9519</t>
  </si>
  <si>
    <t>IS9520</t>
  </si>
  <si>
    <t>IS9521</t>
  </si>
  <si>
    <t>IS9522</t>
  </si>
  <si>
    <t>IS9523</t>
  </si>
  <si>
    <t>IS9524</t>
  </si>
  <si>
    <t>IS9526</t>
  </si>
  <si>
    <t>IS9527</t>
  </si>
  <si>
    <t>IS9528</t>
  </si>
  <si>
    <t>IS9529</t>
  </si>
  <si>
    <t>IS9530</t>
  </si>
  <si>
    <t>IS9531</t>
  </si>
  <si>
    <t>IS9532</t>
  </si>
  <si>
    <t>LICENÇA AMBIENTAL</t>
  </si>
  <si>
    <t>QUADRO DE PROTEÇÃO POÇO ARTESIANO</t>
  </si>
  <si>
    <t>CONTRATAÇÕES BAMAQ</t>
  </si>
  <si>
    <t>SERVIÇOS DE BOMBEIRO/ELETRICISTA DE APOIO</t>
  </si>
  <si>
    <t>IS9712</t>
  </si>
  <si>
    <t>IS9714</t>
  </si>
  <si>
    <t>IS9715</t>
  </si>
  <si>
    <t>IS9716</t>
  </si>
  <si>
    <t>IS9717</t>
  </si>
  <si>
    <t>IS9718</t>
  </si>
  <si>
    <t>IS9719</t>
  </si>
  <si>
    <t>IS9721</t>
  </si>
  <si>
    <t>IS9722</t>
  </si>
  <si>
    <t>IS9723</t>
  </si>
  <si>
    <t>IS9724</t>
  </si>
  <si>
    <t>IS9725</t>
  </si>
  <si>
    <t>IS9726</t>
  </si>
  <si>
    <t>IS9727</t>
  </si>
  <si>
    <t>IS9728</t>
  </si>
  <si>
    <t>IS9729</t>
  </si>
  <si>
    <t>IS9731</t>
  </si>
  <si>
    <t>IS9732</t>
  </si>
  <si>
    <t>IS9734</t>
  </si>
  <si>
    <t>IS9738</t>
  </si>
  <si>
    <t>IS9745</t>
  </si>
  <si>
    <t>IS9746</t>
  </si>
  <si>
    <t>IS9749</t>
  </si>
  <si>
    <t>IS9752</t>
  </si>
  <si>
    <t>IS9753</t>
  </si>
  <si>
    <t>IS9754</t>
  </si>
  <si>
    <t>IS9755</t>
  </si>
  <si>
    <t>IS9756</t>
  </si>
  <si>
    <t>IS9759</t>
  </si>
  <si>
    <t>IS9760</t>
  </si>
  <si>
    <t>IS9761</t>
  </si>
  <si>
    <t>IS9762</t>
  </si>
  <si>
    <t>IS9763</t>
  </si>
  <si>
    <t>IS9764</t>
  </si>
  <si>
    <t>IS9765</t>
  </si>
  <si>
    <t>IS9766</t>
  </si>
  <si>
    <t>IS9767</t>
  </si>
  <si>
    <t>IS9768</t>
  </si>
  <si>
    <t>IS9769</t>
  </si>
  <si>
    <t>IS9770</t>
  </si>
  <si>
    <t>IS9771</t>
  </si>
  <si>
    <t>IS9772</t>
  </si>
  <si>
    <t>IS9773</t>
  </si>
  <si>
    <t>IS9774</t>
  </si>
  <si>
    <t>IS9775</t>
  </si>
  <si>
    <t>IS9776</t>
  </si>
  <si>
    <t>IS9777</t>
  </si>
  <si>
    <t>IS9778</t>
  </si>
  <si>
    <t>IS9779</t>
  </si>
  <si>
    <t>IS9780</t>
  </si>
  <si>
    <t>IS9781</t>
  </si>
  <si>
    <t>IS9782</t>
  </si>
  <si>
    <t>IS9783</t>
  </si>
  <si>
    <t>IS9784</t>
  </si>
  <si>
    <t>MENSALIDADE PUC</t>
  </si>
  <si>
    <t>IS9785</t>
  </si>
  <si>
    <t>IS9786</t>
  </si>
  <si>
    <t>IS9787</t>
  </si>
  <si>
    <t>IS9788</t>
  </si>
  <si>
    <t>IS9789</t>
  </si>
  <si>
    <t>IS9790</t>
  </si>
  <si>
    <t>IS9791</t>
  </si>
  <si>
    <t>IS9792</t>
  </si>
  <si>
    <t>IS9793</t>
  </si>
  <si>
    <t>IS9794</t>
  </si>
  <si>
    <t>IS9795</t>
  </si>
  <si>
    <t>IS9796</t>
  </si>
  <si>
    <t>IS9797</t>
  </si>
  <si>
    <t>IS9798</t>
  </si>
  <si>
    <t>IS9799</t>
  </si>
  <si>
    <t>IS9800</t>
  </si>
  <si>
    <t>IS9802</t>
  </si>
  <si>
    <t>IS9803</t>
  </si>
  <si>
    <t>IS9804</t>
  </si>
  <si>
    <t>IS9805</t>
  </si>
  <si>
    <t>IS9806</t>
  </si>
  <si>
    <t>IS9807</t>
  </si>
  <si>
    <t>IS9808</t>
  </si>
  <si>
    <t>IS9809</t>
  </si>
  <si>
    <t>IS9811</t>
  </si>
  <si>
    <t>IS9812</t>
  </si>
  <si>
    <t>IS9817</t>
  </si>
  <si>
    <t>IS9836</t>
  </si>
  <si>
    <t>IS9837</t>
  </si>
  <si>
    <t>IS9838</t>
  </si>
  <si>
    <t>IS9840</t>
  </si>
  <si>
    <t>IS9841</t>
  </si>
  <si>
    <t>IS9842</t>
  </si>
  <si>
    <t>IS9843</t>
  </si>
  <si>
    <t>IS9844</t>
  </si>
  <si>
    <t>IS9845</t>
  </si>
  <si>
    <t>IS9846</t>
  </si>
  <si>
    <t>IS9847</t>
  </si>
  <si>
    <t>FORNECIMENTO E INSTALAÇÃO DE GRADES E TELA MALHA</t>
  </si>
  <si>
    <t>is9848</t>
  </si>
  <si>
    <t>DIÁRIA DE GESSEIRO COM MATERIAL</t>
  </si>
  <si>
    <t>is9849</t>
  </si>
  <si>
    <t>SERRALHERIA LAGOINHA</t>
  </si>
  <si>
    <t>IS9850</t>
  </si>
  <si>
    <t>IS9851</t>
  </si>
  <si>
    <t>IS9852</t>
  </si>
  <si>
    <t>IS9853</t>
  </si>
  <si>
    <t>IS9854</t>
  </si>
  <si>
    <t>IS9855</t>
  </si>
  <si>
    <t>IS9856</t>
  </si>
  <si>
    <t>IS9857</t>
  </si>
  <si>
    <t>IS9858</t>
  </si>
  <si>
    <t>IS9859</t>
  </si>
  <si>
    <t>IS9860</t>
  </si>
  <si>
    <t>IS9861</t>
  </si>
  <si>
    <t>IS9862</t>
  </si>
  <si>
    <t>IS9863</t>
  </si>
  <si>
    <t>IS9864</t>
  </si>
  <si>
    <t>IS9865</t>
  </si>
  <si>
    <t>IS9866</t>
  </si>
  <si>
    <t>IS9867</t>
  </si>
  <si>
    <t>IS9868</t>
  </si>
  <si>
    <t>IS9869</t>
  </si>
  <si>
    <t>IS9870</t>
  </si>
  <si>
    <t>IS9871</t>
  </si>
  <si>
    <t>IS9872</t>
  </si>
  <si>
    <t>IS9873</t>
  </si>
  <si>
    <t>IS9874</t>
  </si>
  <si>
    <t>IS9875</t>
  </si>
  <si>
    <t>MÃO DE OBRA - CUSTOS APROPRIADOS</t>
  </si>
  <si>
    <t>IS9876</t>
  </si>
  <si>
    <t>IS9877</t>
  </si>
  <si>
    <t>IS9878</t>
  </si>
  <si>
    <t>IS9879</t>
  </si>
  <si>
    <t>IS9880</t>
  </si>
  <si>
    <t>IS9881</t>
  </si>
  <si>
    <t>IS9882</t>
  </si>
  <si>
    <t>IS9883</t>
  </si>
  <si>
    <t>IS9884</t>
  </si>
  <si>
    <t>IS9885</t>
  </si>
  <si>
    <t>IS9886</t>
  </si>
  <si>
    <t>IS9887</t>
  </si>
  <si>
    <t>IS9888</t>
  </si>
  <si>
    <t>IS9889</t>
  </si>
  <si>
    <t>IS9890</t>
  </si>
  <si>
    <t>IS9891</t>
  </si>
  <si>
    <t>IS9892</t>
  </si>
  <si>
    <t>ACERTO E APILOAMENTO DE FUNDO DE VALAS</t>
  </si>
  <si>
    <t>IS9893</t>
  </si>
  <si>
    <t>IS9894</t>
  </si>
  <si>
    <t>IS9895</t>
  </si>
  <si>
    <t>IS9896</t>
  </si>
  <si>
    <t>IS9897</t>
  </si>
  <si>
    <t>IS9898</t>
  </si>
  <si>
    <t>IS9899</t>
  </si>
  <si>
    <t>IS9910</t>
  </si>
  <si>
    <t>IS9911</t>
  </si>
  <si>
    <t>ADMINISTRATIVO / COMPRAS</t>
  </si>
  <si>
    <t>IS9912</t>
  </si>
  <si>
    <t>IS9914</t>
  </si>
  <si>
    <t>IS9915</t>
  </si>
  <si>
    <t>IS9916</t>
  </si>
  <si>
    <t>IS9917</t>
  </si>
  <si>
    <t>IS9918</t>
  </si>
  <si>
    <t>IS9919</t>
  </si>
  <si>
    <t>M.O. ALVENARIA BLOCO CONCRETO ESTRUTURAL E= 14/19CM</t>
  </si>
  <si>
    <t>IS9963</t>
  </si>
  <si>
    <t>MEDIÇÃO HERA</t>
  </si>
  <si>
    <t>IS9970</t>
  </si>
  <si>
    <t>REVESTIMENTO MONOLÍTICO DE PEDRA NATURAL</t>
  </si>
  <si>
    <t>IS9977</t>
  </si>
  <si>
    <t>IS9978</t>
  </si>
  <si>
    <t>IS9979</t>
  </si>
  <si>
    <t>IS9980</t>
  </si>
  <si>
    <t>IS9981</t>
  </si>
  <si>
    <t>IS9982</t>
  </si>
  <si>
    <t>IS9983</t>
  </si>
  <si>
    <t>IS9984</t>
  </si>
  <si>
    <t>IS9985</t>
  </si>
  <si>
    <t>IS9986</t>
  </si>
  <si>
    <t>IS9987</t>
  </si>
  <si>
    <t>IS9988</t>
  </si>
  <si>
    <t>IS9989</t>
  </si>
  <si>
    <t>IS9990</t>
  </si>
  <si>
    <t>IS9991</t>
  </si>
  <si>
    <t>TAPUME/CERCA (METALICO MATERIAL E MO)</t>
  </si>
  <si>
    <t>CONSULTORIA DE SEGURANÇA</t>
  </si>
  <si>
    <t>IT0041</t>
  </si>
  <si>
    <t>IT0042</t>
  </si>
  <si>
    <t>IT0073</t>
  </si>
  <si>
    <t>VALE REFEIÇÃO</t>
  </si>
  <si>
    <t>MOBILIZAÇÃO E DESMOBILIZAÇÃO DE ANDAIME FACHADEIRO</t>
  </si>
  <si>
    <t>TAXAS DIVERSAS M.O.</t>
  </si>
  <si>
    <t>CONSULTORIA ADVOCATÍCIA</t>
  </si>
  <si>
    <t>ACOMPANHAMENTO PREVIDENCIÁRIO DA OBRA</t>
  </si>
  <si>
    <t>IT1621</t>
  </si>
  <si>
    <t>VALE ALIMENTAÇÃO</t>
  </si>
  <si>
    <t>IT1622</t>
  </si>
  <si>
    <t>IT1623</t>
  </si>
  <si>
    <t>IT1624</t>
  </si>
  <si>
    <t>IT7000</t>
  </si>
  <si>
    <t>TRANSPORTE ESTRUTURA METÁLICA</t>
  </si>
  <si>
    <t>IT8571</t>
  </si>
  <si>
    <t>MONTAGEM/DESMONTAGEM DE BALANCIN ELÉTRICO</t>
  </si>
  <si>
    <t>CX</t>
  </si>
  <si>
    <t>MÊS</t>
  </si>
  <si>
    <t>DIA</t>
  </si>
  <si>
    <t>MES</t>
  </si>
  <si>
    <t>VIAG.</t>
  </si>
  <si>
    <t>L</t>
  </si>
  <si>
    <t>CJ</t>
  </si>
  <si>
    <t>PC</t>
  </si>
  <si>
    <t>PAR</t>
  </si>
  <si>
    <t>BR</t>
  </si>
  <si>
    <t>SC</t>
  </si>
  <si>
    <t>MIL</t>
  </si>
  <si>
    <t>LT</t>
  </si>
  <si>
    <t>RL</t>
  </si>
  <si>
    <t>T</t>
  </si>
  <si>
    <t>TB</t>
  </si>
  <si>
    <t>VIAG</t>
  </si>
  <si>
    <t>024.002.002</t>
  </si>
  <si>
    <t>CHAPISCO INTERNO ROLADO</t>
  </si>
  <si>
    <t>023.006.004</t>
  </si>
  <si>
    <t>T5</t>
  </si>
  <si>
    <t>T6</t>
  </si>
  <si>
    <t>T7</t>
  </si>
  <si>
    <t>CONSTRUTORA ULISSES - ED. MONTEVIDÉU - R00</t>
  </si>
  <si>
    <t>ESTUDO LOCAÇÃO DE BANDEJAS DE SEGURANÇA</t>
  </si>
  <si>
    <t>EXECUÇÃO LAJE (DIAS)</t>
  </si>
  <si>
    <t>Topo caixa d'água</t>
  </si>
  <si>
    <t>PRAZO</t>
  </si>
  <si>
    <t>Caixa d'água</t>
  </si>
  <si>
    <t>Cobertura</t>
  </si>
  <si>
    <t>11º nível</t>
  </si>
  <si>
    <t>10º nível</t>
  </si>
  <si>
    <t>9º nível</t>
  </si>
  <si>
    <t>8º nível</t>
  </si>
  <si>
    <t>7º nível</t>
  </si>
  <si>
    <t>6º nível</t>
  </si>
  <si>
    <t>5º nível</t>
  </si>
  <si>
    <t>4º nível</t>
  </si>
  <si>
    <t>3º nível</t>
  </si>
  <si>
    <t>2º nível - Téreo</t>
  </si>
  <si>
    <t>1º nível</t>
  </si>
  <si>
    <t>Bandeja L=250cm</t>
  </si>
  <si>
    <t>Bandeja L=150cm - 1</t>
  </si>
  <si>
    <t>PRAZO PARA EXECUÇÃO DA ESTRUTURA + ALVENARIA</t>
  </si>
  <si>
    <t>dias</t>
  </si>
  <si>
    <t>meses</t>
  </si>
  <si>
    <t>Bandeja L=150cm - 2</t>
  </si>
  <si>
    <t>INÍCIO DA BANDEJA DE 250CM</t>
  </si>
  <si>
    <t>TÉRMINO DA BANDEJA DE 250CM</t>
  </si>
  <si>
    <t>INÍCIO DA BANDEJA 01 DE 150CM</t>
  </si>
  <si>
    <t>TÉRMINO DA BANDEJA 01 DE 150CM</t>
  </si>
  <si>
    <t>INÍCIO DA BANDEJA 02 DE 150CM</t>
  </si>
  <si>
    <t>TÉRMINO DA BANDEJA 02 DE 150CM</t>
  </si>
  <si>
    <t>ED. MONTEVIDÉU</t>
  </si>
  <si>
    <t>CONSTRUTORA ULISSES</t>
  </si>
  <si>
    <t>QUADRO DE MÃO DE OBRA FIXA DA OBRA - CUSTO INDIRETO - PREVISTO</t>
  </si>
  <si>
    <t>TERRAPLENAGEM, CONTENÇÃO E FUNDAÇÃO</t>
  </si>
  <si>
    <t>ESTRUTURA + ALVENARIA</t>
  </si>
  <si>
    <t>ACABAMENTOS + FACHADA</t>
  </si>
  <si>
    <t>DESCRIÇÃO</t>
  </si>
  <si>
    <t>SALÁRIOS</t>
  </si>
  <si>
    <t>MÊS 01</t>
  </si>
  <si>
    <t>MÊS 02</t>
  </si>
  <si>
    <t>MÊS 03</t>
  </si>
  <si>
    <t>MÊS 04</t>
  </si>
  <si>
    <t>MÊS 05</t>
  </si>
  <si>
    <t>MÊS 06</t>
  </si>
  <si>
    <t>MÊS 07</t>
  </si>
  <si>
    <t>MÊS 08</t>
  </si>
  <si>
    <t>MÊS 09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</si>
  <si>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</si>
  <si>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</si>
  <si>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</si>
  <si>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</si>
  <si>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</si>
  <si>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</si>
  <si>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</si>
  <si>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</si>
  <si>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</si>
  <si>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</si>
  <si>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</si>
  <si>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</si>
  <si>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</si>
  <si>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</si>
  <si>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</si>
  <si>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</si>
  <si>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</si>
  <si>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</si>
  <si>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</si>
  <si>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</si>
  <si>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</si>
  <si>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</si>
  <si>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</si>
  <si>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</si>
  <si>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</si>
  <si>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</si>
  <si>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</si>
  <si>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ENGENHEIRO RESIDENTE - PJ</t>
  </si>
  <si>
    <t>TÉCNICO DE SEGURANÇA DO TRABALHO - VISITAS</t>
  </si>
  <si>
    <t>ESTAGIÁRIO</t>
  </si>
  <si>
    <t>ADMINISTRATIVO</t>
  </si>
  <si>
    <t xml:space="preserve">PEDREIRO DE APOIO </t>
  </si>
  <si>
    <t>BOMBEIRO/ELETRICISTA DE APOIO</t>
  </si>
  <si>
    <t>SERVENTE DE APOIO / LIMPEZA / CARGA E DESCARGA</t>
  </si>
  <si>
    <t>QUANTIDADE TOTAL</t>
  </si>
  <si>
    <t>QUADRO DE EQUIPAMENTO FIXO DA OBRA - CUSTO INDIRETO - PREVISTO</t>
  </si>
  <si>
    <t xml:space="preserve">BEBEDOURO (COMPRA) </t>
  </si>
  <si>
    <t xml:space="preserve">ESTUFA ELÉTRICA (COMPRAR) </t>
  </si>
  <si>
    <t xml:space="preserve">RELÓGIO DE PONTO (COMPRA) </t>
  </si>
  <si>
    <t>RÁDIO COMUNICADOR (ALUGUEL)</t>
  </si>
  <si>
    <t>BETONEIRA 420 LITROS</t>
  </si>
  <si>
    <t>ARGAMASSADEIRA</t>
  </si>
  <si>
    <t>SERRA ELÉTRICA MANUAL</t>
  </si>
  <si>
    <t>SERRA ELÉTRICA BANCADA</t>
  </si>
  <si>
    <t>GUINCHO DE COLUNA + CABO</t>
  </si>
  <si>
    <t>ELEVADOR CREMALHEIRA - CABINE DUPLA</t>
  </si>
  <si>
    <t>SERRA MÁRMORE - MAKITA</t>
  </si>
  <si>
    <t>PISTOLA HILT / WALSIVA - FINCA PINO</t>
  </si>
  <si>
    <t>MARTELETE ROMPEDOR 15 KG</t>
  </si>
  <si>
    <t>RETRO ESCAVADEIRA</t>
  </si>
  <si>
    <t>CAMINHÃO MUNCK (DIÁRIA)</t>
  </si>
  <si>
    <t>APARALIXO PRIMÁRIO (PEÇA)</t>
  </si>
  <si>
    <t>APARALIXO SECUNDÁRIO (PEÇA) - 01</t>
  </si>
  <si>
    <t>APARALIXO SECUNDÁRIO (PEÇA) - 02</t>
  </si>
  <si>
    <t>LOCAÇÃO DE LEVE SUSPENSO (BALANCIM ELÉTRICO)</t>
  </si>
  <si>
    <t>LOCAÇÃO DE ANDAIME FACHADEIRO</t>
  </si>
  <si>
    <t>CAMINHÃO PIPA (VIAGEM) - 01 POR SEMANA</t>
  </si>
  <si>
    <t>RESUMO</t>
  </si>
  <si>
    <t>3º AO 6º PAVIMENTO</t>
  </si>
  <si>
    <t>BALANCINHO</t>
  </si>
  <si>
    <t>FACHADEIRO</t>
  </si>
  <si>
    <t>TOTAL:</t>
  </si>
  <si>
    <t>LOCAR:</t>
  </si>
  <si>
    <t>EXTRAS</t>
  </si>
  <si>
    <t>FACHADA RUA BUENOS AIRES</t>
  </si>
  <si>
    <t>MUROS LATERAIS</t>
  </si>
  <si>
    <t>ANDAIME SUSPENSO</t>
  </si>
  <si>
    <t>ANDAIME FACHADEIRO</t>
  </si>
  <si>
    <t>7º AO 10º PAVIMENTO</t>
  </si>
  <si>
    <t xml:space="preserve">10º PAVIMENTO A COBERTURA </t>
  </si>
  <si>
    <t>BARRILETE / CAIXA D'ÁGUA</t>
  </si>
  <si>
    <t>Código</t>
  </si>
  <si>
    <t>Unid.</t>
  </si>
  <si>
    <t>LOCAÇÃO DE CAMISA METÁLICA PARA TUBULÃO</t>
  </si>
  <si>
    <t>LOCAÇÃO DE VAN</t>
  </si>
  <si>
    <t>LOCAÇÃO DIVERSOS MÁQUINAS E EQUIPAMENTOS</t>
  </si>
  <si>
    <t>MINI ESCAVADEIRA</t>
  </si>
  <si>
    <t>LOCAÇÃO TRADO MECÂNICO</t>
  </si>
  <si>
    <t>CAMINHÃO PIPA</t>
  </si>
  <si>
    <t>VIAGE</t>
  </si>
  <si>
    <t>MONTAGEM E DESMONTAGEM DE ANDAIME FACHADEIRO</t>
  </si>
  <si>
    <t>MINI GRUA - CAPACIDADE ATÉ 500 KG - MANUTENÇÃO E</t>
  </si>
  <si>
    <t>MINI GRUA - MONTAGEM E DESMONTAGEM</t>
  </si>
  <si>
    <t>MINI GRUA - ASCENSÃO</t>
  </si>
  <si>
    <t>MINI GRUA - CAPACIDADE ATÉ 500 KG - LOCAÇÃO</t>
  </si>
  <si>
    <t>LOCAÇÃO DE CAMINHÃO MUNCK PARA CARGA/DESCARGA DE</t>
  </si>
  <si>
    <t>ANDAIME TUBULAR PARA SERVIÇOS GERAIS COMPLETO -</t>
  </si>
  <si>
    <t>M2/ME</t>
  </si>
  <si>
    <t>ROLO COMPACTADOR</t>
  </si>
  <si>
    <t>ANDAIME FACHADEIRO COM PISO METALICO</t>
  </si>
  <si>
    <t>BETONEIRA</t>
  </si>
  <si>
    <t>COMPACTADOR TIPO PLACA</t>
  </si>
  <si>
    <t>BOMBAS PARA DRENAGEM DE ÁGUA PLUVIAL</t>
  </si>
  <si>
    <t>LAVADORA DE ALTA PRESSÃO WAP</t>
  </si>
  <si>
    <t>LIXADEIRA REF.: ANTARES - Compra</t>
  </si>
  <si>
    <t>MARTELETE SDS 2KG</t>
  </si>
  <si>
    <t>MARTELO ROMPEDOR 10KG</t>
  </si>
  <si>
    <t>ESCAVADEIRA</t>
  </si>
  <si>
    <t>MINI-CARREGADEIRA BOBCAT</t>
  </si>
  <si>
    <t>LOCAÇÃO DE ANDAIMES PARA APOIO AOS SERVIÇOS DE</t>
  </si>
  <si>
    <t>MARTELETE 10KG (02 EQUIPAMENTOS / MÊS)</t>
  </si>
  <si>
    <t>LOCAÇÃO DE GUINDASTE PARA IÇAMENTO DAS ÁRVORES</t>
  </si>
  <si>
    <t>RÁDIO DE COMUNICAÇÃO MOTOROLA EP150</t>
  </si>
  <si>
    <t>PISTOLA HILT / WALSIVA - Finca pino - Compra</t>
  </si>
  <si>
    <t>ANDAIME PARA SERVIÇOS GERAIS - Estimado</t>
  </si>
  <si>
    <t>LOCAÇÃO DE BANHEIRO QUÍMICO</t>
  </si>
  <si>
    <t>LOCAÇÃO DE RETRO-ESCAVADEIRA</t>
  </si>
  <si>
    <t>ELEVADOR TIPO CREMALHEIRA - ASCENSÃO</t>
  </si>
  <si>
    <t>PLATAFORMA SUPER DE ELEVAÇÃO MANUAL DE 1 A 6 METROS -</t>
  </si>
  <si>
    <t>ASSISTENTE DE ENGENHARIA - PJ</t>
  </si>
  <si>
    <t>SERRA CIRCULAR DE BANCADA</t>
  </si>
  <si>
    <t>MÁQUINA DE CORTAR PAREDE</t>
  </si>
  <si>
    <t>BOB CAT</t>
  </si>
  <si>
    <t>ESCORAMENTO METÁLICO</t>
  </si>
  <si>
    <t>CAÇAMBA P/ REMOÇÃO DE ENTULHO</t>
  </si>
  <si>
    <t>BETONEIRA 420 LITROS COM CARREGADOR</t>
  </si>
  <si>
    <t>PISTOLA HILT</t>
  </si>
  <si>
    <t>ACESSÓRIOS PARA MONTAGEM DOS ELEVADORES DE OBRA -</t>
  </si>
  <si>
    <t>RETRO COM PICÃO</t>
  </si>
  <si>
    <t>MANUTENÇÃO PREVENTIVA ELEVADOR CREMALHEIRA</t>
  </si>
  <si>
    <t>MÃO FRANCESA PARA BANDEJA SALVA-VIDAS L=2,5M</t>
  </si>
  <si>
    <t>UN/ME</t>
  </si>
  <si>
    <t>CAÇAMBA P/REMOÇÃO DE ENTULHOS (5M³)</t>
  </si>
  <si>
    <t>MINI GRUA</t>
  </si>
  <si>
    <t>EQUIPAMENTO INFORMATICA (COMPUTADOR)</t>
  </si>
  <si>
    <t>ANDAIME INTERNO COM PISO E RODAPÉ</t>
  </si>
  <si>
    <t>RÁDIO DE COMUNICAÇÃO</t>
  </si>
  <si>
    <t>FERRAMENTAS EM GERAL</t>
  </si>
  <si>
    <t>PLATAFORMA ELEVATÓRIA (3 PLATAFORMAS)</t>
  </si>
  <si>
    <t>LOCAÇÃO DE BANHEIRO QUÍMICO, INCLUSO 2 MANUTENÇÕES</t>
  </si>
  <si>
    <t>RELÓGIO DE PONTO</t>
  </si>
  <si>
    <t>ANDAIME FACHADEIRO SEM PISO METALICO</t>
  </si>
  <si>
    <t>IMPRESSORA - Compra</t>
  </si>
  <si>
    <t>LOCAÇÃO DE COMPRESSOR PARA TIRANTES</t>
  </si>
  <si>
    <t>CAÇAMBA P/REMOÇÃO DE ENTULHOS</t>
  </si>
  <si>
    <t>CAMINHÃO MUNK</t>
  </si>
  <si>
    <t>RELÓGIO DE PONTO DIGITAL - MANUTENÇÃO SISPONTO/</t>
  </si>
  <si>
    <t>ENGENHEIRO SÊNIOR, ENGENHEIRO JUNIOR + ADICIONAL</t>
  </si>
  <si>
    <t>ENCARREGADO DE OBRAS</t>
  </si>
  <si>
    <t>TÉCNICO DE SEGURANÇA (1/5 HORÁRIO)</t>
  </si>
  <si>
    <t>AUXILIAR ADM (1/5 HORÁRIO)</t>
  </si>
  <si>
    <t>PEDREIRO DE APOIO (02 HOMENS / MÊS)</t>
  </si>
  <si>
    <t>SERVENTE DE APOIO (05 HOMENS / MÊS)</t>
  </si>
  <si>
    <t>FAXINEIRA APOIO (03 HOMENS / MÊS)</t>
  </si>
  <si>
    <t>FAXINEIRA APOIO - NOTURNO (02 HOMENS / MÊS)</t>
  </si>
  <si>
    <t>LOCAÇÃO DE ESCADA</t>
  </si>
  <si>
    <t>GERADOR</t>
  </si>
  <si>
    <t>ASPIRADOR DE PÓ E AGUÁ</t>
  </si>
  <si>
    <t>MARTELETE 05KG (02 EQUIPAMENTOS / MÊS)</t>
  </si>
  <si>
    <t>PLACA VIBRATÓRIA</t>
  </si>
  <si>
    <t>RELÓGIO DE PONTO COM RECONHECIMENTO FACIAL</t>
  </si>
  <si>
    <t>RELÓGIO DE PONTO COM RECONHECIMENTO FACIAL (compra)</t>
  </si>
  <si>
    <t>PEDREIRO/OFICIAL DE APOIO</t>
  </si>
  <si>
    <t>GESTOR DE OBRAS</t>
  </si>
  <si>
    <t>JOVEM APRENDIZ</t>
  </si>
  <si>
    <t>FUNCIONÁRIO CONSULTARE PARA AMOSTRAGEM DO</t>
  </si>
  <si>
    <t>CARPINTEIRO DE APOIO - (01 HOMEM/MÊS)</t>
  </si>
  <si>
    <t>FAXINEIRA</t>
  </si>
  <si>
    <t>AJUDANTE DE CARPINTEIRO</t>
  </si>
  <si>
    <t>AJUDANTE DE ARMADOR (ENCARGOS INCLUSOS)</t>
  </si>
  <si>
    <t>ARMADOR (ENCARGOS INCLUSOS)</t>
  </si>
  <si>
    <t>CARPINTEIRO</t>
  </si>
  <si>
    <t>PEDREIRO</t>
  </si>
  <si>
    <t>SERVENTE</t>
  </si>
  <si>
    <t>SERVIÇOS DE SEGURANÇA DO TRABALHO</t>
  </si>
  <si>
    <t>AJUDANTE DE CARPINTEIRO (ENCARGOS INCLUSOS)</t>
  </si>
  <si>
    <t>MESTRE DE OBRA  (1/2 com nota</t>
  </si>
  <si>
    <t>CARPINTEIRO (encargos inclusos)</t>
  </si>
  <si>
    <t>POCEIRO (sem encargos inclusos</t>
  </si>
  <si>
    <t>ARMADOR (sem encargos inclusos</t>
  </si>
  <si>
    <t>MEIO OFICIAL (sem encargos inclusos)</t>
  </si>
  <si>
    <t>PEDREIRO (sem encargos inclusos)</t>
  </si>
  <si>
    <t>SERVENTE (sem encargos inclusos)</t>
  </si>
  <si>
    <t>CARPINTEIRO (sem encargos inclusos)</t>
  </si>
  <si>
    <t>ELETRICISTA / BOMBEIRO DE APOIO - (01 HOMEM/MÊS)</t>
  </si>
  <si>
    <t>PEDREIRO (encargos inclusos)</t>
  </si>
  <si>
    <t>SERVENTE (encargos inclusos)</t>
  </si>
  <si>
    <t>MESTRE DE OBRA (Incluso no cus</t>
  </si>
  <si>
    <t>OPERADOR DE BETONEIRA (ENCARGOS INCLUSOS)</t>
  </si>
  <si>
    <t>TÉCNICO DE SEGURANÇA</t>
  </si>
  <si>
    <t>ENCARREGADO ADMINISTRATIVO</t>
  </si>
  <si>
    <t>PEDREIRO DE APOIO (01 HOMENS/MÊS)</t>
  </si>
  <si>
    <t>SERVENTE DE APOIO (04 HOMENS/MÊS)</t>
  </si>
  <si>
    <t>PEDREIRO (ENCARGOS INCLUSOS)</t>
  </si>
  <si>
    <t>SERVENTE (ENCARGOS INCLUSOS)</t>
  </si>
  <si>
    <t>MESTRE DE OBRAS</t>
  </si>
  <si>
    <t>TÉCNICO DE SEGURANÇA (1/4 HORÁRIO)</t>
  </si>
  <si>
    <t>AUXILIAR ADMINISTRATIVO (1/4 HORÁRIO)</t>
  </si>
  <si>
    <t>ENGENHEIRO SÊNIOR (1/3 HORÁRIO)</t>
  </si>
  <si>
    <t>ENGENHEIRO JÚNIOR (NOTURNO)</t>
  </si>
  <si>
    <t>FAXINEIRO (02 HOMENS / MÊS)</t>
  </si>
  <si>
    <t>ENGENHEIRO JÚNIOR</t>
  </si>
  <si>
    <t>ADMINISTRATIVO DE OBRA</t>
  </si>
  <si>
    <t>ASSISTENTE DE ENGENHARIA</t>
  </si>
  <si>
    <t>ENCARREGADO DE FORMA (COM ENCARGOS)</t>
  </si>
  <si>
    <t>AUXILIAR DE MINI GRUA</t>
  </si>
  <si>
    <t>ENCARREGADO DE FORMA</t>
  </si>
  <si>
    <t>ENCARREGADO DE ARMAÇÃO</t>
  </si>
  <si>
    <t>TÉCNICO FINANCEIRO (XX HORÁRIO)</t>
  </si>
  <si>
    <t>ENCARREGADO DE OBRA II</t>
  </si>
  <si>
    <t>TÉCNICO DE EDIFICAÇÕES</t>
  </si>
  <si>
    <t>ENCARREGADO GERAL / INSTALAÇÕES</t>
  </si>
  <si>
    <t>AUXILIAR DE BETONEIRA</t>
  </si>
  <si>
    <t>FAXINEIRA (2 FUNCIONÁRIAS/ DIA)</t>
  </si>
  <si>
    <t>FAXINEIRA (NOTURNO - 01/MÊS)</t>
  </si>
  <si>
    <t>HORAS EXTRAS</t>
  </si>
  <si>
    <t>CUSTO PARA EMISSÃO DE NF EM NOME DA CONSTRUTORA -</t>
  </si>
  <si>
    <t>ENCARREGADO OBRA</t>
  </si>
  <si>
    <t>AUXILIAR ADM (1/4 HORÁRIO)</t>
  </si>
  <si>
    <t>PEDREIRO DE APOIO (03 HOMENS / MÊS)</t>
  </si>
  <si>
    <t>SERVENTE DE APOIO (06 HOMENS / MÊS)</t>
  </si>
  <si>
    <t>AUXILIAR ADMINISTRATIVO</t>
  </si>
  <si>
    <t>SERVENTE DE APOIO (08 HOMENS / MÊS)</t>
  </si>
  <si>
    <t>ESTAGIÁRIO DE ENGENHARIA (COM ENCARGOS) - II</t>
  </si>
  <si>
    <t>PEDREIRO DE APOIO II</t>
  </si>
  <si>
    <t>SERVENTE DE APOIO / LIMPEZA / TRANSPORTE HORIZONTAL E</t>
  </si>
  <si>
    <t>ELETRICISTA  DE APOIO</t>
  </si>
  <si>
    <t>CARPINTEIRO (ENCARGOS INCLUSOS)</t>
  </si>
  <si>
    <t>ADMINISTRATIVO DE OBRA III</t>
  </si>
  <si>
    <t>AUXILIAR DE ENGENHARIA</t>
  </si>
  <si>
    <t>MESTRE DE OBRA III</t>
  </si>
  <si>
    <t>VIGIA NOTURNO  (2/MÊS ATÉ ENTREGA SUPERMERCADO)</t>
  </si>
  <si>
    <t>OPERADOR DE ELEVADOR CREMALHEIRA / DEFINITIVO</t>
  </si>
  <si>
    <t>ENCARREGADO DE OBRA I</t>
  </si>
  <si>
    <t>OPERADOR DE MINI GRUA</t>
  </si>
  <si>
    <t>ENCARREGADO DE OBRA III</t>
  </si>
  <si>
    <t>SUPERVISOR DE ELÉTRICA</t>
  </si>
  <si>
    <t>1/2 OFICIAL - PEDREIRO</t>
  </si>
  <si>
    <t>PEDREIRO (PLANEJAMENTO)</t>
  </si>
  <si>
    <t>SERVENTE (PLANEJAMENTO)</t>
  </si>
  <si>
    <t>CARPINTEIRO (PLANEJAMENTO)</t>
  </si>
  <si>
    <t>AJUDANTE DE CARPINTEIRO (PLANEJAMENTO)</t>
  </si>
  <si>
    <t>ARMADOR (PLANEJAMENTO)</t>
  </si>
  <si>
    <t>AJUDANTE DE ARMADOR (PLANEJAMENTO)</t>
  </si>
  <si>
    <t>PINTOR (PLANEJAMENTO)</t>
  </si>
  <si>
    <t>AJUDANTE DE PINTOR (PLANEJAMENTO)</t>
  </si>
  <si>
    <t>GESSEIRO (PLANEJAMENTO)</t>
  </si>
  <si>
    <t>MARCENEIRO PORTA (PLANEJAMENTO)</t>
  </si>
  <si>
    <t>AJUD. MARCENEIRO DE PORTA (PLANEJAMENTO)</t>
  </si>
  <si>
    <t>CALCETEIRO (PLANEJAMENTO)</t>
  </si>
  <si>
    <t>VIGILÂNCIA</t>
  </si>
  <si>
    <t>PLACAS PERMEÁVEIS DE RESINA TERMOPLÁSTICA REF.: GRIM</t>
  </si>
  <si>
    <t>CAIXA PARA PORTA DE ENROLAR 2800X60X60 CM</t>
  </si>
  <si>
    <t>PA1 - PORTA DE AÇO DE ENROLAR COM PINTURA COR PRATA</t>
  </si>
  <si>
    <t>SOLEIRA DE GRANITO LARG 10CM</t>
  </si>
  <si>
    <t>S4 - SOLEIRA EM GRANITO WHITE VERONA LEVIGADO</t>
  </si>
  <si>
    <t>PA2 - PORTA DE AÇO DE ENROLAR COM PINTURA COR PRATA</t>
  </si>
  <si>
    <t>SOLEIRA EM ARDOSIA LARG=20 CM</t>
  </si>
  <si>
    <t>SOLEIRA INCLINADA NO SENTIDO DO PISO NO NÍVEL INFERIOR</t>
  </si>
  <si>
    <t>SOLEIRA EM GRANITO CINZA CORUM</t>
  </si>
  <si>
    <t>PINGADEIRA DE CONCRETO PRÉ MOLDADO LARG= 23CM</t>
  </si>
  <si>
    <t>SOLEIRA EM GRANITO - REF.: R$ 300,00/M2</t>
  </si>
  <si>
    <t>INSTALAÇÕES DE TELECOM - Material</t>
  </si>
  <si>
    <t>RODABANCA DE GRANITO PRETO SÃO GABRIEL</t>
  </si>
  <si>
    <t>RODABANCA DE GRANITO AQUALUX POLIDO H=15CM</t>
  </si>
  <si>
    <t>TESTEIRA EM MÁRMORE H=4CM</t>
  </si>
  <si>
    <t>PEITORIL EM ARDÓSIA LARG= 24 C</t>
  </si>
  <si>
    <t>PEITORIL EM ARDÓSIA LARG= 29 C</t>
  </si>
  <si>
    <t>INSTALAÇÃO ELÉTRICA/TELECOM - Material</t>
  </si>
  <si>
    <t>INSTALAÇÕES HIDRO-SANITÁRIAS - MATERIAL (informado pelo</t>
  </si>
  <si>
    <t>CHUMBADOR WEDGE-BOLT Ø 3/8" L= 100MM</t>
  </si>
  <si>
    <t>CHUMBADOR QUÍMICO HILTI HIT-Z Ø3/4" COM ADESIVO HIT-HY</t>
  </si>
  <si>
    <t>LOCAÇÃO MOLDE ATEX 800 H=0,25m (capa =7,5cm) - inteiro</t>
  </si>
  <si>
    <t>LOCAÇÃO MOLDE ATEX 800 h=0,25m (capa=7,5cm) - meio</t>
  </si>
  <si>
    <t>LOCAÇÃO DE RÉGUA LINEAR PARA ATEX</t>
  </si>
  <si>
    <t>ARAME RECOZIDO BWG 18 (antigo PG-07)</t>
  </si>
  <si>
    <t>AREIA ÚMIDA</t>
  </si>
  <si>
    <t>AREIA IND.MÉDIA LAVADA</t>
  </si>
  <si>
    <t>ARAME GALVANIZADO Nº 14 PARA AMARRAÇÃO DE TELA</t>
  </si>
  <si>
    <t>AÇO CA-50 / CA-60 - CORTADO E DOBRADO</t>
  </si>
  <si>
    <t>PAPELEIRA BANHO SERVIÇO - Aditivo de contrato</t>
  </si>
  <si>
    <t>CABIDE BANHO SERVIÇO - Aditivo de contrato</t>
  </si>
  <si>
    <t>RALO OCULTO MOZAIK QUATTRO 10x10 cm - Aditivo de contrato</t>
  </si>
  <si>
    <t>CABIDE DECA QUADRATTA CÓD.:2060.C83 CROMADO -</t>
  </si>
  <si>
    <t>MISTURADOR KROMMA MISTURADOR MONOCOMANDO MESA</t>
  </si>
  <si>
    <t>REJUNTE PARA PORCELANATO / MÁRMORE / GRANITO (SACO DE</t>
  </si>
  <si>
    <t>ARGAMASSA PRONTA VALEMASSA MULTIUSO</t>
  </si>
  <si>
    <t>NICHO EM LATÃO ESCOVADO DOURADO - LAVABO - MATERIAL -</t>
  </si>
  <si>
    <t>CONTRATO: CHAPAS MÁRMORES/GRANITOS - DIRECTA 01</t>
  </si>
  <si>
    <t>CONTRATO: CHAPAS MÁRMORES/GRANITOS - DIRECTA 02</t>
  </si>
  <si>
    <t>ADITIVO CRISTALIZANTE PARA CONCRETO (3,5KG/M3)</t>
  </si>
  <si>
    <t>ARGILA EXPANDIDA</t>
  </si>
  <si>
    <t>CESTA BÁSICA</t>
  </si>
  <si>
    <t>PROTEÇÕES DIVERSAS (REVESTIMENTOS, ESQUADRIAS E</t>
  </si>
  <si>
    <t>ANEL DE BORRACHA</t>
  </si>
  <si>
    <t>ASSENTO SANITÁRIO TERMOFIXO - REF.: DECA AP.236.17</t>
  </si>
  <si>
    <t>APARELHO MISTURADOR COM VÁLVULA COM LADRÃO (BIDê) -</t>
  </si>
  <si>
    <t>VÁLVULA DE DESCARGA P/ MICTÓRIO</t>
  </si>
  <si>
    <t>CONTRATO: BEL LAR (Pedido GSJ 2817004781- Apartamento) -</t>
  </si>
  <si>
    <t>CONTRATO: ARJON HOLDING</t>
  </si>
  <si>
    <t>CONTRATO: DUCHA COLUNA DE PISO - ARJON HOLDING - Custo</t>
  </si>
  <si>
    <t>ADEGA ELETTROMEC VETRO 181 GARRAFAS DUAL ZONE - CÓD.:</t>
  </si>
  <si>
    <t>CONTRATO: BENEFICIAMENTO DAS CHAPAS - ATELIER DOS</t>
  </si>
  <si>
    <t>VEDAKOLL - IMPERMEABILIZANTE PARA GRANITOS/MÁRMORES</t>
  </si>
  <si>
    <t>BACIA SANITÁRIA ROCA ARMANI WALL-HUNG WC OFF- WHITE</t>
  </si>
  <si>
    <t>BRITA 1</t>
  </si>
  <si>
    <t>PISO TIPO TACÃO DE MADEIRA NATURAL - MATERIAL - Mão de</t>
  </si>
  <si>
    <t>BROCA DE VÍDIA DE 1/2 X 330 MM</t>
  </si>
  <si>
    <t>BACIA SANITÁRIA COM CAIXA ACOPLADA EM LOUÇA COR</t>
  </si>
  <si>
    <t>ANEL DE VEDAÇÃO - BACIA SANITÁRIA 150MM</t>
  </si>
  <si>
    <t>MANILHA PARA TUBULÕES</t>
  </si>
  <si>
    <t>CONCRETO USINADO CONVENCIONAL FCK 30,0 MPa</t>
  </si>
  <si>
    <t>P7 - METÁLICA E.T.E. PAV 05 - 170 X 210 CM - ABRIR</t>
  </si>
  <si>
    <t>GRELHAS GALVANIZADAS OU INOX LARG. 20CM (M)</t>
  </si>
  <si>
    <t>ADUELA EM GRANITO POLIDO COMERCIAL COM COR CLARA</t>
  </si>
  <si>
    <t>ALIZAR EM GRANITO POLIDO COMERCIAL COM COR CLARA</t>
  </si>
  <si>
    <t>PEITORIL EM GRANITO CINZA VERONA LARG. 22 CM (interno)</t>
  </si>
  <si>
    <t>PEITORIL EM GRANITO CINZA VERONA JATEADO LARG. 15 CM</t>
  </si>
  <si>
    <t>DEGRAU EM GRANITO CINZA VERONA L=30CM</t>
  </si>
  <si>
    <t>CIMENTO PORTLAND CP-320</t>
  </si>
  <si>
    <t>CAL HIDRATADA CHI</t>
  </si>
  <si>
    <t>TORNEIRA PAREDE C/ CHAPA P/ LAVAT. DECA POLO 1179.GL.33</t>
  </si>
  <si>
    <t>COMPENSADO RESINADO 12 mm</t>
  </si>
  <si>
    <t>COMPENSADO RESINADO 10MM</t>
  </si>
  <si>
    <t>COMPENSADO PLASTIFICADO 12 mm</t>
  </si>
  <si>
    <t>CANTONEIRA DE ALUMÍNIO</t>
  </si>
  <si>
    <t>CALHA DE CHAPA GALVANIZADA</t>
  </si>
  <si>
    <t>COLA PVA</t>
  </si>
  <si>
    <t>COLA PU PARA PISO TACÃO</t>
  </si>
  <si>
    <t>CAIXA ACOPLADA MONTANA PARA BACIA ADAPTADA PNES</t>
  </si>
  <si>
    <t>CUBA BANHO - REF.: R$ 1.500,00</t>
  </si>
  <si>
    <t>CUBA EM LOUÇA DE SOBREPOR À DEFINIR - BANHOS APTOS</t>
  </si>
  <si>
    <t>CONJUNTO DE FIXAÇÃO P/ TANQUE</t>
  </si>
  <si>
    <t>CANTONEIRA DE FERRO PARA PROTEÇÃO DE QUINA DE ESCADA</t>
  </si>
  <si>
    <t>ESPELHO EM GRANITO CINZA VERONA L=17CM</t>
  </si>
  <si>
    <t>SOLEIRA EM GRANITO “BRANCO SIENA” - 15 CM</t>
  </si>
  <si>
    <t>PEITORIL EM GRANITO CINZA VERONA JATEADO LARG. 27 CM</t>
  </si>
  <si>
    <t>PEITORIL EM GRANITO CINZA VERONA JATEADO LARG. 37 CM</t>
  </si>
  <si>
    <t>TORNEIRA DE PAREDE PARA TANQUE REF. DECA</t>
  </si>
  <si>
    <t>P4 - PORTA PRONTA COM PINTURA NA COR BRANCA - 170 X 210</t>
  </si>
  <si>
    <t>P10 - PORTA PRONTA COM PINTURA NA COR BRANCA - 150 X</t>
  </si>
  <si>
    <t>P12 - PORTA PRONTA COM PINTURA NA COR BRANCA - 120 X</t>
  </si>
  <si>
    <t>P13 - PORTA PRONTA COM PINTURA NA COR BRANCA - 95 X 210</t>
  </si>
  <si>
    <t>CHAPISCO PROJETADO - REF. PRECON</t>
  </si>
  <si>
    <t>ARGAMASSA USINADA PARA REBOCO PROJETADO REF.</t>
  </si>
  <si>
    <t>LONAS PARA PROTEÇÃO DE TALUDES - custo apropriado</t>
  </si>
  <si>
    <t>BICA CORRIDA PARA REDUÇÃO DE LAMA E APOIO</t>
  </si>
  <si>
    <t>DESMOLDANTE PARA FORMAS</t>
  </si>
  <si>
    <t>DOBRADIÇA 2" X 1 1/2"</t>
  </si>
  <si>
    <t>PEÇA DE EUCALIPTO TRATADO ø6 a 8cm - h=2,50</t>
  </si>
  <si>
    <t>ESCORA METÁLICA</t>
  </si>
  <si>
    <t>LIGAÇÃO FLEXÍVEL CROMADA</t>
  </si>
  <si>
    <t>FITA DE BORDO PARA PORTA</t>
  </si>
  <si>
    <t>FITA DE VEDAÇÃO</t>
  </si>
  <si>
    <t>KIT FERRAGEM PARA PORTA DE CORRER</t>
  </si>
  <si>
    <t>GEOTÊXTIL</t>
  </si>
  <si>
    <t>MEIO FIO PRÉ MOLDADO DE CONCRETO (sudecap 18 MPa) C/</t>
  </si>
  <si>
    <t>GRAMA EM PLACA</t>
  </si>
  <si>
    <t>PISO EM GRANITO POLIDO CONFORME PAGINAÇÃO</t>
  </si>
  <si>
    <t>INSTALAÇÃO DE LUMINÁRIAS - Material - 11º pavimento -</t>
  </si>
  <si>
    <t>GRELHA REFORÇADA L=20CM</t>
  </si>
  <si>
    <t>CONTRATO: FORNECIMENTO DE LUMINÁRIAS, EMBUTIDOS E</t>
  </si>
  <si>
    <t>CHAPISCO COLANTE</t>
  </si>
  <si>
    <t>CUBA OVAL CELITE 49X32,5 CM</t>
  </si>
  <si>
    <t>BACIA SANITÁRIA REF. CELITE LINHA CONFORT COR BRANCA</t>
  </si>
  <si>
    <t>BACIA SANITÁRIA REF. DECA LINHA PIANO OU LK COM CAIXA</t>
  </si>
  <si>
    <t>BACIA VOGUE PLUS CONFORTO SEM ABERTURA FRONTAL REF.</t>
  </si>
  <si>
    <t>MICTÓRIO DE LOUÇA BRANCA REF. CELITE PRO-MICTÓRIO ECO</t>
  </si>
  <si>
    <t>CUBA EM AÇO INOX</t>
  </si>
  <si>
    <t>CUBA DE EMBUTIR OVAL COM LADRÃO, COR BRANCA REF.</t>
  </si>
  <si>
    <t>LAVATÓRIO SUSPENSO REF. DECA L510+C510</t>
  </si>
  <si>
    <t>LAVATÓRIO REF. DECA LINHA IZY</t>
  </si>
  <si>
    <t>LAVATÓRIO COM COLUNA SUSPENSA COR BRANCA REF. CELITE</t>
  </si>
  <si>
    <t>TORNEIRA DE MESA BICA ALTA REF. GALI CÓD. 00799806 DOCOL</t>
  </si>
  <si>
    <t>TORNEIRA DE MESA BICA ALTA PARA LAVATÓRIO REF. DECA Izy</t>
  </si>
  <si>
    <t>TORNEIRA DE MESA COM ALAVANCA REF. ALAVANCA DOCOL</t>
  </si>
  <si>
    <t>TORNEIRA DE MESA PARA LAVATÓRIO REF. DECA 1196 CLNK</t>
  </si>
  <si>
    <t>TORNEIRA PARA LIMPEZA REF. JARDIM 1130 TRIO CÓD:</t>
  </si>
  <si>
    <t>TORNEIRA PARA LAVATÓRIO DE MESA REF. PRESSMATIC 110</t>
  </si>
  <si>
    <t>TORNEIRA DE MESA COM FECHAMENTO AUTOMÁTICO REF.</t>
  </si>
  <si>
    <t>DUCHA HIGIÊNCIA COM REGISTRO E COM GATILHO LINHA</t>
  </si>
  <si>
    <t>CHUVEIRO ELÉTRICO VESTIARIOS REF. BELLA DUCHA</t>
  </si>
  <si>
    <t>ACABAMENTO REGISTROS DECA LINK - Aditivo de contrato</t>
  </si>
  <si>
    <t>ACABAMENTO DE REGISTRO DE PRESSAO REF. DECA LINHA IZY</t>
  </si>
  <si>
    <t>ACABAMENTO DE REGISTRO DE GAVETA REF. DECA LINHA IZY</t>
  </si>
  <si>
    <t>barra de apoio em aço inox h=80cm</t>
  </si>
  <si>
    <t>BARRA DE APOIO EM AÇO INOX H=4</t>
  </si>
  <si>
    <t>BARRA DE APOIO REF DECA 2310 E 080 BR</t>
  </si>
  <si>
    <t>BARRA DE APOIO REF DECA 2310 E 040 ESC</t>
  </si>
  <si>
    <t>RALO COMUM CROMADO</t>
  </si>
  <si>
    <t>RALO SIFONADO 15X15</t>
  </si>
  <si>
    <t>Piso emborrachado modelo moeda cor cinza 50x50 cm</t>
  </si>
  <si>
    <t>CORDOALHA ENGRAXADA P/ PROTENS ÃO CP 190 RB07 -</t>
  </si>
  <si>
    <t>CIMENTO ARI</t>
  </si>
  <si>
    <t>LADRILHO HIDRÁULICO</t>
  </si>
  <si>
    <t>LIGAÇÃO FLEXÍVEL</t>
  </si>
  <si>
    <t>LOUÇA BRANCA DE APOIO RETANGULAR NEXOS (COD.:</t>
  </si>
  <si>
    <t>LADRILHO HIDRÁULICO TÁTIL</t>
  </si>
  <si>
    <t>REVESTIMENTO EM MOSAICO - À DEFINIR</t>
  </si>
  <si>
    <t>MASSA ACRÍLICA</t>
  </si>
  <si>
    <t>MÃO FRANCESA PARA BANDEJA APARALIXO L=1,5M</t>
  </si>
  <si>
    <t>COMPENSADO RESINADO E=14MM (220x110cm)</t>
  </si>
  <si>
    <t>TALAS DA ALMA 13,55X35CM - PERFIL W310X52</t>
  </si>
  <si>
    <t>TALAS DA ABA - 16,7X35CM PERFIL W310X52</t>
  </si>
  <si>
    <t>PERFIL METÁLICO DE ARREMATE TIPO "U" 1X1 CM</t>
  </si>
  <si>
    <t>PRATELEIRA DE GRANITO - COPA XXX CM (COPA)</t>
  </si>
  <si>
    <t>REVESTIMENTO ESMALTADO RETIFICADO 35X71 BRANCO-35</t>
  </si>
  <si>
    <t>ASSENTO PLÁSTICO PARA BACIA SANITÁRIA - REF.: TUPAN</t>
  </si>
  <si>
    <t>ASSENTO PARA BACIA SANITÁRIA CELITE AZALÉA</t>
  </si>
  <si>
    <t>CHUVEIRO BANHO SERVIÇO - Aditivo de contrato</t>
  </si>
  <si>
    <t>CADEIRA DE BANHO PNE</t>
  </si>
  <si>
    <t>TELA CERQUITE</t>
  </si>
  <si>
    <t>INSTALAÇÃO DE LUMINÁRIAS - Material - Áreas comuns</t>
  </si>
  <si>
    <t>RP10 - RODAPE EM GRANITO SÃO GABRIEL H=10cm</t>
  </si>
  <si>
    <t>PERFIL METÁLICO W200 X 19,3KG/M</t>
  </si>
  <si>
    <t>PISO PARALELEPÍPEDO (comprimento: 240,00 mm /</t>
  </si>
  <si>
    <t>PREGO 15 X 15</t>
  </si>
  <si>
    <t>PONTALETE DE PINUS 5x5x300cm</t>
  </si>
  <si>
    <t>PREGO 18x30 / 17x21</t>
  </si>
  <si>
    <t>PORTA CORTA-FOGO 90X210CM</t>
  </si>
  <si>
    <t>PISO EM CERÂMICA CARGO PLUS GRAY 45X45CM ELIANE</t>
  </si>
  <si>
    <t>REVESTIMENTO EM PEDRA HIJAU BRUTA 10X10 - REF.:</t>
  </si>
  <si>
    <t>PREGO 17X27 COM CABEÇA DUPLA</t>
  </si>
  <si>
    <t>PEITORIL DE GRANITO PRETO</t>
  </si>
  <si>
    <t>PRIMER PARA PISO TACÃO</t>
  </si>
  <si>
    <t>PAPELEIRA DE PISO DECA JADER 2024.BL100.MT</t>
  </si>
  <si>
    <t>PAPELEIRA DUPLA DECA JADER 2022.BL100.MT</t>
  </si>
  <si>
    <t>G1 - 30x10CM - GRADE FIXA PARA VENTILAÇÃO - CENTRAL DE</t>
  </si>
  <si>
    <t>LP - 115X350CM - ESTRUTURA METÁLICA PARA APOIO DAS</t>
  </si>
  <si>
    <t>PAPELEIRA DE PISO JADER 2024.BL100.MT</t>
  </si>
  <si>
    <t>PISO TÁTIL DIRECIONAL E ALERTA - LADRILHO</t>
  </si>
  <si>
    <t>PINO C/ ARRUELA PARA FIXAÇÃO TELA EM ALVENARIA XCS27P8</t>
  </si>
  <si>
    <t>TELA GALVANIZADA AMARRAÇÃO DE ALVENARIA (TELA</t>
  </si>
  <si>
    <t>ARGAMASSA EXPANSIVA VALEMASSA</t>
  </si>
  <si>
    <t>PROMOTOR DE ADESÃO PARA ARGAMASSA (AFIX ADITIVO PVA)</t>
  </si>
  <si>
    <t>ARGAMASSA AC-3 BRANCA</t>
  </si>
  <si>
    <t>FITA CREPE 50MM ROLO 50M</t>
  </si>
  <si>
    <t>RALO OCULTO</t>
  </si>
  <si>
    <t>TORNEIRA DECA/DOCOL À DEFINIR - A.S. APTOS</t>
  </si>
  <si>
    <t>TÁBUA DE PINUS BRUTA 15X2,5x300cm</t>
  </si>
  <si>
    <t>SARRAFO DE PINUS 10x2,5x300cm</t>
  </si>
  <si>
    <t>TORNEIRA DE LATAO PARA PIA 1/2" (MESA) COM CANOPLA E COM</t>
  </si>
  <si>
    <t>BANCADA EM MÁRMORE SINTÉTICO DECORALITA - INJEÇÃO</t>
  </si>
  <si>
    <t>MASSA PLÁSTICA CINZA OU BRANCA IBERÊ 400G</t>
  </si>
  <si>
    <t>PLÁSTICO BOLHA PARA PROTEÇÃO D E PISO BOBINA 100X1,30</t>
  </si>
  <si>
    <t>RUFO DE CHAPA GALVANIZADA</t>
  </si>
  <si>
    <t>PAPELÃO ONDULADO PARA PROTEÇÃO PISO BOBINA 100X1,20</t>
  </si>
  <si>
    <t>TELA PARA CERCA</t>
  </si>
  <si>
    <t>RODAPÉ EM GRANITO CINZA ANDORINHA H=5CM</t>
  </si>
  <si>
    <t>RALO LINEAR OCULTO</t>
  </si>
  <si>
    <t>RALO 25X25 DE AÇO INOX COM SISTEMA ABRE E FECHA</t>
  </si>
  <si>
    <t>REVESTIMENTO EM PORCELANATO - À DEFINIR</t>
  </si>
  <si>
    <t>PISO CERÂMICO CLASSIC BRANCO, BIANCOGRES - 60x60CM -</t>
  </si>
  <si>
    <t>SARRAFO DE PINHO 10x2,5x300cm</t>
  </si>
  <si>
    <t>PISO EM PORCELANATO CIMENTICIO ÁREAS EXTERNAS -</t>
  </si>
  <si>
    <t>PISO EM PORCELANATO DELTA CLASSIC - 70X70CM - ÁREAS</t>
  </si>
  <si>
    <t>PORCELANATO DELTA CLASSIC ÁREAS EXTERNAS - 70X70CM -</t>
  </si>
  <si>
    <t>BANCADA DE GRANITO SÃO GABRIEL</t>
  </si>
  <si>
    <t>PISO CERÂMICO 60x60CM - ARS</t>
  </si>
  <si>
    <t>PISO EM PORCELANATO CIMENTICIO - 90X90CM (OU SIMILAR)</t>
  </si>
  <si>
    <t>SELANTE PARA ENCHIMENTO DE JUNTAS - 310ML</t>
  </si>
  <si>
    <t>RODAPÉ EM PORCELANATO H=10CM COR CIMENTICIA -</t>
  </si>
  <si>
    <t>PISO EM GRANITO - ELEVADOR</t>
  </si>
  <si>
    <t>RODAPÉ EM PORCELANATO DELTA CLASSIC H=10CM - 70X70CM</t>
  </si>
  <si>
    <t>SOLEIRA EM GRANITO - REF.: R$ 187,00/M2</t>
  </si>
  <si>
    <t>SOLEIRA EM QUARTZO OU GRANITO BRANCO - L=15CM</t>
  </si>
  <si>
    <t>SOLEIRA BRASTOM PISO SINGULAR CATEGORIA PRATA, FULGE</t>
  </si>
  <si>
    <t>SIFÃO CROMADO DE 1 1/2"</t>
  </si>
  <si>
    <t>SIFÃO CROMADO PARA COZINHA</t>
  </si>
  <si>
    <t>SIFÃO PLÁSTICO PARA TANQUE</t>
  </si>
  <si>
    <t>SIFÃO CROMADO PARA LAVATÓRIO</t>
  </si>
  <si>
    <t>PRATELEIRA EM GRANITO - INJEÇÃO</t>
  </si>
  <si>
    <t>PERFIL METÁLICO HP250X62,0</t>
  </si>
  <si>
    <t>CARTUCHO PARA PISTOLA DE IMPACTO HILTI DX E72 CALIBRE</t>
  </si>
  <si>
    <t>TERRA VEGETAL</t>
  </si>
  <si>
    <t>TELA Q113</t>
  </si>
  <si>
    <t>TELA Q-138 PLACA 245X600CM (2,2kg/m²)</t>
  </si>
  <si>
    <t>TÁBUA DE PINUS 30x2,5x300cm</t>
  </si>
  <si>
    <t>TORNEIRA DE AÇO CROMADO PARA LAVATORIO 1/2 COM</t>
  </si>
  <si>
    <t>TORNEIRA DE MESA BICA ALTA PARA COZINHA - REF.: FLEX PLUS</t>
  </si>
  <si>
    <t>TUBO DE LIGAÇÃO CROMADO 40 MM</t>
  </si>
  <si>
    <t>TORNEIRA DECA/DOCOL À DEFINIR - ARS</t>
  </si>
  <si>
    <t>MISTURADOR DE BANCADA DECA FLEX 1256.C20.CLM</t>
  </si>
  <si>
    <t>TANQUE SIMPLES SEM COLUNA EM MÁRMORE SINTÉTICO, REF.:</t>
  </si>
  <si>
    <t>TORNEIRA PARA USO GERAL</t>
  </si>
  <si>
    <t>FIBRA ÓTICA CONFORME PROJETO - Custo informado pelo cliente</t>
  </si>
  <si>
    <t>PEITORIL EM GRANITO - REF.: R$125,00/M2 - L=16,5CM -</t>
  </si>
  <si>
    <t>VÁLVULA DE METAL DE 1"</t>
  </si>
  <si>
    <t>VÁLVULA CROMADA DE 1" (Bidê)</t>
  </si>
  <si>
    <t>VÁLVULA AMERICANA</t>
  </si>
  <si>
    <t>VÁLVULA PARA TANQUE</t>
  </si>
  <si>
    <t>VÁLVULA CROMADA PARA LAVATÓRIO</t>
  </si>
  <si>
    <t>REVESTIMENTO EM CERÂMICA 5X15CM, LINHA LONDON BRICK</t>
  </si>
  <si>
    <t>PISO EM PORCELANATO MINERAL PORTLAND 60X60CM LINHA</t>
  </si>
  <si>
    <t>PISO EM PORCELANATO PIETRA DI FIRENZE GRIGIO 60X60CM,</t>
  </si>
  <si>
    <t>PISO EM PORCELANATO PROGETTO 60X60CM, BIANCO TU,</t>
  </si>
  <si>
    <t>REVESTIMENTO EM PORCELANATO WHITE HOME 30X60CM,</t>
  </si>
  <si>
    <t>CERÂMICA COLOR MIND ARMY 7x25cm</t>
  </si>
  <si>
    <t>PORCELANATO MUNARI CIMENTO 90x90cm</t>
  </si>
  <si>
    <t>PORCELANATO BEATLES BLACK 10x20cm</t>
  </si>
  <si>
    <t>PORCELANATO BOSCO CAMEL 19,7x120cm</t>
  </si>
  <si>
    <t>PORCELANATO OSLO T-1000 ARGILA 30x30cm</t>
  </si>
  <si>
    <t>PORCELANATO - REF.: R$ 190,00/M2</t>
  </si>
  <si>
    <t>AZULEJO BRANCO PISCINA ACETINADO 20X20CM, REF.:</t>
  </si>
  <si>
    <t>PORCELANATO - REF.: R$ 380,00/M2</t>
  </si>
  <si>
    <t>CERÂMICA COR CLARA 33,5X45CM REF. ELIANE FORMA SLIM</t>
  </si>
  <si>
    <t>PORCELANATO COM TEXTURA DE MADEIRA - REF.: R$100,00/M2</t>
  </si>
  <si>
    <t>PORCELANATO DECORTILES MINERAL PRATA MT 45X120CM</t>
  </si>
  <si>
    <t>PORCELANATO - DECORTILES IBIRAPUERA CAMEL MA 45X120CM</t>
  </si>
  <si>
    <t>PORCELANATO CINZA - DECORTILES ECO CINZA 90X90CM</t>
  </si>
  <si>
    <t>PORCELANATO DANSK CEMENT ROPE - PORTOBELLO -</t>
  </si>
  <si>
    <t>REVESTIMENTO TIPO 24</t>
  </si>
  <si>
    <t>PISO TIPO 11</t>
  </si>
  <si>
    <t>AZULEJO PORTOBELLO - 26009E LIVERPOOL WHITE 07X24CM -</t>
  </si>
  <si>
    <t>PISO PORCELANATO PAMESA COR TENERIFE POLIDO 40X40CM</t>
  </si>
  <si>
    <t>PORCELANATO EM PAREDE RETIFICADO 90X90 EM TOM</t>
  </si>
  <si>
    <t>REJUNTE ESPECIAL PORCELANATO</t>
  </si>
  <si>
    <t>RODAPÉ EM GRANITO POLIDO CINZA VERONA H=10,0CM</t>
  </si>
  <si>
    <t>RODAPÉ PORCELANATO RETIFICADO 60X60CM EM TOM</t>
  </si>
  <si>
    <t>PISO EM GRANITO POLIDO COMERCIAL COM COR CLARA 55X55</t>
  </si>
  <si>
    <t>RODAPÉ EM GRANITO POLIDO BRANCO SIENA  H=20,0CM</t>
  </si>
  <si>
    <t>FORRO DE GESSO ACARTONADO</t>
  </si>
  <si>
    <t>E08 - 6218 X518,5CM - PERFIL CAIXA COMO ESTRUTURA E VIDRO</t>
  </si>
  <si>
    <t>E26 - 370 X502CM - PELE DE VIDRO E SISTEMA DE ABERTURA</t>
  </si>
  <si>
    <t>E27 - 345 X502CM - PELE DE VIDRO E SISTEMA DE ABERTURA</t>
  </si>
  <si>
    <t>E28 - 416 X502CM - PELE DE VIDRO E SISTEMA DE ABERTURA</t>
  </si>
  <si>
    <t>E29 - 435 X502CM - PELE DE VIDRO E SISTEMA DE ABERTURA</t>
  </si>
  <si>
    <t>E34 - 228 X320,5CM - PERFIL CAIXA COMO ESTRUTURA E VIDRO</t>
  </si>
  <si>
    <t>E35 - 170 X320,5CM - PERFIL CAIXA COMO ESTRUTURA E VIDRO</t>
  </si>
  <si>
    <t>REVISÃO PROJETO ARQUITETÔNICO EXECUTIVO GERAL</t>
  </si>
  <si>
    <t>BARRA DE APOIO 40cm CONFORTO DECA</t>
  </si>
  <si>
    <t>IM2740</t>
  </si>
  <si>
    <t>CONJUNTO TOTEM WEMOB 30KW</t>
  </si>
  <si>
    <t>IM2741</t>
  </si>
  <si>
    <t>ESTACAO DE REGARGA STATION CC WEMOB-S-030-W-E-4G-R-H-</t>
  </si>
  <si>
    <t>IM2742</t>
  </si>
  <si>
    <t>ESTACAO DE REGARGA  WALL CA WEMOB-W-007-W-R-4G-R-1T2</t>
  </si>
  <si>
    <t>IM2743</t>
  </si>
  <si>
    <t>CONJUNTO TOTEM WEMOB 7KW</t>
  </si>
  <si>
    <t>CONCRETO USINADO CONVENCIONAL FCK 20,0 MPa</t>
  </si>
  <si>
    <t>CONCRETO USINADO CONVENCIONAL FCK 25,0 MPa</t>
  </si>
  <si>
    <t>CONCRETO USIN. BOMB. FCK 25MPa</t>
  </si>
  <si>
    <t>CONCRETO USIN. BOMB.FCK 30MPa</t>
  </si>
  <si>
    <t>CONCRETO USIN. BOMB. FCK 35MPa</t>
  </si>
  <si>
    <t>TIJOLO CERÂMICO FURADO 09X19X29 CM</t>
  </si>
  <si>
    <t>TIJOLO CERÂMICO FURADO 14X19X29 CM</t>
  </si>
  <si>
    <t>BLOCO SICAL</t>
  </si>
  <si>
    <t>BLOCO DE CONCRETO 09X19X39cm - VEDAÇÃO</t>
  </si>
  <si>
    <t>BLOCO DE CONCRETO 14X19X39cm - VEDAÇÃO</t>
  </si>
  <si>
    <t>BLOCO DE CONCRETO 19X19X39cm - VEDAÇÃO</t>
  </si>
  <si>
    <t>BATE-RODAS PARA ESTACIONAMENTO</t>
  </si>
  <si>
    <t>ARGAMASSA AC-3</t>
  </si>
  <si>
    <t>REJUNTE FLEXÍVEL COLORIDO</t>
  </si>
  <si>
    <t>COBOGO DE CONCRETO E= 15CM</t>
  </si>
  <si>
    <t>BANCADA (REF. R$600/M²)</t>
  </si>
  <si>
    <t>BANCADA EM NANOGLASS, DECA</t>
  </si>
  <si>
    <t>BANCADA EM GRANITO CINZA ANDORINHA</t>
  </si>
  <si>
    <t>COMPENSADO PLASTIFICADO E=14 MM (220x110cm)</t>
  </si>
  <si>
    <t>CORRIMÃO EM TUBO DE FERRO ø1 1/4" PADRÃO CORPO DE</t>
  </si>
  <si>
    <t>CORRIMÃO EM BARRA CHATA COM ACABAMENTO CORTEN,</t>
  </si>
  <si>
    <t>INSTALAÇÃO DE DETECÇÃO E ALARM</t>
  </si>
  <si>
    <t>P1 - 260x230CM - PORTÃO EM BRISE METÁLICO - ACESSO</t>
  </si>
  <si>
    <t>P2 - 80x230CM - PORTÃO EM BRISE METÁLICO - 01 FOLHA DE</t>
  </si>
  <si>
    <t>TIJOLO CERÂMICO FURADO 19X19X29 CM</t>
  </si>
  <si>
    <t>TIJOLO CERÂMICO FURADO 14X19X29 CM - ACÚSTICO</t>
  </si>
  <si>
    <t>CABIDE PARA SUPORTE DE BOLSA M INOX</t>
  </si>
  <si>
    <t>P3 - 200x210CM - PORTA EM TELA METÁLICA/VENEZIANA - 02</t>
  </si>
  <si>
    <t>ESCADA DE MARINHEIRO</t>
  </si>
  <si>
    <t>RODABANCADA H=38CM (REF. R$600/M²)</t>
  </si>
  <si>
    <t>RODABANCADA DE GRANITO TIPO 2 H=15CM</t>
  </si>
  <si>
    <t>PEITORIL EM GRANITO CINZA ANDORINHA L=40CM - INTERNO</t>
  </si>
  <si>
    <t>RODABANCADA DE MÁRMORE H=10CM</t>
  </si>
  <si>
    <t>BANHEIRA ROCA ARMANI FREESTANDING BATHTUB WITH FOUR</t>
  </si>
  <si>
    <t>barra de apoio em aço inox h=70cm</t>
  </si>
  <si>
    <t>BARRA DE APOIO EM INOX PARA PNE - 90CM</t>
  </si>
  <si>
    <t>BARRA DE APOIO EM INOX PARA PNE - 40CM</t>
  </si>
  <si>
    <t>GRELHA METÁLICA P/ CANALETA</t>
  </si>
  <si>
    <t>RODAPÉ - PERFÍL METÁLICO "U", 1"X2" EMBUTIDO ALVENARIA</t>
  </si>
  <si>
    <t>BARRA DE APOIO PNE MODELO U EM AÇO CARBONO INOX</t>
  </si>
  <si>
    <t>DEGRAU ESCADA EM GRANITO POLIDO COM FRISOS L=27CM -</t>
  </si>
  <si>
    <t>RODAPÉ - PERFÍL ALUMINIO "U", 1X1 EMBUTIDO ALVENARIA</t>
  </si>
  <si>
    <t>RODAPÉ - PERFÍL METÁLICO "U", 1X1 EMBUTIDO ALVENARIA</t>
  </si>
  <si>
    <t>BLOCO CANALETA 09X19X39CM</t>
  </si>
  <si>
    <t>BLOCO CANALETA 14X19X39CM</t>
  </si>
  <si>
    <t>CERÂMICA PARA PISO DE ALTO TRÁFEGO 45X45 CM REF: ELIANE,</t>
  </si>
  <si>
    <t>PISO EM CERÂMICA ANTIDERRAPANTE 45X45CM,</t>
  </si>
  <si>
    <t>RODAPÉ EM ARDÓSIA H= 10 CM</t>
  </si>
  <si>
    <t>ESPELHO ESCADA EM GRANITO POLIDO H=18CM - REF.:</t>
  </si>
  <si>
    <t>RODAPÉ EM ARDÓSIA H=10CM</t>
  </si>
  <si>
    <t>J1 - VENEZIANA METÁLICA VENTILADA 550X80CM</t>
  </si>
  <si>
    <t>J2 - VENEZIANA METÁLICA VENTILADA 208 X 111CM</t>
  </si>
  <si>
    <t>J3 - VENEZIANA METÁLICA VENTILADA 360 X 111CM</t>
  </si>
  <si>
    <t>P1 - PORTA DE ABRIR EM VENEZIANA METÁLICA 80X210 CM</t>
  </si>
  <si>
    <t>ALÇAPÃO METÁLICO 80 X 80 CM</t>
  </si>
  <si>
    <t>MÁRMORE TRAVERTINO</t>
  </si>
  <si>
    <t>BANCADA EM MÁRMORE BRANCO - LAVABOS</t>
  </si>
  <si>
    <t>Portão 01 - PORTÃO CANIL - 100x270cm</t>
  </si>
  <si>
    <t>TAMPA VASO ROCA ARMANI SOFT-CLOSING SUPRALIT®</t>
  </si>
  <si>
    <t>TELA PARA ANDAIME FACHADEIRO (TELA DE POLIETILENO)</t>
  </si>
  <si>
    <t>LONA PRETA 5M X 4M *100 (GRAMATURA)</t>
  </si>
  <si>
    <t>ISOPOR</t>
  </si>
  <si>
    <t>ACABAMENTO DE REGISTRO GAVETA DECA JADER</t>
  </si>
  <si>
    <t>TORNEIRA DE MESA DECAMATIC 1173C</t>
  </si>
  <si>
    <t>PORTA TOALHA DECA JADER 2040.BL100.MT</t>
  </si>
  <si>
    <t>CUBA DEBACCO FUNZIONALE 231</t>
  </si>
  <si>
    <t>TORNEIRA DE MESA COM FECHAMENTO AUTOMÁTICO REF.:</t>
  </si>
  <si>
    <t>CUBA DE AÇO INOX 430 Nº1 40X34X14cm (COD.: 1023279)</t>
  </si>
  <si>
    <t>TRILHO TR45</t>
  </si>
  <si>
    <t>TRILHO TR68</t>
  </si>
  <si>
    <t>J4 - VENEZIANA METÁLICA VENTILADA EM ESMALTE SINTÉTICO</t>
  </si>
  <si>
    <t>INSTALAÇÕES DE SPDA - material</t>
  </si>
  <si>
    <t>AZULEJO BRANCO 20X20CM - REF.: R$20,00/M2 - PAREDE</t>
  </si>
  <si>
    <t>CERÂMICA PARA PAREDE RETIFICADA, 32,5X59CM, REF: ELIANE</t>
  </si>
  <si>
    <t>REVESTIMENTO EM CERÂMICA DURAGRES GRESALATO -</t>
  </si>
  <si>
    <t>CERÂMICA FORMA ELIANE RETIFICA</t>
  </si>
  <si>
    <t>FER. DIV. CHAPA REF 850</t>
  </si>
  <si>
    <t>PISO PASTILHA CERÂMICA MODELO JAVA MAR MESH MA</t>
  </si>
  <si>
    <t>FER. DIV. CANTONEIRA REF 845</t>
  </si>
  <si>
    <t>FER. DIV. CANTONEIRA REF 840</t>
  </si>
  <si>
    <t>MÃO FRANCESA (BANCADA)</t>
  </si>
  <si>
    <t>PASTILHA DE VIDRO - REF.: R$ 95,00/M2</t>
  </si>
  <si>
    <t>PASTILHA DE VIDRO - REF.: R$ 222,00/M2</t>
  </si>
  <si>
    <t>PISO TIPO 2</t>
  </si>
  <si>
    <t>CACO DE BLOCO SICAL PARA ENCHI MENTO DE PISO</t>
  </si>
  <si>
    <t>SOLEIRA EM ARDOSIA LARG=10 CM</t>
  </si>
  <si>
    <t>SOLEIRA EM ARDOSIA LARG=25 CM</t>
  </si>
  <si>
    <t>PEITORIL EM GRANITO CINZA ANDORINHA L=16,5CM - INTERNO</t>
  </si>
  <si>
    <t>MAÇANETA INTERNA PAPAIZ SÉRIE STANDART CROMADA</t>
  </si>
  <si>
    <t>MAÇANETA BANHEIRO PAPAIZ SÉRIE STANDART CROMADA</t>
  </si>
  <si>
    <t>CHAPA DE LAMINADO BRANCA LAMDEC L120</t>
  </si>
  <si>
    <t>DIVISÓRIA EM GRANITO COR CLARA (supermercado)</t>
  </si>
  <si>
    <t>REVESTIMENTO EM PEDRA HIJAU LISA 10X10 - REF.: PALIMANAN -</t>
  </si>
  <si>
    <t>REVESTIMENTO EM AZULEJO BRANCO PISCINA ACETINADO</t>
  </si>
  <si>
    <t>PISO EM PEDRA HIJAU LISA 10X10 - REF.: PALIMANAN</t>
  </si>
  <si>
    <t>PORCELANATO - DECORTILES ARBOR CANELA AC - 19,7X120CM</t>
  </si>
  <si>
    <t>REVESTIMENTO EM PORCELANATO 20X120cm RETIFICADO</t>
  </si>
  <si>
    <t>PISO EM PORCELANATO BOREAL MIX 20X120CM, SUPERFÍCIE</t>
  </si>
  <si>
    <t>BARRA RETA DE APOIO, 40,0CM, ACABAMENTO POLIDO, REF:</t>
  </si>
  <si>
    <t>CORDÃO BOLEADO</t>
  </si>
  <si>
    <t>RODAPÉ CERÂMICA TIPO 1</t>
  </si>
  <si>
    <t>RODAPÉ EM CERÂMICA REF.: R$ 30,00/M2</t>
  </si>
  <si>
    <t>PERFIL METÁLICO (CANTONEIRA) PARA QUINA DE DEGRAUS -</t>
  </si>
  <si>
    <t>CONCRETO ESPECIAL P/ESTACA HE LICE FCK20MPa - SLUMP</t>
  </si>
  <si>
    <t>CONCRETO ESPECIAL P/ESTACA HE LICE FCK 30MPa - SLUMP</t>
  </si>
  <si>
    <t>TELHA TRAPEZOIDAL EM AÇO GALVANIZADO</t>
  </si>
  <si>
    <t>COIFA EM AÇO GALVANIZADO, COM QUATRO OU TRÊS ÁGUAS -</t>
  </si>
  <si>
    <t>SOLEIRA EM GRANITO POLIDO COR CLARA - 20 CM (BH</t>
  </si>
  <si>
    <t>PERFIL U DE ALUMÍNIO P/FRISO</t>
  </si>
  <si>
    <t>SIKADUR 32</t>
  </si>
  <si>
    <t>RODAPÉ EM GRANITO COMERCIAL H=20,0CM  (REF. R$58,50/M2 -</t>
  </si>
  <si>
    <t>RODAPÉ EM MÁRMORE TRAVERTINO</t>
  </si>
  <si>
    <t>PISO CIMENTÍCIO MEGADRENO CATEGORIA BRONZE LEVIGADO</t>
  </si>
  <si>
    <t>REVESTIMENTO EM SEIXO TELADO BLACK BALI POLIDO - REF.:</t>
  </si>
  <si>
    <t>PISO EM GRANITO BRANCO CEARÁ</t>
  </si>
  <si>
    <t>PARAFUSO DE FIXAÇÃO /CASTELO</t>
  </si>
  <si>
    <t>MASTIQUE DE POLIURETANO 300 ML DVFLEX PU</t>
  </si>
  <si>
    <t>RODAPÉ EM GRANITO CINZA CORUMB</t>
  </si>
  <si>
    <t>RODAPÉ EM PORCELANATO H=15CM PAMESA COR TENERIFE</t>
  </si>
  <si>
    <t>VIAPLUS 1000</t>
  </si>
  <si>
    <t>ESPUMA DE POLIURETANO CF-F 650ML HILTI</t>
  </si>
  <si>
    <t>PM4 - 60x210CM - KIT PORTA-PRONTA - ABRIR</t>
  </si>
  <si>
    <t>PM2 - 70x210CM - KIT PORTA-PRONTA - ABRIR</t>
  </si>
  <si>
    <t>PM3 - 80x210CM - KIT PORTA-PRONTA - ABRIR</t>
  </si>
  <si>
    <t>PORTA PRONTA DE MDF EBANIZADO 100x230cm</t>
  </si>
  <si>
    <t>PORTA PRONTA DE ABRIR 80x270cm</t>
  </si>
  <si>
    <t>PORTA DE CORRER 140x230cm</t>
  </si>
  <si>
    <t>PORTA DE CORRER 110x230cm</t>
  </si>
  <si>
    <t>PORTA DE CORRER 70x230cm</t>
  </si>
  <si>
    <t>PORTA PIVOTANTE 90x270cm</t>
  </si>
  <si>
    <t>PORTA VAI E VEM 80x270cm</t>
  </si>
  <si>
    <t>PISO EM PORCELANATO GAIL DE ALTO IMPACTO</t>
  </si>
  <si>
    <t>PORTA PRONTA DE MDF EBANIZADO</t>
  </si>
  <si>
    <t>REJUNTE PARA GRANITO/MARMORE</t>
  </si>
  <si>
    <t>PF 03 - PORTÃO CASA DE GÁS - 320x255cm</t>
  </si>
  <si>
    <t>MOLA DE PORTA</t>
  </si>
  <si>
    <t>ELEMENTOS DECORATIVOS - Custo</t>
  </si>
  <si>
    <t>TESTEIRA EM GRANITO PRETO SÃO GABRIEL</t>
  </si>
  <si>
    <t>TESTEIRA EM GRANITO CINZA ANDORINHA - H=5CM</t>
  </si>
  <si>
    <t>TESTEIRA EM GRANITO AQUALUX - H=5CM</t>
  </si>
  <si>
    <t>CHUVEIRO ACQUA PLUS 1990.C.CT.ARE</t>
  </si>
  <si>
    <t>ARGAMASSA AC-2</t>
  </si>
  <si>
    <t>BIANCO</t>
  </si>
  <si>
    <t>GRAMPO METÁLICO G-FIX</t>
  </si>
  <si>
    <t>SILICONE BISNAGA 300 ML</t>
  </si>
  <si>
    <t>TARUCEL 6MM</t>
  </si>
  <si>
    <t>ÓLEO DIESEL</t>
  </si>
  <si>
    <t>CHAPA 16 X 300 X 300</t>
  </si>
  <si>
    <t>TAMPA VASO PARA BACIA ROCA BEYOND ONIX CÓD.: 801B8264B</t>
  </si>
  <si>
    <t>ARGAMASSA ASSENTAMENTO PASTILHA</t>
  </si>
  <si>
    <t>ARMÁRIOS P/ VESTIÁRIO</t>
  </si>
  <si>
    <t>FER. DIV. PARAFUSO REF 860</t>
  </si>
  <si>
    <t>TUBO DRENANTE PVC Ø75MM</t>
  </si>
  <si>
    <t>CANALETA DE DRENAGEM</t>
  </si>
  <si>
    <t>Aço CA-50 - 10,0 mm</t>
  </si>
  <si>
    <t>BANCADA EM GRANITO AQUALUX POLIDO</t>
  </si>
  <si>
    <t>CALHA GALVANIZADA D= 60CM #22</t>
  </si>
  <si>
    <t>RODAPÉ EMBUTIDO EM CANTONEIRA DE ALUMÍNIO 2"X1"</t>
  </si>
  <si>
    <t>TAMPA VASO PARA BACIA DECA LK ÉBANO</t>
  </si>
  <si>
    <t>TAMPA VASO PARA BACIA DECA LK BRANCA</t>
  </si>
  <si>
    <t>DRENO MACDRAIN 2L OU SIMILAR</t>
  </si>
  <si>
    <t>REJUNTE FLEXÍVEL REF. GAIL</t>
  </si>
  <si>
    <t>ARGAMASSA INDUSTRIAL REF GAIL</t>
  </si>
  <si>
    <t>PERFIL "L" EM ALUMÍNIO ANODIZA DO NATURAL 2"X1"</t>
  </si>
  <si>
    <t>ARGAMASSA PRONTA CONTRAPISO CONSUMO 19 KG / 0,01 M3</t>
  </si>
  <si>
    <t>SOLEIRA EM GRANITO CINZA CORUMBÁ LARG=10 CM</t>
  </si>
  <si>
    <t>P2 - 60X210CM - PORTA PRANCHETA REVESTIDA EM</t>
  </si>
  <si>
    <t>ALÇAPÃO METÁLICO 70x70 CM</t>
  </si>
  <si>
    <t>PERFIL METÁLICO W200X35,9</t>
  </si>
  <si>
    <t>ARGAMASSA GRAUTE</t>
  </si>
  <si>
    <t>BANCADA EM PORCELANATO RETIFICADO 90X90 CM EM TOM</t>
  </si>
  <si>
    <t>DUCHA HIGIÊNICA COM REGISTRO E DERIVAÇÃO LINK</t>
  </si>
  <si>
    <t>UN   </t>
  </si>
  <si>
    <t>COIFA DE PAREDE ELECTROLUX SILVER 70CS</t>
  </si>
  <si>
    <t>FOGÃO 4 BOCAS ELECTROLUX PRATA 52EXR</t>
  </si>
  <si>
    <t>REVESTIMENTO EM GRANITO CINZA VERONA</t>
  </si>
  <si>
    <t>RODAPÉ DE PORCELANATO ANTIDERR</t>
  </si>
  <si>
    <t>RODAPÉ EM GRANITO H=15CM - REF.: R$125,00/M2</t>
  </si>
  <si>
    <t>GRANITO PRETO POLIDO</t>
  </si>
  <si>
    <t>COBOGÓ VERTZ VERDE PETRÓLEO REF.: MANUFATTI - MATERIAL</t>
  </si>
  <si>
    <t>P5 - PORTA PRONTA DE MADEIRA COM PINTURA BRANCA -100 X</t>
  </si>
  <si>
    <t>PP03 - PORTA PAINEL PIVOTANTE - ÁREA TÉCNICA PAV 02 - 90 X</t>
  </si>
  <si>
    <t>PP04 - PORTA PAINEL PIVOTANTE - SUBESTAÇÃO PAV 02 - 110 X</t>
  </si>
  <si>
    <t>PP05 - PORTA PAINEL PIVOTANTE - HALL PAV 03 - 150 X 268 CM -</t>
  </si>
  <si>
    <t>PP06 - PORTA PAINEL PIVOTANTE - HALL PAV 03 - 175 X 268 CM -</t>
  </si>
  <si>
    <t>PME3 - PORTA EM VENEZIANA DE CHAPA REFORÇADA - ABRIR -</t>
  </si>
  <si>
    <t>PME4 - PORTA EM VENEZIANA DE CHAPA REFORÇADA - ABRIR -</t>
  </si>
  <si>
    <t>REVESTIMENTO EM PORCELANATO RETIFICADO 60X60CM EM</t>
  </si>
  <si>
    <t>ADUELA EM AÇO INOX POLIDO</t>
  </si>
  <si>
    <t>PISO EM PORCELANATO RETIFICADO PORCELANATO</t>
  </si>
  <si>
    <t>PISO INTERTRAVADO POROSO</t>
  </si>
  <si>
    <t>RODAPÉ RECUADO EM CANTONEIRA DE AÇO INOX - H=20CM</t>
  </si>
  <si>
    <t>PERFIL METÁLICO DE ARREMATE - DEGRAUS ESCADA</t>
  </si>
  <si>
    <t>BANCADA EM GRANITO CINZA VERON A POLIDO</t>
  </si>
  <si>
    <t>RODABANCADA EM GRANITO CINZA V ERONA POLIDO</t>
  </si>
  <si>
    <t>TESTEIRA GRANITO CINZA VERONA POLIDO</t>
  </si>
  <si>
    <t>MICTÓRIO EM LOUÇA - SUPERMERCADOS BH</t>
  </si>
  <si>
    <t>CUBA DE SEMI-ENCAIXE EM LOUÇA BRANCA, REF.: DECA CÓD.:</t>
  </si>
  <si>
    <t>BACIA COM CAIXA ACOPLADA DECA VOGUE PLUS CONFORTO</t>
  </si>
  <si>
    <t>CUBA DE SUSPENSA EM LOUÇA BRANCA, REF.: DECA CÓD.:</t>
  </si>
  <si>
    <t>ACABAMENTO DE REGISTRO DE GAVETA E PRESSÃO ATÉ 1''</t>
  </si>
  <si>
    <t>CHUVEIRO ACESSÍVEL PNE</t>
  </si>
  <si>
    <t>CADEIRA PARA BANHO PNE</t>
  </si>
  <si>
    <t>BANCADA EM GRANITO BRANCO EXTRA COM CUBA ESCULPIDA</t>
  </si>
  <si>
    <t>BANCADA EM GRANITO PRETO ESCOVADO</t>
  </si>
  <si>
    <t>BANCADA EM GRANITO - GUARITA</t>
  </si>
  <si>
    <t>BANCADA EM GRANITO - REF.: R$ 500,00/M2</t>
  </si>
  <si>
    <t>BANCADA EM GRANITO COM BOJO - R$ 750,00/M2</t>
  </si>
  <si>
    <t>BANCADA EM MÁRMORE SINTÉTICO DECORALITA - COPA</t>
  </si>
  <si>
    <t>TINTA ASFÁLTICA PARA IMPERMEABILIZAÇÃO DE</t>
  </si>
  <si>
    <t>PCF - 100x210 cm - PORTA CORTA FOGO</t>
  </si>
  <si>
    <t>PCF - 160x210 cm - PORTA CORTA FOGO</t>
  </si>
  <si>
    <t>MADEIRA EUCALIPTO BRUTA</t>
  </si>
  <si>
    <t>BRITA 2</t>
  </si>
  <si>
    <t>TÁBUA 1"x 8" (largura 20cm)</t>
  </si>
  <si>
    <t>RODAPÉ EM PORCELANATO H = 10CM - REF.: R$ 167,00/M2</t>
  </si>
  <si>
    <t>RODAPÉ EM PORCELANATO MINERAL PORTLAND LINHA</t>
  </si>
  <si>
    <t>KIT FERRAGENS (PIVÔ) - PORTA PIVOTANTE</t>
  </si>
  <si>
    <t>P4 - PORTA DE ABRIR COM 2 FOLHAS EM VENEZIANA METÁLICA</t>
  </si>
  <si>
    <t>RODAPÉ EM PASTILHA DE VIDRO - REF.: R$ 95,00/M2</t>
  </si>
  <si>
    <t>RODAPÉ PEDRA MIRACEMA</t>
  </si>
  <si>
    <t>RODAPÉ EM CERÂMICA ELIANE CARGO WHITE 45X45 - H=10CM</t>
  </si>
  <si>
    <t>BANCADA EM GRANITO PRETO SÃO GABRIEL</t>
  </si>
  <si>
    <t>M2   </t>
  </si>
  <si>
    <t>TESTEIRA EM GRANITO TIPO 02 H=5CM</t>
  </si>
  <si>
    <t>GRANITO - REF.: R$ 260,00/M2</t>
  </si>
  <si>
    <t>PISO EM GRANITO ESCOVADO CINZA VERONA - custo informado</t>
  </si>
  <si>
    <t>GRANITO PRETO ESCOVADO</t>
  </si>
  <si>
    <t>PISO TIPO 7</t>
  </si>
  <si>
    <t>PISO BRASTOM PISO SINGULAR CATEGORIA PRATA, FULGE</t>
  </si>
  <si>
    <t>PISO EM GRANITO - REF.: R$125,00/M2</t>
  </si>
  <si>
    <t>RODAPÉ EM PORCELANATO DELTA CLASSIC H=10CM ÁREAS</t>
  </si>
  <si>
    <t>RODAPÉ EM PORCELANATO MUNARI CIMENTO 90x90cm</t>
  </si>
  <si>
    <t>RODAPÉ EM PORCELANATO H=10CM COR CIMENTICIA ÁREAS</t>
  </si>
  <si>
    <t>RODAPE TIPO 3</t>
  </si>
  <si>
    <t>RODAPÉ BRASTOM PISO SINGULAR CATEGORIA PRATA, FULGE</t>
  </si>
  <si>
    <t>ESTOPA BRANCA</t>
  </si>
  <si>
    <t>TELA TELCOM Q196 245X600CM (3,11 KG/M²)</t>
  </si>
  <si>
    <t>REVESTIMENTO EM PORCELANATO AMADEIRADO - À DEFINIR - IS</t>
  </si>
  <si>
    <t>COBOGÓ VOTÚ SOLARIUM - CASA DE MÁQUINAS (01.09) -</t>
  </si>
  <si>
    <t>REVESTIMENTO EM AZULEJO LURCA - GARAGEM - MATERIAL</t>
  </si>
  <si>
    <t>PISO EM PORCELANATO AMADEIRADO À DEFINIR - QUARTO DCE</t>
  </si>
  <si>
    <t>PISO EM PORCELANATO DECORTILES CITY ZEN NUDE NATURAL</t>
  </si>
  <si>
    <t>RODAPÉ EM PORCELANATO AMADEIRADO À DEFINIR H=10CM -</t>
  </si>
  <si>
    <t>RODAPÉ EM PORCELANATO DECORTILES CITY ZEN NUDE</t>
  </si>
  <si>
    <t>SOLEIRA EM PORCELANATO DECORTILES CITY ZEN NUDE</t>
  </si>
  <si>
    <t>BACIA DECA CARRARA CONVENCIONAL BRANCA - REF.:</t>
  </si>
  <si>
    <t>BACIA SANITÁRIA ELETRÔNICA 127V DECA HIGH TECH BRANCA</t>
  </si>
  <si>
    <t>BACIA SANITÁRIA ROCA ARMANI WALL-HUNG WC</t>
  </si>
  <si>
    <t>CUBA DEBACCO PRIMACCORE FARM SINK BLACK MATTE</t>
  </si>
  <si>
    <t>BACIA SANITÁRIA SUSPENSA DECA LK ÉBANO FOSCO P.232.94 +</t>
  </si>
  <si>
    <t>ACABAMENTO PARA REGISTRO DE PRESSÃO PARA CHUVEIRO -</t>
  </si>
  <si>
    <t>SIFÃO BLACK MATTE SLIM 1684.BL.100.112MT</t>
  </si>
  <si>
    <t>BASE REGISTRO DE GAVETA 1 1/2 4509.502</t>
  </si>
  <si>
    <t>ACABAMENTO REGISTRO DE GAVETA DECA LINHA JADER</t>
  </si>
  <si>
    <t>MISTURADOR DEBACCO 200 MONOCOMANDO GREY 20.04.20020</t>
  </si>
  <si>
    <t>ACABAMENTO PARA REGISTRO DE GAVETA 3/4 - REF.: DECA</t>
  </si>
  <si>
    <t>BASE REGISTRO GAVETA 1/2 4509.102</t>
  </si>
  <si>
    <t>ACABAMENTO DE REGISTRO DE GAVETA ATÉ 1" E PRESSÃO 1/1"</t>
  </si>
  <si>
    <t>ACABAMENTO PARA REGISTRO BASE DECA 3/4" MIX&amp;MATCH</t>
  </si>
  <si>
    <t>CHUVEIRO ROCA ARMANI THERMOSTATIC SHOWER COLUMN</t>
  </si>
  <si>
    <t>BASE MISTURADOR PARA CHUVEIRO COM ENTRADA</t>
  </si>
  <si>
    <t>BASE REGISTRO DE PRESSÃO DE 3/4 4416.202</t>
  </si>
  <si>
    <t>SIFÃO DECA SLIM BLACK MATTE 1984.BL.100.112.MT</t>
  </si>
  <si>
    <t>MISTURADOR DEBACCO MONOCOMANDO COM IMÃ GREY</t>
  </si>
  <si>
    <t>ACABAMENTO REGISTRO DE GAVETA ATÉ 1" - REF.: DECA</t>
  </si>
  <si>
    <t>DUCHA MANUAL LATERAL METALBAGNO CROMETTA CÓDIGO</t>
  </si>
  <si>
    <t>REGISTRO DE GAVETA DECA FLEX 4900.C20.PQ</t>
  </si>
  <si>
    <t>DUCHA HIGIÊNICA DECA UNIC BLACK MATTE 1984.BL90.ACT.MT</t>
  </si>
  <si>
    <t>CHUVEIRO DECA CORTEN AQUAMAX 1998.CT.ST.MT</t>
  </si>
  <si>
    <t>MISTURADOR DECA CORTEN COM TUBO EXTERNO PARA</t>
  </si>
  <si>
    <t>BASE DE REGISTRO DE GAVETA 3/4 - REF.: DECA 4509.202</t>
  </si>
  <si>
    <t>BASE REGISTRO DE GAVETA 1" 4509.302</t>
  </si>
  <si>
    <t>ACABAMENTO REGISTRO DE GAVETA ATÉ 1" 4900.BL100.PQ.MT</t>
  </si>
  <si>
    <t>394X120MM PROFILE SHELF REF. A816459040</t>
  </si>
  <si>
    <t>RECTANGULAR STORAGE CONTAINER REF. A816452043</t>
  </si>
  <si>
    <t>SQUARE STORAGE CONTAINER WITH LID REF. 816453043</t>
  </si>
  <si>
    <t>ROBE HOOK FOR PROFILE GREIGE REF. A816450040</t>
  </si>
  <si>
    <t>SOAP DISH GREIGE REF. A816621040</t>
  </si>
  <si>
    <t>WALL-MOUNTED 752,5 X 75 MM TOWEL RAIL GREIGE REF.</t>
  </si>
  <si>
    <t>WALL-MOUNTED 533,5 X 75 MM TOWEL RAIL GREIGE REF.</t>
  </si>
  <si>
    <t>COVERED TOILET ROLL HOLDER GREIGE REF. A816620040</t>
  </si>
  <si>
    <t>BASE PARA VÁLVULA DE DESCARGA 1.1/2 - REF.: DECA 4550.504</t>
  </si>
  <si>
    <t>KIT DE INSTALAÇÃO PARA BACIA SANITÁRIA 1200.C.KIT.P</t>
  </si>
  <si>
    <t>ASSENTO POLIÉSTER AP.237.17</t>
  </si>
  <si>
    <t>SABONETEIRA DE APOIO JADER ALMEIDA 2014.BL100.MT.BR</t>
  </si>
  <si>
    <t>4 PIECE ACCESSORY SET NERO REF. A816628039</t>
  </si>
  <si>
    <t>WALL-MOUNTED 533,5 X 75 MM TOWEL RAIL NERO REF.</t>
  </si>
  <si>
    <t>4 PIECE ACCESSORY SET GREIGE REF. A816628040</t>
  </si>
  <si>
    <t>WALL-MOUNTED ROBE HOOK GREIGE REF. A816451040</t>
  </si>
  <si>
    <t>CANAL ORGANIZADOR ÚMIDO 600 DEBACCO AÇO ESCOVADO</t>
  </si>
  <si>
    <t>DOSADOR DE DETERGENTE LÍQUIDO 350ML DEBACCO BLACK</t>
  </si>
  <si>
    <t>PURIFICADOR ELECTROLUX INOX PE12G</t>
  </si>
  <si>
    <t>FOCUS SINGLE LEVER SHOWER MIXER FOR EXPOSED</t>
  </si>
  <si>
    <t>ASSENTO POLIÉSTER SLOW CLOSE COM PROTEKTO AP.237.94</t>
  </si>
  <si>
    <t>WALL-MOUNTED ROBE HOOK NERO REF. A816451039</t>
  </si>
  <si>
    <t>WALL-MOUNTED 284,5 X 75 MM TOWEL RAIL NERO REF.</t>
  </si>
  <si>
    <t>VÁLVULA DE ESCOAMENTO - REF.: DECA CLICK 1601.C.CLI</t>
  </si>
  <si>
    <t>SIFÃO SLIM BLACK MATTE 1684.BL.100.112.MT</t>
  </si>
  <si>
    <t>KIT DE INSTALAÇÃO PARA BACIA CONVENCIONAL COM FIXAÇÃO</t>
  </si>
  <si>
    <t>VÁLVULA DE DESCARGA - REF.: DECA SLIM 2553.C.112</t>
  </si>
  <si>
    <t>TUBO DE LIGAÇÃO 1968.BL.MT</t>
  </si>
  <si>
    <t>PARAFUSO PARA FIXAÇÃO VERTICAL DE BACIAS E BIDÊS</t>
  </si>
  <si>
    <t>DECANEL AV.90.01</t>
  </si>
  <si>
    <t>CONJUNTO DE ESCADA MARINHEIRO ACESSO A CAIXA D´ÁGUA,</t>
  </si>
  <si>
    <t>PORCELANATO REF. 100/M² - parede</t>
  </si>
  <si>
    <t>REVESTIMENTO PORTINARI PACIFIC 20X20 - PISCINA/SAUNA</t>
  </si>
  <si>
    <t>REVESTIMENTO EM LIMESTONE PERSIANO</t>
  </si>
  <si>
    <t>REVESTIMENTO EM NEOLITH (OPÇÕES LAMINAN OU GARDÊNIA)</t>
  </si>
  <si>
    <t>PEITORIL EM NEOLITH 12MM COR CONCRETO L=10cm - interno</t>
  </si>
  <si>
    <t>PEITORIL EM NEOLITH 12MM COR CONCRETO L=12cm - interno</t>
  </si>
  <si>
    <t>PEITORIL EM NEOLITH 12MM COR CONCRETO L=17cm - interno</t>
  </si>
  <si>
    <t>PEITORIL EM NEOLITH 12MM COR CONCRETO L=19cm - interno</t>
  </si>
  <si>
    <t>PISO EM LIMESTONE PERSIANO</t>
  </si>
  <si>
    <t>PERFIL U 1/2"X1/2"</t>
  </si>
  <si>
    <t>RODAPÉ EM PERFIL INOX 1 1/2"X1/2"</t>
  </si>
  <si>
    <t>RODAPÉ EM GRANITO OURO NEGRO H=17CM</t>
  </si>
  <si>
    <t>RODAPÉ EM BASALTINA H=17CM</t>
  </si>
  <si>
    <t>RODAPÉ EM LIMESTONE PERSIANO H=25CM</t>
  </si>
  <si>
    <t>PISO ESCADA EM BASALTINA LARG.33CM</t>
  </si>
  <si>
    <t>PISO ESCADA EM GRANITO OURO NEGRO ESCOVADO L = 32CM</t>
  </si>
  <si>
    <t>ESPELHO ESCADA EM GRANITO OURO NEGRO ESCOVADO</t>
  </si>
  <si>
    <t>PISO ESCADA INTERNA COM REVESTIMENTO REF. 400/M2</t>
  </si>
  <si>
    <t>ESPELHO ESCADA INTERNA COM REVESTIMENTO REF. 400/M2</t>
  </si>
  <si>
    <t>BORDA DA PISCINA EM BASALTINA LARG=40CM</t>
  </si>
  <si>
    <t>PRATELEIRA EM GRANITO BRANCO CEARÁ</t>
  </si>
  <si>
    <t>BANCADA 169X60CM EM GRANITO OURO NEGRO 2CM COM CUBA</t>
  </si>
  <si>
    <t>BANCADA 240X60CM EM BASALTINA COM CUBA ESCULPIDA</t>
  </si>
  <si>
    <t>BANCADA 320X75CM EM LIMESTONE PERSIANO 2CM COM CUBA</t>
  </si>
  <si>
    <t>BANCADA 345X78CM EM NEOLITH (OPÇÕES LAMINAN OU</t>
  </si>
  <si>
    <t>BANCADA MESA BAR 410X115CM EM NEOLITH (OPÇÕES</t>
  </si>
  <si>
    <t>BANCADA EM NEOLITH (OPÇÕES LAMINAN OU GARDÊNIA) -</t>
  </si>
  <si>
    <t>BANCADA 297X70CM EM NEOLITH (OPÇÕES LAMINAN OU</t>
  </si>
  <si>
    <t>RODABANCADA EM NEOLITH (OPÇÕES LAMINAN OU GARDÊNIA)</t>
  </si>
  <si>
    <t>TESTEIRA EM NEOLITH (OPÇÕES LAMINAN OU GARDÊNIA)</t>
  </si>
  <si>
    <t>PEITORIL EM GRANITO OURO NEGRO ESCOVADO L=17cm -</t>
  </si>
  <si>
    <t>PEITORIL EM GRANITO OURO NEGRO ESCOVADO L=38cm -</t>
  </si>
  <si>
    <t>BIDÊ CONVENCIONAL -  REF. B.23.17 LINK - DECA</t>
  </si>
  <si>
    <t>BIDÊ SUSPENSO - REF. B.232.17 LINK - DECA</t>
  </si>
  <si>
    <t>CUBA TANQUE ESCOVADA - REF. CT-60 -MEKAL</t>
  </si>
  <si>
    <t>CUBA SUPER LUXO ESCOVADA - REF. CS-60/25 - MEKAL</t>
  </si>
  <si>
    <t>BANHEIRA SUÍTE FILHOS - OPÇÃO 02 - SQUARE PREMIUM</t>
  </si>
  <si>
    <t>BANHEIRA BANHO MASTER - BANHEIRA OVAL BM56 - BM</t>
  </si>
  <si>
    <t>GRELHA L=10CM</t>
  </si>
  <si>
    <t>CHUVEIRO TETO RAINDANCE S OVERHEAD SHOWER 300MM</t>
  </si>
  <si>
    <t>RALO CROMADO 11X11CM</t>
  </si>
  <si>
    <t>MONOCOMANDO CHUVEIRO TALIS E CR (BANHEIRAS)</t>
  </si>
  <si>
    <t>TORNEIRA DE MESA COM FILTRO REF. 1140.C TWIN - DECA</t>
  </si>
  <si>
    <t>MONOCOMANDO DE COZINHA METRIS COM BICA MÓVEL -</t>
  </si>
  <si>
    <t>TORNEIRA DE PAREDE - REF. 1168.C59 FAST - DECA</t>
  </si>
  <si>
    <t>MISTURADOR DE PAREDE - REF. 1258.C59 FAST - DECA</t>
  </si>
  <si>
    <t>DUCHA HIGIENICA DECA LINK</t>
  </si>
  <si>
    <t>TORNEIRA DE MESA BICA BAIXA PARA LAVATÓRIO - REF.</t>
  </si>
  <si>
    <t>CHUVEIRO DE TETO AQUAMAX - REF.1998.C.TET - DECA - DUCHA</t>
  </si>
  <si>
    <t>CHUVEIRO PAREDE CROMETTA S240 CR + TUBO PAREDE</t>
  </si>
  <si>
    <t>MONOCOMANDO DE CHUVEIRO PARA ALTA E BAIXA PRESSÃO -</t>
  </si>
  <si>
    <t>MONOCOMANDO DE LAVATÓRIO AXOR MASSAUD BICA ALTA</t>
  </si>
  <si>
    <t>TERMOSTATO SHOWERSELECT PARA DOIS PONTOS CROMO +</t>
  </si>
  <si>
    <t>DUCHA MANUAL RAINDANCE SELECT S120 03 JATOS CR +</t>
  </si>
  <si>
    <t>BARRA DESLIZANTE 90CM ÚNICA C CR (R$1261,4) - COTAÇÃO</t>
  </si>
  <si>
    <t>MONOCOMANDO LAVATORIO MESA TALIS E 110 CR (R$1759,6) -</t>
  </si>
  <si>
    <t>CHUVEIRO SEM TUBO RAINDANCE S150 CR PRECISA 10MCA +</t>
  </si>
  <si>
    <t>MONOCOMANDO CHUVEIRO COM DESVIADOR TALIS E CR + IBOX</t>
  </si>
  <si>
    <t>REVESTIMENTO GARDÊNIA 3,20X1,60M REF. TRESUNO</t>
  </si>
  <si>
    <t>BOJO EM AÇO INOX Nº 2 TRAMONTINA</t>
  </si>
  <si>
    <t>GUARDA-CORPO METÁLICO H=1,00M</t>
  </si>
  <si>
    <t>GUARDA CORPO METÁLICO COM CORRIMÃO H=1,10M PADRÃO</t>
  </si>
  <si>
    <t>ARMAÇÃO EM TELA DE AÇO SOLDADA Q92</t>
  </si>
  <si>
    <t>ADITIVO INCORPORADOR DE AR - REF.: CEMIX AIR</t>
  </si>
  <si>
    <t>TELA BEMATEL Q 61</t>
  </si>
  <si>
    <t>PURIFICADOR DE ÁGUA, ADEQUADO PARA ACESSIBILIDADE,</t>
  </si>
  <si>
    <t>GRANITO DEPÓSITO - MATERIAL (PISO, RODAPÉ E SOLEIRA)</t>
  </si>
  <si>
    <t>GRANITO CANIL - MATERIAL (PISO, RODAPÉ E SOLEIRA)</t>
  </si>
  <si>
    <t>GRANITO QUARTO 02 - MATERIAL (PEITORIL)</t>
  </si>
  <si>
    <t>GRANITO QUARTO 01 - MATERIAL (PEITORIL)</t>
  </si>
  <si>
    <t>GRANITO ESTAR DCE - MATERIAL (SOLEIRA E PEITORIL)</t>
  </si>
  <si>
    <t>MÁRMORE HALL - MATERIAL (PISO, RODAPÉ E SOLEIRA) - Incluso</t>
  </si>
  <si>
    <t>MÁRMORE HALL ELEVADOR - MATERIAL (PISO, RODAPÉ E</t>
  </si>
  <si>
    <t>MÁRMORE ELEVADOR - MATERIAL (PISO)</t>
  </si>
  <si>
    <t>MÁRMORE DEPÓSITO ESCADA - MATERIAL (PISO, RODAPÉ E</t>
  </si>
  <si>
    <t>GRANITO ÁREA TÉCNICA GARAGEM - MATERIAL (PISO, RODAPÉ E</t>
  </si>
  <si>
    <t>MÁRMORE ESCADA ELEVADOR - MATERIAL (PISO, RODAPÉ E</t>
  </si>
  <si>
    <t>GRANITO ACERVO TÉCNICO - MATERIAL (PISO, RODAPÉ E</t>
  </si>
  <si>
    <t>MÁRMORE GALERIA - MATERIAL (PISO, RODAPÉ E SOLEIRA) -</t>
  </si>
  <si>
    <t>MÁRMORE ESCADA PRINCIPAL - MATERIAL (PISO E RODAPÉ)</t>
  </si>
  <si>
    <t>GRANITO RAMPA RESTAURO - MATERIAL (PEITORIL)</t>
  </si>
  <si>
    <t>GRANITO RAMPA (01.27) - MATERIAL (PEITORIL)</t>
  </si>
  <si>
    <t>GRANITO I.S. DCE - MATERIAL (PISO, RODAPÉ, SOLEIRA,</t>
  </si>
  <si>
    <t>GRANITO COZINHA DCE - MATERIAL (PEITORIL E BANCADA)</t>
  </si>
  <si>
    <t>MÁRMORE LAVABO ESCRITÓRIO - MATERIAL (PAREDE, PISO,</t>
  </si>
  <si>
    <t>GRANITO PÁTIO LATERAL - MATERIAL (PISO E RODAPÉ) -</t>
  </si>
  <si>
    <t>GRANITO CIRCULAÇÃO COBERTA - MATERIAL (PISO E RODAPÉ)</t>
  </si>
  <si>
    <t>MÁRMORE HOME CINEMA - MATERIAL (PAINEL TV)</t>
  </si>
  <si>
    <t>MÁRMORE CIRC. ÍNTIMA - MATERIAL (PAREDE, RODAPÉ E</t>
  </si>
  <si>
    <t>MÁRMORE SALA DE ESTAR - MATERIAL (PISO, RODAPÉ E</t>
  </si>
  <si>
    <t>MÁRMORE SALA DE JANTAR - MATERIAL (PISO E SOLEIRA)</t>
  </si>
  <si>
    <t>MÁRMORE ADEGA - MATERIAL (PISO, RODAPÉ E SOLEIRA) -</t>
  </si>
  <si>
    <t>GRANITO ACADEMIA - MATERIAL (SOLEIRA E PEITORIL)</t>
  </si>
  <si>
    <t>GRANITO DESPENSA - MATERIAL (PISO, RODAPÉ E SOLEIRA) -</t>
  </si>
  <si>
    <t>GRANITO LOUCEIRO - MATERIAL (PISO, RODAPÉ E SOLEIRA) -</t>
  </si>
  <si>
    <t>MÁRMORE CIRC. ACADEMIA - MATERIAL (PISO, RODAPÉ E</t>
  </si>
  <si>
    <t>GRANITO/MÁRMORE VARANDA COBERTA - MATERIAL (PAREDE,</t>
  </si>
  <si>
    <t>GRANITO CIRC. COBERTA SUÍTES - MATERIAL (PISO, RODAPÉ E</t>
  </si>
  <si>
    <t>MÁRMORE BANHO SUÍTE 01 - MATERIAL (PAREDE, PISO,</t>
  </si>
  <si>
    <t>MÁRMORE BANHO SUÍTE 02 - MATERIAL (PAREDE, PISO,</t>
  </si>
  <si>
    <t>MÁRMORE BANHO SUÍTE 03 - MATERIAL (PAREDE, PISO,</t>
  </si>
  <si>
    <t>MÁRMORE LAVABO SALA DE JANTAR - MATERIAL (PAREDE, PISO,</t>
  </si>
  <si>
    <t>GRANITO COZINHA - MATERIAL (PAREDE, PISO, RODAPÉ,</t>
  </si>
  <si>
    <t>GRANITO ÁREA DE SERVIÇO - MATERIAL (PISO, RODAPÉ E</t>
  </si>
  <si>
    <t>GRANITO SAUNA - MATERIAL (PAREDE, PISO, SOLEIRA E</t>
  </si>
  <si>
    <t>GRANITO SAUNA ANTE-CÂMARA - MATERIAL (PAREDE, SOLEIRA E</t>
  </si>
  <si>
    <t>GRANITO LAVABO SPA - MATERIAL (PAREDE E SOLEIRA)</t>
  </si>
  <si>
    <t>GRANITO CIRCULAÇÃO SPA - MATERIAL (PISO, RODAPÉ E</t>
  </si>
  <si>
    <t>GRANITO FRENTE SUÍTES - MATERIAL (PISO) - Incluso na</t>
  </si>
  <si>
    <t>GRANITO VARANDA DESCOBERTA - MATERIAL (PISO)</t>
  </si>
  <si>
    <t>GRANITO ESPELHO D'ÁGUA - MATERIAL (PAREDE E PISO)</t>
  </si>
  <si>
    <t>GRANITO ESCADA ACESSO +1100,00 - MATERIAL (PISO E</t>
  </si>
  <si>
    <t>GRANITO PÁTIO - MATERIAL (PISO E RODAPÉ) - Incluso na varanda</t>
  </si>
  <si>
    <t>GRANITO HORTA - MATERIAL (BANCADA EM GRANITO SÃO</t>
  </si>
  <si>
    <t>GRANITO ACESSO VISITANTE 01 - MATERIAL (PISO) - Incluso na</t>
  </si>
  <si>
    <t>GRANITO ACESSO VISITANTE 02 - MATERIAL (PISO) - Incluso na</t>
  </si>
  <si>
    <t>CUBA TRAMONTINA LIVÍNIA 47 BL 94022/203</t>
  </si>
  <si>
    <t>LIXEIRA PADRÃO DO CONDOMÍNIO - Estimado</t>
  </si>
  <si>
    <t>EQUIPAMENTOS PARA COZINHA - Custo informado pelo cliente</t>
  </si>
  <si>
    <t>GRANITO/MÁRMORE FACHADA - MATERIAL (PEITORIL)</t>
  </si>
  <si>
    <t>TUBO DRENANTE CORRUGADO FLEXÍVELØ170MM</t>
  </si>
  <si>
    <t>CONTENÇÃO EM AÇO CORTEN FIXADA EM BASE DE CONCRETO -</t>
  </si>
  <si>
    <t>SEIXO NEGRO SOLTO PARA GRELHA EM INOX (GRELHA INCLUSA</t>
  </si>
  <si>
    <t>PORTAS METÁLICAS COM ACABAMENTO CORTEN PARA ARMÁRIO</t>
  </si>
  <si>
    <t>CONCRETO BOMBEADO FCK 40,0 MPa LANÇADO EM</t>
  </si>
  <si>
    <t>ALÇAPÃO METÁLICO 80X80CM PARA ACESSO A CAIXA D'ÁGUA</t>
  </si>
  <si>
    <t>TERRA VERMELHA PARA COMPLEMENTO DO PAISAGISMO</t>
  </si>
  <si>
    <t>CONCRETO FCK 40,0 MPa LANÇADO EM FUNDAÇÕES - COM</t>
  </si>
  <si>
    <t>REVESTIMENTO EM PORCELANATO PORTINARI BATTUTO GR NAT</t>
  </si>
  <si>
    <t>PORTA EM ALAMBRADO</t>
  </si>
  <si>
    <t>PORTA EM CHAPA METALICA (2 folhas) 300 X 210 CM</t>
  </si>
  <si>
    <t>JANELA 200 X 130 CM</t>
  </si>
  <si>
    <t>JANELA 616 X 130 CM</t>
  </si>
  <si>
    <t>REVESTIMENTO EM PORCELANATO PORTINARI LINHA</t>
  </si>
  <si>
    <t>REVESTIMENTO EM CERÂMICA ELIANE LINEAR DOVE MA</t>
  </si>
  <si>
    <t>PISO EM PORCELANATO PORTINARI MUNICH BK NAT RET 60X120</t>
  </si>
  <si>
    <t>PISO EM GRANITO PRETO SÃO GABRIEL</t>
  </si>
  <si>
    <t>BLOCO DE CONCRETO 14X19X29 CM 14X19X29 CM</t>
  </si>
  <si>
    <t>JE - 245X100 CM - JANELA EXISTENTE A SER MANTIDA E</t>
  </si>
  <si>
    <t>TORNEIRA DE MESA COM FILTRO BICA MÓVEL REF.: METRILA C50</t>
  </si>
  <si>
    <t>PISO PORCELANATO POLIDO MARCA PORTOBELLO COR</t>
  </si>
  <si>
    <t>RODAPÉ EM PORCELANATO POLIDO, MARCA ELIANE, PLATINA PO</t>
  </si>
  <si>
    <t>PAREDE REVESTIDA EM CERÂMICA BRANCA IDEALLE CLEAN</t>
  </si>
  <si>
    <t>LAVATÓRIO SUSPENSO DE CANTO DECA, COR BRANCO</t>
  </si>
  <si>
    <t>PORTA TIPO VENEZIANA METÁLICA 80X210CM</t>
  </si>
  <si>
    <t>ARGAMASSA AC-3 COMUM</t>
  </si>
  <si>
    <t>SOLEIRA/PEITORIL EM GRANITO PRETO SÃO GABRIEL LARG. =</t>
  </si>
  <si>
    <t>ADUELA/ALIZAR EM GRANITO - L=12CM</t>
  </si>
  <si>
    <t>BACIA COM CAIXA ACOPLADA - REF.: DECA LINHA OMEGA</t>
  </si>
  <si>
    <t>BACIA COM CAIXA ACOPLADA - REF.: DECA LINHA OMEGA PCD</t>
  </si>
  <si>
    <t>VÁLVULA DESCARGA PARA BACIA LINHA RAVENA</t>
  </si>
  <si>
    <t>MICTÓRIO EM LOUÇA - REF.: DECA LINHA OMEGA</t>
  </si>
  <si>
    <t>CUBA EM LOUÇA - REF.: DECA L83</t>
  </si>
  <si>
    <t>CHUVEIRO COM TUBO PAREDE FLEX</t>
  </si>
  <si>
    <t>DISPENSER DE PAPEL TOALHA</t>
  </si>
  <si>
    <t>DISPENSER PAPEL HIGIÊNICO</t>
  </si>
  <si>
    <t>DISPENSER SABONETE LÍQUIDO</t>
  </si>
  <si>
    <t>PORCELANATO PAMESA COR TENERIF</t>
  </si>
  <si>
    <t>BEBEDOURO CROMADO 46X40</t>
  </si>
  <si>
    <t>BANCADA E CUBA EM MASSA PREMIUM COR CINZA REAL REF.:</t>
  </si>
  <si>
    <t>BANCADA E CUBA EM MASSA PREMIUM COR CINZA FORMATO EM</t>
  </si>
  <si>
    <t>BANCADA EM "L" INOX - SEMISÓLIDOS 7,05 X 0,60M</t>
  </si>
  <si>
    <t>BOJO EM INOX</t>
  </si>
  <si>
    <t>BANCADA RETA EM GRANITO PARA PESAGEM 526X60CM</t>
  </si>
  <si>
    <t>BANCADA RETA EM INOX 120X60CM -APROVEITAMENTO +</t>
  </si>
  <si>
    <t>ALIZAR EM GRANITO AQUALUX L=12CM</t>
  </si>
  <si>
    <t>PEITORIL EM GRANITO BEGE IPANE MA POLIDO L=20CM</t>
  </si>
  <si>
    <t>PEITORIL EM GRANITO SÃO GABRIEL L=35CM</t>
  </si>
  <si>
    <t>M    </t>
  </si>
  <si>
    <t>TESTEIRA EM GRANITO AQUALUX POLIDO H=5CM</t>
  </si>
  <si>
    <t>TESTEIRA H=10CM (REF. R$600/M²)</t>
  </si>
  <si>
    <t>SOLEIRA ELEVADOR EM GRANITO OURO NEGRO LARG=20CM</t>
  </si>
  <si>
    <t>SOLEIRA EM GRANITO BRANCO CEARÁ LARG=15CM</t>
  </si>
  <si>
    <t>RODABANCA EM GRANITO BRANCO CEARÁ H=30CM</t>
  </si>
  <si>
    <t>RODABANCADA EM LIMESTONE PERSIANO 2CM H=30CM</t>
  </si>
  <si>
    <t>VÁLVULA DE DESCARGA P/ MICTÓRIO REF. DECA</t>
  </si>
  <si>
    <t>CONCRETO USIN. BOMB. FCK 45MPa</t>
  </si>
  <si>
    <t>PERFIL METÁLICO 1 1/2" X 1" - externo - fachada</t>
  </si>
  <si>
    <t>ADUELA/ALISAR ELEVADOR EM BASALTINA LARG=20CM</t>
  </si>
  <si>
    <t>SOLEIRA ELEVADOR EM BASALTINA LARG=20CM</t>
  </si>
  <si>
    <t>SIFÃO PARA LAVATORIO</t>
  </si>
  <si>
    <t>PISO PORCELANATO REF. 50/M2</t>
  </si>
  <si>
    <t>PISO COM REVESTIMENTO REF. 600/M2</t>
  </si>
  <si>
    <t>PISO COM REVESTIMENTO REF. 400/M2</t>
  </si>
  <si>
    <t>BANCADA EM GRANITO BRANCO CEARÁ</t>
  </si>
  <si>
    <t>RODABANCADA EM GRANITO OURO NEGRO H=30CM</t>
  </si>
  <si>
    <t>PEITORIL EM GRANITO OURO NEGRO ESCOVADO L=33cm -</t>
  </si>
  <si>
    <t>CUBA DUPLA PIANETTE GOURMET PG-50/27 - MEKAL</t>
  </si>
  <si>
    <t>PISO EM GRANITO OURO NEGRO ESCOVADO</t>
  </si>
  <si>
    <t>PEITORIL EM GRANITO OURO NEGRO ESCOVADO L=25/27cm -</t>
  </si>
  <si>
    <t>PISO PORTINARI PACIFIC GN HARD 20X20CM - PISCINA/SAUNA</t>
  </si>
  <si>
    <t>PISO BASALTINA EM TIRAS</t>
  </si>
  <si>
    <t>MASTIQUE TIPO SIKAFLEX</t>
  </si>
  <si>
    <t>TESTEIRA EM GRANITO BRANCO CEARÁ H=10CM</t>
  </si>
  <si>
    <t>BANCADA EM LIMESTONE PERSIANO 2CM</t>
  </si>
  <si>
    <t>REVESTIMENTO DE PAREDE REF. R$600,00/M²</t>
  </si>
  <si>
    <t>RODAPÉ COM REVESTIMENTO REF. 400/M2 H=20CM</t>
  </si>
  <si>
    <t>RODAPÉ EM PORCELANATO REF. 50/M2 H=17CM</t>
  </si>
  <si>
    <t>BANCADA EM GRANITO OURO NEGRO</t>
  </si>
  <si>
    <t>TESTEIRA EM GRANITO OURO NEGRO H=10CM</t>
  </si>
  <si>
    <t>REVESTIMENTO DE PAREDE REF. R$400,00/M²</t>
  </si>
  <si>
    <t>PISO EM BASALTINA</t>
  </si>
  <si>
    <t>ESPELHO ESCADA EM BASALTINA LARG.16CM EM MEIA</t>
  </si>
  <si>
    <t>ADUELA/ALISAR ELEVADOR EM GRANITO OURO NEGRO</t>
  </si>
  <si>
    <t>TESTEIRA EM LIMESTONE PERSIANO 2CM H=15CM</t>
  </si>
  <si>
    <t>ADUELA/ALISAR ELEVADOR EM REVEST. REF. 400/M² LARG=20CM</t>
  </si>
  <si>
    <t>BACIA COM CAIXA ACOPLADA REF. P.808.17 MONTE CARLO -</t>
  </si>
  <si>
    <t>BACIA CONVENCIONAL - REF. P.23.17 LINK - DECA</t>
  </si>
  <si>
    <t>CUBA DE APOIO RETANGULAR COM MESA E VÁLVULA OCULTA -</t>
  </si>
  <si>
    <t>CUBA DE SOBREPOR QUADRADA COM MESA - REF. L.730.17 -</t>
  </si>
  <si>
    <t>CUBA DE SEMI-ENCAIXE REF. DECA - I.S. SENHORA - BANHO</t>
  </si>
  <si>
    <t>MICTÓRIO EM LOUÇA - REF. DECA - BANHO MASTER (LUXO)</t>
  </si>
  <si>
    <t>BACIA SUSPENSA - REF. P.232.17 LINK - DECA</t>
  </si>
  <si>
    <t>CUBA SIMPLES LINHA RETTA LR-50 - MEKAL</t>
  </si>
  <si>
    <t>IM9689</t>
  </si>
  <si>
    <t>mictório com sifão integrado para válvula embutida - branco</t>
  </si>
  <si>
    <t>IM9712</t>
  </si>
  <si>
    <t>PEITORIL EM GRANITO SÃO GABRIEL L=18CM</t>
  </si>
  <si>
    <t>PURIFICADOR DE ÁGUA PRATA ELECTROLUX PA31G</t>
  </si>
  <si>
    <t>PURIFICADOR ELECTROLUX INOX PA31G</t>
  </si>
  <si>
    <t>Soleira em granito cinza corumbá larg=15 cm</t>
  </si>
  <si>
    <t>SOLEIRA EM GRANITO CINZA CORUMBÁ L=20CM</t>
  </si>
  <si>
    <t>Soleira em granito cinza corumbá larg=25 cm</t>
  </si>
  <si>
    <t>Soleira em ardosia larg=15 cm</t>
  </si>
  <si>
    <t>FILETE EM ARDÓSIA LARG.=10 CM</t>
  </si>
  <si>
    <t>Peitoril em porcelanato larg. = 14 cm</t>
  </si>
  <si>
    <t>Peitoril em porcelanato larg. = 24 cm</t>
  </si>
  <si>
    <t>Peitoril em porcelanato larg. = 29 cm</t>
  </si>
  <si>
    <t>IM9899</t>
  </si>
  <si>
    <t>Porcelanato munari concreto ext - 60x60 - eliane</t>
  </si>
  <si>
    <t>PISO INTERTRAVADO VAZADO</t>
  </si>
  <si>
    <t>P3 - 80X210CM - PORTA PRANCHETA REVESTIDA COM</t>
  </si>
  <si>
    <t>KIT PORTA PRONTA 80X210 DE CORRER</t>
  </si>
  <si>
    <t>ADUELA EM GRANITO - REF.: R$ 187,00/M2</t>
  </si>
  <si>
    <t>ADUELA EM GRANITO AQUALUX L=12CM</t>
  </si>
  <si>
    <t>CANTEIRO DE OBRAS - ESTRUTURAS DE MADEIRA E METÁLICAS,</t>
  </si>
  <si>
    <t>CONCRETO FCK 30,0 MPa - material - custo apropriado</t>
  </si>
  <si>
    <t>INSTALAÇÕES HIDRO-SANITÁRIAS - material</t>
  </si>
  <si>
    <t>VÁLVULA DE DESCARGA - REF. DECA SLIM (OPÇÃO 01) / VÁLVULA</t>
  </si>
  <si>
    <t>MONOCOMANDO MASSAUD BICA BAIXA CR (PARA CUBA</t>
  </si>
  <si>
    <t>MONOCOMANDO MASSAUD BICA ALTA CR (PARA CUBA APOIO)</t>
  </si>
  <si>
    <t>MONOCOMANDO DE BANHEIRA MASSAUD COM DUCHA MANUAL</t>
  </si>
  <si>
    <t>BASE PARA FUNCIONAMENTO MONOC. PISO BANHEIRA (R$6095)</t>
  </si>
  <si>
    <t>DUCHA HIGIENICA COM MANGUEIRA 1,25M E SUPORTE CR</t>
  </si>
  <si>
    <t>REGISTRO VALVULA FECHAMENTO PARA DUCHA HIGIENICA CR</t>
  </si>
  <si>
    <t>DUCHA HIGIENICA COM MANGUEIRA 1,25M E SUPORTE CR +</t>
  </si>
  <si>
    <t>CONJUNTO DUCHA MANUAL COM BARRA DESLIZANTE CROM</t>
  </si>
  <si>
    <t>DUCHA MANUAL CROMA SELECT S 1 JATO CR + CONECTOR DE</t>
  </si>
  <si>
    <t>CHUVEIRO DE PAREDE AQUAMAX - REF.1998.C.CT - DECA</t>
  </si>
  <si>
    <t>INSTALAÇÃO DE LUMINÁRIAS - material - aguardando</t>
  </si>
  <si>
    <t>LAREIRA ECOLÓGICA ECOFIREPLACES ECO21 - DIM.:</t>
  </si>
  <si>
    <t>APARELHOS DA ACADEMIA - custo fornecido pelo cliente</t>
  </si>
  <si>
    <t>SISTEMA DE AR CONDICIONADO E CLIMATIZAÇÃO - material</t>
  </si>
  <si>
    <t>INSTALAÇÃO GÁS CANALIZADO - material</t>
  </si>
  <si>
    <t>FILETE EM GRANITO - REF.: R$ 1</t>
  </si>
  <si>
    <t>MATERIAL DA FIXAÇÃO DA FACHADA (restante) - Custo informado p</t>
  </si>
  <si>
    <t>REVESTIMENTO TIPO 26</t>
  </si>
  <si>
    <t>FILETE EM MDF</t>
  </si>
  <si>
    <t>RODAPE TIPO 6</t>
  </si>
  <si>
    <t>RODAPE TIPO 7</t>
  </si>
  <si>
    <t>SÓCULO EM GRANITO PRETO SÃO GABRIEL</t>
  </si>
  <si>
    <t>RODAPE TIPO 8</t>
  </si>
  <si>
    <t>CAIXA ACOPLADA DECA COM SAIDA PARA DIREITA DUAL 3/6L</t>
  </si>
  <si>
    <t>CAIXA ACOPLADA CELITE COM SAIDA PARA ESQUERDA DUAL</t>
  </si>
  <si>
    <t>FILETE EM GRANITO AQUALUX DELIMITANDO A REGIÃO DO BOX</t>
  </si>
  <si>
    <t>BARRA DE APOIO PNE MODELO L EM AÇO CARBONO INOX</t>
  </si>
  <si>
    <t>PISO TIPO 4</t>
  </si>
  <si>
    <t>PISO TIPO 6</t>
  </si>
  <si>
    <t>REVESTIMENTO TIPO 2</t>
  </si>
  <si>
    <t>REVESTIMENTO TIPO 25</t>
  </si>
  <si>
    <t>REVESTIMENTO TIPO 27</t>
  </si>
  <si>
    <t>REVESTIMENTO TIPO 6</t>
  </si>
  <si>
    <t>RODAPE TIPO 2</t>
  </si>
  <si>
    <t>LAVATÓRIO PARA PNE</t>
  </si>
  <si>
    <t>BLOCO INTEIRO - 39X14X19CM</t>
  </si>
  <si>
    <t>MEIO BLOCO - 19X14X19CM</t>
  </si>
  <si>
    <t>BLOCO L - 34X14X19CM</t>
  </si>
  <si>
    <t>BLOCO T - 54X14X19CM</t>
  </si>
  <si>
    <t>BLOCO INTEIRO COMPENSADOR - 39X14X9CM</t>
  </si>
  <si>
    <t>MEIO BLOCO COMPENSADOR - 19X14X19CM</t>
  </si>
  <si>
    <t>BLOCO L COMPENSADOR - 34X14X19CM</t>
  </si>
  <si>
    <t>BLOCO T COMPENSADOR - 54X14X19CM</t>
  </si>
  <si>
    <t>COMPENSADOR - 4X14X19CM</t>
  </si>
  <si>
    <t>COMPENSADOR - 9X14X19CM</t>
  </si>
  <si>
    <t>BLOCO CANALETA 19X14X19CM</t>
  </si>
  <si>
    <t>BLOCO INTEIRO - 39X19X19</t>
  </si>
  <si>
    <t>MEIO BLOCO - 19X19X19</t>
  </si>
  <si>
    <t>BLOCO INTEIRO COMPENSADOR - 39X19X9</t>
  </si>
  <si>
    <t>MEIO BLOCO COMPENSADOR - 19X19X19</t>
  </si>
  <si>
    <t>BLOCO CANALETA 19X19X19</t>
  </si>
  <si>
    <t>BACIA SANITÁRIA CELITE COM CAI XA ACOPLADA</t>
  </si>
  <si>
    <t>BACIA SANITÁRIA À DEFINIR - BANHOS APTOS</t>
  </si>
  <si>
    <t>BACIA SANITÁRIA SUSPENSA RIMLESS ROCA BEYOND ONIX</t>
  </si>
  <si>
    <t>BACIA DECA - REF.: R$ 280,00/UN</t>
  </si>
  <si>
    <t>BACIA DECA - REF.: R$ 2.000,00/UN</t>
  </si>
  <si>
    <t>BACIA COM CAIXA ACOPLADA DECA AXIS</t>
  </si>
  <si>
    <t>BEBEDOURO ELÉTRICO 40 OU 80 LT</t>
  </si>
  <si>
    <t>BACIA COM CAIXA ACOPLADA SEM ABERTURA FRONTAL DECA</t>
  </si>
  <si>
    <t>BACIA SANITÁRIA VOGUE PLUS BRA</t>
  </si>
  <si>
    <t>TORNEIRA PISO ROCA ARMANI BRUSHED STEEL</t>
  </si>
  <si>
    <t>TORNEIRA DE USO GERAL</t>
  </si>
  <si>
    <t>MISTURADOR DECA JADER BICA ALTA 1877.BL100.MT</t>
  </si>
  <si>
    <t>TORNEIRA DE LATAO PARA TANQUE 1/2" (MESA) COM CANOPLA</t>
  </si>
  <si>
    <t>BACIA SANITÁRIA COM CAIXA ACOPLADA REF. DECA LINHA IZY</t>
  </si>
  <si>
    <t>BACIA SANITÁRIA REF. CELITE LINHA AZALEA COR BRANCA CÓD.</t>
  </si>
  <si>
    <t>CUBA DE EMBUTIR DECA L.1061.17</t>
  </si>
  <si>
    <t>CUBA LOUÇA DE EMBUTIR TIPO 01</t>
  </si>
  <si>
    <t>CHUVEIRO DE PAREDE DECA JADER 2107.BL.CT.MT</t>
  </si>
  <si>
    <t>DUCHA HIGIÊNICA ROCA ARMANI VISIBLE COMPONENT FOR</t>
  </si>
  <si>
    <t>TORNEIRA 202103 MONOCOMANDO COZINHA COM DUCHA</t>
  </si>
  <si>
    <t>DUCHA HIGIÊNICA DECA LEVEL BLACK NOIR 1984.BL26.ACT.NO</t>
  </si>
  <si>
    <t>DUCHA HIGIÊNICA DECA LEVEL CROMADO 1984.C26.ACT.CR</t>
  </si>
  <si>
    <t>DUCHA HIGIÊNICA DECA POLO 1984.C33.ACT.CR</t>
  </si>
  <si>
    <t>PIA DE APOIO DECA JADER L.310.94</t>
  </si>
  <si>
    <t>CUBA DE EMBUTIR OVAL REF. DECA (48X31CM)</t>
  </si>
  <si>
    <t>ACABAMENTO DE REGISTRO GAVETA REF. DOCOL</t>
  </si>
  <si>
    <t>JOELHO 90° PVC ESG. 100MM</t>
  </si>
  <si>
    <t>CUBA MODELO 56BL INOX TRAMONTINA 59X37CM - HORTA</t>
  </si>
  <si>
    <t>TANQUE DE EMBUTIR TRAMONTINA JUMBO 91L CÓD. 94094142</t>
  </si>
  <si>
    <t>MISTURADOR DE BICA ALTA - REF.: DECA POLO 1877.C33</t>
  </si>
  <si>
    <t>TORNEIRA DECA 2256.BL.LNK.MT COR BLACK MATTE - HORTA</t>
  </si>
  <si>
    <t>CUBA DEBACCO PRIMACCORE 400 BLACK MATTE 20.03.90520.</t>
  </si>
  <si>
    <t>TORNEIRA DECA MONOCOMANDO GOURMET BLACK MATTE</t>
  </si>
  <si>
    <t>LAVATORIO DE LOUÇA SEMIENCAIXE Q2 42X41cm CELITE COR</t>
  </si>
  <si>
    <t>LAVATORIO DE LOUÇA EMBUTIR OVAL CELITE SAVEIRO 39X30cm</t>
  </si>
  <si>
    <t>MICTÓRIO EM LOUÇA BRANCA REF: DECA M715.17</t>
  </si>
  <si>
    <t>LAVATÓRIO DECA - REF.: R$ 135,00/UN</t>
  </si>
  <si>
    <t>LAVATÓRIO SUSPENSO DE CANTO IZY BRANCO</t>
  </si>
  <si>
    <t>TANQUE DECA - REF.: R$ 300,00/UN</t>
  </si>
  <si>
    <t>TORNEIRA DECA - REF.: R$ 150,00/UN</t>
  </si>
  <si>
    <t>TORNEIRA LAVATÓRIO - REF.: R$ 500,00/UN</t>
  </si>
  <si>
    <t>TORNEIRA MESA BICA ALTA DECA TUBE CROMADA</t>
  </si>
  <si>
    <t>TORNEIRA MESA DECA CONFORTO FECHAMENTO AUTOMATICO</t>
  </si>
  <si>
    <t>TORNEIRA - REF.: R$ 800,00/UN</t>
  </si>
  <si>
    <t>TORNEIRA - REF.: R$ 300,00/UN</t>
  </si>
  <si>
    <t>DUCHA HIGIÊNICA - REF.: R$ 300,00/UN</t>
  </si>
  <si>
    <t>ACABAMENTO REGISTRO - R$ 200,00/UN</t>
  </si>
  <si>
    <t>CUBA EM AÇO INOX À DEFINIR - COZINHA APTOS</t>
  </si>
  <si>
    <t>CUBA INOX - REF.: R$ 2.500,00/UN</t>
  </si>
  <si>
    <t>TUBO PVC ESGOTO 40MM</t>
  </si>
  <si>
    <t>TUBO DRENANTE PVC 50MM</t>
  </si>
  <si>
    <t>TUBO PVC REFORÇADO 75MM</t>
  </si>
  <si>
    <t>TANQUE 40L COM COLUNA DECA, CO COR BRANCO</t>
  </si>
  <si>
    <t>ACABAMENTO DE REGISTRO DECA/DOCOL À DEFINIR - PRESSÃO</t>
  </si>
  <si>
    <t>Bancada em ardósia polida com testeira H = 5 cm e rodabanca</t>
  </si>
  <si>
    <t>VÁLVULA DESCARGA HYDRA ECO CON FORTO - CÓD.:</t>
  </si>
  <si>
    <t>VÁLVULA DE DESCARGA TIPO 02</t>
  </si>
  <si>
    <t>MISTURADOR ROCA ARMANI DECK-MOUNTED 3-HOLE BASIN</t>
  </si>
  <si>
    <t>TORNEIRA DE LATAO PARA LAVATORIO 1/2" (MESA) COM</t>
  </si>
  <si>
    <t>VESTIÁRIO (FOSSA)</t>
  </si>
  <si>
    <t>TORNEIRA BICA ALTA REF: FABRIMAR LINHA "PRATIKA"</t>
  </si>
  <si>
    <t>LAJE PRÉ-MOLDADA 200 Kgf/m2 (MATERIAL)</t>
  </si>
  <si>
    <t>LAJE PRÉ-MOLDADA 300 Kgf/m2 (MATERIAL)</t>
  </si>
  <si>
    <t>LAJE PRÉ-MOLDADA 350 Kgf/m2 (MATERIAL)</t>
  </si>
  <si>
    <t>TUBO CONCRETO - D=300mm</t>
  </si>
  <si>
    <t>TUBO CONCRETO - D=400mm</t>
  </si>
  <si>
    <t>TUBO CONCRETO - D=500mm</t>
  </si>
  <si>
    <t>TUBO CONCRETO - D=600mm</t>
  </si>
  <si>
    <t>CUBA DE APOIO DECA JADER L.310.94</t>
  </si>
  <si>
    <t>CUBA DE SOBREPOR QUADRADA COM MESA REF. DECA L.730</t>
  </si>
  <si>
    <t>ACABAMENTO DE REGISTRO REF. DECA</t>
  </si>
  <si>
    <t>ACABAMENTO DE REGISTRO PRESSÃO REF. DOCOL</t>
  </si>
  <si>
    <t>BACIA P/ CAIXA ACOPLADA ADAPT. PARA DEFICIENTE FÍSICO</t>
  </si>
  <si>
    <t>BARRACÃO PROVISÓRIO DE OBRA + INSTALAÇÃO PROVISÓRIA</t>
  </si>
  <si>
    <t>MISTURADOR DE ARGAMASSA (02 EQUIPAMENTOS / MÊS)</t>
  </si>
  <si>
    <t>TORNEIRA DE LATAO CROMADO PARA LAVATORIO 1/2" (MESA)</t>
  </si>
  <si>
    <t>TORNEIRA DE JARDIM DECA FLEX 1153.C20</t>
  </si>
  <si>
    <t>TORNEIRA DE MESA DECA FLEX PLUS 1167.C20.CLM</t>
  </si>
  <si>
    <t>TORNEIRA DECA JADER 1189.BL100.GL.RD</t>
  </si>
  <si>
    <t>ACABAMENTO DE REGISTRO DE PRESSÃO DECA POLO</t>
  </si>
  <si>
    <t>ACABAMENTO DE REGISTRO DECA/DOCOL À DEFINIR - GAVETA</t>
  </si>
  <si>
    <t>RALO EM AÇO INOX</t>
  </si>
  <si>
    <t>BACIA SANITÁRIA CONVENCIONAL DECA LK ÉBANO-FOSCO</t>
  </si>
  <si>
    <t>BACIA SANITÁRIA ROCA ARMANI WALL-HUNG WC DARK METALLIC</t>
  </si>
  <si>
    <t>BOJO INOX Nº 01</t>
  </si>
  <si>
    <t>CUBA ROCA ARMANI 900 MM COUNTERTOP WASHBASIN FOR</t>
  </si>
  <si>
    <t>TANQUE EM AÇO INOX POLIDO, REF.: GHELPLUS 10.04.04073 -</t>
  </si>
  <si>
    <t>FECHADURA BANHEIRO PADO RETRO ROSETA QUADRADA</t>
  </si>
  <si>
    <t>SUPORTE DE APOIO RETO DE AÇO CARBONO GALVANIZADO</t>
  </si>
  <si>
    <t>ACABAMENTO DE REGISTRO CROMADO LINHA RIVA 1/2 OU</t>
  </si>
  <si>
    <t>TANQUE DE MARMORE SINTETICO BRANCO 55X42cm 20L SEM</t>
  </si>
  <si>
    <t>DUCHA HIGIÊNICA ROCA ARMANI VISIBLE REF. A5258824VS E</t>
  </si>
  <si>
    <t>TORNEIRA USO GERAL</t>
  </si>
  <si>
    <t>DRY-WALL RU/RU ESP.13CM</t>
  </si>
  <si>
    <t>BANHEIRA SPA</t>
  </si>
  <si>
    <t>TORNEIRA MONOCOMANDO DECA SPIN BLACK MATTE</t>
  </si>
  <si>
    <t>TORNEIRA DECA/DOCOL À DEFINIR - COZINHA APTOS</t>
  </si>
  <si>
    <t>INSTALAÇÃO DE PREVENÇÃO E COMBATE A INCÊNDIO - material</t>
  </si>
  <si>
    <t>PORCELANATO RETIFICADO 30x60cm BRANCO ACETINADO REF.</t>
  </si>
  <si>
    <t>PORCELANATO ACETINADO 90x90cm REF. BIANCOGRES</t>
  </si>
  <si>
    <t>RODAPÉ EM PORCELANATO ACETINADO 90x90cm REF.</t>
  </si>
  <si>
    <t>SOLEIRA EM PORCELANATO ACETINADO 90x90cm REF.</t>
  </si>
  <si>
    <t>PEITORIL EM PORCELANATO ACETINADO 90x90cm REF.</t>
  </si>
  <si>
    <t>SEIXO PALIMANAN GRANADA</t>
  </si>
  <si>
    <t>PERFIL INOX ARREMATE PISO 20 MM</t>
  </si>
  <si>
    <t>CANALETA L 15 X 15 MM</t>
  </si>
  <si>
    <t>CANTONEIRA L 25X15 MM</t>
  </si>
  <si>
    <t>PROPOSTA MG MÁMORES 35622-03 - AMBIENTE: ÁREA EXTERNA</t>
  </si>
  <si>
    <t>PROPOSTA MG MÁMORES 35622-03 - AMBIENTE: BANHO</t>
  </si>
  <si>
    <t>PROPOSTA MG MÁMORES 35622-03 - AMBIENTE: BANHO E</t>
  </si>
  <si>
    <t>PROPOSTA MG MÁMORES 35622-03 - AMBIENTE: BANHO MASTER</t>
  </si>
  <si>
    <t>PROPOSTA MG MÁMORES 35622-03 - AMBIENTE: COPA DE</t>
  </si>
  <si>
    <t>PROPOSTA MG MÁMORES 35622-03 - AMBIENTE: COPA NOTURNA</t>
  </si>
  <si>
    <t>PROPOSTA MG MÁMORES 35622-03 - AMBIENTE: COPA</t>
  </si>
  <si>
    <t>PROPOSTA MG MÁMORES 35622-03 - AMBIENTE: COZINHA</t>
  </si>
  <si>
    <t>PROPOSTA MG MÁMORES 35622-03 - AMBIENTE: COZINHA*</t>
  </si>
  <si>
    <t>PROPOSTA MG MÁMORES 35622-03 - AMBIENTE: COZINHA* APOIO</t>
  </si>
  <si>
    <t>PROPOSTA MG MÁMORES 35622-03 - AMBIENTE: DEPÓSITO</t>
  </si>
  <si>
    <t>PROPOSTA MG MÁMORES 35622-03 - AMBIENTE: DESPENSA</t>
  </si>
  <si>
    <t>PROPOSTA MG MÁMORES 35622-03 - AMBIENTE: ESTAR ÍNTIMO</t>
  </si>
  <si>
    <t>PROPOSTA MG MÁMORES 35622-03 - AMBIENTE: GARAGEM</t>
  </si>
  <si>
    <t>PROPOSTA MG MÁMORES 35622-03 - AMBIENTE: GOURMET</t>
  </si>
  <si>
    <t>PROPOSTA MG MÁMORES 35622-03 - AMBIENTE: GOURMET*</t>
  </si>
  <si>
    <t>PROPOSTA MG MÁMORES 35622-03 - AMBIENTE: GOURMET**</t>
  </si>
  <si>
    <t>PROPOSTA MG MÁMORES 35622-03 - AMBIENTE: GOURMET***</t>
  </si>
  <si>
    <t>PROPOSTA MG MÁMORES 35622-03 - AMBIENTE: GOURMET/</t>
  </si>
  <si>
    <t>PROPOSTA MG MÁMORES 35622-03 - AMBIENTE: HALL TÉCNICO</t>
  </si>
  <si>
    <t>PROPOSTA MG MÁMORES 35622-03 - AMBIENTE: HALL /</t>
  </si>
  <si>
    <t>PROPOSTA MG MÁMORES 35622-03 - AMBIENTE: HÓSPEDES</t>
  </si>
  <si>
    <t>PROPOSTA MG MÁMORES 35622-03 - AMBIENTE: LAVABO</t>
  </si>
  <si>
    <t>PROPOSTA MG MÁMORES 35622-03 - AMBIENTE: LIVING / JANTAR</t>
  </si>
  <si>
    <t>PROPOSTA MG MÁMORES 35622-03 - AMBIENTE: LOUÇARIA</t>
  </si>
  <si>
    <t>PROPOSTA MG MÁMORES 35622-03 - AMBIENTE: PASSADEIRA</t>
  </si>
  <si>
    <t>PROPOSTA MG MÁMORES 35622-03 - AMBIENTE: SAUNA</t>
  </si>
  <si>
    <t>PROPOSTA MG MÁMORES 35622-03 - AMBIENTE: SAUNA*</t>
  </si>
  <si>
    <t>PROPOSTA MG MÁMORES 35622-03 - AMBIENTE: SOLÁRIO / SPA /</t>
  </si>
  <si>
    <t>PROPOSTA MG MÁMORES 35622-03 - AMBIENTE: VESTIÁRIO</t>
  </si>
  <si>
    <t>PROPOSTAS BELÍSSIMO - 0000045100 / 0000048021 -</t>
  </si>
  <si>
    <t>CHURRASQUEIRA / LAREIRA / FORNO DE PIZZA / COIFAS -</t>
  </si>
  <si>
    <t>SENSOR DE VAZAMENTO DE GÁS (SEM PROPOSTA)</t>
  </si>
  <si>
    <t>CORTINA ACÚSTICA (SEM PROPOSTA)</t>
  </si>
  <si>
    <t>ACABAMENTOS ELÉTRICOS - ARTEOR - PROPOSTA 17DXU0001</t>
  </si>
  <si>
    <t>ILUMINAÇÃO - MATERIAL - ILUMINAR - PROPOSTA 30379</t>
  </si>
  <si>
    <t>ESPELHO 4mm CRISTAL COLADO CONFIRMAR TAMANHO</t>
  </si>
  <si>
    <t>ESPELHO LAPITADO CRISTAL 6mm COLADO NO MDF (SEM</t>
  </si>
  <si>
    <t>PORTA DE CORRER PISO/FORRO EM ESPELHO COM TRILHO</t>
  </si>
  <si>
    <t>BOX CHUVEIRO (SEM COTAÇÃO)</t>
  </si>
  <si>
    <t>VIDRO ACESSO DESCANSO - FACHADA (SEM COTAÇÃO)</t>
  </si>
  <si>
    <t>GRELHA INOX SOB MEDIDA DENTRO BOX</t>
  </si>
  <si>
    <t>SUPORTE PARA TOALHEIRO E ESPELHO ACIMA FORRO -</t>
  </si>
  <si>
    <t>TOALHEIRO SUSPENSO SERRALHERIA MEDITERRÂNEO</t>
  </si>
  <si>
    <t>PRATELEIRAS EM VIDRO INCOLOR 15MM DENTRO DO NICHO</t>
  </si>
  <si>
    <t>PERFIS PARA OS VIDROS DOS BOXES BANHOS - SERRALHERIA</t>
  </si>
  <si>
    <t>RALOS INOX MODELOS E TAMANHOS A DEFINIR (REF. DOKA</t>
  </si>
  <si>
    <t>LOUÇAS E METAIS: ACRÉSCIMO</t>
  </si>
  <si>
    <t>BACIA SANITÁRIA CONVENCIONAL S/ ABERTURA FRONTAL CÓD.:</t>
  </si>
  <si>
    <t>BACIA CONVENCIONAL COM VÁLVULA DE DESCARGA - REF.:</t>
  </si>
  <si>
    <t>TORNEIRA DE MESA BICA ALTA PARA LAVATÓRIO - REF.: LINHA</t>
  </si>
  <si>
    <t>CUBA DE SEMIENCAIXE BRANCA CÓD.: L.830.17 - DECA - I.S.</t>
  </si>
  <si>
    <t>LAVATÓRIO EM LOUÇA CÓD.: L.51 COM COLUNA SUSPENSA</t>
  </si>
  <si>
    <t>CUBA DE EMBUTIR EM INOX 470X305X140MM COM ACABAMENTO</t>
  </si>
  <si>
    <t>ACABAMENTO DE REGISTRO - PRESSÃO - I.S. APARTAMENTOS</t>
  </si>
  <si>
    <t>DUCHA HIGIÊNICA - REF.: DECA LINHA IZY CÓD.:</t>
  </si>
  <si>
    <t>IO7510</t>
  </si>
  <si>
    <t>CUBA DE APOIO QUADRADA COM MES</t>
  </si>
  <si>
    <t>IO7511</t>
  </si>
  <si>
    <t>TORNEIRA DE MESA BICA ALTA COM FECHAMENTO AUTOMÁTICO</t>
  </si>
  <si>
    <t>AGUARRAZ</t>
  </si>
  <si>
    <t>BRITA 0</t>
  </si>
  <si>
    <t>ARREMATES FINAIS DE OBRA -</t>
  </si>
  <si>
    <t>BOMBEAMENTO DE CONCRETO</t>
  </si>
  <si>
    <t>CORTINEIRO L=25 CM</t>
  </si>
  <si>
    <t>PLATAFORMA METÁLICA PARA MÁQUI</t>
  </si>
  <si>
    <t>ESTRUTURA PARA ELEVADOR E ESCADA METÁLICA - ESTIMADO</t>
  </si>
  <si>
    <t>VB   </t>
  </si>
  <si>
    <t>MOBILIZAÇÃO E DESMOBILIZAÇÃO D</t>
  </si>
  <si>
    <t>PROJETOS ESTRUTURAL: FUNDAÇÃO, BLOCOS E CINTAS,</t>
  </si>
  <si>
    <t>CORTE E DOBRA DE ARMAÇÃO</t>
  </si>
  <si>
    <t>M.O. - ASSENTAMENTO DE PORTAS</t>
  </si>
  <si>
    <t>EMPREITEIRO PINTURA ACRÍLICA 1/2 MASSA - SOBRE GESSO</t>
  </si>
  <si>
    <t>EMPREITEIRO PINTURA ACRÍLICA COM EMASSAMENTO (MAT+MO)</t>
  </si>
  <si>
    <t>EMPREITEIRO PINTURA ESMALTE EM ESQ. METÁLICAS (MAT+MO)</t>
  </si>
  <si>
    <t>M.O. - PINTURA LATEX PVA COM M ASSA</t>
  </si>
  <si>
    <t>PINTURA DE VAGAS</t>
  </si>
  <si>
    <t>M.O. FORMA PARA SUPER-ESTRUTURA  - Pé</t>
  </si>
  <si>
    <t>M.O. - ARMAÇÃO (MONTAGEM)</t>
  </si>
  <si>
    <t>M.O. REBOCO INTERNO + PONTO DE MASSA</t>
  </si>
  <si>
    <t>M.O. CHAPISCO INTERNO</t>
  </si>
  <si>
    <t>M.O. REBOCO EXTERNO + PONTO DE MASSA</t>
  </si>
  <si>
    <t>M.O. ALVENARIA TIJOLO CERÂMICO 9 CM</t>
  </si>
  <si>
    <t>M.O. ALVENARIA TIJOLO CERÂMICO 14 CM</t>
  </si>
  <si>
    <t>M.O. ALVENARIA TIJOLO CERÂMICO 19 CM</t>
  </si>
  <si>
    <t>M.O. ALVENARIA BLOCO CONCRETO E= 15CM</t>
  </si>
  <si>
    <t>M.O. REVESTIMENTO CERÂMICO INTERNO</t>
  </si>
  <si>
    <t>M.O. PISO CERÂMICO</t>
  </si>
  <si>
    <t>PINTURA NA COR BRANCA REF.: SHERWIN WILLIAMS,</t>
  </si>
  <si>
    <t>M.O. REVESTIMENTO GRANITO / MÁRMORE / ARDÓSIA</t>
  </si>
  <si>
    <t>M.O. PISO GRANITO / MÁRMORE / ARDÓSIA</t>
  </si>
  <si>
    <t>M.O. RODAPÉ GRANITO/MÁRMORE / ARDÓSIA</t>
  </si>
  <si>
    <t>M.O. RODAPÉ CERÂMICO</t>
  </si>
  <si>
    <t>EMPRETEIRO PARA ASSENTAMENTO DE RODAPÉ/SOLEIRA EM</t>
  </si>
  <si>
    <t>M.O. SOLEIRA / PEITORIL</t>
  </si>
  <si>
    <t>M.O. CHAPISCO EXTERNO</t>
  </si>
  <si>
    <t>EMPREITEIRO TRAT DE CONC APARENTE C/ VERNIZ (MAT+MO)</t>
  </si>
  <si>
    <t>SANCA EM GESSO L=12CM</t>
  </si>
  <si>
    <t>TETO: REFORÇO GESSO L=12 CM - Não localizado no projeto</t>
  </si>
  <si>
    <t>SONORIZAÇÃO</t>
  </si>
  <si>
    <t>P13 - 500X250CM - PORTA DE ENROLAR (5,00X2,50)</t>
  </si>
  <si>
    <t>P14 - 500X250CM - PORTA DE ENROLAR (5,20X2,50)</t>
  </si>
  <si>
    <t>ESTANTES PEÇAS</t>
  </si>
  <si>
    <t>FRETE</t>
  </si>
  <si>
    <t>INFRAESTRUTURA DE REDE ELÉTRICA EXTERNA</t>
  </si>
  <si>
    <t>FORRO DE GESSO COM PLACAS ST</t>
  </si>
  <si>
    <t>M.O. - Piso emborrachado</t>
  </si>
  <si>
    <t>PINTURA LÁTEX SEM EMASSAMENTO - SOB PELE DE VIDRO</t>
  </si>
  <si>
    <t>EMPREITEIRO DE PINTURA ACRÍLICA COM RETOQUE DE MASSA</t>
  </si>
  <si>
    <t>TEXTURA ROLADA ACRÍLICA + PINTURA TINTA NOVACOR CINZA -</t>
  </si>
  <si>
    <t>ESTRUTURA PARA CAIXA DE PORTA</t>
  </si>
  <si>
    <t>FORNECIMENTO E MONTAGEM DE ESTRUTURA METÁLICA</t>
  </si>
  <si>
    <t>MOBILIZAÇÃO/CORTE, CARGA E BOTA-FORA - Custo apropriado</t>
  </si>
  <si>
    <t>SERVIÇO DE TERRAPLENAGEM - CUSTO CONTRATADO</t>
  </si>
  <si>
    <t>EMPREITEIRO DE PISO CIMENTÍCIO MEGADRENO CATEGORIA</t>
  </si>
  <si>
    <t>EMPREITEIRO CALÇADA PORTUGUESA MO + MAT</t>
  </si>
  <si>
    <t>LAUDO DE ESTABILIDADE DO TALUDE</t>
  </si>
  <si>
    <t>SERVIÇO DE ANÁLISE DA ÁGUA</t>
  </si>
  <si>
    <t>IMPERMEABLIZAÇÃO MANTA ASFALTICA 4MM</t>
  </si>
  <si>
    <t>CORTE DE TRILHO</t>
  </si>
  <si>
    <t>CRAVACAO DE PERFIL METALICO W200X19,3</t>
  </si>
  <si>
    <t>REVESTIMENTO EM TEXTURA ROLADA</t>
  </si>
  <si>
    <t>CRAVAÇÃO DE ESTACA TRILHO</t>
  </si>
  <si>
    <t>CORTE DE CABEÇA - ESTACA METAL</t>
  </si>
  <si>
    <t>EMENDA DE TOPO - ESTACA TRILHO</t>
  </si>
  <si>
    <t>ESTRUTURA METÁLICA (INFORMADO PELO CLIENTE)</t>
  </si>
  <si>
    <t>EMPREITEIRO LANÇ DE CONCRETO</t>
  </si>
  <si>
    <t>CRAVAÇÃO HÉLICE CONTÍNUA Ø30CM</t>
  </si>
  <si>
    <t>CRAVAÇÃO HÉLICE CONTÍNUA Ø40CM</t>
  </si>
  <si>
    <t>FURO E COLAGEM DE BOJO E TORNEIRA</t>
  </si>
  <si>
    <t>MOBILIZAÇÃO DE EQUIPAMENTOS PARA EXECUÇÃO DE ESTACAS</t>
  </si>
  <si>
    <t>ESCAVAÇÃO DE TUBULÃO (BASE+FUSTE+RODAPÉ)</t>
  </si>
  <si>
    <t>M.O. - MONTAGEM ESCORAMENTO</t>
  </si>
  <si>
    <t>M2/MÊ</t>
  </si>
  <si>
    <t>GRADIL NYLOFOR (MAT+MO) H=2,50M</t>
  </si>
  <si>
    <t>REMOÇÃO DE MATERIAL SATURADO PARA BOTA FORA</t>
  </si>
  <si>
    <t>REVESTIMENTO EM ACM PADRÃO ARAUJO</t>
  </si>
  <si>
    <t>ENGENHEIRO RESIDENTE - Instalações</t>
  </si>
  <si>
    <t>M.O. EMBOÇO INTERNO + PONTO DE MASSA</t>
  </si>
  <si>
    <t>M.O. PISO CIMENTADO3CM</t>
  </si>
  <si>
    <t>IMPERMEABILIZAÇÃO C/ MANTA ASFÁLTICA ANTIRAIZ (MAT+MO)</t>
  </si>
  <si>
    <t>DESMONTAGEM DE COBERTURA E FECHAMENTO METÁLICO DA</t>
  </si>
  <si>
    <t>M.O. - EXECUÇÃO DE FURO EM LA JE</t>
  </si>
  <si>
    <t>RETIRADA DE ESQUADRIAS E GRADES METÁLICAS</t>
  </si>
  <si>
    <t>M.O. JUNTA DE DILATAÇÃO FACHADA</t>
  </si>
  <si>
    <t>CONTROLE TECNOLÓGICO</t>
  </si>
  <si>
    <t>CONTRATO: FORNECIMENTO E INSTALAÇÃO DOS</t>
  </si>
  <si>
    <t>RODAPÉ À DEFINIR - PISO TACÃO - MATERIAL - Mão de obra</t>
  </si>
  <si>
    <t>SOLEIRA/ARREMATE DE PISO TACÃO - L=15CM - MATERIAL - Mão</t>
  </si>
  <si>
    <t>CONTRATO: PROJETO DE INSTALAÇÕES ELÉTRICAS,</t>
  </si>
  <si>
    <t>PROJETO ESTRUTURAL MV PROJETOS (PROJETO + VISITAS</t>
  </si>
  <si>
    <t>REVISÃO DE PROJETO DE INSTALAÇÕES - PROJELET - Custo</t>
  </si>
  <si>
    <t>ASSSENTAMENTO DOS CONTRAMARCOS PARA AS PORTAS EM</t>
  </si>
  <si>
    <t>EMPREITEIRO DE FORMA PARA SUPER-ESTRUTURA ATEX (MAT. +</t>
  </si>
  <si>
    <t>MOLDE ATEX 1 - H=325</t>
  </si>
  <si>
    <t>M.O. ALVENARIA BLOCO DE CONCRETO 09 CM</t>
  </si>
  <si>
    <t>SERVIÇOS DE POLIMENTO/LEVIGAMENTO EM</t>
  </si>
  <si>
    <t>IMPOSTOS E TAXAS (CUSTOS CONTRATADOS) - Estimado</t>
  </si>
  <si>
    <t>IMPOSTOS E TAXAS (CUSTOS NÃO CONTRATADOS) - Estimado</t>
  </si>
  <si>
    <t>IMPOSTOS E TAXAS (SERVIÇOS PHV) - Estimado</t>
  </si>
  <si>
    <t>COBERTURA METÁLICA - ESTRUTURA E TELHAMENTO (SERVIÇO</t>
  </si>
  <si>
    <t>Pintura de meio fio</t>
  </si>
  <si>
    <t>PLACA PARE R-1</t>
  </si>
  <si>
    <t>PLACA VELOCIDADE MÁXIMA R-19</t>
  </si>
  <si>
    <t>PLACA A-32B PASSAGEM DE PEDESTRES</t>
  </si>
  <si>
    <t>PLACA ESTACIONAMENTO EXCLUSIVO IDOSO</t>
  </si>
  <si>
    <t>IS0329</t>
  </si>
  <si>
    <t>PLACA ESTACIONAMENTO EXCLUSIVO PCD</t>
  </si>
  <si>
    <t>PLACA ESTACIONAMENTO EXCLUSIVO MOTOS</t>
  </si>
  <si>
    <t>IS0331</t>
  </si>
  <si>
    <t>PLACA ESTACIONAMENTO EXCLUSIVO BICICLETAS</t>
  </si>
  <si>
    <t>PLACA CARGA E DESCARGA</t>
  </si>
  <si>
    <t>M.O. ASSENTAMENTO DE RODABANCADA</t>
  </si>
  <si>
    <t>PINTURA DE VAGAS - NÚMEROS</t>
  </si>
  <si>
    <t>BICICLETÁRIO - ESTIMADO</t>
  </si>
  <si>
    <t>LUZ INTERMITENTE PARA SAÍDA E ENTRADA DE VEÍCULOS</t>
  </si>
  <si>
    <t>PINTURA DUPLA CONTÍNUA</t>
  </si>
  <si>
    <t>PINTURA SIMPLES SECCIONADA</t>
  </si>
  <si>
    <t>M.O. PISO PORCELANATO</t>
  </si>
  <si>
    <t>M.O. PASTILHA INTERNA</t>
  </si>
  <si>
    <t>M.O. ASSENTAMENTO DE BANCADAS</t>
  </si>
  <si>
    <t>PINTURA PARADA OBRIGATÓRIA</t>
  </si>
  <si>
    <t>PINTURA FAIXA DE RETENÇÃO</t>
  </si>
  <si>
    <t>VISTORIA CAUTELAR</t>
  </si>
  <si>
    <t>M.O. ALVENARIA BLOCO CONCRETO E= 20CM</t>
  </si>
  <si>
    <t>PINTURA VELOCIDADE MÁXIMA PERMITIDA</t>
  </si>
  <si>
    <t>FORNECIMENTO DE TELHA METÁLICA TIPO SANDUÍCHE</t>
  </si>
  <si>
    <t>PINTURA DEMARCAÇÃO CARGA E DESCARGA</t>
  </si>
  <si>
    <t>REGULARIZAÇÃO DO TERRENO COM BICA CORRIDA - ESTIMADO</t>
  </si>
  <si>
    <t>PINTURA DE POSTE</t>
  </si>
  <si>
    <t>SISTEMA DE CFTV/CONTROLE DE ACESSO - Estimado</t>
  </si>
  <si>
    <t>DEMOLIÇÃO DE CONSTRUÇÃO</t>
  </si>
  <si>
    <t>EMPREITEIRO DEMOLIÇÃO DE ALVEN ARIA</t>
  </si>
  <si>
    <t>DEMOLIÇÃO DE EDIFICAÇÕES EXISTENTES</t>
  </si>
  <si>
    <t>REGULARIZAÇÃO DE SUB-LEITO</t>
  </si>
  <si>
    <t>EMPREITEIRO PINTURA ACRILICO FOSCO SEM MASSA  FC.STD</t>
  </si>
  <si>
    <t>SELADOR ACRÍLICO - PAREDE</t>
  </si>
  <si>
    <t>FACHADA VENTILADA ACM PVDF 4MM</t>
  </si>
  <si>
    <t>GUARDA-CORPO METÁLICO COM CABO</t>
  </si>
  <si>
    <t>POÇO DE VISITA COM TAMPA PARA POÇO DE VISITA, CLASSE E</t>
  </si>
  <si>
    <t>BOCA DE LOBO SIMPLES COMPLETA - CAIXA, QUADRO, GRELHA</t>
  </si>
  <si>
    <t>SARJETA</t>
  </si>
  <si>
    <t>EA8 - CORRER - DEPÓSITO SUBSOLO (VENEZ. VENTILAÇÃO) -</t>
  </si>
  <si>
    <t>CANALETA SEMI-CIRCULAR - D=400mm</t>
  </si>
  <si>
    <t>CANALETA COM GRELHA - L=40cm</t>
  </si>
  <si>
    <t>CAIXA DE CAPTAÇÃO D= 16 X 2,5m</t>
  </si>
  <si>
    <t>TRANSPORTE DO MATERIAL EXCEDENTE DENTRO DO PRÓPRIO</t>
  </si>
  <si>
    <t>PROJETO PARA AQUECIMENTO DO PISO DO ESPAÇO GOURMET</t>
  </si>
  <si>
    <t>CONTENÇÃO Hmáx. 2,00m- estimativa</t>
  </si>
  <si>
    <t>LOCAÇÃO - TERRENO VIZINHO</t>
  </si>
  <si>
    <t>LIMPEZA E BOTA FORA DE MATERIAL DEMOLIDO</t>
  </si>
  <si>
    <t>DEMOLIÇÃO DE PAVIMENTO EXISTENTE</t>
  </si>
  <si>
    <t>ADITIVO REDE DRENAGEM DN1000</t>
  </si>
  <si>
    <t>ADITIVO REDE DE DRENAGEM DO LENÇOL FREÁTICO</t>
  </si>
  <si>
    <t>ADITIVO LANÇAMENTO REDE DE DRENAGEM NO PV DA</t>
  </si>
  <si>
    <t>MATERIAL DRENANTE AREIA</t>
  </si>
  <si>
    <t>TUBO DE PVC DN100mm</t>
  </si>
  <si>
    <t>TUBO DE PVC DN150mm</t>
  </si>
  <si>
    <t>DESCONFIGURAÇAO DO SOLO CATEGORIA 3</t>
  </si>
  <si>
    <t>SOLO GRAMPEADO - TALUDE NA LATERAL DIREITA</t>
  </si>
  <si>
    <t>CONTENÇÃO RUA JORNALISTA ZOLTÁN GLUEK (após talude até</t>
  </si>
  <si>
    <t>IMPERMEABILIZAÇÃO DA CONTENÇÃO (Ref. Sinapi 98554)</t>
  </si>
  <si>
    <t>ESTRUTURA METÁLICA AUXILIAR PARA PELE DE VIDRO</t>
  </si>
  <si>
    <t>ESCADA METÁLICA - SHOWROOM HONDA (contratação: adm)</t>
  </si>
  <si>
    <t>GESTOR</t>
  </si>
  <si>
    <t>REVESTIMENTO EM ACM - COMUNICAÇÃO VISUAL FACHADA</t>
  </si>
  <si>
    <t>IS0521</t>
  </si>
  <si>
    <t>RODAPÉ POLIESTIRENO 15CM ALTURA LISO - COR PRETA -</t>
  </si>
  <si>
    <t>IS0522</t>
  </si>
  <si>
    <t>RODAPÉ POLIESTIRENO 15CM ALTURA LISO - COR CINZA</t>
  </si>
  <si>
    <t>IS0523</t>
  </si>
  <si>
    <t>GUARDA-CORPO COM CORRIMÃO DUPLO EM INOX H=92CM E</t>
  </si>
  <si>
    <t>M     </t>
  </si>
  <si>
    <t>FORNECIMENTO E INSTALAÇÃO DO CASTELO D'ÁGUA,</t>
  </si>
  <si>
    <t>PINTURA EPÓXI EM PISOS</t>
  </si>
  <si>
    <t>PISO EPOXI: (NVG-01) - REF 01: COR PANTONE COOL GRAY 4 -</t>
  </si>
  <si>
    <t>PROJETO DAS INSTALAÇÕES (ELÉTRICO, HIDRÁULICO, PCI E</t>
  </si>
  <si>
    <t>PROJETO HIDRÁULICO</t>
  </si>
  <si>
    <t>PROJETO ELÉTRICO</t>
  </si>
  <si>
    <t>PROJETO DE SPDA</t>
  </si>
  <si>
    <t>DRY-WALL LOJA E SOBRELOJA</t>
  </si>
  <si>
    <t>SERVIÇOS DE DRY-WALL DA LOJA, SOBRELOJA E AMPLIAÇÃO</t>
  </si>
  <si>
    <t>PORTA DE AÇO DE ENROLAR 322 X 280CM</t>
  </si>
  <si>
    <t>PORTA DE AÇO DE ENROLAR - 324 X 280CM</t>
  </si>
  <si>
    <t>FORNECIMENTO, TRANSPORTE E MONTAGEM DE ESTRUTURA</t>
  </si>
  <si>
    <t>TRANSPORTE HORIZONTAL E BOTA FORA DE MATERIAL</t>
  </si>
  <si>
    <t>REJUNTAMENTO DE PAINÉIS ALVEOLARES</t>
  </si>
  <si>
    <t>ALVENARIA ESTRUTURADA EM TIJOLO FURADO PARA MUROS E</t>
  </si>
  <si>
    <t>ALVENARIA ESP. 10CM EM BLOCO DE CONCRETO</t>
  </si>
  <si>
    <t>ALVENARIA ESP. 15CM EM BLOCO DE CONCRETO</t>
  </si>
  <si>
    <t>PINTURA SEM MASSA EM TINTA ACRÍLICA FOSCA REF. OURO</t>
  </si>
  <si>
    <t>PINTURA ACRÍLICA FOSCA BRANCA REF. SUVINIL BRANCO</t>
  </si>
  <si>
    <t>PINTURA COM TINTA ACRÍLICA FOSCA COR PANTONE WHITE -</t>
  </si>
  <si>
    <t>PINTURA COM TINTA ACRÍLICA INTERNA FOSCA COR PANTONE</t>
  </si>
  <si>
    <t>PINTURA COM TINTA ACRÍLICA FOSCA CORAL: REF.: ARRAIA</t>
  </si>
  <si>
    <t>PINTURA COM MASSA EM TINTA ACRÍLICA FOSCA REF. OURO</t>
  </si>
  <si>
    <t>PINTURA ACRÍLICA FOSCA BRANCA REF. SUVINIL BRANCO GELO</t>
  </si>
  <si>
    <t>PINTURA 1/2 MASSA EM TINTA ACRÍLICA FOSCA REF. OURO</t>
  </si>
  <si>
    <t>PINTURA 1/2 MASSA COM TINTA ACRÍLICA FOSCA REF. COR</t>
  </si>
  <si>
    <t>PINTURA ESMALTE SEM MASSA REF. SUVINIL BRILHANTE COR</t>
  </si>
  <si>
    <t>PINTURA DE FAIXA ESMALTE SEM MASSA  L=45,5CM REF. SUVINIL</t>
  </si>
  <si>
    <t>PINTURA DE FAIXA ESMALTE SEM MASSA  L=20CM REF. SUVINIL</t>
  </si>
  <si>
    <t>APLICAÇÃO DE VERNIZ</t>
  </si>
  <si>
    <t>PINTURA ACRÍLICA FOSCA COR PANTONE WHITE SUVINIL</t>
  </si>
  <si>
    <t>PINTURA COM TINTA ACRÍLICA BRANCA SEM MASSA</t>
  </si>
  <si>
    <t>PINTURA EM TINTA ACRÍLICA FOSCA COR PANTONE PRETO</t>
  </si>
  <si>
    <t>PINTURA PARA TUBULAÇÃO APARENTES - estimativa</t>
  </si>
  <si>
    <t>PISO COM PINTURA EPOXI CONFORME CORES E REFERÊNCIAS</t>
  </si>
  <si>
    <t>DEMARCAÇÃO DE VAGAS E ÁREAS LISTRADAS PINTADAS COM</t>
  </si>
  <si>
    <t>FAIXA DE DEMARCAÇÃO DE PISO COM TINTA EPÓXI CONFORME</t>
  </si>
  <si>
    <t>FAIXA DE DEMARCAÇÃO DOS BOXES: SUVINIL:REF.: BRANCO,</t>
  </si>
  <si>
    <t>PISO EM PINTURA EPÓXI - COR A DEFINIR - GARAGENS</t>
  </si>
  <si>
    <t>DEMARCAÇÃO EPÓXI DE VAGAS PNE</t>
  </si>
  <si>
    <t>PINTURA SETAS EM TINTA EPOXI CONFORME CORES E</t>
  </si>
  <si>
    <t>PINTURA ESMALTE SOBRE ESQUADRIAS METÁLICAS /</t>
  </si>
  <si>
    <t>TEXTURA ROLADA</t>
  </si>
  <si>
    <t>PINTURA PRETA SOBRE PELE DE VIDRO</t>
  </si>
  <si>
    <t>PINTURA DE VAGAS - SÍMBOLO CADEIRANTE</t>
  </si>
  <si>
    <t>DEMARCAÇÃO DE SETAS (C=2,95M)</t>
  </si>
  <si>
    <t>DEMARCAÇÃO DE FAIXA DE PEDESTRE PINTADAS COM TINTA</t>
  </si>
  <si>
    <t>PINTURA DE FAIXA VERMELHO CONTEMPORÂNEO REF. R578</t>
  </si>
  <si>
    <t>PISO EM CONCRETO FCK 25 MPa ESP. 10CM, COM ACABAMENTO</t>
  </si>
  <si>
    <t>FECHAMENTO GRADIL - POSTE E TELA NYLOFOR 3D COM</t>
  </si>
  <si>
    <t>SISTEMA DE IRRIGAÇÃO COM PROJETO E ART</t>
  </si>
  <si>
    <t>EMPREITEIRO PARA EMASSAMENTO DE PAREDES (MAT.+M.O.)</t>
  </si>
  <si>
    <t>INSTALAÇÕES LOUÇAS</t>
  </si>
  <si>
    <t>P16_ PORTA VIDRO / ALUMINIO_ PADRÃO PHV - 80X118CM</t>
  </si>
  <si>
    <t>P17_ PORTA VIDRO / ALUMINIO_ PADRÃO PHV - 600X280CM</t>
  </si>
  <si>
    <t>P18_ PORTA CORRER VIDRO / ALUM PADRÃO PHV (440X280) CM</t>
  </si>
  <si>
    <t>P19- PORTA VENEZIANA (PADRÃO PHV) 80X210 CM</t>
  </si>
  <si>
    <t>P05 - 90X210CM - PORTA DE VIDR O 8MM</t>
  </si>
  <si>
    <t>P07 - 140X210CM - PORTA DE VID RO 8MM - ABERTURA DUPLA</t>
  </si>
  <si>
    <t>ASSENTAMENTO LAREIRA ECOLOGICA</t>
  </si>
  <si>
    <t>M.O. - ASSENTAMENTO DE MOSAICO EM PEDRA NATURAL</t>
  </si>
  <si>
    <t>TAXA DE ADMINISTRAÇÃO - 15% (CUSTOS DIRETOS +</t>
  </si>
  <si>
    <t>MO - MONTAGEM E DESMONTAGEM DE BANDEJA - custo</t>
  </si>
  <si>
    <t>EMPREITEIRO DE FORMA (MÃO DE O</t>
  </si>
  <si>
    <t>REVESTIMENTO À DEFINIR HALL/SAGUÃO TORRE 7º PAVIMENTO</t>
  </si>
  <si>
    <t>JUNTA DE DILATAÇÃO DECORATIVA DA FACHADA - Custo</t>
  </si>
  <si>
    <t>PA01 - 120x210CM - PORTA EM VENEZIANAS DE ALUMÍNIO</t>
  </si>
  <si>
    <t>PA02 - 200x230CM - PORTA EM ALUMÍNIO E VIDRO</t>
  </si>
  <si>
    <t>PA03 - 414x210CM - PORTA EM ALUMÍNIO E VIDRO - 02 FOLHAS</t>
  </si>
  <si>
    <t>PA04 - 80x210CM - PORTA EM ALUMÍNIO E VIDRO</t>
  </si>
  <si>
    <t>PV.01 - 80x210CM - PORTA EM VIDRO TEMPERADO - HALL</t>
  </si>
  <si>
    <t>GRV.01 - 560x200CM - GRADIL EM VIDRO - FACHADA FRONTAL</t>
  </si>
  <si>
    <t>ESCAVAÇÃO MANUAL DE TUBULÕES</t>
  </si>
  <si>
    <t>DRENAGEM DO SUBSOLO E CAIXA DE CAPTAÇÃO</t>
  </si>
  <si>
    <t>M.O. APLIC E PROTENSÃO CORDOALHA ENGRAXADA ø15,2MM</t>
  </si>
  <si>
    <t>MONTAGEM ELEVADOR CREMALHEIRA</t>
  </si>
  <si>
    <t>DESMONTAGEM ELEVADOR CREMALHEIRA</t>
  </si>
  <si>
    <t>MONTAGEM DE ANDAIME LEVE SUSPENSO</t>
  </si>
  <si>
    <t>DESMONTAGEM DE ANDAIME LEVE SUSPENSO</t>
  </si>
  <si>
    <t>MONTAGEM DE 6M TORRE 2 KIT CAN CELA ELEVADOR CARGA</t>
  </si>
  <si>
    <t>MOBILIZAÇÃO/DESMOBILIZAÇÃO DE EQUIPAMENTO DE</t>
  </si>
  <si>
    <t>TAXAS DE LEGALIZAÇÃO (CARTÓRIO) - incorporação da</t>
  </si>
  <si>
    <t>TELESCOPAGEM GRUA</t>
  </si>
  <si>
    <t>MANUTENÇÃO PREVENTIVA GRUA</t>
  </si>
  <si>
    <t>IMPERMEABILIZAÇÃO DE ÁREAS MOLHADAS COM ARGAMASSA</t>
  </si>
  <si>
    <t>LAJE EM PAINEL TRELIÇADO</t>
  </si>
  <si>
    <t>LAJE EM PAINEL TRELIÇADO 600KG/M²+ 150 KG/M² (VIGOTAS E</t>
  </si>
  <si>
    <t>GERENCIAMENTO DA OBRA - 1ª ETAPA</t>
  </si>
  <si>
    <t>CORTINEIRO COM SANCA (SERVIÇO TERCEIRIZADO)</t>
  </si>
  <si>
    <t>SOLDA EMENDA/COROAMENTO - PERF IL METÁLICO W310</t>
  </si>
  <si>
    <t>PINTURA ESMALTE ESCADA METÁLICAS</t>
  </si>
  <si>
    <t>NUMERAÇÃO DE APARTAMENTOS / PLACAS / ÁREA COMUM /</t>
  </si>
  <si>
    <t>ESCAVAÇÃO DE TUBULÃO - custo apropriado informado pela</t>
  </si>
  <si>
    <t>TERRAPLENAGEM E LIMPEZA DO TERRENO - TRECHO</t>
  </si>
  <si>
    <t>DIVISORIAS DE VIDRO - ESTIMATI VA</t>
  </si>
  <si>
    <t>FECHAMENTO EM TELHA METÁLICA TRAPEZOIDAL SHEET METAL</t>
  </si>
  <si>
    <t>PA4 - 813X300 CM - PORTA DE METÁLICA DE ENROLAR</t>
  </si>
  <si>
    <t>PE02 - 187X500CM - PORTA DE ENROLAR AUTOMÁTICA COM</t>
  </si>
  <si>
    <t>ESCADA METÁLICA COM CORRIMÃO INCL. PINTURA - ACESSO</t>
  </si>
  <si>
    <t>BASE METÁLICA INCLUSIVE PINTURA PARA CONDENSADORES</t>
  </si>
  <si>
    <t>BASE DE AÇO PARA DOSADOR 80X60CM (PADARIA - DMA) -</t>
  </si>
  <si>
    <t>BATENTES EM AÇO GALVANIZADO COM CHAPA NA BITOLA USG</t>
  </si>
  <si>
    <t>TUBOS DE SEPARAÇÃO EM AÇO GALVANIZADO PARA CHECK-</t>
  </si>
  <si>
    <t>BATENTES ALTOS PARA PROTEÇÃO EM TUBO GALVANIZADO</t>
  </si>
  <si>
    <t>PROTEÇÃO EM CHAPA XADREZ DE ALUMÍNIO N°18 - H=120CM -</t>
  </si>
  <si>
    <t>GUARD RAIL PARA PROTEÇÃO DE PAINEL FRIGORÍFICO</t>
  </si>
  <si>
    <t>PROJETO DE SDAI</t>
  </si>
  <si>
    <t>PD01 - 80X210CM - PORTA TIPO OFFICE DOOR - 01 FOLHA DE</t>
  </si>
  <si>
    <t>JP1 - 120X60CM - JANELA EM VENEZIANA DE POLICARBONATO</t>
  </si>
  <si>
    <t>JP2 - 1155X70CM - JANELA EM VENEZIANA DE POLICARBONATO</t>
  </si>
  <si>
    <t>JP3 - 710X70CM - JANELA EM VENEZIANA DE POLICARBONATO</t>
  </si>
  <si>
    <t>ESTRUTURA AUXILIAR PARA FORRO/ PAINEL FRIGORÍFICO</t>
  </si>
  <si>
    <t>SISTEMA DE VENTILAÇÃO DE PISO PARA CÂMARAS</t>
  </si>
  <si>
    <t>PISO EM CONCRETO PRONTENDIDO LAPIDADO - CARGA DE</t>
  </si>
  <si>
    <t>PISO EM CONCRETO POLIDO NIVELA</t>
  </si>
  <si>
    <t>PISO DE CONCRETO POLIDO NIVELADO A LASER, 4.000KG/M2</t>
  </si>
  <si>
    <t>PISO EM CONCRETO POLIDO NIVELADO A LASER, 8.000KG/M2</t>
  </si>
  <si>
    <t>PISO EM CONCRETO POLIDO NIVELADO A LASER, 8.500KG/M2</t>
  </si>
  <si>
    <t>PISO DE CONCRETO NIVELADO A LASER, 2.000KG/M2 DE</t>
  </si>
  <si>
    <t>PROJETO ARQUITETÔNICO (DOIS SALÁRIOS MÍNIMO POR MÊS,</t>
  </si>
  <si>
    <t>RESINA URETÂNICA DE ALTO DESEMPENHO E CARGA</t>
  </si>
  <si>
    <t>IMPERMEABILIZAÇÃO DO FOSSO DOS ELEVADORES</t>
  </si>
  <si>
    <t>IMPERMEABILIZAÇÃO COM MASTA ASFÁLTICA ALUMINIZADA 3MM</t>
  </si>
  <si>
    <t>FORNECIMENTO E INSTALAÇÃO DE TELHA TERMOACÚSTICA</t>
  </si>
  <si>
    <t>EMPREITEIRO PINTURA LÁTEX 1/2 MASSA - SOBRE GESSO</t>
  </si>
  <si>
    <t>VERNIZ ACRÍLICO SOBRE PINTURA - H=200CM</t>
  </si>
  <si>
    <t>PINTURA ACRÍLICA SEM MASSA EM RODAPÉ</t>
  </si>
  <si>
    <t>DEMARCAÇÃO DE FAIXAS DE PEDESTRE - LARG.=23CM</t>
  </si>
  <si>
    <t>DEMARCAÇÃO DE SETAS INDICATIVAS DE FLUXO</t>
  </si>
  <si>
    <t>DEMARCAÇÃO FAIXA ZEBRADA</t>
  </si>
  <si>
    <t>INFRA ESTRUTURA PARA CFTV - DMA - MATERIAL E MÃO-DE-</t>
  </si>
  <si>
    <t>INSTALAÇÃO DE ESCAPAMENTO E SILENCIADOR PARA</t>
  </si>
  <si>
    <t>ELEVADOR SOCIAL COM PORTAS UNILATERAIS - 02 PARADAS</t>
  </si>
  <si>
    <t>INSTALAÇÕES PROVISÓRIAS + IMPLANTAÇÃO DO NOVO</t>
  </si>
  <si>
    <t>SISTEMA DRENAGEM</t>
  </si>
  <si>
    <t>SISTEMA DE AQUECIMENTO DE ÁGUA APROVEITANDO CALOR</t>
  </si>
  <si>
    <t>PLATAFORMAS NIVELADORAS HIDRÁULICA PARA DOCA</t>
  </si>
  <si>
    <t>ESTRUTURA COM FECHAMENTO EM PA</t>
  </si>
  <si>
    <t>CONCERTINA PARA MURO Ø45CM GALVANIZADA - DOCA DMA</t>
  </si>
  <si>
    <t>PLANTIO DE ÁRVORE MÉDIO PORTE - PASSEIO</t>
  </si>
  <si>
    <t>LIMPEZA FINAL - PISOS EM CONCRETO</t>
  </si>
  <si>
    <t>REBAIXO DE PISO NA ÁREA DAS DOCAS - DESNÍVEL - H=1,30 -</t>
  </si>
  <si>
    <t>COMPLEMENTO SALARIAL/BONIFICAÇÃO -</t>
  </si>
  <si>
    <t>CONTENÇÃO LATERAL (PASSEIO) - ESTIMATIVA</t>
  </si>
  <si>
    <t>MURO DE ARRIMO DOCAS - ESTIMATIVA</t>
  </si>
  <si>
    <t>GRADE 0,01M&lt;H&lt;6,00M</t>
  </si>
  <si>
    <t>GRADE 6,01&lt;H&lt;9,00M</t>
  </si>
  <si>
    <t>RETIRADA DAS ÁRVORES E TRANSPLANTIO - Terreno Vizinho</t>
  </si>
  <si>
    <t>EMPREITEIRO ESCAVAÇÃO DE BLOCO</t>
  </si>
  <si>
    <t>TERRAPLENAGEM/ACERTO DO TALUDE DA CONTENÇÃO DO</t>
  </si>
  <si>
    <t>RECOMPOSIÇÃO VEGETAL E PLANTIO DE ÁRVORES - TALUDE</t>
  </si>
  <si>
    <t>PROJETO ESTRUTURAL - COMPLEMENTO ENTRE CONTENÇÃO E</t>
  </si>
  <si>
    <t>PROJETO DE TERRAPLENAGEM</t>
  </si>
  <si>
    <t>PROJETO DE PISO INDUSTRIAL</t>
  </si>
  <si>
    <t>CONSULTORIA DE FUNDAÇÃO</t>
  </si>
  <si>
    <t>ENSAIOS GEOTÉCNICOS DE CARACTERIZAÇÃO DO SOLO</t>
  </si>
  <si>
    <t>CONSULTORIA DE CONTENÇÃO</t>
  </si>
  <si>
    <t>TAPUME EM CHAPA METÁLICA - Perímetro do terreno</t>
  </si>
  <si>
    <t>TAPUME EM MADEIRITE PLASTIFICADO PINTADO (MAT +</t>
  </si>
  <si>
    <t>PROJETO DE AQUECIMENTO DE ÁGUA</t>
  </si>
  <si>
    <t>M.O. - CHAPISCO EM ESPALA</t>
  </si>
  <si>
    <t>M.O. - REBOCO EM ESPALAS</t>
  </si>
  <si>
    <t>M.O. ENCUNHAMENTO DE ALVENARIA 10/15/20</t>
  </si>
  <si>
    <t>M.O. MASSA INTERNA</t>
  </si>
  <si>
    <t>M.O. MONTAGEM DE ESTRUTURA METÁLICA</t>
  </si>
  <si>
    <t>EMPREITEIRO PINTURA TUBULAÇÃO APARENTE DAS GARAGENS</t>
  </si>
  <si>
    <t>Serviços de terraplenagem e co nformação do terreno</t>
  </si>
  <si>
    <t>M.O. ADUELA / ALIZAR DE PEDRA</t>
  </si>
  <si>
    <t>FAIXA GRAMADA LARG.: 80CM</t>
  </si>
  <si>
    <t>ENTRADA DE ENERGIA - custo apropriado</t>
  </si>
  <si>
    <t>INSTALAÇÕES HIDRO-SANITÁRIAS - material + mão de obra - Estim</t>
  </si>
  <si>
    <t>EMPREITEIRO PINTURA NOVACOR EM PISOS (MAT+MO)</t>
  </si>
  <si>
    <t>BRISES EM METALON 20X20 CONFORME PADRÃO ARAÚJO,</t>
  </si>
  <si>
    <t>ESTACA TIPO TRADO Ø60cm</t>
  </si>
  <si>
    <t>CRAVACAO DE PERFIL METALICO W 310X52</t>
  </si>
  <si>
    <t>EMPREITEIRO DE PINTURA ESMALTE SEM MASSA (MAT+MO)</t>
  </si>
  <si>
    <t>EMPREITEIRO DE PINTURA ESMALTE SEM MASSA + ZARCÃO</t>
  </si>
  <si>
    <t>EMPREITEIRO DE TEXTURA TIPO GRAFIATO (MAT+MO)</t>
  </si>
  <si>
    <t>VIDRO BAIXO PADRÃO ARAÚJO</t>
  </si>
  <si>
    <t>VIDRO ALTO PADRÃO ARAÚJO</t>
  </si>
  <si>
    <t>ADEQUAÇÃO DAS INSTALAÇÕES DE PCI - MÃO DE OBRA +</t>
  </si>
  <si>
    <t>CONTRATO: AÇO FORTE ESTRUTURA</t>
  </si>
  <si>
    <t>PROJETO DE CFTV</t>
  </si>
  <si>
    <t>TANQUE DE LOUÇA 50X51 20L BRAN CO</t>
  </si>
  <si>
    <t>DUCHA HIGIÊNICA DECA</t>
  </si>
  <si>
    <t>M.O. REVESTIMENTO PORCELANATO</t>
  </si>
  <si>
    <t>VISTORIA INICIAL PARA ACOMPANHAMENTO DE REFLEXOS EM</t>
  </si>
  <si>
    <t>FORNECIMENTO E MONTAGEM DE STEEL DECK</t>
  </si>
  <si>
    <t>EMPREITEIRO FORMA PARA ATEX (MAT+ESCORAMENTO+MO)</t>
  </si>
  <si>
    <t>EMPREITEIRO NUMERAÇÃO DE VAGAS DE GARAGEM (MAT+MO)</t>
  </si>
  <si>
    <t>PEQUENAS FERRAMENTAS</t>
  </si>
  <si>
    <t>SISTEMA DE IRRIGAÇÃO - estimado</t>
  </si>
  <si>
    <t>LOCAÇÃO DE IMOVÉL</t>
  </si>
  <si>
    <t>E09 - 135x181cm - VIDRO TEMPERADO INCOLOR - SAUNA</t>
  </si>
  <si>
    <t>FORNECIMENTO, FABRICAÇÃO, PINTURA E MONTAGEM DAS</t>
  </si>
  <si>
    <t>PROJETO COMPLEMENTAR SISTEMA HIDRÁULICO DA PISCINA,</t>
  </si>
  <si>
    <t>SISTEMA DE PISO AQUECIDO PARA SUÍTES 01 E 02</t>
  </si>
  <si>
    <t>PERGOLADO MOTORIZADO COM LED, SOM E PERSIANAS -</t>
  </si>
  <si>
    <t>PROJETO DE DRENAGEM PROFUNDA</t>
  </si>
  <si>
    <t>CONSULTORIA/VISITA TÉCNICA PARA USO DO CONCRETO</t>
  </si>
  <si>
    <t>CUSTO ADICIONAL PARA SERVIÇOS EXTRAS-PROJETO</t>
  </si>
  <si>
    <t>SISTEMA DE DRENAGEM PROVISÓRIA</t>
  </si>
  <si>
    <t>PROJETO HIDRO-SANITÁRIO - REF.: ROSÁRIA QUEIROZ</t>
  </si>
  <si>
    <t>EMPREITEIRO PARA IMPERMEABILIZAÇÃO DE</t>
  </si>
  <si>
    <t>ANÁLISE DE SOLO</t>
  </si>
  <si>
    <t>ABERTURA DE COVAS E TRATAMENTO DO SOLO</t>
  </si>
  <si>
    <t>MANUTENÇÃO DE ÁRVORES</t>
  </si>
  <si>
    <t>IS2499</t>
  </si>
  <si>
    <t>DESPESAS EVENTUAIS</t>
  </si>
  <si>
    <t>ESTRUTURA METÁLICA CAIXA D'ÁGUA</t>
  </si>
  <si>
    <t>EMPREITEIRO PARA APLICAÇÃO DE VERNIZ HIDROFUGANTE</t>
  </si>
  <si>
    <t>ESCAVAÇÃO MECANIZADA DE TUBULÕES Ø80cm</t>
  </si>
  <si>
    <t>SERVICOS DE DESENHOS TECNICOS DE ENGENHARIA E</t>
  </si>
  <si>
    <t>P01 - 90x280CM - ESQUADRIA MODELO ALPINA/FELTRE - REF.:</t>
  </si>
  <si>
    <t>P02 - 80x280CM - ESQUADRIA MODELO ALPINA/FELTRE - REF.:</t>
  </si>
  <si>
    <t>P03 - 80x280CM - ESQUADRIA MODELO ALPINA/FELTRE - REF.:</t>
  </si>
  <si>
    <t>P04 - 80x225CM - ESQUADRIA MODELO ALPINA/FELTRE - REF.:</t>
  </si>
  <si>
    <t>P05 - 70x280CM - ESQUADRIA MODELO ALPINA/FELTRE - REF.:</t>
  </si>
  <si>
    <t>P06 - 120x280CM - ESQUADRIA MODELO ALPINA/FELTRE - REF.:</t>
  </si>
  <si>
    <t>P07 - 120x280CM - ESQUADRIA MODELO ALPINA/FELTRE - REF.:</t>
  </si>
  <si>
    <t>PAREDE 07 (ELEVADOR VEÍCULOS) - 1948x280CM - ESQUADRIA</t>
  </si>
  <si>
    <t>P.FS.01 - 440x280CM - ESQUADRIA MODELO ALPINA/FELTRE</t>
  </si>
  <si>
    <t>P09 - 127x280CM - ESQUADRIA MODELO ALPINA/FELTRE - REF.:</t>
  </si>
  <si>
    <t>P15 - 82x288CM - ESQUADRIA MODELO ALPINA/FELTRE - REF.:</t>
  </si>
  <si>
    <t>P22 - 90x280CM - ESQUADRIA MODELO ALPINA/FELTRE - REF.:</t>
  </si>
  <si>
    <t>CONTRATO: FORNECIMENTO E INSTALAÇÃO DAS ESQUADRIAS</t>
  </si>
  <si>
    <t>RALO LINEAR EM AÇO INOX - Aditivo de contrato</t>
  </si>
  <si>
    <t>SISTEMA DE AQUECIMENTO DE PISO - MAT.+M.O.</t>
  </si>
  <si>
    <t>TELHA METALICA 40/980 TRAPEZOIDAL GALVALUME 0,50 +</t>
  </si>
  <si>
    <t>PLATAFORMA METÁLICA PARA INSTALAÇÃO DE CAIXA D'ÁGUA -</t>
  </si>
  <si>
    <t>ESCADA DE CONCRETO ENTRADA DA LOJA</t>
  </si>
  <si>
    <t>EMPREITEIRO ESCAVAÇÃO MANUAL DE VALAS</t>
  </si>
  <si>
    <t>EMPREITEIRO PINTURA DE SINALIZAÇÃO VAGA DEFICIENTE</t>
  </si>
  <si>
    <t>DIVISÓRIA SANITÁRIA</t>
  </si>
  <si>
    <t>EMPREITEIRO FORMA PARA ESTRUTU RA</t>
  </si>
  <si>
    <t>M.O. ASSENTAMENTO ESQUADRIAS METÁLICA / ALUMÍNIO</t>
  </si>
  <si>
    <t>GESSO CORRIDO DISTORCIDO - TETO</t>
  </si>
  <si>
    <t>M.O. REJUNTE PISO/PAREDE</t>
  </si>
  <si>
    <t>EMPREITEIRO PINTURA ESMALTE EM CORRIMÃO METÁLICO</t>
  </si>
  <si>
    <t>EMPREITEIRO DE ESTRUTURA PARA ALVENARIA &gt;3,5M</t>
  </si>
  <si>
    <t>EMPREITEIRO PINTURA SINALIZAÇÃ O PAREDE COR PRETA</t>
  </si>
  <si>
    <t>CONTROLE TECNOLÓGICO - ENSAIO DE ROMPIMENTO -</t>
  </si>
  <si>
    <t>INSTALAÇÕES HIDRO-SANITÁRIAS E ÁGUA PLUVIAL - MATERIAL +</t>
  </si>
  <si>
    <t>EMPREITEIRO DE LAJE PRÉ MOLDADO (ESCORAMENTO+MO)</t>
  </si>
  <si>
    <t>EMPREITEIRO FORMA PARA ESTRUTURA</t>
  </si>
  <si>
    <t>ELEVADOR MONTA-CARGA 02 PARADAS</t>
  </si>
  <si>
    <t>REVESTIMENTO TIPO 14</t>
  </si>
  <si>
    <t>M.O. ALVENARIA COBOGÓ</t>
  </si>
  <si>
    <t>REVESTIMENTO TIPO 13</t>
  </si>
  <si>
    <t>M.O. APLICAÇÃO DE CIMENTO QUEIMADO NA PAREDE</t>
  </si>
  <si>
    <t>PISO TIPO 5</t>
  </si>
  <si>
    <t>PISO TIPO 20</t>
  </si>
  <si>
    <t>PISO TIPO 21</t>
  </si>
  <si>
    <t>TETO TIPO 1</t>
  </si>
  <si>
    <t>TETO TIPO 3</t>
  </si>
  <si>
    <t>REVESTIMENTO TIPO 32</t>
  </si>
  <si>
    <t>REVESTIMENTO TIPO 33</t>
  </si>
  <si>
    <t>REVESTIMENTO TIPO 15</t>
  </si>
  <si>
    <t>PA2 - SUITE MASTER - ESQUADRIA DE ALUMÍNIO + VIDRO -</t>
  </si>
  <si>
    <t>PA3 - SUITE MASTER - ESQUADRIA DE ALUMÍNIO + VIDRO -</t>
  </si>
  <si>
    <t>PA5 - BIBLIOTECA - ESQUADRIA DE ALUMÍNIO + VIDRO -</t>
  </si>
  <si>
    <t>PA6 - HOME  - ESQUADRIA DE ALUMÍNIO + VIDRO - 320X325CM</t>
  </si>
  <si>
    <t>PA7 - ATELIÊ - ESQUADRIA DE ALUMÍNIO + VIDRO - 420X325CM</t>
  </si>
  <si>
    <t>PA8 - ESTAR - ESQUADRIA DE ALUMÍNIO + VIDRO - 880X360CM</t>
  </si>
  <si>
    <t>PA9 - ESTAR - ESQUADRIA DE ALUMÍNIO + VIDRO - 1360X360CM</t>
  </si>
  <si>
    <t>PA10 - ESTAR - ESQUADRIA DE ALUMÍNIO + VIDRO - 80X360CM</t>
  </si>
  <si>
    <t>PA11 - ESTAR - ESQUADRIA DE ALUMÍNIO + VIDRO - 180X360CM</t>
  </si>
  <si>
    <t>PA12 - ESTAR - ESQUADRIA DE ALUMÍNIO + VIDRO - 550X360CM</t>
  </si>
  <si>
    <t>PA13 - CIRC. (HOME) - ESQUADRIA DE ALUMÍNIO + VIDRO</t>
  </si>
  <si>
    <t>PA14 - ESCADA INTERNA - ESQUADRIA DE ALUMÍNIO + VIDRO</t>
  </si>
  <si>
    <t>PA15 - ESPAÇO GOURMET - ESQUADRIA DE ALUMÍNIO + VIDRO</t>
  </si>
  <si>
    <t>PA16 - COPA - ESQUADRIA DE ALUMÍNIO + VIDRO - 240X325CM</t>
  </si>
  <si>
    <t>PA17 - SAUNA - ESQUADRIA DE ALUMÍNIO + VIDRO - 230X250CM</t>
  </si>
  <si>
    <t>PA18 - ACADEMIA - ESQUADRIA DE ALUMÍNIO + VIDRO -</t>
  </si>
  <si>
    <t>PA19 - ACADEMIA - ESQUADRIA DE ALUMÍNIO + VIDRO -</t>
  </si>
  <si>
    <t>J1 - CLOSET MASTER / I.S. SUITE 1/2/3 - ESQUADRIA DE</t>
  </si>
  <si>
    <t>J2 - VESTÍBULO ELEV. - ESQUADRIA DE ALUMÍNIO + VIDRO</t>
  </si>
  <si>
    <t>J3 - SUÍTE 4 - ESQUADRIA DE ALUMÍNIO + VIDRO - 420X230CM</t>
  </si>
  <si>
    <t>J4 - SUÍTE 1 / 2 / 3 - ESQUADRIA DE ALUMÍNIO + VIDRO</t>
  </si>
  <si>
    <t>J6 - CIRCULAÇÃO - ESQUADRIA DE ALUMÍNIO + VIDRO -</t>
  </si>
  <si>
    <t>J7 - BANHO MASTER / BANHO 4 - ESQUADRIA DE ALUMÍNIO +</t>
  </si>
  <si>
    <t>J8 - BANHO MASTER - ESQUADRIA DE ALUMÍNIO + VIDRO -</t>
  </si>
  <si>
    <t>J9 - BANHO SUITE 3 - ESQUADRIA DE ALUMÍNIO + VIDRO -</t>
  </si>
  <si>
    <t>J10 - A. SERVIÇO - ESQUADRIA DE ALUMÍNIO + VIDRO -</t>
  </si>
  <si>
    <t>J11 - I.S. SERVIÇO - ESQUADRIA DE ALUMÍNIO + VIDRO -</t>
  </si>
  <si>
    <t>J12 - SAUNA - ESQUADRIA DE ALUMÍNIO + VIDRO - 80X250CM</t>
  </si>
  <si>
    <t>J13 - VEST. MASC - ESQUADRIA DE ALUMÍNIO + VIDRO -</t>
  </si>
  <si>
    <t>J14 - VEST. FEM - ESQUADRIA DE ALUMÍNIO + VIDRO - 310X80CM</t>
  </si>
  <si>
    <t>J15 - LAVABO - ESQUADRIA DE ALUMÍNIO + VIDRO - 60X325CM</t>
  </si>
  <si>
    <t>PA3 - 244X286 CM - PORTA DE METÁLICA DE ENROLAR</t>
  </si>
  <si>
    <t>PORTA DE AÇO DE ENROLAR 333,5 X 280CM</t>
  </si>
  <si>
    <t>PORTÃO DE ENROLAR 200 X 300 CM</t>
  </si>
  <si>
    <t>PORTÃO DE ENROLAR 445 X 300 CM</t>
  </si>
  <si>
    <t>ELEVADORES RESIDENCIAIS 1º AO 17º PAVIMENTO</t>
  </si>
  <si>
    <t>ENSAIOS CONFORME NORMA DE DESEMPENHO - REF.:</t>
  </si>
  <si>
    <t>EMPREITEIRO PARA ASSENTAMENTO DA 1º FIADA PREENCHIDA</t>
  </si>
  <si>
    <t>PORTÃO DE ENROLAR 635 X 300 CM</t>
  </si>
  <si>
    <t>SISTEMA DE CFTV (SISTEMA DE MO NITORAMENTO) - Estimado</t>
  </si>
  <si>
    <t>EMPREITEIRO PARA COLOCAÇÃO/POS ICIONAMENTO DAS</t>
  </si>
  <si>
    <t>EMPREITEIRO PARA MONTAGEM E DESMONTAGEM DE AINDAIME</t>
  </si>
  <si>
    <t>EMPREITEIRO PARA PINTURA EM BA NDEJA APARALIXO</t>
  </si>
  <si>
    <t>FORRO EM PLACAS DE FIBRA MINER AL REMOVÍVEL - HALL</t>
  </si>
  <si>
    <t>TABEIRA EM GESSO L=12,5 PARA C OMPLEMENTO DO FORRO</t>
  </si>
  <si>
    <t>ELABORAÇÃO DO MANUAL DE USO E MANUTENÇÃO - ANDAR</t>
  </si>
  <si>
    <t>PASSARELA METÁLICA PARA ROTA DE FUGA - 2º PAVIMENTO</t>
  </si>
  <si>
    <t>PORTA PRONTA - 120x210 CM - ABRIR</t>
  </si>
  <si>
    <t>PAINEL COR-MINERAL CINZA CLÁSSICO</t>
  </si>
  <si>
    <t>PAINEL COR NATURAL - DIJON WALNUT</t>
  </si>
  <si>
    <t>ESQUADRIAS DE ALUMÍNIO E VIDRO</t>
  </si>
  <si>
    <t>PISO EM CARPETE DE MANTA, ÁGATE GREY PÉROLA DOS</t>
  </si>
  <si>
    <t>PISO EM CARPETE TIPO TAPETE, IMPORTADO DA ALEMANHA,</t>
  </si>
  <si>
    <t>PISO EM TAPPETTO - CAPACHO PERMEÁVEL PARA ÁREAS</t>
  </si>
  <si>
    <t>PISO PARQUET LAMINADO PELA PÉROLA DOS TAPETES</t>
  </si>
  <si>
    <t>PISO VINÍLICO ANTI-ESTÁTICA NA COR CINZA CLARO</t>
  </si>
  <si>
    <t>FACHADA (INCLUSO LEDS, ESTRUTURA GLAZING, SISTEMA</t>
  </si>
  <si>
    <t>CALHA EM CHAPA METÁLICA</t>
  </si>
  <si>
    <t>RUFO METÁLICO</t>
  </si>
  <si>
    <t>TELHA METÁLICA TRAPEZOIDAL TERMOISOLANTE E ZIPADA</t>
  </si>
  <si>
    <t>DESMOBILIZAÇÃO DE CONTAINERS</t>
  </si>
  <si>
    <t>VIGILÂNCIA TERCEIRIZADA</t>
  </si>
  <si>
    <t>MES  </t>
  </si>
  <si>
    <t>REMOÇÃO DE VIDROS</t>
  </si>
  <si>
    <t>J16 - MASSAGEM - ESQUADRIA DE ALUMÍNIO + VIDRO -</t>
  </si>
  <si>
    <t>J17 - I.S. ACADEMIA - ESQ. DE ALUMÍNIO + VIDRO - 60X250CM</t>
  </si>
  <si>
    <t>J18 - IS. SS - ESQUADRIA DE ALUMÍNIO + VIDRO - 320X70CM</t>
  </si>
  <si>
    <t>EMPREITEIRO TEXTURA TIPO MARMORATTO (MAT+MO)</t>
  </si>
  <si>
    <t>J20 - QUARTO SERVIÇO - ESQUADRIA DE ALUMÍNIO + VIDRO</t>
  </si>
  <si>
    <t>J21 - ESTAR SERVIÇO - ESQUADRIA DE ALUMÍNIO + VIDRO</t>
  </si>
  <si>
    <t>J22 - I.S. SALA DE JOGOS - ESQUADRIA DE ALUMÍNIO + VIDRO</t>
  </si>
  <si>
    <t>EA3 - CORRER - DEPÓSITO DE LIXO - PORTA DE ALUMÍNIO -</t>
  </si>
  <si>
    <t>TETO TIPO 10</t>
  </si>
  <si>
    <t>EA5 - FIXA - CASA DE MÁQ. - VENEZ. VENTILAÇÃO - PORTA DE</t>
  </si>
  <si>
    <t>EA6 - FIXA - CASA DE MÁQ. - VENEZ. VENTILAÇÃO - PORTA DE</t>
  </si>
  <si>
    <t>EA7 - FIXA - CASA DE MÁQ. - VENEZ. VENTILAÇÃO - PORTA DE</t>
  </si>
  <si>
    <t>BRISES FACHADA E SUÍTE HÓSPEDES - CUSTO FORNECIDO</t>
  </si>
  <si>
    <t>ESP1 - DECK - FECHAMENTO COM 3 PORTAS INCLUSAS, SENDO</t>
  </si>
  <si>
    <t>G.C. INOX - GC EM AÇO INOX H=1,0M - 415x100cm - DECK</t>
  </si>
  <si>
    <t>PISO EM TÁBUA DE MADEIRA - PEROBA DOURADA REF.</t>
  </si>
  <si>
    <t>PISO EMBORRACHADO - ACADEMIA</t>
  </si>
  <si>
    <t>PISO LAMINADO</t>
  </si>
  <si>
    <t>PISO EM DECK DE MADEIRA MACIÇA IPÊ OU CUMARU COM</t>
  </si>
  <si>
    <t>DECK EM MADEIRA INCLUSIVE ESTRUTURA METÁLICA AUXILIAR -</t>
  </si>
  <si>
    <t>RODAPÉ EM MDF LAQUEADO FOSCO H=17CM</t>
  </si>
  <si>
    <t>IMPERMEABILIZAÇÃO DE FACHADA COM ELASTIFLEX</t>
  </si>
  <si>
    <t>IMPERMEABILIZAÇÃO COM ELASTIFLEX</t>
  </si>
  <si>
    <t>PV01 - FECHAMENTO ACADEMIA COM PORTA PIVOTANTE DE</t>
  </si>
  <si>
    <t>PV02 - PORTA DE CORRER EM VIDRO - SALA JOGOS - 230x267cm</t>
  </si>
  <si>
    <t>Z01 - VIDRO TEMPERADO - 100X100CM</t>
  </si>
  <si>
    <t>Z02 - VIDRO TEMPERADO - 104X480CM</t>
  </si>
  <si>
    <t>BOX EM VIDRO TEMPERADO</t>
  </si>
  <si>
    <t>IS3274</t>
  </si>
  <si>
    <t>CONFERÊNCIA DE ESCORAMENTO</t>
  </si>
  <si>
    <t>IS3275</t>
  </si>
  <si>
    <t>PROJETO ACÚSTICO</t>
  </si>
  <si>
    <t>REMOÇÃO DE PORTA ROLO</t>
  </si>
  <si>
    <t>REMOÇÃO DE CAIXA DE PORTA</t>
  </si>
  <si>
    <t>DEMOLIÇÃO DA ESCADA DE CONCRETO</t>
  </si>
  <si>
    <t>REMOÇÃO DE CORRIMÃO</t>
  </si>
  <si>
    <t>REMOÇÃO DE ARMÁRIO</t>
  </si>
  <si>
    <t>REMOÇÃO DE LUXALON</t>
  </si>
  <si>
    <t>PORTA DE AÇO DE ENROLAR 357,5 X 280CM</t>
  </si>
  <si>
    <t>G.C.VIDRO EMBUTIDO - H= 90CM - GUARDA-CORPO EM VIDRO</t>
  </si>
  <si>
    <t>G.C.VIDRO EMBUTIDO - H= 100CM - GUARDA-CORPO EM VIDRO</t>
  </si>
  <si>
    <t>REVESTIMENTO EM ESPELHO BRONZE LAPIDADO</t>
  </si>
  <si>
    <t>ESPELHO AFASTADO DA PAREDE 15CM</t>
  </si>
  <si>
    <t>INSTALAÇÕES HIDRO-SANITÁRIAS - MÃO DE OBRA (custo</t>
  </si>
  <si>
    <t>INSTALAÇÕES ELÉTRICAS E ELETRONICAS - material + mão</t>
  </si>
  <si>
    <t>SISTEMA DE SPDA - MAT+MO - ESTIMADO</t>
  </si>
  <si>
    <t>AR CONDICIONADO</t>
  </si>
  <si>
    <t>REFRIGERAÇÃO PARA ADEGA - Aguardando definição em</t>
  </si>
  <si>
    <t>ELEVADORES - Custo informado pelo cliente</t>
  </si>
  <si>
    <t>INSTALAÇÕES ELÉTRICAS (CONFORME SOLICITADO PROPOSTA</t>
  </si>
  <si>
    <t>AQUECIMENTO DO PISO DO BANHO SUÍTE MASTER - SISTEMA</t>
  </si>
  <si>
    <t>AQUECIMENTO DO PISO DO ESPAÇO GOURMET - aguardando</t>
  </si>
  <si>
    <t>PREPARAÇÃO PARA PAISAGISMO SOBRE LAJE - SKYGARDEN</t>
  </si>
  <si>
    <t>JARDIM SOBRE LAJE</t>
  </si>
  <si>
    <t>PAISAGISMO (JARDINEIRA SPA)</t>
  </si>
  <si>
    <t>IRRIGAÇÃO - estimado</t>
  </si>
  <si>
    <t>CERCAMENTO EM GRADIL NYLOFOR VERDE TELA - H=180CM</t>
  </si>
  <si>
    <t>PORTÃO 2,50X2,00 EM GRADIL NYLOFOR VERDE</t>
  </si>
  <si>
    <t>CORTINAS - aguardando custo do cliente</t>
  </si>
  <si>
    <t>ARMÁRIOS  - aguardando custo do cliente</t>
  </si>
  <si>
    <t>CANTEIRO DE OBRAS - MUDANÇA DO CANTEIRO</t>
  </si>
  <si>
    <t>DESMOBILIZAÇÃO DO CANTEIRO DE OBRAS, PESSOAL E</t>
  </si>
  <si>
    <t>E.P.I. (11 homens)</t>
  </si>
  <si>
    <t>ACOMPANHAMENTO DE OBRA - FS CONSULTORES</t>
  </si>
  <si>
    <t>EQUIPAMENTOS DE PROTEÇÃO COLETIVA (EPC)</t>
  </si>
  <si>
    <t>TÉCNICO DE SEGURANÇA DO TRABAL</t>
  </si>
  <si>
    <t>MEDICAMENTOS</t>
  </si>
  <si>
    <t>ORÇAMENTO E PLANEJAMENTO - FS CONSULTORES</t>
  </si>
  <si>
    <t>E.P.I. (47 homens)</t>
  </si>
  <si>
    <t>CUSTO COM EXAMES</t>
  </si>
  <si>
    <t>SEGURO DE VIDA</t>
  </si>
  <si>
    <t>SERVIÇO DE CONTABILIDADE</t>
  </si>
  <si>
    <t>TAXAS PREFEITURA - aprovação do projeto, taxa de</t>
  </si>
  <si>
    <t>CESTA NATALINA</t>
  </si>
  <si>
    <t>TAXAS DIVERSAS DE CARTÓRIO</t>
  </si>
  <si>
    <t>MOBILIARIO ADMINISTRATIVO</t>
  </si>
  <si>
    <t>LIMPEZA SUPERFICIAL DO TERRENO E CAPINA MECANIZADA</t>
  </si>
  <si>
    <t>ESCAVAÇÃO EM MATERIAL DE 1ª CATEGORIA, CARGA,</t>
  </si>
  <si>
    <t>LOCAÇÃO TOPOGRÁFICA E NIVELAMENTO DA TERRAPLENAGEM</t>
  </si>
  <si>
    <t>REMOÇÃO DE ARVÓRES INCLUSIVE TRANSPORTE E BOTA-FORA</t>
  </si>
  <si>
    <t>MOBILIZAÇÃO / DESMOBILIZAÇÃO EQUIPAMENTO PARA ESTACAS</t>
  </si>
  <si>
    <t>REFEIÇÃO - ALMOÇO/JANTA - PRODUÇÃO</t>
  </si>
  <si>
    <t>REFEIÇÃO</t>
  </si>
  <si>
    <t>MANUTENÇÃO DE CANTEIRO DE OBRA</t>
  </si>
  <si>
    <t>CÓPIAS HELIOGRÁFICAS / PLOTAGENS</t>
  </si>
  <si>
    <t>ADIANTAMENTO HOMERO</t>
  </si>
  <si>
    <t>CARTA ACORDO</t>
  </si>
  <si>
    <t>COMPLEMENTO DE FACHADA - HOMOL OGADO</t>
  </si>
  <si>
    <t>IS3533</t>
  </si>
  <si>
    <t>PINTURA EPÓXI AZUL - REF. : RAL 5015</t>
  </si>
  <si>
    <t>ESQUADRIAS DE VIDRO E DIVISÓRIAS - ESTIMATIVA</t>
  </si>
  <si>
    <t>R30 - PELE DE VIDRO FUMÊ</t>
  </si>
  <si>
    <t>MONITORAMENTO MENSAL DO SISTEMA DE ALARME E CÂMERAS</t>
  </si>
  <si>
    <t>CORTE RASO E RECORTE DE ÁRVORE DIÂMETRO MAIOR 0,6m -</t>
  </si>
  <si>
    <t>F03 - 140x245cm - PORTA PIVOTANTE TIPO PAINEL DE</t>
  </si>
  <si>
    <t>P01 - 297x300cm - PORTA PIVOTANTE DE MADEIRA PEROBA</t>
  </si>
  <si>
    <t>P05 - 80x295cm - PORTA TIPO PAINEL PIVOTANTE EM MADEIRA</t>
  </si>
  <si>
    <t>P06 - 60x210cm - PORTA TIPO PRANCHETA</t>
  </si>
  <si>
    <t>P07 - 70x295cm - PORTA TIPO PAINEL PIVOTANTE EM MADEIRA</t>
  </si>
  <si>
    <t>P09 - 100x295cm - PORTA TIPO PAINEL PIVOTANTE EM MADEIRA</t>
  </si>
  <si>
    <t>P13 - 70x280cm - PORTA TIPO PAINEL EM MADEIRA PEROBA</t>
  </si>
  <si>
    <t>P15 - 100x280cm - PORTA TIPO PAINEL EM MADEIRA PEROBA</t>
  </si>
  <si>
    <t>PM01 - 125x245cm - PORTA PAINEL EM MADEIRA PEROBA ROSA</t>
  </si>
  <si>
    <t>PM02 - 181x245cm - PORTA PAINEL EM MADEIRA PEROBA ROSA</t>
  </si>
  <si>
    <t>PM03 - 83x387cm - PORTA PAINEL PIVOTANTE EM MADEIRA</t>
  </si>
  <si>
    <t>PM04 - 70x295cm - PAINEL EM MADEIRA PEROBA ROSA - Incluso</t>
  </si>
  <si>
    <t>PM05 - 95x295cm - PAINEL DE CORRER EM MADEIRA PEROBA</t>
  </si>
  <si>
    <t>PM06 - 158x467cm - PORTA PAINEL PIVOTANTE EM LAMINADO</t>
  </si>
  <si>
    <t>PM07 - 152x406cm - PORTA PAINEL PIVOTANTE EM LAMINADO</t>
  </si>
  <si>
    <t>PM08 - 131x245cm - PORTA PAINEL EM MADEIRA PEROBA ROSA</t>
  </si>
  <si>
    <t>GR.02 - 609x130cm - PISO TELA METÁLICO - RESERVATÓRIO</t>
  </si>
  <si>
    <t>GR.03 - 699x90cm - PISO TELA METÁLICO - RESERVATÓRIO</t>
  </si>
  <si>
    <t>PISO EM MADEIRA PEROBA ROSA</t>
  </si>
  <si>
    <t>PISO VINÍLICO TARKETT, LINHA AMBIENTA, COLEÇÃO SÉRIES</t>
  </si>
  <si>
    <t>PISO EM DECK DE MADEIRA NATURAL COM TRATAMENTO</t>
  </si>
  <si>
    <t>FECHAMENTO EM BRISES DE MADEIRA À DEFINIR - FACHADA</t>
  </si>
  <si>
    <t>FECHAMENTO EM BRISES COM ACABAMENTO CORTEN -</t>
  </si>
  <si>
    <t>REVESTIMENTO EM PAINEL DE MADEIRA PEROBA ROSA -</t>
  </si>
  <si>
    <t>REVESTIMENTO EM PAINEL ESTOFADO EM LINHO - REF.:</t>
  </si>
  <si>
    <t>REVESTIMENTO EM BAMBU LANTAI</t>
  </si>
  <si>
    <t>EQUIPE DE SEGURANÇA + SGI (rateio)</t>
  </si>
  <si>
    <t>ESTRUTURA METÁLICA PARA COBERTURA + COLOCAÇÃO DE</t>
  </si>
  <si>
    <t>REPOLIMENTO PISO ESTACIONAMENT</t>
  </si>
  <si>
    <t>EMPREITEIRO PINTURA DE FAIXAS H=15CM (MAT+M.O)</t>
  </si>
  <si>
    <t>POLIMENTO DE PISO EM PISO DE CONCRETO EXISTENTE</t>
  </si>
  <si>
    <t>M.O. RODAPÉ PORCELANATO</t>
  </si>
  <si>
    <t>REJUNTE EPOXI - MT+ MO</t>
  </si>
  <si>
    <t>PINTURA DE DEMARCAÇÃO DE VAGAS</t>
  </si>
  <si>
    <t>PINTURA DE FAIXA DE MARCAÇÃO</t>
  </si>
  <si>
    <t>Mobiliários e decoração</t>
  </si>
  <si>
    <t>tela led</t>
  </si>
  <si>
    <t>televisão</t>
  </si>
  <si>
    <t>NUMERAÇÃO DOS APARTAMENTOS</t>
  </si>
  <si>
    <t>EMPREITEIRO APLICADOR VERNIZ ANTIPICHAÇÃO INTERNO</t>
  </si>
  <si>
    <t>EMPREITEIRO PINTURA ACRÍLICA SEM EMASSAMENTO (MAT+MO)</t>
  </si>
  <si>
    <t>REVESTIMENTO TIPO 11</t>
  </si>
  <si>
    <t>LIMPEZA DOS VIDROS DA FACHADA</t>
  </si>
  <si>
    <t>FORRO EM MDF LISO ESP.25MM</t>
  </si>
  <si>
    <t>M.O. COLOCAÇÃO DE PORTA CORTA-FOGO</t>
  </si>
  <si>
    <t>M.O. ASSENTAMENTO CONTRAMARCO PORTA CORTA FOGO</t>
  </si>
  <si>
    <t>INSTALAÇÕES CLIMATIZAÇÃO</t>
  </si>
  <si>
    <t>REVESTIMENTO EM PAINEL EM MDF LAMINADO REF.: LINHA</t>
  </si>
  <si>
    <t>PORTA PARA DIVISÓRIA NAVAL</t>
  </si>
  <si>
    <t>ESQUADRIAS DE ALUMÍNIO/VIDRO (Contrato Fechado)</t>
  </si>
  <si>
    <t>BRISES (Contrato Fechado)</t>
  </si>
  <si>
    <t>GUARDA-CORPOS (Contrato Fechado)</t>
  </si>
  <si>
    <t>FECHAMENTO EM PLACAS REF.: GRIM GRID SOBRE PINTURA</t>
  </si>
  <si>
    <t>MO PISO INTERTRAVADO</t>
  </si>
  <si>
    <t>PISO NIVEL ZERO - LAJE NO "OSSO" (ACAB. FUTURO A CARGO</t>
  </si>
  <si>
    <t>REVESTIMENTO DOS PILARES</t>
  </si>
  <si>
    <t>MODIFICAÇÃO DE FACHADA SOLICITADA PELA ARQUITETURA:</t>
  </si>
  <si>
    <t>IMERMEABILIZAÇÃO (Contrato Fechado)</t>
  </si>
  <si>
    <t>LAJE APARENTE (OBS.: ACABAMENTO FUTURO A CARGO DO</t>
  </si>
  <si>
    <t>CONTRATO 01 LUMINÁRIA: EPO EMPREENDIMENTOS</t>
  </si>
  <si>
    <t>CONTRATO 02 LUMINÁRIA: ORCAMENTO_7802011566</t>
  </si>
  <si>
    <t>CONTRATO CASA VERDE: ED. PRISM A-PROPOSTA</t>
  </si>
  <si>
    <t>ESCADA METÁLICA EXTERNA DE ACESSO À SUBESTAÇÃO</t>
  </si>
  <si>
    <t>ELEVADOR DO HALL SECUNDÁRIO DE ACESSO AS LOJAS - 1º AO</t>
  </si>
  <si>
    <t>FORNCIMENTO, FABRICAÇÃO E MONTAGEM DE REFORÇO EM</t>
  </si>
  <si>
    <t>FURO EM CONCRETO COM ADESIVO EPÓXI PARA ANCORAGEM</t>
  </si>
  <si>
    <t>ADESIVO EPOXI APLICADO SOBRE CONCRETO, INCLUSIVE</t>
  </si>
  <si>
    <t>DEMOLIÇÃO MANUAL DE CONCRETO ARMADO, INCLUSIVE</t>
  </si>
  <si>
    <t>CORTE COM CLIPPER PARA DEMOLIÇÃO DE LAJE</t>
  </si>
  <si>
    <t>LEVANTAMENTO TOPOGRÁFICO - COMPLEMENTAR</t>
  </si>
  <si>
    <t>PROJETO DE PROTEÇÃO E COMBATE A INCÊNDIO - JAC - ADITIVO</t>
  </si>
  <si>
    <t>EMPREITEIRO TEXTURA GRAFFIATO</t>
  </si>
  <si>
    <t>CONSULTORIA TÉCNICA PARA ANÁLISE DE ACÚSTICA DE</t>
  </si>
  <si>
    <t>PROJETO DE DADOS E VOZ</t>
  </si>
  <si>
    <t>M.O. CONTRA-PISO 3 CM</t>
  </si>
  <si>
    <t>M.O. LADRILHO HIDRÁULICO</t>
  </si>
  <si>
    <t>EMPREITEIRO TEXTURA ACRÍLICA TIPO 2 (MAT+MO)</t>
  </si>
  <si>
    <t>IMPERMEABILIZAÇÃO A BASE DE ASFALTO</t>
  </si>
  <si>
    <t>PERGOLADO EM AÇO CORTEN</t>
  </si>
  <si>
    <t>SERVIÇO DE TERRAPLANEGEM + DRENAGEM (ESCAVAÇÃO,</t>
  </si>
  <si>
    <t>PAREDE :LAMINADO MELAMINICO TEXT FORMICA BRANCO REAL</t>
  </si>
  <si>
    <t>M.O. FECHAMENTO EM PLACAS PERMEÁVEIS DE RESINA</t>
  </si>
  <si>
    <t>MÃO DE OBRA PARA ASSENTAMENTO EM MÁRMORE / GRANITO -</t>
  </si>
  <si>
    <t>MÃO DE OBRA PARA ASSENTAMENTO EM PORCELANATO -</t>
  </si>
  <si>
    <t>MÃO DE OBRA PARA ASSENTAMENTO EM PORCELANATO - PISO</t>
  </si>
  <si>
    <t>FORRO ESTRUTURADO INCLINADO (SERVIÇO TERCEIRIZADO)</t>
  </si>
  <si>
    <t>PINTURA EPÓXI - EMBAIXO DOS SEIXOS (MATERIAL + MÃO DE</t>
  </si>
  <si>
    <t>PINTURA EM MR.CRYL (MATERIAL + MÃO DE OBRA)</t>
  </si>
  <si>
    <t>MÃO DE OBRA PARA COLOCAÇÃO DE LOUÇAS E METAIS</t>
  </si>
  <si>
    <t>EMPREITEIRO DE ASSENTAMENTO DE SÓCULO DE GRANITO</t>
  </si>
  <si>
    <t>EMPREITEIRO DE ASSENTAMENTO DE BANCO DE GRANITO</t>
  </si>
  <si>
    <t>EMPREITEIRO DE ASSENTAMENTO DE TESTEIRA DE GRANITO</t>
  </si>
  <si>
    <t>ANDAIME TUBULAR COMPLETO</t>
  </si>
  <si>
    <t>REVESTIMENTO ACÚSTICO COMPOSTO 1 MANTA POLIÉSTER</t>
  </si>
  <si>
    <t>REVESTIMENTO TELHA ONDULADA LR17 PRÉ-PINTADA AÇO</t>
  </si>
  <si>
    <t>SISTEMA COMPOSTO POR CHAPA METÁLICA LISA AÇO</t>
  </si>
  <si>
    <t>F03- FORRO PARA ISOLAMENTO SONORO COMPOSTO POR 02</t>
  </si>
  <si>
    <t>F04- FORRO PARA ISOLAMENTO SONORO COMPOSTO POR 02</t>
  </si>
  <si>
    <t>F05- FORRO ACÚSTICO COMPOSTO POR 1 MANTA POLIÉSTER</t>
  </si>
  <si>
    <t>F06- COBERTURA EM CHAPA CIMENTÍCIA, ESPESSURA TOMM,</t>
  </si>
  <si>
    <t>PORTA MET. ACUSTICA E CORTA FOGO RW&gt;= 30 DB (90X210) CM</t>
  </si>
  <si>
    <t>ATENUADOR DE RUÍDO EXAUSTÃO DE AR, COMPOSTO POR</t>
  </si>
  <si>
    <t>ESQUADRIA CONF. PADRÃO FACHADAS (60X245) CM</t>
  </si>
  <si>
    <t>TAXA DE ADMINISTRAÇÃO 10% FASE 02</t>
  </si>
  <si>
    <t>IMPOSTOS SOBRE MÃO DE OBRA E TAXA DE ADM - FASE 02</t>
  </si>
  <si>
    <t>PISO EM MADEIRA REF. G19 GRIS BROUILLARD  FORN.: OSCAR</t>
  </si>
  <si>
    <t>PORTA AUTOMATIZADA: DORMA - COZINHA - PROPOSTA PA 00018</t>
  </si>
  <si>
    <t>POLIMENTO E REJUNTAMENTO DOS GRANITOS</t>
  </si>
  <si>
    <t>BHZ MONTAGENS E INSTALAÇÕES LTDA</t>
  </si>
  <si>
    <t>ARCH ADMINISTRAÇÃO E PROJETOS LTDA</t>
  </si>
  <si>
    <t>TAXA DE ADMINISTRAÇÃO 8% FASE 02</t>
  </si>
  <si>
    <t>ESQ. ACÚSTICAS ANEXO HOSPEDES ( BANHO/JARDIM E PORTA</t>
  </si>
  <si>
    <t>PLOTAGEM</t>
  </si>
  <si>
    <t>EXECUÇÃO DAS INTERVENÇÕES NO SISTEMA VIÁRIO</t>
  </si>
  <si>
    <t>POÇO DE INSPEÇAO CIRCULAR PARA</t>
  </si>
  <si>
    <t>INSTALAÇÕES PCI - DETECÇÃO E A LARME DE INCÊNDIO</t>
  </si>
  <si>
    <t>HALL DO ELEVADOR + CONTROLE DE ACESSO</t>
  </si>
  <si>
    <t>HALL SAÍDA DE OFICINA - PHV</t>
  </si>
  <si>
    <t>IS4958</t>
  </si>
  <si>
    <t>PILARES MATÁLICOS</t>
  </si>
  <si>
    <t>M.O. ASSENTAMENTO DE BANCADAS/PRATELEIRAS</t>
  </si>
  <si>
    <t>M.O. FORMA - LRO (custo fornecido pela construtora)</t>
  </si>
  <si>
    <t>GRAMA ESMERALDA - FORNECIMENTO E PLANTIO - estimado</t>
  </si>
  <si>
    <t>J19 - COZINHA - ESQUADRIA DE ALUMÍNIO + VIDRO - 365X150CM</t>
  </si>
  <si>
    <t>EA4 - ABRIR 2 FOLHAR - CASA DE MÁQ - PORTA DE ALUMÍNIO -</t>
  </si>
  <si>
    <t>TEXTURA AGRESTE - MAT+MO</t>
  </si>
  <si>
    <t>EMPREITEIRO PINTURA EPÓXI (MAT+MO)</t>
  </si>
  <si>
    <t>EMPREITEIRO PINTURA ESMALTE EM AÇO CORTEN SOBRE</t>
  </si>
  <si>
    <t>P6 - 90x285CM - I.S. SUITE  - PORTAS LAQUEADA - PIVOTANTE</t>
  </si>
  <si>
    <t>P3 - 140x285CM - SUÍTE MASTER - PORTAS LAQUEADA -</t>
  </si>
  <si>
    <t>P4 - (110+30)x285CM - CIRC. / SUÍTE MASTER - PORTAS</t>
  </si>
  <si>
    <t>P7 - 120x285CM - CLOSET - PORTAS LAQUEADA - CORRER</t>
  </si>
  <si>
    <t>P8 - 100x285CM - BANHO - PORTAS LAQUEADA - CORRER</t>
  </si>
  <si>
    <t>P9 - 80x285CM -  DEPÓSITO - PORTAS LAQUEADA - PIVOTANTE</t>
  </si>
  <si>
    <t>P14 - 80x325CM -  ADEGA - PORTAS LAQUEADA - PIVOTANTE</t>
  </si>
  <si>
    <t>P16 - 80x280CM -  VESTIÁRIOS - PORTAS LAQUEADA - PIVOTANTE</t>
  </si>
  <si>
    <t>P13 - 100x325CM -  LAVABO - PORTAS LAQUEADA - PIVOTANTE</t>
  </si>
  <si>
    <t>P15 - 140x325CM - HOME THEATER / ATELIÊ - PORTAS LAQUEADA</t>
  </si>
  <si>
    <t>P17 - (120+20)x325CM -  CIRC. COPA - PORTAS LAQUEADA -</t>
  </si>
  <si>
    <t>MOBILIZAÇÃO E DESMOBILIZAÇÃO D E TRADO MECÂNICO</t>
  </si>
  <si>
    <t>SERVIÇO DE ENGENHARIA ACÚSTICA</t>
  </si>
  <si>
    <t>REVESTIMENTO EM TEXTURA LINHA CROSSFIX 3, FABRICAÇÃO</t>
  </si>
  <si>
    <t>SISTEMA DE CALEFAÇÃO PISO TÉRMICO ( BANHO E SALA DE</t>
  </si>
  <si>
    <t>MANTAS POLIESTER D=75 KG/M3 E= 1CM</t>
  </si>
  <si>
    <t>ALVENARIA DE DRY-WALL RF/RF</t>
  </si>
  <si>
    <t>LIMPEZA E ORGANIZAÇÃO PARA RETOMADA DAS OBRAS</t>
  </si>
  <si>
    <t>PROJETO DE PROTEÇÃO E COMBATE A INCÊNDIO - JAC</t>
  </si>
  <si>
    <t>AR/CONSULTORIA - GPA</t>
  </si>
  <si>
    <t>PELE DE VIDRO E SISTEMA DE ABERTURA MAX AR VIDRO</t>
  </si>
  <si>
    <t>GC1 - GUARDA-CORPO EM VIDRO INCOLOR LAMINADO, FIXAÇÃO</t>
  </si>
  <si>
    <t>FORRO DE GESSO A PROVA D´ÁGUA</t>
  </si>
  <si>
    <t>DIVISÓRIA EM MDF MADEIRADO E ESTRUTURA METÁLICA H=2,85</t>
  </si>
  <si>
    <t>ELEVADOR 01: ACESSO AO SUPERMERCADO - 1º ao 8º</t>
  </si>
  <si>
    <t>ELEVADOR SOCIAL - 4° a 6° pavimento - 3 paradas - custo</t>
  </si>
  <si>
    <t>ELEVADOR CARGA = 4° a 6° pavimento - 3 paradas - custo</t>
  </si>
  <si>
    <t>SISTEMA DE EXAUSTÃO - estimado</t>
  </si>
  <si>
    <t>CONTROLE DE ACESSO - ESTIMADO - SEM PROJETO</t>
  </si>
  <si>
    <t>BRISE EM ALUMÍNIO ANODIZADO - FACHADAS</t>
  </si>
  <si>
    <t>ELEVADOR SOCIAL - 7º ao 12º pavimento - 6 paradas - custo</t>
  </si>
  <si>
    <t>SISTEMA DE IRRIGAÇÃO - estimad</t>
  </si>
  <si>
    <t>JARDIM CONFORME PROJETO ESPECÍFICO DE PAISAGISMO</t>
  </si>
  <si>
    <t>P4 - 70X210CM - PORTA DE MADEI</t>
  </si>
  <si>
    <t>IS5557</t>
  </si>
  <si>
    <t>P5 - 80X210CM - PORTA DE MADEI</t>
  </si>
  <si>
    <t>IS5558</t>
  </si>
  <si>
    <t>P8 - 90X210CM - PORTA DE MADEIRA C/ BARRA PCD DE ABRIR</t>
  </si>
  <si>
    <t>IS5559</t>
  </si>
  <si>
    <t>P1 - 90X210CM - PORTA DE ALUMÍNIO DE ABRIR 1F</t>
  </si>
  <si>
    <t>IS5560</t>
  </si>
  <si>
    <t>P2 - 160X210CM - PORTA DE ALUMÍNIO DE ABRIR 2F</t>
  </si>
  <si>
    <t>IS5561</t>
  </si>
  <si>
    <t>P3 - 80X210CM - PORTA DE ALUMÍNIO DE ABRIR 1F</t>
  </si>
  <si>
    <t>IS5562</t>
  </si>
  <si>
    <t>P6 - 100X210CM - PORTA DE VIDRO COM PERFIL DE ALUMÍNIO</t>
  </si>
  <si>
    <t>IS5563</t>
  </si>
  <si>
    <t>P11 - 120X210CM - PORTA DE VIDRO COM PERFIL DE ALUMÍNIO</t>
  </si>
  <si>
    <t>IS5564</t>
  </si>
  <si>
    <t>P12 - 300X250CM - PORTA DE VIDRO COM PERFIL DE ALUMÍNIO</t>
  </si>
  <si>
    <t>IS5565</t>
  </si>
  <si>
    <t>P15 - 400X250CM - PORTA DE VIDRO COM PERFIL DE ALUMÍNIO</t>
  </si>
  <si>
    <t>IS5566</t>
  </si>
  <si>
    <t>J1 - 60X50CM - JANELA DE ALÚMINIO E VIDRO - MAXIM-AR 1F</t>
  </si>
  <si>
    <t>IS5567</t>
  </si>
  <si>
    <t>J2 - 180X50CM - JANELA DE ALÚMINIO E VIDRO - MAXIM-AR 3F</t>
  </si>
  <si>
    <t>IS5568</t>
  </si>
  <si>
    <t>J3 - 75X50CM - JANELA DE ALÚMINIO E VIDRO - MAXIM-AR 1F</t>
  </si>
  <si>
    <t>IS5569</t>
  </si>
  <si>
    <t>J4 - 150X50CM - JANELA DE ALÚMINIO E VIDRO - DUAS FOLHAS</t>
  </si>
  <si>
    <t>IS5570</t>
  </si>
  <si>
    <t>J5 - 180X100CM - VIDRO FIXO COM PERFIL DE ALUMÍNIO</t>
  </si>
  <si>
    <t>IS5571</t>
  </si>
  <si>
    <t>J6 - 400X100CM - VIDRO FIXO COM PERFIL DE ALUMÍNIO</t>
  </si>
  <si>
    <t>IS5572</t>
  </si>
  <si>
    <t>J7 - 200X100CM - JANELA DE ALÚMINIO E VIDRO - CORRER 2F</t>
  </si>
  <si>
    <t>IS5573</t>
  </si>
  <si>
    <t>J8 - 450X100CM - JANELA DE ALÚMINIO E VIDRO - CORRER 4F</t>
  </si>
  <si>
    <t>IS5574</t>
  </si>
  <si>
    <t>J9 - 500X100CM - JANELA DE ALÚMINIO E VIDRO - CORRER 4F</t>
  </si>
  <si>
    <t>IS5575</t>
  </si>
  <si>
    <t>J10 - 120X100CM - JANELA DE ALÚMINIO E VIDRO - GUICHÊ</t>
  </si>
  <si>
    <t>IS5576</t>
  </si>
  <si>
    <t>DIVISÓRIA EM VIDRO FIXO</t>
  </si>
  <si>
    <t>IS5638</t>
  </si>
  <si>
    <t>Pintura das instalações</t>
  </si>
  <si>
    <t>IS5639</t>
  </si>
  <si>
    <t>Pintura das estruturas metálicas</t>
  </si>
  <si>
    <t>RETIRADA DE MATERIAL ESTOCADO NA OBRA</t>
  </si>
  <si>
    <t>GESSO CORRIDO MESTRADO - PAREDES</t>
  </si>
  <si>
    <t>CORTINEIRO (SERVIÇO TERCEIRIZADO)</t>
  </si>
  <si>
    <t>PAINEL EM MDF EBANIZADO</t>
  </si>
  <si>
    <t>PAINEL ACÚSTICO MADEIRADO PARA AUDITORIO</t>
  </si>
  <si>
    <t>PAREDE TIPO PLACOSTIL PLACO SAINT GOBAIN 180/48/600 -</t>
  </si>
  <si>
    <t>DW.02 - SHAFT EM PLACA CIMENTÍCIA 1MM + MONTANTE DE</t>
  </si>
  <si>
    <t>Drywall ST</t>
  </si>
  <si>
    <t>REVESTIMENTO EM DRY-WALL ST - UMA FACE &lt; 50CM</t>
  </si>
  <si>
    <t>FECHAMENTO DE SHAFT COM DRY-WALL 1 FACE RU</t>
  </si>
  <si>
    <t>PERFIS METÁLICOS PARA FIXAÇÃO PARA DRY WALL DE TESTEIRA</t>
  </si>
  <si>
    <t>ESTRUTURA PARA TESTEIRA DE MEDICAMENTOS</t>
  </si>
  <si>
    <t>ALVENARIA DE DRY-WALL ST/ST - H=5,30m  - ACUSTICO</t>
  </si>
  <si>
    <t>REVESTIMENTO EM DRY-WALL 01 FACE PARA TESTEIRA DE</t>
  </si>
  <si>
    <t>FECHAMENTO LINEAR DE DRYWALL</t>
  </si>
  <si>
    <t>DW.01 - DRYWALL COM ESPESSURA DE 10,5CM COM</t>
  </si>
  <si>
    <t>DESPESAS PRÉ-OBRA</t>
  </si>
  <si>
    <t>TAXA DE ADMINISTRAÇÃO - 8% (CUSTOS DIRETOS + INDIRETOS)</t>
  </si>
  <si>
    <t>IMPOSTOS SOBRE MÃO DE OBRA E TAXA DE ADM - FASE 01</t>
  </si>
  <si>
    <t>TAXA DE ADMINISTRAÇÃO - 5% (PROJETOS + CONTRATAÇÕES</t>
  </si>
  <si>
    <t>IMPOSTOS TAXA DE ADM 8% - FASE 01</t>
  </si>
  <si>
    <t>CRÉDITO FASE 01</t>
  </si>
  <si>
    <t>DESCONTO FATURAMENTO DIRETO</t>
  </si>
  <si>
    <t>EMPREITEIRO PINTURA ACRÍLICA COR CINZA PLATINO - PADRÃO</t>
  </si>
  <si>
    <t>M.O. - TACO DE MADEIRA</t>
  </si>
  <si>
    <t>POÇO ARTESIANO</t>
  </si>
  <si>
    <t>EMPREITEIRO TEXTURA ACRÍLICA REF: "TERRACOR" LINHA ECO</t>
  </si>
  <si>
    <t>EMPREITEIRO TEXTURA ACRÍLICA FINA (APLIACADA COM ROLO)</t>
  </si>
  <si>
    <t>EMPREITEIRO PARA PINTURA EPÓXI CINZA - TETO (MAT.+M.O.)</t>
  </si>
  <si>
    <t>PROJETO INSTALAÇÕES PARA DETECÇÃO E ALARME DE</t>
  </si>
  <si>
    <t>FABRICAÇÃO E INSTALAÇÃO DAS ESQUADRIAS DE ALUMINIO E</t>
  </si>
  <si>
    <t>JA1 - 120x120CM - JANELA EM ALUMÍNIO E VIDRO COM</t>
  </si>
  <si>
    <t>JA2 - 150x120CM - JANELA EM ALUMÍNIO E VIDRO COM</t>
  </si>
  <si>
    <t>JA4 - 60x60CM - JANELA EM ALUMÍNIO E VIDRO MINI-BOREAL</t>
  </si>
  <si>
    <t>JA6 - 120x120CM - JANELA EM ALUMÍNIO E VIDRO</t>
  </si>
  <si>
    <t>JA7 - 80x80CM - JANELA EM ALUMÍNIO E VIDRO</t>
  </si>
  <si>
    <t>JA8 - 200x120CM - JANELA EM ALUMÍNIO E VIDRO COM</t>
  </si>
  <si>
    <t>JA5 - 35x120CM - JANELA EM ALUMÍNIO E VIDRO FIXO</t>
  </si>
  <si>
    <t>GRADIL TIPO 2</t>
  </si>
  <si>
    <t>GRADIL TIPO 3</t>
  </si>
  <si>
    <t>GRADIL TIPO 4</t>
  </si>
  <si>
    <t>PA TIPO 1</t>
  </si>
  <si>
    <t>PA TIPO 2</t>
  </si>
  <si>
    <t>PA TIPO 3</t>
  </si>
  <si>
    <t>PMT TIPO 1</t>
  </si>
  <si>
    <t>PMT TIPO 2</t>
  </si>
  <si>
    <t>PMT TIPO 3</t>
  </si>
  <si>
    <t>PMT TIPO 4</t>
  </si>
  <si>
    <t>PMT TIPO 5</t>
  </si>
  <si>
    <t>PMT TIPO 6</t>
  </si>
  <si>
    <t>PM TIPO 1</t>
  </si>
  <si>
    <t>PM TIPO 2</t>
  </si>
  <si>
    <t>PM TIPO 3</t>
  </si>
  <si>
    <t>PM TIPO 4</t>
  </si>
  <si>
    <t>CAIXA DE PORTA DE ENROLAR</t>
  </si>
  <si>
    <t>PM TIPO 6</t>
  </si>
  <si>
    <t>P11 - 120x280cm - ESQUADRIA DE ALUMÍNIO E VIDRO COM</t>
  </si>
  <si>
    <t>P12 - 377x280cm - ESQUADRIA DE ALUMÍNIO E VIDRO COM</t>
  </si>
  <si>
    <t>P16 - 970x320cm - ESQUADRIA DE ALUMÍNIO ANODIZADO E</t>
  </si>
  <si>
    <t>P17 - 317x320cm - ESQUADRIA DE ALUMÍNIO ANODIZADO E</t>
  </si>
  <si>
    <t>P18 - 315x320cm - ESQUADRIA DE ALUMÍNIO ANODIZADO E</t>
  </si>
  <si>
    <t>P19 - 390x320cm - ESQUADRIA DE ALUMÍNIO ANODIZADO E</t>
  </si>
  <si>
    <t>P20 - 205x320cm - ESQUADRIA DE ALUMÍNIO ANODIZADO E</t>
  </si>
  <si>
    <t>P21 - 671x320cm - ESQUADRIA DE ALUMÍNIO ANODIZADO E</t>
  </si>
  <si>
    <t>P22 - 225x220cm - ESQUADRIA DE ALUMÍNIO ANODIZADO E</t>
  </si>
  <si>
    <t>P23 - 1002x320cm - ESQUADRIA DE ALUMÍNIO ANODIZADO E</t>
  </si>
  <si>
    <t>Z01 - 1109x130cm - ALUMÍNIO ANODIZADO E VIDRO COM</t>
  </si>
  <si>
    <t>Z02 - 330x220cm - COBERTURA TELHADO RETRÁTIL AEROMAX</t>
  </si>
  <si>
    <t>EA1 - FIXA - Á. TÉCNICA (VENEZ. VENTILAÇÃO) - PORTA DE</t>
  </si>
  <si>
    <t>EA2 - CORRER - DEPÓSITO (VENEZ. VENTILAÇÃO) - PORTA DE</t>
  </si>
  <si>
    <t>P24 - 191x320cm - ESQUADRIA DE ALUMÍNIO ANODIZADO</t>
  </si>
  <si>
    <t>FABRICAÇÃO E INSTALAÇÃO DAS ESQUADRIAS DE ALUMÍNIO E</t>
  </si>
  <si>
    <t>BOX EM VIDRO TEMPERADO INCOLOR</t>
  </si>
  <si>
    <t>DIVISÓRIA DE ALUMÍNIO 30X30 PINTURA COR PRETA E VIDRO</t>
  </si>
  <si>
    <t>VIDRO COM PELÍCULA BRANCA (ACADEMIA)</t>
  </si>
  <si>
    <t>E07 - 335x275cm - VIDRO TEMPERADO INCOLOR</t>
  </si>
  <si>
    <t>E08 - 233x280cm - VIDRO TEMPERADO INCOLOR COM PERFIL</t>
  </si>
  <si>
    <t>PV03(P12) - 120x210CM - PORTA PIVOTANTE EM VIDRO</t>
  </si>
  <si>
    <t>J15 - 969x30cm - VIDRO FIXO COM JUNTAS SECAS</t>
  </si>
  <si>
    <t>P25 - 70x222cm - PORTA EM VIDRO TEMPERADO INCOLOR</t>
  </si>
  <si>
    <t>P26 - 80x222cm - PORTA EM LAMBRI DE ALUMÍNIO HORIZONTAL</t>
  </si>
  <si>
    <t>PV01 - 80x325cm - VIDRO TIPO CINEX - Aguardando definição</t>
  </si>
  <si>
    <t>PV02 - 80x325cm - VIDRO TIPO CINEX - INCLUSO NA ADEGA</t>
  </si>
  <si>
    <t>PV03 - 95x325cm - VIDRO TIPO CINEX - Aguardando definição</t>
  </si>
  <si>
    <t>GC.02 - 880X110cm - GUARDA-CORPO EM VIDRO - SALA</t>
  </si>
  <si>
    <t>GC.03 - 1005X110cm - GUARDA-CORPO EM VIDRO - SALA</t>
  </si>
  <si>
    <t>ESPELHO CRISTAL 4MM 1,4X0,9M</t>
  </si>
  <si>
    <t>P5/P6 - 70X210 CM - PORTA DE VIDRO 8MM</t>
  </si>
  <si>
    <t>RODAPÉ DE MADEIRA CUMARU H=15CM</t>
  </si>
  <si>
    <t>RODAPÉ EM INOX NEGATIVO PARA PAINEL DE MADEIRA</t>
  </si>
  <si>
    <t>SOLEIRA EM MADEIRA CUMARU L=15CM</t>
  </si>
  <si>
    <t>FORRO ACÚSTICO COMPOSTO POR EUCATEX PERFURADO 4MM,</t>
  </si>
  <si>
    <t>FORRO DE GESSO ACARTONADO COM PLACAS RU</t>
  </si>
  <si>
    <t>FORRO EM RÉGUAS DE MADEIRA CUMARU - SUÍTE 02</t>
  </si>
  <si>
    <t>FORRO EM RÉGUAS DE MADEIRA CUMARU - SUÍTE 03</t>
  </si>
  <si>
    <t>FORRO EM RÉGUAS DE MADEIRA CUMARU</t>
  </si>
  <si>
    <t>GRELHA LINEAR - TETO GALERIA - Aguardando definição em projet</t>
  </si>
  <si>
    <t>ISOLAMENTO ACÚSTICO À DEFINIR PARA FORRO DE MADEIRA</t>
  </si>
  <si>
    <t>PERGOLADO EM MADEIRA MACIÇA</t>
  </si>
  <si>
    <t>BANCADA EM MADEIRA CUMARU</t>
  </si>
  <si>
    <t>PREPARAÇÃO DAS ÁREAS COM RECUPERAÇÃO DO CONCRETO,</t>
  </si>
  <si>
    <t>ARGAMASSA FLEXÍVEL (CONSUMO DE 5,0KG/M²) ARMADA COM</t>
  </si>
  <si>
    <t>PORTA DE VIDRO TEMPERADO 8MM 90X210</t>
  </si>
  <si>
    <t>F06 - 60x175cm - PORTA EM VENEZIANA DE ALUMÍNIO</t>
  </si>
  <si>
    <t>J01 - 309x180cm - ALUMÍNIO ANODIZADO E VIDRO SERIGRAFADO</t>
  </si>
  <si>
    <t>J07 - 740x120cm - ALUMÍNIO ANODIZADO E VIDRO</t>
  </si>
  <si>
    <t>J08 - 317x160cm - ALUMÍNIO ANODIZADO E VIDRO SERIGRAFADO</t>
  </si>
  <si>
    <t>J09/J10 - 648x280cm - ALUMÍNIO ANODIZADO E VIDRO</t>
  </si>
  <si>
    <t>J13 - 500x120cm - ALUMÍNIO ANODIZADO E VIDRO</t>
  </si>
  <si>
    <t>J14 - 141x260cm - ESQUADRIA DE ALUMÍNIO E VIDRO COM</t>
  </si>
  <si>
    <t>J16 - 256x260cm - ESQUADRIA DE ALUMÍNIO E VIDRO COM</t>
  </si>
  <si>
    <t>P02 - 720x253cm - PORTÃO EM LAMBRI DE ALUMÍNIO COM</t>
  </si>
  <si>
    <t>CORRIMÃO EM AÇO INOX FIXADO NA</t>
  </si>
  <si>
    <t>P08 - 480X248CM - PORTA DE COR RER DUAS FOLHAS DE VIDRO</t>
  </si>
  <si>
    <t>E04 - 140x35cm - VIDRO TEMPERADO INCOLOR</t>
  </si>
  <si>
    <t>J02 - 130x100cm - ALUMÍNIO ANODIZADO E VIDRO SERIGRAFADO</t>
  </si>
  <si>
    <t>J03 - 327x180cm - ALUMÍNIO ANODIZADO E VIDRO SERIGRAFADO</t>
  </si>
  <si>
    <t>GUARDA-CORPO COM CORRIMÃO EM AÇO INOX Ø 1.1/2"</t>
  </si>
  <si>
    <t>J04 - 485x70cm - ALUMÍNIO ANODIZADO COM VENEZIANA DE</t>
  </si>
  <si>
    <t>P03 - 305x280cm - ALUMÍNIO ANODIZADO E VIDRO</t>
  </si>
  <si>
    <t>P04 - 370x396cm - ALUMÍNIO ANODIZADO E VIDRO</t>
  </si>
  <si>
    <t>E05 - 338x53cm - VIDRO TEMPERADO INCOLOR</t>
  </si>
  <si>
    <t>E06 - 375x70cm - VIDRO TEMPERADO INCOLOR</t>
  </si>
  <si>
    <t>CORRIMÃO COM CHAPA DE BRONZE E PEGA EM MADEIRA</t>
  </si>
  <si>
    <t>ESCADA METÁLICA PARA ACESSO A SOBRELOJA, INCLUSIVE</t>
  </si>
  <si>
    <t>EQUIPAMENTOS PARA PISCINA</t>
  </si>
  <si>
    <t>GC.04 - 1888x110cm - GUARDA-CORPO EM VIDRO - JANTAR</t>
  </si>
  <si>
    <t>EQUIPAMENTOS PARA O ESPELHO</t>
  </si>
  <si>
    <t>ESC.01 - 50x60cm - ESCADA METÁLICA COM 02 DEGRAUS -</t>
  </si>
  <si>
    <t>E01 - 3300x616cm - ALUMÍNIO ANODIZADO E VIDRO</t>
  </si>
  <si>
    <t>E02 - 1033x510cm - ALUMÍNIO ANODIZADO E VIDRO</t>
  </si>
  <si>
    <t>E03 - 3000x97cm - ALUMÍNIO ANODIZADO E VIDRO</t>
  </si>
  <si>
    <t>F01 - 810x245cm - GRADIL EM ALUMÍNIO ANODIZADO</t>
  </si>
  <si>
    <t>F02 - 178x245cm - GRADIL EM ALUMÍNIO ANODIZADO</t>
  </si>
  <si>
    <t>F04 - 90x245cm - GRADIL EM ALUMÍNIO ANODIZADO</t>
  </si>
  <si>
    <t>JARDIM VERTICAL - ESTIMADO</t>
  </si>
  <si>
    <t>JVT1 - 315X115 CM - ACADEMIA - JANELA VIDRO TEMPERADO</t>
  </si>
  <si>
    <t>PMT7 - 615X430 CM - PORTA ROLO TRANSVISION COR PRETA</t>
  </si>
  <si>
    <t>PVT1 - 180X260 CM - SALÃO DE FESTAS - PORTA DE GIRO EM</t>
  </si>
  <si>
    <t>PVT2 - 645X260 CM - SALÃO DE FESTAS - PORTA DE GIRO EM</t>
  </si>
  <si>
    <t>PVT3 - 180X2,15 CM - ACADEMIA - PORTA DE GIRO EM VIDRO</t>
  </si>
  <si>
    <t>PVT4 - 315X250 CM - SAUNA - PORTA DE CORRER EM VIDRO</t>
  </si>
  <si>
    <t>PVT5 - 412X215 CM - SAUNA - PORTA DE GIRO EM VIDRO</t>
  </si>
  <si>
    <t>PVT6 - 120X215 CM - I.S.SAUNA - PORTA DE GIRO EM VIDRO</t>
  </si>
  <si>
    <t>PVT7 - 80X210 CM - PORTA DE GIRO EM VIDRO TEMPERADO</t>
  </si>
  <si>
    <t>PVT8 - 70X210 CM - PORTA DE GIRO EM VIDRO TEMPERADO</t>
  </si>
  <si>
    <t>PA01 - 621x320CM - ESQUADRIA EM ALUMÍNIO - ACADEMIA 11º</t>
  </si>
  <si>
    <t>PA02(P2) - 80x210CM - PORTA VENEZIANA EM ALUMÍNIO NATURAL</t>
  </si>
  <si>
    <t>J01 - 100x70CM - VENEZIANA FIXA DE ALUMÍNIO - DUTO DE</t>
  </si>
  <si>
    <t>E10 - 213x160CM - JANELA EM ALUMÍNIO ANODIZADO NATURAL</t>
  </si>
  <si>
    <t>E11 - 107x90CM - JANELA EM ALUMÍNIO ANODIZADO NATURAL</t>
  </si>
  <si>
    <t>E12 - 253x160CM - JANELA EM ALUMÍNIO ANODIZADO NATURAL</t>
  </si>
  <si>
    <t>E13 - 241x160CM - JANELA EM ALUMÍNIO ANODIZADO NATURAL</t>
  </si>
  <si>
    <t>E14 - 253x160CM - JANELA EM ALUMÍNIO ANODIZADO NATURAL</t>
  </si>
  <si>
    <t>E15 - 173x160CM - JANELA EM ALUMÍNIO ANODIZADO NATURAL</t>
  </si>
  <si>
    <t>E16 - 253x160CM - JANELA EM ALUMÍNIO ANODIZADO NATURAL</t>
  </si>
  <si>
    <t>E17 - 174x174CM - JANELA EM ALUMÍNIO ANODIZADO NATURAL</t>
  </si>
  <si>
    <t>E18 - 247x160CM - JANELA EM ALUMÍNIO ANODIZADO NATURAL</t>
  </si>
  <si>
    <t>E19 - 259x160CM - JANELA EM ALUMÍNIO ANODIZADO NATURAL</t>
  </si>
  <si>
    <t>E20 - 256x160CM - JANELA EM ALUMÍNIO ANODIZADO NATURAL</t>
  </si>
  <si>
    <t>E21 - 256x160CM - JANELA EM ALUMÍNIO ANODIZADO NATURAL</t>
  </si>
  <si>
    <t>E22 - 256x160CM - JANELA EM ALUMÍNIO ANODIZADO NATURAL</t>
  </si>
  <si>
    <t>E23 - 3394x144CM - JANELA EM ALUMÍNIO ANODIZADO NATURAL</t>
  </si>
  <si>
    <t>E24 - 3426x249CM - JANELA EM ALUMÍNIO ANODIZADO NATURAL</t>
  </si>
  <si>
    <t>B01 - 1966x110CM - BRISE COMPOSTO POR PERFIS EM</t>
  </si>
  <si>
    <t>B02 - 1320x110CM - BRISE COMPOSTO POR PERFIS EM</t>
  </si>
  <si>
    <t>B03 - 1674x110CM - BRISE COMPOSTO POR PERFIS EM</t>
  </si>
  <si>
    <t>B04 - 1018x110CM - BRISE COMPOSTO POR PERFIS EM</t>
  </si>
  <si>
    <t>B05 - 3428x110CM - BRISE COMPOSTO POR PERFIS EM</t>
  </si>
  <si>
    <t>B06 - 3446x110CM - BRISE COMPOSTO POR PERFIS EM</t>
  </si>
  <si>
    <t>P3 - 80x210CM - PORTA LISA SÓLIDA COM ALIZAR 70MM COM</t>
  </si>
  <si>
    <t>PORTA PRONTA - 90x210 CM - ABRIR</t>
  </si>
  <si>
    <t>P6 - 60x210CM - PORTA LISA TIPO PRANCHETA COM ALIZAR</t>
  </si>
  <si>
    <t>P7 - 90x210CM - PORTA LISA TIPO PRANCHETA COM ALIZAR</t>
  </si>
  <si>
    <t>P8 - 90x210CM - PORTA LISA TIPO PRANCHETA COM ALIZAR</t>
  </si>
  <si>
    <t>P9 - 80x210CM - PORTA LISA TIPO PRANCHETA COM ALIZAR</t>
  </si>
  <si>
    <t>P10 - 60x210CM - PORTA LISA TIPO PRANCHETA COM ALIZAR</t>
  </si>
  <si>
    <t>F01 - 578x312CM - FECHAMENTO EM VIDRO - ACESSO HALL</t>
  </si>
  <si>
    <t>F02 - 210x312CM - FECHAMENTO EM VIDRO FIXO - HALL COMUM</t>
  </si>
  <si>
    <t>F03 - 478x312CM - FECHAMENTO EM VIDRO FIXO - HALL COMUM</t>
  </si>
  <si>
    <t>PV01(P11) - 80x210CM - PORTA PIVOTANTE EM VIDRO</t>
  </si>
  <si>
    <t>PV02 - 150x210CM - PORTA DE CORRER EM VIDRO TEMPERADO</t>
  </si>
  <si>
    <t>IMPERMEABILIZAÇÃO COM PITURA ELASTÓMERA OU ARGAMASSA</t>
  </si>
  <si>
    <t>IMPERMEABILIZAÇÃO COM TELA DE POLIÉSTER FIXADA COM</t>
  </si>
  <si>
    <t>SISTEMA DE PISO ELEVADO H=140CM - ÁREA DO DECK 11º</t>
  </si>
  <si>
    <t>FORRO DE GESSO COM PLACAS RU</t>
  </si>
  <si>
    <t>CORRIMÃO EM AÇO INOX FIXADO NO PISO - PISCINA 11º</t>
  </si>
  <si>
    <t>DIV.01 - 720x538CM - DIVISÓRIA ACÚSTICA REF.: R$100,00/M2 - S</t>
  </si>
  <si>
    <t>PISO LAMINADO EUCAFLOOR PRIME CAPUCCINO - QUARTOS</t>
  </si>
  <si>
    <t>RODAPÉ EUCAFLOOR LINHA ESTILO - 240X07CM - QUARTOS</t>
  </si>
  <si>
    <t>ELEVADORES COMERCIAIS 1º AO 10º PAVIMENTO</t>
  </si>
  <si>
    <t>CLIMATIZAÇÃO PILOTIS 11º PAVIMENTO - Estimado</t>
  </si>
  <si>
    <t>ALUGUEL DE BANHEIRO QUÍMICO</t>
  </si>
  <si>
    <t>ENGENHEIRO SÊNIOR (1/3 HORÁRIO )</t>
  </si>
  <si>
    <t>SUPORTE PARA BANCADA DA INJEÇÃO</t>
  </si>
  <si>
    <t>ESTRUTURA AUXILIAR PARA FECHAMENTO DO TELHADO +</t>
  </si>
  <si>
    <t>INSTALAÇÃO DE VENEZIANAS + GRELHA+PERFIL PAREDE DO</t>
  </si>
  <si>
    <t>SISTEMA DE DRENAGEM E IMPERMEABILIZAÇÃO</t>
  </si>
  <si>
    <t>VIDROS DA LOJA, SOBRELOJA E FACHADA</t>
  </si>
  <si>
    <t>ALUGUEL CARRO</t>
  </si>
  <si>
    <t>P4 - 481X333 CM - PORTA DE ENROLAR AUTOMÁTICA</t>
  </si>
  <si>
    <t>ESTRUTURA METÁLICA PARA COBERTURA DE AMPLIAÇÃO DA</t>
  </si>
  <si>
    <t>TELHA METÁLICA SANDUICHE 40/980 + EPS DE 75 MM</t>
  </si>
  <si>
    <t>FORNECIMENTO E INSTALAÇÃO DE CALHAS</t>
  </si>
  <si>
    <t>FORNECIMENTO E INSTALAÇÃO DE RUFOS</t>
  </si>
  <si>
    <t>REFORÇO ESTRUTURAL MEZANINO</t>
  </si>
  <si>
    <t>ESCADA METÁLICA DE ACESSO A SOBRELOJA</t>
  </si>
  <si>
    <t>P1 - 611X333 CM - PORTA DE ENROLAR AUTOMÁTICA</t>
  </si>
  <si>
    <t>P2 - 499,5X333 CM - PORTA DE ENROLAR AUTOMÁTICA</t>
  </si>
  <si>
    <t>P3 - 431,5X333 CM - PORTA DE ENROLAR AUTOMÁTICA</t>
  </si>
  <si>
    <t>CAMADA DRENANTE COM GEOMANTA DO TIPO MACDRAIN 2L</t>
  </si>
  <si>
    <t>REGULARIZAÇÃO ESPECIAL EM PISCINA E SPA COM ARGAMASSA</t>
  </si>
  <si>
    <t>EM SOLEIRAS DE PORTA E NOS PERÍMETROS ONDE HOUVER</t>
  </si>
  <si>
    <t>INSTALAÇÃO DE PINOS PARA A PROTEÇÃO MECÂNICA EM</t>
  </si>
  <si>
    <t>CAMADA DE TRANSIÇÃO (GEOTEXTIL 200G/M²)</t>
  </si>
  <si>
    <t>ISOLAMENTO TÉRMICO COM XPS EM 4CM (2 PLACAS DE 2CM</t>
  </si>
  <si>
    <t>PROTEÇÃO MECÂNICA COM ARGAMASSA DE CIMENTO/AREIA</t>
  </si>
  <si>
    <t>INSTALAÇÃO DE BARRAS DE AÇO CRIANDO MALHA</t>
  </si>
  <si>
    <t>PROTEÇÃO MECÂNICA EM PISCINA COM ARGAMASSA DE</t>
  </si>
  <si>
    <t>TRATAMENTO DE JUNTA PERIMETRAL COM MASTIQUE</t>
  </si>
  <si>
    <t>TRATAMENTO ANTI-EFLORESCÊNCIA COM ARGAMASSA</t>
  </si>
  <si>
    <t>REGULARIZAÇÃO DAS SUPERFÍCIES COM ARGAMASSA DE</t>
  </si>
  <si>
    <t>MANTA ASFÁLTICA SBS, TIPO III, TIPO B, 4MM DE ESPESSURA,</t>
  </si>
  <si>
    <t>TRATAMENTO EM JARDINS/JARDINEIRAS COM</t>
  </si>
  <si>
    <t>MEMBRANA DE POLIURETANO MONOLÍTICA COM ACABAMENTO</t>
  </si>
  <si>
    <t>REGULARIZAÇÃO ESPECIAL EM ESPELHO D'ÁGUA COM</t>
  </si>
  <si>
    <t>RESINA ACRILICA DE ALTO DESEMPENHO COM CAMADAS DE</t>
  </si>
  <si>
    <t>RESINA EPÓXI COM CONSUMO DE 1,5KG/M²</t>
  </si>
  <si>
    <t>SISTEMA DE AQUECIMENTO_ BOMBA DE CALOR PARA PISCINA</t>
  </si>
  <si>
    <t>INSTALAÇÃO DE SISTEMA PARA ENERGIA FOTOVOLTAICA -</t>
  </si>
  <si>
    <t>SISTEMA DE ACÚSTICA CONFORME PROJETO - Aguardando</t>
  </si>
  <si>
    <t>SISTEMA DE AUTOMAÇÃO E REDE (MAT.+M.O.) - Custo informado</t>
  </si>
  <si>
    <t>SISTEMA DE CFTV (MAT.+M.O.) - Custo informado pelo cliente</t>
  </si>
  <si>
    <t>SISTEMA DE ÁUDIO E VÍDEO (MAT.+M.O.) - Custo informado</t>
  </si>
  <si>
    <t>FORNECIMENTO E INSTALAÇÃO DA CLIMATIZAÇÃO, CONFORME</t>
  </si>
  <si>
    <t>FORNECIMENTO E INSTALAÇÃO DE EQUIPAMENTOS PARA</t>
  </si>
  <si>
    <t>EQUIPAMENTOS PARA SAUNA A GÁS - Incluso na verba da piscina</t>
  </si>
  <si>
    <t>SISTEMA DRENAGEM - Estimado</t>
  </si>
  <si>
    <t>SISTEMA DE IRRIGAÇÃO, CONFORME PROJETO - Custo</t>
  </si>
  <si>
    <t>COBERTURA LEVE À DEFINIR (PÁTIO LATERAL 01.24) -</t>
  </si>
  <si>
    <t>IMPLANTAÇÃO DA ADEGA - Custo informado pelo cliente</t>
  </si>
  <si>
    <t>EXECUÇÃO DE PAISAGISMO, CONFORME PROJETO - Custo</t>
  </si>
  <si>
    <t>PERFURAÇÃO DE POÇO ARTESIANO (MAT.+M.O.)</t>
  </si>
  <si>
    <t>IS7053</t>
  </si>
  <si>
    <t>ELEVADOR DE ACESSO AO MEZANINO</t>
  </si>
  <si>
    <t>DUPLA MANTA ASFÁLTICA SBS, TIPO III, TIPO B, 3MM E 4MM DE</t>
  </si>
  <si>
    <t>ARMÁRIOS FUNCIONÁRIOS</t>
  </si>
  <si>
    <t>NOTA APROPRIADAS ATÉ 31/07/2021 - GRUPO: CUSTOS</t>
  </si>
  <si>
    <t>NOTA APROPRIADAS ATÉ 31/07/2021 - GRUPO: PROJETOS</t>
  </si>
  <si>
    <t>NOTA APROPRIADAS ATÉ 31/07/2021 - GRUPO:</t>
  </si>
  <si>
    <t>NOTA APROPRIADAS ATÉ 31/07/2021 - GRUPO: BARRACÃO</t>
  </si>
  <si>
    <t>NOTA APROPRIADAS ATÉ 31/07/2021 - GRUPO: CONSUMO DE</t>
  </si>
  <si>
    <t>NOTA APROPRIADAS ATÉ 31/07/2021 - GRUPO: CONTENÇÕES</t>
  </si>
  <si>
    <t>NOTA APROPRIADAS ATÉ 31/07/2021 - GRUPO: FUNDAÇÕES</t>
  </si>
  <si>
    <t>NOTA APROPRIADAS ATÉ 31/07/2021 - GRUPO:ESTRUTURA</t>
  </si>
  <si>
    <t>NOTA APROPRIADAS ATÉ 31/07/2021 - GRUPO:INSTALAÇÕES</t>
  </si>
  <si>
    <t>EMPREITEIRO PINTURA DECORATIVA NOVACOLOR (MAT+MO)</t>
  </si>
  <si>
    <t>NOTA APROPRIADAS ATÉ 31/07/2021 - GRUPO:ALVENARIA</t>
  </si>
  <si>
    <t>NOTA APROPRIADAS ATÉ 31/07/2021 -</t>
  </si>
  <si>
    <t>SISTEMA DE CONTROLE DE ILUMINAC¸A~O LUTRON - proposta</t>
  </si>
  <si>
    <t>SISTEMA DE REDE CABEADA E WIFI - proposta fornecida pelo clie</t>
  </si>
  <si>
    <t>SISTEMA DE AQUECIMENTO SOLAR, EQUIPAMENTOS PARA</t>
  </si>
  <si>
    <t>NOTA APROPRIADAS ATÉ 31/07/2021 - GRUPO:SERRALHERIA</t>
  </si>
  <si>
    <t>NOTA APROPRIADAS ATÉ 31/07/2021 - GRUPO:ESQUADRIAS</t>
  </si>
  <si>
    <t>NOTA APROPRIADAS ATÉ 31/07/2021 - GRUPO:PINTURAS</t>
  </si>
  <si>
    <t>NOTA APROPRIADAS ATÉ 31/07/2021 - GRUPO:ELEVADORES</t>
  </si>
  <si>
    <t>P5 - 100x285CM - SUITES - PORTAS LAQUEADA - PIVOTANTE</t>
  </si>
  <si>
    <t>P11 - 145x285CM - CIRCULAÇÃO - PORTAS LAQUEADA - CORRER</t>
  </si>
  <si>
    <t>P10 - 90x285CM - MALEIRO - PORTAS LAQUEADA - CORRER</t>
  </si>
  <si>
    <t>NOTA APROPRIADAS ATÉ 31/07/2021 - GRUPO:MATERIAL DE</t>
  </si>
  <si>
    <t>NOTA APROPRIADAS ATÉ 31/07/2021 - GRUPO:CÓPIAS E</t>
  </si>
  <si>
    <t>NOTA APROPRIADAS ATÉ 31/07/2021 - GRUPO:TRANSPORTE</t>
  </si>
  <si>
    <t>NOTA APROPRIADAS ATÉ 31/07/2021 - GRUPO:TAXA DE</t>
  </si>
  <si>
    <t>NOTA APROPRIADAS ATÉ 31/07/2021 - GRUPO:FOLHA DE</t>
  </si>
  <si>
    <t>NOTA APROPRIADAS ATÉ 31/07/2021 - GRUPO: TAXAS</t>
  </si>
  <si>
    <t>P18 - 100x325CM - LOUCEIRO / COZINHA - PORTAS LAQUEADA -</t>
  </si>
  <si>
    <t>P21 - 100x262CM -  ÁREA DE SERVIÇO - PORTAS LAQUEADA -</t>
  </si>
  <si>
    <t>P20 - 80x262CM -  DESPENSA - PORTAS LAQUEADA - PIVOTANTE</t>
  </si>
  <si>
    <t>P22 - 70x210CM -  I.S. SERVIÇO - PORTAS LAQUEADA - ABRIR</t>
  </si>
  <si>
    <t>P24 - 387x262CM - ENTRADA / A. TECNICA - ABRIR, SENDO</t>
  </si>
  <si>
    <t>P23 - (120+20)x262CM - VESTÍBULO ELEVADOR - PORTAS</t>
  </si>
  <si>
    <t>P22 - 100x240CM - MASSAGEM  - PORTAS LAQUEADA - ABRIR</t>
  </si>
  <si>
    <t>P23 - 70x240CM - I.S. ACADEMIA - PORTAS LAQUEADA - ABRIR</t>
  </si>
  <si>
    <t>P30 - 100x267CM - JOGOS/DEPÓSITO - PORTAS</t>
  </si>
  <si>
    <t>P31 - 200x267CM - JOGOS  - PORTAS LAQUEADA - CORRER</t>
  </si>
  <si>
    <t>M.O. PEDRAS NATURAIS/INDUST. ESPECIAIS</t>
  </si>
  <si>
    <t>M.O. PISOS PEDRAS NATURAIS/INDUST. ESPECIAIS</t>
  </si>
  <si>
    <t>M.O. REVESTIMENTOS ESPECIAIS - PISO</t>
  </si>
  <si>
    <t>M.O. REVESTIMENTOS ESPECIAIS - PAREDE</t>
  </si>
  <si>
    <t>IMPERMEABILIZAÇÃO DAS PEDRAS</t>
  </si>
  <si>
    <t>REJUNTE MASSA PLÁSTICA/RESINA PARA PEDRAS/PORC. -</t>
  </si>
  <si>
    <t>PISO ELEVADO H&lt;25cm - mat e mo para montagem do sistema</t>
  </si>
  <si>
    <t>PISO ELEVADO - mo assentamento de piso em réguas de granito</t>
  </si>
  <si>
    <t>M.O. RODAPÉ PEDRAS NATURAIS/INDUST. ESPECIAIS</t>
  </si>
  <si>
    <t>M.O. SOLEIRA / PEITORIL PEDRAS NATURAIS/INDUST. ESPECIAIS</t>
  </si>
  <si>
    <t>REVESTIMENTO EM PEDRA MOLEDO - MAT. E M.O</t>
  </si>
  <si>
    <t>M.O. PORCELANATO FACHADA</t>
  </si>
  <si>
    <t>COBERTURA EM POLICARBONATO MARROM EMBAIXO DO DECK -</t>
  </si>
  <si>
    <t>EMPREITEIRO DE CALÇAMENTO EM PEDRA PARALELEPÍPEDO</t>
  </si>
  <si>
    <t>P32 - 80x267CM - I.S. JOGOS - PORTAS LAQUEADA - PIVOTANTE</t>
  </si>
  <si>
    <t>P17 - ESQ. DE ALUMÍNIO - ENTRADA ÁREA DE SERVIÇO -</t>
  </si>
  <si>
    <t>PP01 - ESQ. DE ALUMÍNIO - PORTA DE CORRER - DEPÓSITO -</t>
  </si>
  <si>
    <t>PP07 - ESQ. VENEZIANA DE ALUMÍNIO - ABRIR - 70x210cm</t>
  </si>
  <si>
    <t>P12 - 430x285CM - BIBLIOTECA - PORTAS CINEX - VIDRO</t>
  </si>
  <si>
    <t>P19 - 140x325CM - COPA - PORTAS CINEX - VIDRO ACIDATO</t>
  </si>
  <si>
    <t>P2 - 160x285CM - BANHO MASTER - PORTAS CINEX - VIDRO</t>
  </si>
  <si>
    <t>P1 - 80x285CM - I.S. SUITE MASTER - PORTAS CINEX - VIDRO</t>
  </si>
  <si>
    <t>P25 - 120x267CM - GARAGEM - ABRIR</t>
  </si>
  <si>
    <t>P26 - 100x267CM - GARAGEM - CORRER</t>
  </si>
  <si>
    <t>P29 - 80x267CM - DEPÓSITO - ABRIR</t>
  </si>
  <si>
    <t>P27 - 80x210CM - ESTAR/QUARTO - ABRIR</t>
  </si>
  <si>
    <t>P28 - 70x210CM - I.S. SERVIÇO - ABRIR</t>
  </si>
  <si>
    <t>REJUNTE COM RESINA FLEXÍVEL</t>
  </si>
  <si>
    <t>M.O. - ASSENTAMENTO DE PORTAS PIVOTANTE (INCLUSIVE</t>
  </si>
  <si>
    <t>M.O. - ASSENTAMENTO DE PORTAS CORRER (INCLUSIVE</t>
  </si>
  <si>
    <t>CHUMBADOR PARA TESTEIRA DE FREEZER</t>
  </si>
  <si>
    <t>FIXAÇÃO DO COFRE NA GERÊNCIA</t>
  </si>
  <si>
    <t>CHAPISCO EXTERNO</t>
  </si>
  <si>
    <t>ESCAVAÇÃO DE VALAS - mecanizado</t>
  </si>
  <si>
    <t>MOBILIZAÇÃO DO CANTEIRO DE OBRAS, PESSOAL E</t>
  </si>
  <si>
    <t>SEGUROS -  ETAPA 2</t>
  </si>
  <si>
    <t>ALVENARIA ESTRUTURADA ESP. 15CM EM BLOCO DE</t>
  </si>
  <si>
    <t>ENSAIOS DE FUNDAÇÃO</t>
  </si>
  <si>
    <t>FORMA PARA SUPER-ESTRUTURA (ESCORAMENTO, MATERIAL E</t>
  </si>
  <si>
    <t>FECHAMENTO EM STEEL FRAME COM 01 PLACAS DE GESSO EM</t>
  </si>
  <si>
    <t>ESTRUTURA METÁLICA PARA TELHADO DA ESPANSÃO + TELHAS</t>
  </si>
  <si>
    <t>REINSTALAÇÃO E ADEQUAÇÃO DE ESCADA REMOVIDA</t>
  </si>
  <si>
    <t>ESTRUTURA AUXILIAR PARA FORRO DE GESSO PARA</t>
  </si>
  <si>
    <t>ESTRUTURA DE REFORÇO PARA ANCO RAGEM DO ACM</t>
  </si>
  <si>
    <t>ESTRUTURA AUXILIAR PARA PILARES DA PORTA</t>
  </si>
  <si>
    <t>PROJETO ARQUITETÔNICO LEGAL</t>
  </si>
  <si>
    <t>PROJETO DE DRENAGEM SUPERFICIAL</t>
  </si>
  <si>
    <t>PROJETO DE INSTALAÇÕES ELÉTRICAS,  SPDA E PARA</t>
  </si>
  <si>
    <t>PROJETO INSTALAÇÕES HIDROSSANITÁRAS</t>
  </si>
  <si>
    <t>PROCESSO LICITATÓRIO</t>
  </si>
  <si>
    <t>COORDENAÇÃO DE PROJETOS</t>
  </si>
  <si>
    <t>REFORÇO ESTRUTURAL DA ESCADA EXISTENTE - ESTIMADO</t>
  </si>
  <si>
    <t>METALON PARA DIVISÓRIAS, PREVISTO EM ÁREAS COM</t>
  </si>
  <si>
    <t>ESCADA EM CHAPA METÁLICA - Custo informado pelo cliente</t>
  </si>
  <si>
    <t>SUPORTE EM INOX 304 EM TUBO 50X20MM.1,2MM, –REF. :</t>
  </si>
  <si>
    <t>VA - 220X230 CM - VIDRO ALTO PADRÃO ARAUJO</t>
  </si>
  <si>
    <t>H1 - HASTE DE FIXAÇÃO EM AÇO INOX PARA VIDRO BAIXO</t>
  </si>
  <si>
    <t>ESP1 - 40X40 CM - ESPELHO</t>
  </si>
  <si>
    <t>COMPENSAÇÃO AMBIENTAL - TCCA</t>
  </si>
  <si>
    <t>TAXAS DIVERSAS - estimado</t>
  </si>
  <si>
    <t>ESPELHO W.C.</t>
  </si>
  <si>
    <t>P3/P4 - 80X210 CM - PORTA DE VIDRO 8MM</t>
  </si>
  <si>
    <t>CORRIMÃO EM AÇO INOX INSTALADO NA PAREDE (ESCADA +</t>
  </si>
  <si>
    <t>DIÁRIA DE PINTURA</t>
  </si>
  <si>
    <t>DIÁRIA DE LIMPEZA</t>
  </si>
  <si>
    <t>MOBILIZAÇÃO/DESMOBILIZAÇÃO DE</t>
  </si>
  <si>
    <t>EMPREITEIRO FORMA ESCADA (MAT+ M.O + ESCORAMENTO)</t>
  </si>
  <si>
    <t>EMPREITEIRO FORMA RAMPA (MAT+ MO + ESCORAMENTO)</t>
  </si>
  <si>
    <t>EMPREITEIRO FORMA BLOCOS E CINTAS (MAT. E MO)</t>
  </si>
  <si>
    <t>INSTALAÇÃO PROVISÓRIA DE ENERGIA ELÉTRICA</t>
  </si>
  <si>
    <t>ESCAVAÇÃO DE TUBULÃO (com martelete - 70%)</t>
  </si>
  <si>
    <t>ELEVADOR SOCIAL 04 PARADAS</t>
  </si>
  <si>
    <t>SISTEMA DE AR CONDICIONADO E CLIMATIZAÇÃO - mão de obra</t>
  </si>
  <si>
    <t>RALO</t>
  </si>
  <si>
    <t>TABICA</t>
  </si>
  <si>
    <t>PINTURA DO TETO OFICINA/G1</t>
  </si>
  <si>
    <t>TRATAMENTO DE CONCRETO APARENTE COM VERNIZ - TETO</t>
  </si>
  <si>
    <t>AUTOMATIZAÇÃO DA PORTA DE ENTR ADA</t>
  </si>
  <si>
    <t>AÇO CA-50 / CA-60 - CORTADO, DOBRADO E MONTADO</t>
  </si>
  <si>
    <t>CLIMATIZAÇÃO HALL TORRE 1º E 3º PAVIMENTO - Estimado</t>
  </si>
  <si>
    <t>CONSULTORIA TÉCNICA PARA ANÁLISE DE DESEMPENHO DE</t>
  </si>
  <si>
    <t>PROJETO DE INSTALAÇÕES ELÉTRICAS E HIDRÁULICAS</t>
  </si>
  <si>
    <t>ELABORAÇÃO DE PROJETOS (ARQUITETURA, INSTALAÇÕES E</t>
  </si>
  <si>
    <t>CONSULTORIA TÉCNICA PARA ELABORAÇÃO DE PROJETO DE</t>
  </si>
  <si>
    <t>MONITORAMENTO DE RUÍDO E ELABORAÇÃO DE LAUDO</t>
  </si>
  <si>
    <t>PROJETO LUMINOTÉCNICO 11º PAVIMENTO - ARQUITETURA E</t>
  </si>
  <si>
    <t>ORÇAMENTO PRELIMINAR - Custo apropriado</t>
  </si>
  <si>
    <t>CONTROLE DA ELABORAÇÃO DE PROJETOS</t>
  </si>
  <si>
    <t>PROJETO LUMINOTÉCNICO - Confirmar custo</t>
  </si>
  <si>
    <t>INSTALAÇÕES HIDRO-SANITÁRIAS - Supermercados BH - material</t>
  </si>
  <si>
    <t>PROJETO DE PAISAGISMO</t>
  </si>
  <si>
    <t>IMPERMEABILIZAÇÃO DE JARDINEIRAS COM MANTA</t>
  </si>
  <si>
    <t>SOLEIRA/ARREMATE PARA PISO VINÍLICO - QUARTOS</t>
  </si>
  <si>
    <t>AR CONDICIONADO -</t>
  </si>
  <si>
    <t>INSTALAÇÕES DE TELECOM - Mão de obra - Incluso na elétrica</t>
  </si>
  <si>
    <t>FECHAMENTO DAS CORTINAS EM PVC</t>
  </si>
  <si>
    <t>ALIMENTAÇÃO EXTRA</t>
  </si>
  <si>
    <t>ALIMENTAÇÃO (11 homens)</t>
  </si>
  <si>
    <t>R28 - ADESIVO A DEFINIR</t>
  </si>
  <si>
    <t>INSTALAÇÕES HIDROSSANITÁRIAS 1ª FASE - MATERIAL + MÃO DE</t>
  </si>
  <si>
    <t>M.O EXECUÇÃO GEOCOMPOSTO MAC DRAIN FP</t>
  </si>
  <si>
    <t>INSTALAÇÕES ELÉTRICAS E DADOS 1ª FASE - MATERIAL + MÃO</t>
  </si>
  <si>
    <t>INSTALAÇÕES DE GÁS 1ª FASE - MATERIAL + MÃO DE OBRA -</t>
  </si>
  <si>
    <t>PAINEL RIPADO ESTRUTURADO MEDINDO 167X284CM - DUNNA</t>
  </si>
  <si>
    <t>P02 - PORTA DE CORRER PISO AO TETO, MEDINDO 100X284CM,</t>
  </si>
  <si>
    <t>P05 - PAINEL PISO AO TETO COM 01 PORTA PIVOTANTE (COM</t>
  </si>
  <si>
    <t>P04 - PORTA PIVOTANTE CAMELÃO, MEDINDO 105X284CM, NA</t>
  </si>
  <si>
    <t>P06 E P07 - PAINEL PISO AO TETO COM 02 PORTAS PIVOTANTES</t>
  </si>
  <si>
    <t>P08 - PORTA PIVOTANTE CAMELÃO, MEDINDO 110X284CM, NO</t>
  </si>
  <si>
    <t>P09 - PORTA PIVOTANTE CAMELÃO, MEDINDO 127X284CM, NO</t>
  </si>
  <si>
    <t>P10 E P11 - PAINEL PISO AO TETO ESTRUTURADO COM 02</t>
  </si>
  <si>
    <t>P12 - PORTA DE CORRER PISO AO TETO, MEDINDO 165X284.5,</t>
  </si>
  <si>
    <t>P13 - PAINEL COM 01 PORTA PIVOTANTE CAMELÃO</t>
  </si>
  <si>
    <t>P14 - PORTA DE CORRER PISO AO TETO, MEDINDO 100X284CM,</t>
  </si>
  <si>
    <t>P16 - PAINEL COM 01 PORTA PIVOTANTE CAMELÃO</t>
  </si>
  <si>
    <t>P17 - PORTA PIVOTANTE CAMELÃO, MEDINDO 950X284CM, NO</t>
  </si>
  <si>
    <t>P19 - PORTA PISO AO TETO CAMALEÃO REFORÇADA, MEDINDO</t>
  </si>
  <si>
    <t>P20 - PORTA DE CORRER PISO AO TETO, MEDINDO 160X284.5</t>
  </si>
  <si>
    <t>P22 - PAINEL PISO AO TETO ESTRUTURADO COM 01 PORTA</t>
  </si>
  <si>
    <t>P23 E P24 - PAINEL PISO AO TETO EM "L" COM 02 PORTAS</t>
  </si>
  <si>
    <t>PAINEL PISO AO TETO CONTORNANDO PARTE DO LAVABO</t>
  </si>
  <si>
    <t>P25 - PORTA PIVOTANTE (COM PIVÔ DESLOCADO), MEDINDO</t>
  </si>
  <si>
    <t>P26 E P27 - PAINEL PISO AP TETO COM 02 PORTAS DE CORRER</t>
  </si>
  <si>
    <t>P28 E P29 - PORTA PISO AO TETO SLIM MEDINDO 96X284CM,</t>
  </si>
  <si>
    <t>P30 - PORTA DE CORRER, PARA RECEBER SISTEMA DORMA,</t>
  </si>
  <si>
    <t>P31 - PORTA PISO AO TETO SLIM, MEDINDO 85X284CM, NO</t>
  </si>
  <si>
    <t>P32 - PORTA PISO AO TETO SLIM, MEDINDO 95X284CM, NO</t>
  </si>
  <si>
    <t>P33 - PORTA PISO AO TETO SLIM, MEDINDO 100X284CM, NO</t>
  </si>
  <si>
    <t>P34 - PORTA PISO AO TETO SLIM, MEDINDO 80X284CM, NO</t>
  </si>
  <si>
    <t>P35 - PORTA PISO AO TETO CAMALEÃO, MEDINDO 110X284CM,</t>
  </si>
  <si>
    <t>P36 - PORTA DE CORRER, PARA RECEBER SISTEMA DORMA,</t>
  </si>
  <si>
    <t>P37 - PORTA DE CORRER MEDINDO 140X284CM, NA COPA DE</t>
  </si>
  <si>
    <t>P38 - PAINEL PISO AO TETO COM 01 PORTA PIVOTANTE</t>
  </si>
  <si>
    <t>P39 - PAINEL PISO AO TETO COM 01 PORTA PIVOTANTE</t>
  </si>
  <si>
    <t>P40 - PAINEL PISO AO TETO COM 01 PORTA PIVOTANTE</t>
  </si>
  <si>
    <t>MÓVEL SOB BANCADA, MEDINDO 150X54X20CM, COM 03</t>
  </si>
  <si>
    <t>MÓVEL SOB BANCADA, MEDINDO 120X54X20CM, COM 02</t>
  </si>
  <si>
    <t>MÓVEL SOB BANCADA, MEDINDO 225X54X20CM, COM 03</t>
  </si>
  <si>
    <t>MÓVEL SOB BANCADA, MEDINDO 175X54X20CM, COM 03</t>
  </si>
  <si>
    <t>02 MÓVEIS SOB BANCADA, MEDINDO 200X54X30CM, COM 02</t>
  </si>
  <si>
    <t>MÓVEL MEDINDO 320X75X284CM, COM NICHO COM 05</t>
  </si>
  <si>
    <t>ARMÁRIO COM 02 PORTAS EM VENEZIANA MEDINDO</t>
  </si>
  <si>
    <t>MÓVEL PISO AO TETO COM 12 PORTAS PISO AO TETO (02</t>
  </si>
  <si>
    <t>APARADORES MEDINDO 250X50X80CM COM 02 GAVETAS E 01</t>
  </si>
  <si>
    <t>MÓVEL PISO AO TETO COM 06 PORTAS PISO AO TETO, MEDINDO</t>
  </si>
  <si>
    <t>REFORÇO ACIMA DO GESSO PARA PORTAS (SERVIÇO</t>
  </si>
  <si>
    <t>DEMOLIÇÃO DE MEZANINO DE MADEIRA E=25 CM</t>
  </si>
  <si>
    <t>REMOÇÃO DE ESCADA METÁLICA</t>
  </si>
  <si>
    <t>REGULARIZAÇÃO DO TERRENO DOS FUNDOS DA LOJA PARA</t>
  </si>
  <si>
    <t>P01 E P03 - PORTA PIVOTANTE CAMELÃO SEMIACÚSTICA, COM</t>
  </si>
  <si>
    <t>ESTRUTURA PARA MARQUISE DA VARANDA</t>
  </si>
  <si>
    <t>J2/J3/J4 - REISNTALAÇÃO DE JANELAS VENEZIANAS EXISTENTES</t>
  </si>
  <si>
    <t>ENCHIMENTO DE PISO PARA NIVELAMENTO DA</t>
  </si>
  <si>
    <t>ESTRUTURA PARA PATAMAR DA ESCADA - ESTIMADO</t>
  </si>
  <si>
    <t>COBERTURA AREA DESCOBERTA</t>
  </si>
  <si>
    <t>MANUTENÇÃO DO TELHADO</t>
  </si>
  <si>
    <t>CHAPAS DE AÇO INOX 50X80CM EM PORTAS EXISTENTES</t>
  </si>
  <si>
    <t>P10 - 90X210 CM - PORTA METÁLICA DE ACESSO A SOBRELOJA</t>
  </si>
  <si>
    <t>GRADE DE PROTEÇÃO CEMIG</t>
  </si>
  <si>
    <t>GRADE DE PROTEÇÃO COPASA</t>
  </si>
  <si>
    <t>PORTINHOLA DE MANUTENÇÃO DA PLATAFORMA DE</t>
  </si>
  <si>
    <t>REFORÇO ESTRUTURAL PARA MONTA CARGA MC1</t>
  </si>
  <si>
    <t>ESTRUTURA METÁLICA PARA MÁQUINAS CLIMATIZADORAS</t>
  </si>
  <si>
    <t>DECK. REF. G19 GRIS BROUILLARD FORN.: OSCAR ONO -</t>
  </si>
  <si>
    <t>PISO VINÍLICO INTERFLOOR INTER WOOD ABANO WR 311 3mm</t>
  </si>
  <si>
    <t>RODAPÉ DE MDF EMBUTIDO COM PERFIL (PINTURA ESPECIAL</t>
  </si>
  <si>
    <t>FUNDAÇÃO PROFUNDA (ESTIMADO)</t>
  </si>
  <si>
    <t>REMOÇÃO LAJE PRÉ-MOLDADA - MEZANINO EXISTENTE</t>
  </si>
  <si>
    <t>REMOÇÃO DE PORTÃO METÁLICO</t>
  </si>
  <si>
    <t>REMOÇÃO DE ESCADA METALICA</t>
  </si>
  <si>
    <t>REMOÇÃO DE ESTRUTURA METÁLICA EXISTENTE NA FACHADA</t>
  </si>
  <si>
    <t>REMOÇÃO DE LUMINÁRIAS E REDE ELÉTRICA EXISTENTE</t>
  </si>
  <si>
    <t>ESTRUTURA AUXILIAR PARA DRY-WALL DE FECHAMENTO DA</t>
  </si>
  <si>
    <t>FERRO CABELO PARA JUNÇÃO DE ESTRUTURA METÁLICA E</t>
  </si>
  <si>
    <t>ESCADA METÁLICA PARA ACESSO AO 2º PAVIMENTO + CHAPA</t>
  </si>
  <si>
    <t>MANUTENÇÃO DE CALHAS E RUFOS NAS COBERTURAS</t>
  </si>
  <si>
    <t>INSTALAÇÕES AR CONDICIONADO - Proposta Grupo Orlando</t>
  </si>
  <si>
    <t>INSTALAÇÕES ÁUDIO, VÍDEO E AUTOMAÇÃO - Proposta Master</t>
  </si>
  <si>
    <t>RUFOS EM CHAPA GALVANIZADA</t>
  </si>
  <si>
    <t>M.O. FORMA</t>
  </si>
  <si>
    <t>ESTRUTURA METÁLICA PARA MEZANINO</t>
  </si>
  <si>
    <t>ESTURUTURA AUXILIAR PARA PLACA CIMENTÍCIA</t>
  </si>
  <si>
    <t>REMOÇÃO DE LUXALON DA FACHADA</t>
  </si>
  <si>
    <t>LEVANTAMENTO ARBÓREO: ATUALIZAÇÃO DO PROJETO</t>
  </si>
  <si>
    <t>IS9147</t>
  </si>
  <si>
    <t>Sistema de ar comprimido</t>
  </si>
  <si>
    <t>PA3 - PORTA DE AÇO DE ENROLAR</t>
  </si>
  <si>
    <t>Pele de vidro</t>
  </si>
  <si>
    <t>IS9189</t>
  </si>
  <si>
    <t>Comunicação visual da loja</t>
  </si>
  <si>
    <t>RECOMPOSIÇÃO DE PISO PORCELANATO 40X40CM EXISTENTE</t>
  </si>
  <si>
    <t>SLATWALL (390 X 220CM)</t>
  </si>
  <si>
    <t>VB - 511X105 CM - VIDRO BAIXO PADRÃO ARAUJO</t>
  </si>
  <si>
    <t>ECOGRANITO GREY STONE 400 COM PAGINAÇÃO APROXIMADA</t>
  </si>
  <si>
    <t>REVESTIMENTO EM DRYWALL ST - UMA FACE</t>
  </si>
  <si>
    <t>M.O. RODAPÉ/SOLEIRA/PEITORIL PORCELANATO</t>
  </si>
  <si>
    <t>M.O. RODAPÉ/SOLEIRA/PEITORIL GRANITO</t>
  </si>
  <si>
    <t>EMPREITEIRO PINTURA ESMALTE SOBRE PERFILADOS/CALHAS</t>
  </si>
  <si>
    <t>EMPREITEIRO PINTURA DE DEMARCAÇÃO DE VAGAS (MAT+MO)</t>
  </si>
  <si>
    <t>M.O. - ARMAÇÃO (CORTE, DOBRA E MONTAGEM)</t>
  </si>
  <si>
    <t>M.O. INSTALAÇÃO DE ESQUADRIA M</t>
  </si>
  <si>
    <t>CONCRETO ESPECIAL BOMBEADO FCK 25MPa SLUMP 22±2CM</t>
  </si>
  <si>
    <t>GRADIL DE METALON EXTRA</t>
  </si>
  <si>
    <t>SAUNA E PERGOLADO</t>
  </si>
  <si>
    <t>MOBILIZAÇÃO DE EQUIPAMENTO PAR</t>
  </si>
  <si>
    <t>ESTACA TIPO RAIZ Ø250mm</t>
  </si>
  <si>
    <t>DEMOLIÇÃO DE BLOCOS</t>
  </si>
  <si>
    <t>PROJETOS EXECUTIVOS (ARQUITETURA, CONTENÇÃO,</t>
  </si>
  <si>
    <t>VEDAÇÕES - DRYWALL ST/ST</t>
  </si>
  <si>
    <t>TAPUME LISO PARA PLOTAGEM POSTERIOR, PLOTAGEM NÃO</t>
  </si>
  <si>
    <t>INSTALAÇÃO DA SUBESTAÇÃO</t>
  </si>
  <si>
    <t>PAINEL LED QUADRADO 18W 22CM 6000K LUZ BRANCA FRIA</t>
  </si>
  <si>
    <t>Licenças R$ 10.000 e alvará R$ 31.882,41 (taxa de fiscalizaçã</t>
  </si>
  <si>
    <t>ADEQUAÇÕES VESTIÁRIOS, ARS E DML</t>
  </si>
  <si>
    <t>ADITIVO IMPERMEABILIZANTE</t>
  </si>
  <si>
    <t>ESCAVAÇÃO MANUAL DE VALAS</t>
  </si>
  <si>
    <t>ACERTO E APILOAMENTO DE FUNDO DE VALAS - estimado</t>
  </si>
  <si>
    <t>EMPREITEIRO DE FORMA PARA BLOCOS / CINTAS /</t>
  </si>
  <si>
    <t>REMOÇÃO DE MARQUISE DA FACHADA</t>
  </si>
  <si>
    <t>REMOÇÃO DE TESTEIRA NA ENTRADA DA LOJA</t>
  </si>
  <si>
    <t>REMOÇÃO DE LUXALON EXISTENTE</t>
  </si>
  <si>
    <t>REMOÇÃO DE PLACAS LUMINOSAS EXISTENTES</t>
  </si>
  <si>
    <t>LAJE PISO WALL PARA MEZANINO</t>
  </si>
  <si>
    <t>ADEQUAÇÃO DA COBERTURA EXISTENTE NO LOCAL DA</t>
  </si>
  <si>
    <t>PÓRTICO DE ENTRADA - ACESSO CLIENTE</t>
  </si>
  <si>
    <t>FORNECIMENTO E INSTALAÇÃO DE CALHAS E RUFOS PARA</t>
  </si>
  <si>
    <t>REFORÇO ESTRUTURAL PARA ABERTURA DE VÃO NA FACHADA</t>
  </si>
  <si>
    <t>RECUPERAÇÃO DE PISO PORCELANATO PAMESA TENERIFE</t>
  </si>
  <si>
    <t>PA1 - 197X300CM - PORTA DE METÁLICA DE ENROLAR</t>
  </si>
  <si>
    <t>P4 - 120X80CM - ALÇAPÃO METÁLICO DE ACESSO À CAIXA</t>
  </si>
  <si>
    <t>J1 - 110X60CM - VENEZIANA METÁLICA VENTILADA PADRÃO</t>
  </si>
  <si>
    <t>JE- 60X60CM - LIMPEZA, RECUPERAÇÃO E TROCA DE VIDROS</t>
  </si>
  <si>
    <t>RECUPERAÇÃO RODAPÉ EM GRANITO PRETO SÃO GABRIEL</t>
  </si>
  <si>
    <t>RECUPERAÇÃO RODAPÉ EM GRANITO CINZA CORUMBÁ H=10CM</t>
  </si>
  <si>
    <t>RECUPERAÇÃO RODAPÉ EM ARDÓSIA POLIDA H=10CM</t>
  </si>
  <si>
    <t>PROTEÇÃO DE GONDOLAS COM TECIDO POLIESTER</t>
  </si>
  <si>
    <t>LIMPEZA E ADEQUAÇÃO DO PISO DO ESTACIONAMENTO - 20%</t>
  </si>
  <si>
    <t>MANUTENÇÃO DE CANTEIRO EXISTENTE NO ESTACIONAMENTO</t>
  </si>
  <si>
    <t>LIMPEZA E ADEQUAÇÃO DE PILAR CILINDRICO REVESTIDO EM</t>
  </si>
  <si>
    <t>PLACA "24 HORAS" PADRÃO ARAÚJO</t>
  </si>
  <si>
    <t>RETIRADA DE CANCELAS DO LOCAL ATUAL E REINSTALAÇÃO NA</t>
  </si>
  <si>
    <t>MANUTENÇÃO NO TÓTEM EXISTENTE DA ARAUJO</t>
  </si>
  <si>
    <t>LIMPEZA EXTERNA</t>
  </si>
  <si>
    <t>REATERRO COMPACTADO DE VALAS</t>
  </si>
  <si>
    <t>PORTA DE METÁLICA DE ENROLAR AUTOMÁTICA 2,12 X 2,46 M</t>
  </si>
  <si>
    <t>PORTA DE METÁLICA DE ENROLAR AUTOMÁTICA 3,17 X 4,10 M</t>
  </si>
  <si>
    <t>PORTA DE METÁLICA DE ENROLAR AUTOMÁTICA 3,14 X 4,10 M</t>
  </si>
  <si>
    <t>PORTA DE METÁLICA DE ENROLAR AUTOMÁTICA 3,11 X 3,54 M</t>
  </si>
  <si>
    <t>PORTA DE METÁLICA DE ENROLAR AUTOMÁTICA 3,28 X 3,54 M</t>
  </si>
  <si>
    <t>ESTRUTURA PARA TESTEIRA INTERMEDIÁRIA DA LOJA</t>
  </si>
  <si>
    <t>ESTRUTURA PARA MARQUISE</t>
  </si>
  <si>
    <t>REFORÇO DRY WALL (MEZANINO X LOJA)</t>
  </si>
  <si>
    <t>PL2 - LETREIRO "ARAUJO" EM LETRAS CAIXA DE ACRÍLICO,</t>
  </si>
  <si>
    <t>REVESTIMENTO EM CHAPA DE ACM COR AZUL PADRÃO ARAUJO</t>
  </si>
  <si>
    <t>APLICAÇÃO DE FUNDO FOSFATIZANTE</t>
  </si>
  <si>
    <t>REFORÇO DRY WALL (ESCADA X DML)</t>
  </si>
  <si>
    <t>REFORÇO PARA COBERTURA</t>
  </si>
  <si>
    <t>PERFIL CARTOLA PARA APOIO DE TELHA</t>
  </si>
  <si>
    <t>FORNECIMENTO E INSTALAÇÃO DE TERÇA PARA FIXAÇÃO DE</t>
  </si>
  <si>
    <t>INSTALAÇÃO DE TELHAS METÁLICAS</t>
  </si>
  <si>
    <t>INSTALAÇÃO DE CALHAS</t>
  </si>
  <si>
    <t>FORNECIMENTO DE TELHA METÁLICA</t>
  </si>
  <si>
    <t>INSTALAÇÃO DE RUFO</t>
  </si>
  <si>
    <t>LETREIRO "A" PADRÃO ARAÚJO EM LETRAS CAIXA ALTA DE</t>
  </si>
  <si>
    <t>TOTEM PADRÃO ARAÚJO FIXADA EM ESTRUTURA</t>
  </si>
  <si>
    <t>TOTEM PADRÃO ARAÚJO FIXADA EM POSTE</t>
  </si>
  <si>
    <t>RESTIMENTO EM ACM BRANCO</t>
  </si>
  <si>
    <t>DEMOLIÇÃO DO PASSEIO EXISTENTE COM RETROESCAVADEIRA</t>
  </si>
  <si>
    <t>MASTIQUE EM PU PARA ESTUCAMENTO DO PISO</t>
  </si>
  <si>
    <t>LIMPEZA ÁREA EXTERNA</t>
  </si>
  <si>
    <t>REMOÇÃO DE JANELA</t>
  </si>
  <si>
    <t>DEMOLIÇÃO DE PASSEIO EXISTENTE COM RETROESCAVADEIRA</t>
  </si>
  <si>
    <t>BOTA FORA DE MATERIAL DEMOLIDO COM CAMINHÃO TRUCK</t>
  </si>
  <si>
    <t>ESTRUTURA PARA MEZANINO + PISO WALL E ESCADA</t>
  </si>
  <si>
    <t>PISO EXISTENTE - CONSIDERAR LIMPEZA E APLICAÇÃO DE</t>
  </si>
  <si>
    <t>FIXAÇÃO DE CORRIMÃO</t>
  </si>
  <si>
    <t>ALVENARIA DE VEDAÇÃO COM BLOCO DE CONCRETO,ESP= 14</t>
  </si>
  <si>
    <t>ENCUNHAMENTO DE ALVENARIAS COM ARGAMASSA EXPANSIVA</t>
  </si>
  <si>
    <t>REFORÇO NO DRY WALL PARA TELA</t>
  </si>
  <si>
    <t>REBOCO INTERNO + PONTO DE MASSSA</t>
  </si>
  <si>
    <t>EMBOÇO INTERNO + PONTO DE MASSSA</t>
  </si>
  <si>
    <t>PISO EM CONCRETO COM ACABAMENTO SELADO / POLIDO -</t>
  </si>
  <si>
    <t>PISO EM CONCRETO COM ACABAMENTO CAMURÇADO - 5t/m2</t>
  </si>
  <si>
    <t>BASE - FUNDAÇÃO OU SOB O PISO EM CONCRETO G20</t>
  </si>
  <si>
    <t>M.O. ASSENTAMENTO CONTRAMARCO DE ALUMÍNIO</t>
  </si>
  <si>
    <t>INSTALAÇÃO DE ESQUADRIAS METÁLICAS/SERRALHERIA</t>
  </si>
  <si>
    <t>REBOCO EXTERNO</t>
  </si>
  <si>
    <t>GESSO CORRIDO MESTRADO PAREDE</t>
  </si>
  <si>
    <t>FECHAMENTO DA PLATIBANDA EM ACM (cores conforme cada</t>
  </si>
  <si>
    <t>JUNTA DE DILATAÇÃO - SHOWROOM (P.D.=8,0M)</t>
  </si>
  <si>
    <t>JUNTA DE DILATAÇÃO</t>
  </si>
  <si>
    <t>IMPERMEABILIZAÇÃO DE LAJE PLANA COM MANTA ASFÁLTICA 4</t>
  </si>
  <si>
    <t>IMPERMEABILIZAÇÃO DE LAJE PLANA COM MANTA ASFÁLTICA</t>
  </si>
  <si>
    <t>VERBA ESTIMADA PARA DEMOLIÇÃO, ESCAVAÇÃO E</t>
  </si>
  <si>
    <t>VERBA ESTIMADA PARA MURO DE ARRIMO (SEM PROJETO)</t>
  </si>
  <si>
    <t>RECUPERAÇÃO DE PISO EM MARMORITE EXISTENTE</t>
  </si>
  <si>
    <t>ESTRUTURA AUXILIAR PARA FORRO DE GESSO</t>
  </si>
  <si>
    <t>REMOÇÃO DE FORRO PVC</t>
  </si>
  <si>
    <t>MATERIAL E INSTALAÇÃO DE VIDROS DA LOJA E SOBRELOJA</t>
  </si>
  <si>
    <t>TAPUME</t>
  </si>
  <si>
    <t>BASE DE CONCRETO PARA CANCELA + CANCELA + COBERTURA</t>
  </si>
  <si>
    <t>RAMPA DE ACESSO À VARANDA</t>
  </si>
  <si>
    <t>REMOÇÃO E REAPLIAÇÃO DE REJUNTE DO PISO</t>
  </si>
  <si>
    <t>REMOÇÃO E MOBILIZAÇÃO DE COFRES PARA REINSTALAÇÃO</t>
  </si>
  <si>
    <t>READEQUAÇÃO DE GRADES DOS FUNDOS DA LOJA</t>
  </si>
  <si>
    <t>ESTRUTURA AUXILIAR PARA PLACA CIMENTICIA DA TRELIÇA DA</t>
  </si>
  <si>
    <t>REVESTIMENTO EM ACM PARA CAIXA DE PORTA (2096 X 65 + 65</t>
  </si>
  <si>
    <t>VERBA PARA PINTURAS VIÁRIAS DE ESTACIONAMENTO</t>
  </si>
  <si>
    <t>REGULARIZAÇÃO DO PASSEIO EXISTENTE</t>
  </si>
  <si>
    <t>PINTURA DA LOJA, SOBRELOJA E EXTERNA</t>
  </si>
  <si>
    <t>PINTURA DAS FACHADAS DA LOJA, ESTACIONAMENTO E</t>
  </si>
  <si>
    <t>PINTURA DA LOJA, SOBRELOJA E AMPLIAÇÃO E FACHADA</t>
  </si>
  <si>
    <t>ARMÁRIO 45X50X180</t>
  </si>
  <si>
    <t>ESTUDO DE AR CONDICIONADO - estimado</t>
  </si>
  <si>
    <t>ESTANTES ARMAZENAGEM 120X44 CM</t>
  </si>
  <si>
    <t>CHAPÉU DE MURO EM CONCRETO LARG. = 19 CM</t>
  </si>
  <si>
    <t>GELADEIRA 70X70X180</t>
  </si>
  <si>
    <t>FORRO DE GESSO - SHOWROOM (P.D.=8,0M)</t>
  </si>
  <si>
    <t>SANCA EM GESSO L=25CM - Projeto luminotécnico</t>
  </si>
  <si>
    <t>DIVISÓRIA EM PVC</t>
  </si>
  <si>
    <t>VÃOS DE PORTA DA DIVISÓRIA SANITÁRIA EM PVC - COM TARJETA</t>
  </si>
  <si>
    <t>TEXTURA COR BRANCO GELO REF. SUVINIL</t>
  </si>
  <si>
    <t>PASSEIO EM CONCRETO COM ACABAMENTO CAMURÇADO</t>
  </si>
  <si>
    <t>PAVIMENTAÇÃO INTERTRAVADA</t>
  </si>
  <si>
    <t>MESAS 80X61X84</t>
  </si>
  <si>
    <t>MESAS ÁREA 93X50X84</t>
  </si>
  <si>
    <t>MESAS ÁREA 80X61X84</t>
  </si>
  <si>
    <t>SELADORES DE BANCADA</t>
  </si>
  <si>
    <t>PISO TÁTIL TIPO ALERTA/DIRECIONAL - LADRILHO</t>
  </si>
  <si>
    <t>DEMOLIÇÃO DE ALVENARIA 14 CM</t>
  </si>
  <si>
    <t>SARJETA DE CONCRETO L=40CM</t>
  </si>
  <si>
    <t>PORTÃO 1 - 501 x 208cm - POSTE E TELA NYLOFOR 3D COM</t>
  </si>
  <si>
    <t>PORTÃO 2 - 570 x 208cm - POSTE E TELA NYLOFOR 3D COM</t>
  </si>
  <si>
    <t>PORTÃO 3 - 151 x 208cm - POSTE E TELA NYLOFOR 3D COM</t>
  </si>
  <si>
    <t>GRAMA - ÁREA EXTERNA</t>
  </si>
  <si>
    <t>VALE TRANSPORTE (EXTRA)</t>
  </si>
  <si>
    <t>M.O. ASSENTAMENTO DE MEIO FIO DE RUA</t>
  </si>
  <si>
    <t>EMPREITEIRO PINTURA ESMALTE SOBRE PERFILADOS, TUBOS E</t>
  </si>
  <si>
    <t>EMPREITEIRO DE PINTURA ACRÍLICA SEM MASSA (MAT+MO)</t>
  </si>
  <si>
    <t>EMPREITEIRO DE PINTURA ACRÍLICA COM MASSA (MAT+MO)</t>
  </si>
  <si>
    <t>EMPREITEIRO DE PINTURA ESMALTE COM MASSA (MAT+MO)</t>
  </si>
  <si>
    <t>TEXTURA ROLADA + PINTURA NA COR BRANCA REF.: SHERWIN</t>
  </si>
  <si>
    <t>ATERRO COMPACTADO DO TERRENO, EM CAMADAS DE 20CM DE</t>
  </si>
  <si>
    <t>PL1 - 700X150CM - PLACA LUMINOSA FIXADA NO TETO PADRÃO</t>
  </si>
  <si>
    <t>ESTRUTURA PARA PLACA LUMINOSA</t>
  </si>
  <si>
    <t>TESTE DE CARGA DE FUNDAÇÃO</t>
  </si>
  <si>
    <t>STEEL FRAME + DRYWALL UMA FACE ST + PLACA CIMENTÍCIA</t>
  </si>
  <si>
    <t>DIVISÓRIA NAVAL PADRÃO ARAUJO</t>
  </si>
  <si>
    <t>MONTA CARGA MC1 - TÉRREO</t>
  </si>
  <si>
    <t>EMPRETEIRO ESCAVAÇÃO MANUAL DE VALA</t>
  </si>
  <si>
    <t>M.O. CHAPISCO CONTRA-BARRANCO</t>
  </si>
  <si>
    <t>ESCAVAÇÃO DE TUBULÃO MECANIZADO - Ø90cm</t>
  </si>
  <si>
    <t>ESCAVAÇÃO DE TUBULÃO MECANIZADO - Ø100cm</t>
  </si>
  <si>
    <t>M.O. COLOCAÇÃ DE MANILHA EM FUNDAÇÃO</t>
  </si>
  <si>
    <t>EXECUÇÃO DOS TIRANTES CONFORME PROJETO</t>
  </si>
  <si>
    <t>FECHAMENTO EM PERFIL CAIXA COMO ESTRUTURA E VIDRO</t>
  </si>
  <si>
    <t>GC1A - GUARDA-CORPO COM CORRIMÃO - EM VIDRO INCOLOR</t>
  </si>
  <si>
    <t>PORTA PARA DIVISÓRIA DE GRANITO 60X200CM</t>
  </si>
  <si>
    <t>JP1 - 150 X 100 CM - JANELAS DE ALUMÍNIO COM VIDRO</t>
  </si>
  <si>
    <t>JP2 - 90 X 100 CM - JANELAS DE ALUMÍNIO COM VIDRO</t>
  </si>
  <si>
    <t>FECHAMENTO EM VIDRO TEMPERADO - HALL ELEVADOR</t>
  </si>
  <si>
    <t>ESTRUTURA AUXILIAR PARA BRISE</t>
  </si>
  <si>
    <t>PROTETORES EM TUBO DE FERRO GALVANIZADO 2" (M)</t>
  </si>
  <si>
    <t>REVESTIMENTO: LAMINADO MELAMINICO FORMICA AMADEIRADO</t>
  </si>
  <si>
    <t>PAPEL/PAINEL DE PAREDE - QUARTO JOÃO/ARTHUR</t>
  </si>
  <si>
    <t>ESPELHO PRATA BANHO SERVIÇO</t>
  </si>
  <si>
    <t>PISO EM CONCRETO PERMEÁVEL FUNDIDO "IN LOCO"</t>
  </si>
  <si>
    <t>ARGAMASSA POLIMÉRICA (MAT.+M.O.)</t>
  </si>
  <si>
    <t>MARCENARIA - Contrato Silmar</t>
  </si>
  <si>
    <t>IMPERMEABILIZAÇÃO COM MANTA ASFÁLTICA ALUMINIZADA 3MM,</t>
  </si>
  <si>
    <t>SISTEMA DE PRESSURIZAÇÃO DE ESCADA</t>
  </si>
  <si>
    <t>IS9736</t>
  </si>
  <si>
    <t>DIVISÓRIA SANITÁRIA REVESTIDA EM FÓRMICA PRETA FOSCA</t>
  </si>
  <si>
    <t>PINTURA DE VAGAS - SÍMBOLO IDOSO</t>
  </si>
  <si>
    <t>PP01 - PORTA PAINEL PIVOTANTE - AUDITORIO / REUNIÕES PAV</t>
  </si>
  <si>
    <t>PP02 - PORTA PAINEL PIVOTANTE - SANITARIOS PNE PAV</t>
  </si>
  <si>
    <t>M.O. REBOCO PROJETADO, INCLUINDO LIMPEZA E</t>
  </si>
  <si>
    <t>PROJETO DO PRECENDE - RELATORIO ORIENTATIVO</t>
  </si>
  <si>
    <t>PROJETO INSTALAÇÕES DE GÁS</t>
  </si>
  <si>
    <t>PROJETO DE IRRIGAÇÃO</t>
  </si>
  <si>
    <t>PROJETO ELÉTRICO, HIDRÁULICO E TELECOM SUPERMERCADO</t>
  </si>
  <si>
    <t>VERIFICAÇÃO DE CONFORMIDADE PROJETO ESTRUTURAL</t>
  </si>
  <si>
    <t>PROJETO ESTRUTURAL NOVO MONTA CARGA, CAIXA DE</t>
  </si>
  <si>
    <t>PROJETO INCÊNDIO (REVISÕES E APROVAÇÕES CORPO</t>
  </si>
  <si>
    <t>PROJETO REBOCO FACHADA</t>
  </si>
  <si>
    <t>PROJETO DETALHAMENTO ARQUITETÔNICO</t>
  </si>
  <si>
    <t>REVISÃO PROJETO ARQUITETÔNICO EXECUTIVO</t>
  </si>
  <si>
    <t>PLATELEIRA EM INOX 250X60CM</t>
  </si>
  <si>
    <t>PLATELEIRA EM INOX 500X60CM</t>
  </si>
  <si>
    <t>P502 - 80 x 210cm - PORTA DE MADEIRA COM ACABAMENTO NA</t>
  </si>
  <si>
    <t>P503 - 90 x 210cm - PORTA DE MADEIRA COM ACABAMENTO NA</t>
  </si>
  <si>
    <t>P509 - 80 x 210cm - PORTA DE ABRIR SIMPLES, EM MADEIRA COM</t>
  </si>
  <si>
    <t>P510 - 90 x 210cm - PORTA DE ABRIR SIMPLES, EM MADEIRA COM</t>
  </si>
  <si>
    <t>P506 - 100 x 210cm - PORTA DE ABRIR SIMPLES, EM MADEIRA</t>
  </si>
  <si>
    <t>P507 - 120 x 210cm - PORTA DE ABRIR DUAS FOLHAS, EM</t>
  </si>
  <si>
    <t>P2 - 80 x 218cm - VENEZIANA VAZADA EM ALUMÍNIO COM PINTURA</t>
  </si>
  <si>
    <t>P8 - 100 x 218cm - VENEZIANA VAZADA DE ALUMÍNIO COM</t>
  </si>
  <si>
    <t>P501 - 80 x 210cm - PORTA DE VIDRO FUMÊ COM ESTRUTURA NA</t>
  </si>
  <si>
    <t>P502B - 80 x 210cm - VENEZIANA VAZADA EM ALUMÍNIO</t>
  </si>
  <si>
    <t>P38 - 200 x 218cm - VENEZIANA VAZADA EM ALUMÍNIO COM</t>
  </si>
  <si>
    <t>J44 - 120 x 118cm - ALUMÍNIO COM PINTURA ELETROSTÁTICA</t>
  </si>
  <si>
    <t>TRATAMENTO DE CONCRETO APARENTE COM VERNIZ (COMUM) -</t>
  </si>
  <si>
    <t>J502 - 120 x 120cm - JANELA EM VIDRO TEMPERADO INCOLOR</t>
  </si>
  <si>
    <t>J503 - 100 x 80cm - JANELA EM VIDRO TEMPERADO INCOLOR</t>
  </si>
  <si>
    <t>J504 - 260 x 140cm - ALUMÍNIO COM PINTURA ELETROSTÁTICA</t>
  </si>
  <si>
    <t>ESTRUTURA AUXILIAR PARA STEEL FRAME - REFORÇO PARA</t>
  </si>
  <si>
    <t>J505 - 140 x 80cm - ALUMÍNIO COM PINTURA ELETROSTÁTICA</t>
  </si>
  <si>
    <t>J506 - 250 x 140cm - ALUMÍNIO COM PINTURA ELETROSTÁTICA</t>
  </si>
  <si>
    <t>J507 - 390 x 140cm - ALUMÍNIO COM PINTURA ELETROSTÁTICA</t>
  </si>
  <si>
    <t>J508 - 130 x 80cm - ALUMÍNIO COM PINTURA ELETROSTÁTICA</t>
  </si>
  <si>
    <t>J508A - 105 x 80cm - ALUMÍNIO COM PINTURA ELETROSTÁTICA</t>
  </si>
  <si>
    <t>J509 - 130 x 110cm - ALUMÍNIO COM PINTURA ELETROSTÁTICA</t>
  </si>
  <si>
    <t>J510 - 370 x 110cm - ALUMÍNIO COM PINTURA ELETROSTÁTICA</t>
  </si>
  <si>
    <t>J511 - 295 x 140cm - ALUMÍNIO COM PINTURA ELETROSTÁTICA</t>
  </si>
  <si>
    <t>J512 - 175 x 140cm - ALUMÍNIO COM PINTURA ELETROSTÁTICA</t>
  </si>
  <si>
    <t>J513 - 400 x 140cm - ALUMÍNIO COM PINTURA ELETROSTÁTICA</t>
  </si>
  <si>
    <t>J514 - 345 x 140cm - ALUMÍNIO COM PINTURA ELETROSTÁTICA</t>
  </si>
  <si>
    <t>VZ500 - 320 x 100cm - VENEZIANAS EM ALUMÍNIO COM</t>
  </si>
  <si>
    <t>VZ501 - 220 x 100cm - VENEZIANAS EM ALUMÍNIO COM</t>
  </si>
  <si>
    <t>CORRIMÃO DUPLO EM AÇO INOX H=70/92CM</t>
  </si>
  <si>
    <t>GUARDA-CORPO INOX H=1,30M</t>
  </si>
  <si>
    <t>PROJETO VIÁRIO - PROJETO, RELATÓRIO E APROVAÇÃO</t>
  </si>
  <si>
    <t>REAPROVAÇÃO PROJETO ARQUITETÔNICO E CONDUÇÃO</t>
  </si>
  <si>
    <t>PROJETO DE DEMOLIÇÃO: ATUALIZAÇÃO E MEMÓRIA DE</t>
  </si>
  <si>
    <t>TERRAPLENAGEM  + DEMOLIÇÃO</t>
  </si>
  <si>
    <t>REMOÇÂO DOS VIDROS DA FACHADA</t>
  </si>
  <si>
    <t>ADEQUAÇÃO DO VÃO DA LAJE PARA PASSAGEM DE MONTA</t>
  </si>
  <si>
    <t>REFORÇO ESTRUTURAL PARA MONTA CARGA MC2</t>
  </si>
  <si>
    <t>ADEQUAÇÃO DO VÃO MONTA CARGA MC2 - 3º PAVIMENTO</t>
  </si>
  <si>
    <t>MONTA CARGA MC2 - 3º PAVIMENTO</t>
  </si>
  <si>
    <t>PREPARAÇÃO DE PISO - BICA CORRIDA</t>
  </si>
  <si>
    <t>ARMÁRIO FIXO EM "L" INF. SEMISÓLIDOS (PREVER 3 GAVETAS</t>
  </si>
  <si>
    <t>ARMÁRIO FIXO EM "L" SUP. SEMISÓLIDOS</t>
  </si>
  <si>
    <t>ARMÁRIO FIXO INFERIOR DE PESAGEM - 498X60X90CM</t>
  </si>
  <si>
    <t>ARMÁRIO FIXO SUPERIOR DE PESAGEM - 498X60X60/160CM</t>
  </si>
  <si>
    <t>ARMÁRIO FIXO GUARDA MATTERIAIS 50X60X180CM</t>
  </si>
  <si>
    <t>ARMÁRIO INFERIOR LAVAGEM 580X60X90CM</t>
  </si>
  <si>
    <t>AR CONDICIONADO - MÃO DE OBRA + MATERIAL - 3º PAVIMENTO</t>
  </si>
  <si>
    <t>ARMÁRIO PESADO FIXO 176X90X250CM</t>
  </si>
  <si>
    <t>ARMÁRIO MÓVEL LIVROS FARMACÊUTICO 76X35X84CM</t>
  </si>
  <si>
    <t>POSTE DE ESTACIONAMENTO</t>
  </si>
  <si>
    <t>REPARO DE LUXALON EXISTENTE</t>
  </si>
  <si>
    <t>MANUTENÇÃO DE PORTA ROLO</t>
  </si>
  <si>
    <t>VERBA ESTIMADA PARA REALIZAÇÃO DE ACESSO Á PESAGEM DE</t>
  </si>
  <si>
    <t>SERVIÇOS DE DRY-WALL DO TÉRREO</t>
  </si>
  <si>
    <t>PINTURA DO TÉRREO</t>
  </si>
  <si>
    <t>AR CONDICIONADO - MÃO DE OBRA + MATERIAL - TÉRREO</t>
  </si>
  <si>
    <t>VIDROS DO TÉRREO</t>
  </si>
  <si>
    <t>G500 - 320 x 120cm - VIDRO LISO INCOLOR SUSPENSO 30cm  -</t>
  </si>
  <si>
    <t>D02 - 252 x 300cm - DIVISÓRIA DE VIDRO TEMPERADO FUMÊ COM</t>
  </si>
  <si>
    <t>GERENCIAMENTO DA OBRA - 2ª ETAPA</t>
  </si>
  <si>
    <t>P500 - 80 x 210cm - PORTA DE ABRIR SIMPLES, EM VIDRO</t>
  </si>
  <si>
    <t>P508 - 90 x 250cm - PORTA DE ABRIR SIMPLES, EM VIDRO</t>
  </si>
  <si>
    <t>DESMONTAGEM DE PORTA DE ENROLAR, ADAPTAÇÃO E</t>
  </si>
  <si>
    <t>EMPREITEIRO PINTURA COM PRIMER E TINTA ACRÍLICA</t>
  </si>
  <si>
    <t>PUXADOR DE PORTA METÁLICO PINTADO COM TINTA ACRÍLICA</t>
  </si>
  <si>
    <t>PUXADOR DE PORTA METÁLICO PINTADO - ACESSO SHOWROOM</t>
  </si>
  <si>
    <t>GUARDA-CORPO METÁLICO PARA ESCADA DE INCÊNDIO</t>
  </si>
  <si>
    <t>G501 - 200 x 120cm - FECHAMENTO EM GRADE METÁLICA</t>
  </si>
  <si>
    <t>DIVISÓRIA TELA METÁLICA H=2,10, INCLUSIVE PORTAS E</t>
  </si>
  <si>
    <t>EQ350 - 160 x 178cm - ESQUADRIA EM METALON COM TELA</t>
  </si>
  <si>
    <t>EQ602 - 120 x 178cm - ESQUADRIA EM METALON COM TELA</t>
  </si>
  <si>
    <t>ESCADA MARINHEIRO COM PROTEÇÃO E PLATAFORMA</t>
  </si>
  <si>
    <t>PT500 - 578 x 820cm - PORTÃO METÁLICO DE ENROLAR COM</t>
  </si>
  <si>
    <t>PT500b - 578 x 820cm - PORTÃO METÁLICO DE ENROLAR EM</t>
  </si>
  <si>
    <t>PT501 - 640 x 340cm - CHAPA DE AÇO GALVANIZADO NATURAL - 1</t>
  </si>
  <si>
    <t>EQ600 - 250 x 208cm - POSTE E TELA NYLOFOR 3D COM PINTURA</t>
  </si>
  <si>
    <t>EQ601 - 300 x 208cm - POSTE E TELA NYLOFOR 3D COM PINTURA</t>
  </si>
  <si>
    <t>TELA MOSQUITEIRA</t>
  </si>
  <si>
    <t>GRELHA METÁLICA L=25CM</t>
  </si>
  <si>
    <t>GRELHA METÁLICA PARA CAPTAÇÃO DE ÁGUA - SOB PISO</t>
  </si>
  <si>
    <t>REVESTIMENTO CERÂMICO 33,5X60CM REF. FORMA BRANCO</t>
  </si>
  <si>
    <t>REVESTIMENTO CERÂMICO 45X45CM REF. FORMA BRANCO</t>
  </si>
  <si>
    <t>REVESTIMENTO EM PORCELANATO REF. ELIANE: MATERIA</t>
  </si>
  <si>
    <t>PISO CERÂMICO REF. ELIANE CARGO PLUS WHITE AC 45x45cm</t>
  </si>
  <si>
    <t>PISO EM PORCELANATO REF. ELIANE: MATERIA PETROLEO NA</t>
  </si>
  <si>
    <t>PISO EM PORCELANATO REF. ELIANE: PLATNO CONCRETO NA</t>
  </si>
  <si>
    <t>PISO EM PORCELANATO FAIXA L=15CM REF. ELIANE: MATERIA</t>
  </si>
  <si>
    <t>PISO PORCELANATO REF. ELIANE: MATERIA GESSO 60X60</t>
  </si>
  <si>
    <t>PISO EM PORCELANATO REF. ELIANE: MATERIA GRAFITE NA</t>
  </si>
  <si>
    <t>PISO PORCELANATO REF. BRERA CIMENTO AC 60X60CM ELIANE</t>
  </si>
  <si>
    <t>PISO EM PORCELANATO 60X60CM REF.: SUPER BIANCO POLIDO</t>
  </si>
  <si>
    <t>PISO EM GRANITO PARA ESCADAS - GRANITO BRANCO AQUALUX</t>
  </si>
  <si>
    <t>ESPELHO EM GRANITO PARA ESCADAS - GRANITO BRANCO</t>
  </si>
  <si>
    <t>CARPETE REF. BEAULIEU: CARPETE WESTMINSTER FIVE STARS</t>
  </si>
  <si>
    <t>PISO LAMINADO REF. DURAFLOOR LAMINADO SENSE CARVALHO</t>
  </si>
  <si>
    <t>PERFIL RETO EM ALUMÍNIO 12,5MM DE ESPESSURA REF.</t>
  </si>
  <si>
    <t>RODAPÉ CERÂMICO H=10CM REF. ELIANE CARGO PLUS WHITE</t>
  </si>
  <si>
    <t>RODAPÉ EM PORCELANATO H=10CM - REF. ELIANE: MATERIA</t>
  </si>
  <si>
    <t>RODAPÉ EM PORCELANATO H=10CM REF. ELIANE: PLATNO</t>
  </si>
  <si>
    <t>RODAPÉ EM PORCELANATO H=10CM REF.: SUPER BIANCO</t>
  </si>
  <si>
    <t>RODAPÉ EM POLIESTIRENO PINTADO H=10CM (seguir cor do</t>
  </si>
  <si>
    <t>SOLEIRA EM GRANITO SÃO GABRIEL</t>
  </si>
  <si>
    <t>SOLEIRA EM GRANITO CINZA ANDORINHA L=10CM</t>
  </si>
  <si>
    <t>SOLEIRA EM GRANITO BRANCO AQUALUX L=10CM</t>
  </si>
  <si>
    <t>PEITORIAL EM GRANITO PRETO SÃO GABRIEL L=15CM</t>
  </si>
  <si>
    <t>PEITORIL EM GRANITO BRANCO AQUALUX L=10CM</t>
  </si>
  <si>
    <t>BALCÃO EM GRANITO PRETO SÃO GABRIEL</t>
  </si>
  <si>
    <t>BANCADA EM GRANITO CINZA ANDORINHA, INCLUSIVE TESTEIRA</t>
  </si>
  <si>
    <t>BANCADA EM GRANITO BRANCO AQUALUX, INCLUSIVE TESTEIRA</t>
  </si>
  <si>
    <t>RODABANCA EM GRANITO CINZA ANDORINHA H=6CM</t>
  </si>
  <si>
    <t>RODABANCA EM GRANITO BRANCO AQUALUX H=6CM</t>
  </si>
  <si>
    <t>DEPESAS ADMINISTRATIVOS (ORÇAMENTO, SUPRIMENTOS,</t>
  </si>
  <si>
    <t>PROJETO DE PISCINA E SAUNA - AZUL PISCINA - Pendente</t>
  </si>
  <si>
    <t>PROJETO DE AUTOMAÇÃO</t>
  </si>
  <si>
    <t>TERRAPLENAGEM E LIMPEZA DO TERRENO - custo apropriado</t>
  </si>
  <si>
    <t>CONTENÇÃO PARTE DA FRENTE DA RESIDÊNCIA - estimativa</t>
  </si>
  <si>
    <t>ESCAVAÇÃO DE TUBULÃO (M3)</t>
  </si>
  <si>
    <t>PA1 - SUITE MASTER - ESQUADRIA DE ALUMÍNIO + VIDRO -</t>
  </si>
  <si>
    <t>PORTÕES DA GARAGEM</t>
  </si>
  <si>
    <t>REMOÇÃO DA PINTURA DOS PILARES</t>
  </si>
  <si>
    <t>DRYWALL ST-ST H=3,20M</t>
  </si>
  <si>
    <t>DRYWALL ST-ST H=5,00M</t>
  </si>
  <si>
    <t>LIMPEZA DA FOSSA SÉPTICA</t>
  </si>
  <si>
    <t>MANTA GEOTEXTIL BIDIM RT-10 OU SIMILAR</t>
  </si>
  <si>
    <t>TUBO DE DRENO DE ALTA DENSIDADE DN100mm CORRUGADO</t>
  </si>
  <si>
    <t>MATERIAL DRENANTE BRITA 2</t>
  </si>
  <si>
    <t>SARJETA (CONFORME PROJETOS FORNECIDOS DA SG</t>
  </si>
  <si>
    <t>GEOCOMPOSTO PARA DRENAGEM TIPO MACDRAIN 2l DA</t>
  </si>
  <si>
    <t>BARBACÃ PVC Ø50mm</t>
  </si>
  <si>
    <t>PREENCHIMENTO COM BRITA</t>
  </si>
  <si>
    <t>ARMAÇÃO EM TELA DE AÇO</t>
  </si>
  <si>
    <t>GROUT PARA CHUMBAMENTO DOS PILARES NOS CÁLICES DOS</t>
  </si>
  <si>
    <t>PLACA CIMENTÍCIA</t>
  </si>
  <si>
    <t>VZC 1 - 120 x 60cm - VENEZIANA EM CONCRETO</t>
  </si>
  <si>
    <t>DRYWALL ST-ST H=8,20M</t>
  </si>
  <si>
    <t>CAFÉ DA MANHÃ</t>
  </si>
  <si>
    <t>VALE TRANSPORTE - 4UN/DIA</t>
  </si>
  <si>
    <t>MALOTE</t>
  </si>
  <si>
    <t>SEGURANÇA DO TRABALHO - EXAMES MÉDICOS - estimado</t>
  </si>
  <si>
    <t>E.P.I. - EQUIPAMENTO DE PROTEÇÃO INDIVIDUAL</t>
  </si>
  <si>
    <t>TELEFONE (FIXO + CELULAR)</t>
  </si>
  <si>
    <t>MANUTENÇÃO/CONTROLE DE QUALIDADE DO POÇO ARTESIANO</t>
  </si>
  <si>
    <t>LIMPEZA DE FOSSA</t>
  </si>
  <si>
    <t>SECONCI / CONTABILIDADE / DP</t>
  </si>
  <si>
    <t>MOBILIZAÇÃO/DESMOBILIZAÇÃO DO CANTEIRO DE OBRAS,</t>
  </si>
  <si>
    <t>ACOMPANHAMENTO DE FUNDAÇÃO - SERGIO VELLOSO - custo</t>
  </si>
  <si>
    <t>SECONCI (23 homens) - 1,2% da folha bruta dos funcionários -</t>
  </si>
  <si>
    <t>TAXAS DIVERSAS - HABITE-SE / AVCB / ...  - custo fornecido</t>
  </si>
  <si>
    <t>MOBILIZAÇÃO DE EQUIPAMENTO PARA FUNDAÇÃO</t>
  </si>
  <si>
    <t>NUMERAÇÃO RESIDENCIAL - Estimado</t>
  </si>
  <si>
    <t>MUDANÇA DO BARRACÃO PROVISÓRIO DA OBRA - canteiro</t>
  </si>
  <si>
    <t>CANTEIRO DE OBRA E COM TABEIRA</t>
  </si>
  <si>
    <t>ESCRITÓRIO CONTÁBIL - REF.: PRONTO SOLUÇÕES</t>
  </si>
  <si>
    <t>CUSTOS COMPLEMENTARES COM HORAS EXTRAS - Custo</t>
  </si>
  <si>
    <t>MOBILIZAÇÃO DE EQUIPAMENTO PARA FUNDAÇÃO HÉLICE</t>
  </si>
  <si>
    <t>PCMAT/PCMSO/NR-12</t>
  </si>
  <si>
    <t>CUSTO COM EXAMES ADMISSIONAIS/DEMISSIONAIS</t>
  </si>
  <si>
    <t>CUSTOS INCORRIDOS - fornecidos pelo cliente</t>
  </si>
  <si>
    <t>ANÁLISE TECNICA DE PROJETO ESTRUTURAL - BEDE - custo</t>
  </si>
  <si>
    <t>VALE COMBUSTÍVEL (Almoxarife, administrativo, tec.</t>
  </si>
  <si>
    <t>PLANO DE SAUDE - engenheiro e mestre</t>
  </si>
  <si>
    <t>SEGURO DE VIDA (23 homens)</t>
  </si>
  <si>
    <t>CÓPIAS DE PROJETOS/XEROX</t>
  </si>
  <si>
    <t>DESPESAS COM C.R.E.A.</t>
  </si>
  <si>
    <t>MEDIDA COMPENSATÓRIA - custo fornecido pelo cliente</t>
  </si>
  <si>
    <t>STAND DE VENDAS - estimado</t>
  </si>
  <si>
    <t>IPTU - À definir</t>
  </si>
  <si>
    <t>SEGURO DE RISCO DE ENGENHARIA - custo fornecido pelo cliente</t>
  </si>
  <si>
    <t>EQ. PROT./SEGURANÇA + UNIFORME</t>
  </si>
  <si>
    <t>COORDENAÇÃO DOS PROJETOS</t>
  </si>
  <si>
    <t>PROJETO E EXECUÇÃO DE PONTO DE ONIBUS (conforme licença</t>
  </si>
  <si>
    <t>DEMAIS ITENS DA LICENÇA - RELATORIOS/LAVA</t>
  </si>
  <si>
    <t>MOBILIZAÇÃO/DESMOBILIZAÇÃO DOS CONTAINERS - custo</t>
  </si>
  <si>
    <t>GUINDASTE PARA IÇAMENTO DE ARMAÇÃO E DIVERSOS -</t>
  </si>
  <si>
    <t>PLATAFORMAS PARA ESCAVAÇÃO DE TUBULÃO - custo apropriado</t>
  </si>
  <si>
    <t>SEGURANÇA DO TRABALHO - CRED</t>
  </si>
  <si>
    <t>PINTURA DE BANDEJAS DE SEGURANÇA - estimado</t>
  </si>
  <si>
    <t>CUSTO EMISSÃO NOTA FISCAL REEMBOLSO EQUIPE EPO -</t>
  </si>
  <si>
    <t>COMPATIBILIZAÇÃO</t>
  </si>
  <si>
    <t>TAXA DE ADMINISTRAÇÃO - 9% CUSTO INDIRETO + DIRETO (NÃO</t>
  </si>
  <si>
    <t>CÓD</t>
  </si>
  <si>
    <t>UND</t>
  </si>
  <si>
    <t xml:space="preserve">Prod. Equipe       </t>
  </si>
  <si>
    <t>origem</t>
  </si>
  <si>
    <t>tipo</t>
  </si>
  <si>
    <t>INSUMO</t>
  </si>
  <si>
    <t>DESCRIÇÃO IS</t>
  </si>
  <si>
    <t>ÍNDICE</t>
  </si>
  <si>
    <t xml:space="preserve">Grupo              </t>
  </si>
  <si>
    <t>I</t>
  </si>
  <si>
    <t>S</t>
  </si>
  <si>
    <t>C</t>
  </si>
  <si>
    <t>CX1505</t>
  </si>
  <si>
    <t>CZ2124</t>
  </si>
  <si>
    <t>CC2129</t>
  </si>
  <si>
    <t>CX1506</t>
  </si>
  <si>
    <t>CP2202</t>
  </si>
  <si>
    <t xml:space="preserve">REJUNTE PORCELANATO                                         </t>
  </si>
  <si>
    <t xml:space="preserve">PEDREIRO (PLANEJAMENTO)  </t>
  </si>
  <si>
    <t xml:space="preserve">H     </t>
  </si>
  <si>
    <t xml:space="preserve">SERVENTE (PLANEJAMENTO)  </t>
  </si>
  <si>
    <t xml:space="preserve">ARGAMASSA AC-3  </t>
  </si>
  <si>
    <t xml:space="preserve">M.O. PISO PORCELANATO  </t>
  </si>
  <si>
    <t>CZ7030</t>
  </si>
  <si>
    <t>PISO EM PORCELANATO À DEFINIR - GOURMET</t>
  </si>
  <si>
    <t>O</t>
  </si>
  <si>
    <t xml:space="preserve">TIJOLO CERÂMICO FURADO 09X19X29 CM  </t>
  </si>
  <si>
    <t>IS5024</t>
  </si>
  <si>
    <t>EMPREITEIRO PARA ASSENTAMENTO DA 1º FIADA PREENCHIDA COM</t>
  </si>
  <si>
    <t>CC1558</t>
  </si>
  <si>
    <t>CC2681</t>
  </si>
  <si>
    <t>IM1984</t>
  </si>
  <si>
    <t xml:space="preserve">ARGAMASSA PRONTA MULTIUSO  </t>
  </si>
  <si>
    <t>IM1985</t>
  </si>
  <si>
    <t>TIJOLO CERÂMICO FURADO 14X19X29CM - ACÚSTICO</t>
  </si>
  <si>
    <t xml:space="preserve">M.O. ALVENARIA TIJOLO CERÂMICO 14 CM  </t>
  </si>
  <si>
    <t>TAXA DE ADMINISTRAÇÃO - 13% (CUSTOS DIRETOS + INDIRETOS + PROJETOS)</t>
  </si>
  <si>
    <t>PROJETO TOPOGRÁFICO - Custo informado pelo cliente</t>
  </si>
  <si>
    <t>SONDAGEM - Custo informado pelo cliente</t>
  </si>
  <si>
    <t>PROJETO ELÉTRICO DO CANTEIRO - Custo informado pelo cliente</t>
  </si>
  <si>
    <t>PROJETO ARQUITETÔNICO - Custo informado pelo cliente</t>
  </si>
  <si>
    <t>PROJETO EXECUTIVO - Custo informado pelo cliente</t>
  </si>
  <si>
    <t>PROJETO DE PREVENÇÃO E COMBATE A INCÊNDIO - Custo informado pelo cliente</t>
  </si>
  <si>
    <t>PROJETO ESTRUTURAL - Custo informado pelo cliente</t>
  </si>
  <si>
    <t>PROJETO FUNDAÇÃO - Custo informado pelo cliente</t>
  </si>
  <si>
    <t>PROJETO DE TERRAPLENAGEM - Custo informado pelo cliente</t>
  </si>
  <si>
    <t>PROJETO PAISAGISMO - Custo informado pelo cliente</t>
  </si>
  <si>
    <t>01.01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</si>
  <si>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</si>
  <si>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</si>
  <si>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</si>
  <si>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</si>
  <si>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</si>
  <si>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</si>
  <si>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</si>
  <si>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</si>
  <si>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</si>
  <si>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</si>
  <si>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</si>
  <si>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02.12</t>
  </si>
  <si>
    <t>ITEM</t>
  </si>
  <si>
    <t>CÓD CPU</t>
  </si>
  <si>
    <t>QTDE</t>
  </si>
  <si>
    <t>ORIGEM</t>
  </si>
  <si>
    <t>DESCRIÇÃO COMP.</t>
  </si>
  <si>
    <t>DESCRIÇÃO ABREV,</t>
  </si>
  <si>
    <t>PREÇO</t>
  </si>
  <si>
    <t>GRUPO IS</t>
  </si>
  <si>
    <t>MODELO DE IMPORTAÇÃO DE COMPOSIÇÕES</t>
  </si>
  <si>
    <t>MODELO DE IMPORTAÇÃO DE PLANILHA</t>
  </si>
  <si>
    <t>MODELO DE IMPORTAÇÃO DE INSUMOS COM PREÇO</t>
  </si>
  <si>
    <t>Codigo</t>
  </si>
  <si>
    <t>DescricaoAbreviada</t>
  </si>
  <si>
    <t>Unidade</t>
  </si>
  <si>
    <t>ProducaoEquipe</t>
  </si>
  <si>
    <t>OrigemComposicao</t>
  </si>
  <si>
    <t>TipoItemComposicao</t>
  </si>
  <si>
    <t>CódigoDoInsumo/ComposicaoAuxiliar</t>
  </si>
  <si>
    <t>DescricaoAbreviadaInsumo/ComposicaoAuxiliar</t>
  </si>
  <si>
    <t>UnidadeInsumo/ComposicaoAux</t>
  </si>
  <si>
    <t>Indice</t>
  </si>
  <si>
    <t>GrupoDoInsumo</t>
  </si>
  <si>
    <t>OrigemInsumosComposicoesAuxiliares</t>
  </si>
  <si>
    <t>DEMOLIÇÃO DE ALVENARIA DE      TIJOLO COMUM SEM REAPROVEIT.</t>
  </si>
  <si>
    <t>EMPREITEIRO DEMOLIÇÃO DE       ALVENARIA</t>
  </si>
  <si>
    <t>DEMOLIÇÃO DE CONCRETO ARMADO   C/ UTILIZAÇÃO MARTELETE-MENSAL</t>
  </si>
  <si>
    <t>DEMOLIÇÃO DE PISO CIMENTADO    SOBRE LASTRO DE CONCRETO</t>
  </si>
  <si>
    <t>CB0502</t>
  </si>
  <si>
    <t>DRENO COM BRITA No 2 E 3 -     FORNECIMENTO E APLICAÇÃO</t>
  </si>
  <si>
    <t>ESCAVAÇÃO MANUAL ATÉ 3,0M</t>
  </si>
  <si>
    <t>REATERRO COMPACTADO DE VALA</t>
  </si>
  <si>
    <t>CORTE E PREPARO DE CABEÇA DE   ESTACAS</t>
  </si>
  <si>
    <t>CB2001</t>
  </si>
  <si>
    <t>GEOTÊXTIL COMO FILTRO          ENVOLVENDO O MATERIAL DRENANTE</t>
  </si>
  <si>
    <t>CB2307</t>
  </si>
  <si>
    <t>CONCRETO NÃO ESTRUT. PREPARADO C/ BETONEIRA - m.o c. ndireto</t>
  </si>
  <si>
    <t>GUIA PRÉ-FABRICADA DE CONCRETO</t>
  </si>
  <si>
    <t>MEIO FIO PRÉ MOLDADO DE        CONCRETO (sudecap 18 MPa) C/</t>
  </si>
  <si>
    <t>M.O. ASSENTAMENTO DE MEIO FIO  DE RUA</t>
  </si>
  <si>
    <t>CC1551</t>
  </si>
  <si>
    <t>ARGAMASSA 1:3 (C/A) -          m.o custo indireto</t>
  </si>
  <si>
    <t>CB4016</t>
  </si>
  <si>
    <t>LASTRO DE CONCRETO MAGRO E= 6, 0cm -</t>
  </si>
  <si>
    <t>APILOAMENTO MANUAL DE FUNDO    DE VALAS</t>
  </si>
  <si>
    <t>CC0410</t>
  </si>
  <si>
    <t>ARMAÇÃO AÇO CA-50A CORTE E DOB RA Ø &lt; 12,5mm</t>
  </si>
  <si>
    <t>AJUDANTE DE ARMADOR (ENCARGOS  INCLUSOS)</t>
  </si>
  <si>
    <t>ARAME RECOZIDO BWG 18 (antigo  PG-07)</t>
  </si>
  <si>
    <t>AÇO CA-50 / CA-60 - CORTADO E  DOBRADO</t>
  </si>
  <si>
    <t>CC0636</t>
  </si>
  <si>
    <t>CONCRETO ESTRUTURAL, CONTROLE  TIPO B, BRITA 1 E 2, FCK = 20</t>
  </si>
  <si>
    <t>CONCRETO FCK 9.0 MPa LANÇADO   EM FUNDAÇÕES</t>
  </si>
  <si>
    <t>CP2016</t>
  </si>
  <si>
    <t>LANÇAMENTO CONCRETO EM FUNDA-  ÇÃO</t>
  </si>
  <si>
    <t>CONCRETO USINADO FCK 20,0 MPa  LANÇADO EM FUNDAÇÕES</t>
  </si>
  <si>
    <t>CONCRETO USINADO CONVENCIONAL  FCK 20,0 MPa</t>
  </si>
  <si>
    <t>CONCRETO USINADO FCK 20,0 MPa  LANÇADO EM ESTRUTURA</t>
  </si>
  <si>
    <t>IM2813</t>
  </si>
  <si>
    <t>CONCRETO USIN. BOMB.FCK 20MPa</t>
  </si>
  <si>
    <t>CP2003</t>
  </si>
  <si>
    <t>LANÇAMENTO DE CONCRETO BOMBEA  DO - ESTRUTURA</t>
  </si>
  <si>
    <t>CONCRETO USINADO FCK 25,0 MPa  LANÇADO EM ESTRUTURA</t>
  </si>
  <si>
    <t>CONCRETO USINADO FCK 30,0 MPa  LANÇADO EM ESTRUTURA</t>
  </si>
  <si>
    <t>CONCRETO USINADO FCK 35,0 MPa  LANÇADO EM ESTRUTURA</t>
  </si>
  <si>
    <t>CONCRETO USINADO FCK 40,0 MPa  LANÇADO EM ESTRUTURA</t>
  </si>
  <si>
    <t>CC1552</t>
  </si>
  <si>
    <t>ARGAMASSA 1:4 (C/A) PENEIRADA  m.o custo indireto</t>
  </si>
  <si>
    <t>CC1554</t>
  </si>
  <si>
    <t>ARGAMASSA 1:6 (C/A) PENEIRADA  M.O CUSTO INDIRETO</t>
  </si>
  <si>
    <t>ARGAMASSA 1:2:8 (C:C:A)        m.o custo indireto</t>
  </si>
  <si>
    <t>CONCRETO USINADO BOMBEADO      FCK 20,0 MPa ESPECIAL ESTACAS</t>
  </si>
  <si>
    <t>CONCRETO ESPECIAL P/ESTACA HE  LICE FCK20MPa - SLUMP 20±2cm</t>
  </si>
  <si>
    <t>ALVENARIA DE BLOCO CHEIO       E= 15cm</t>
  </si>
  <si>
    <t>CZ9601</t>
  </si>
  <si>
    <t>CONCRETO ESTRUTURAL FCK20,0MPa LANÇADO EM FUNDAÇÃO</t>
  </si>
  <si>
    <t>ARMAÇÃO AÇO CA-50A CORTE E DO  BRA ø &lt;12,5MM</t>
  </si>
  <si>
    <t>ALVENARIA DE BLOCO CHEIO       E= 20cm</t>
  </si>
  <si>
    <t>PISO CIMENTADO LISO E= 3,0CM</t>
  </si>
  <si>
    <t>ARGAMASSA PRONTA - CONTRAPISO</t>
  </si>
  <si>
    <t>M.O. PISO CIMENTADO 3CM</t>
  </si>
  <si>
    <t>LIMPEZA DO TERRENO</t>
  </si>
  <si>
    <t>CORRIMÃO EM TUBO DE FERRO</t>
  </si>
  <si>
    <t>CORRIMÃO EM TUBO DE FERRO ø1   1/4” PADRÃO CORPO DE BOMBEIRO</t>
  </si>
  <si>
    <t>ASSENTAMENTO DE ESQUADRIAS</t>
  </si>
  <si>
    <t>CC1632</t>
  </si>
  <si>
    <t>TERRA VEGETAL EM JARDINS</t>
  </si>
  <si>
    <t>ALÇAPÃO METÁLICO 80x80</t>
  </si>
  <si>
    <t>BRISES METÁLICOS</t>
  </si>
  <si>
    <t>CC1913</t>
  </si>
  <si>
    <t>MÃO DE OBRA PONTO DE MASSA -   Planejamento</t>
  </si>
  <si>
    <t>TELA PINTEIRO GALVANIZADA      (ENTELAMENTO DE FACHADA) 1,0M</t>
  </si>
  <si>
    <t>RODAPÉ EM MÁRMORE 1 - H=10CM</t>
  </si>
  <si>
    <t>RODAPÉ DE MÁRMORE TIPO 1</t>
  </si>
  <si>
    <t>M.O. RODAPÉ GRANITO/MÁRMORE /  ARDÓSIA</t>
  </si>
  <si>
    <t>PISO EM CONCRETO FCK 20,0 MPa  E= 10CM C/ ACABAMENTO MECÂNICO</t>
  </si>
  <si>
    <t>AJUDANTE DE ARMADOR            (PLANEJAMENTO)</t>
  </si>
  <si>
    <t>TELA Q-138 PLACA 245X600CM     (2,2kg/m²)</t>
  </si>
  <si>
    <t>LONA PRETA 5M X 4M *100        (GRAMATURA)</t>
  </si>
  <si>
    <t>CONCRETO USINADO FCK 25,0 MPa  LANÇADO EM FUNDAÇÕES</t>
  </si>
  <si>
    <t>IS09994</t>
  </si>
  <si>
    <t xml:space="preserve">PINTURA DE LIGAÇÃO C/ EMULSÃO  RR-1C
</t>
  </si>
  <si>
    <t>IM4258</t>
  </si>
  <si>
    <t>BICA CORRIDA (m³)</t>
  </si>
  <si>
    <t>IS0193</t>
  </si>
  <si>
    <t>IMPRIMAÇÃO CM-30</t>
  </si>
  <si>
    <t>IS0194</t>
  </si>
  <si>
    <t>PAVIMENTAÇÃO ASFÁLTICA - CBUQ  ATÉ 5CM</t>
  </si>
  <si>
    <t>ASSENTAMENTO DE PORTA PRONTA</t>
  </si>
  <si>
    <t>AJUDANTE DE CARPINTEIRO        (PLANEJAMENTO)</t>
  </si>
  <si>
    <t>ESPUMA DE POLIURETANO CF-F     650ML HILTI</t>
  </si>
  <si>
    <t>JUNTA DE DILATAÇÃO EM MASTIQUE</t>
  </si>
  <si>
    <t>MASTIQUE REF. TEKVED PU 40 -   310ML</t>
  </si>
  <si>
    <t>VERGAS EM CONCRETO ARMADO</t>
  </si>
  <si>
    <t>TÁBUA DE PINUS BRUTA           15X2,5x300cm</t>
  </si>
  <si>
    <t>AMARRAÇÃO ALVENARIA C/ TELA    GALVANIZ FIXADA COM PISTOLA</t>
  </si>
  <si>
    <t>PINO C/ ARRUELA PARA FIXAÇÃO   TELA EM ALVENARIA XCS27P8</t>
  </si>
  <si>
    <t>TELA GALVANIZADA AMARRAÇÃO DE  ALVENARIA (TELA BELGOFIX) -</t>
  </si>
  <si>
    <t>CARTUCHO PARA PISTOLA DE       IMPACTO HILTI DX E72 CALIBRE</t>
  </si>
  <si>
    <t>ISOPOR PAR JUNTAS DE DILATAÇÃO</t>
  </si>
  <si>
    <t>AJUDANTE DE CARPINTEIRO        (ENCARGOS INCLUSOS)</t>
  </si>
  <si>
    <t>CARPINTEIRO (ENCARGOS          INCLUSOS)</t>
  </si>
  <si>
    <t>CONCRETO USINADO FCK 30,0 MPa  LANÇADO EM FUNDAÇÕES</t>
  </si>
  <si>
    <t>CONCRETO USINADO CONVENCIONAL  FCK 30,0 MPa</t>
  </si>
  <si>
    <t>CONCRETO USINADO FCK 35,0 MPa  LANÇADO EM FUNDAÇÕES</t>
  </si>
  <si>
    <t>IM2808</t>
  </si>
  <si>
    <t>CONCRETO USINADO CONVENCIONAL  FCK 35,0 MPa</t>
  </si>
  <si>
    <t>CD0137</t>
  </si>
  <si>
    <t>ARGAMASSA C/A S/ PENEIRAR      TRAÇO 1:7 - m.o custo indireto</t>
  </si>
  <si>
    <t>CD0301</t>
  </si>
  <si>
    <t>GROUT - ARGAMASSA AUTO-NIVELAN TE</t>
  </si>
  <si>
    <t>ESTRUTURA DE MADEIRA P/ TELHA  CERÂMICA OU DE CONC. VÃO:3a10</t>
  </si>
  <si>
    <t>IM0808</t>
  </si>
  <si>
    <t>FERRAGENS PARA ESTRUTURA EM MA DEIRA PARA COBERTURA</t>
  </si>
  <si>
    <t>IM1406</t>
  </si>
  <si>
    <t>MADEIRA TIPO PARAJU</t>
  </si>
  <si>
    <t>IM1701</t>
  </si>
  <si>
    <t>PREGO PARA ESTRUTURA MADEIRA   DA COBERTURA</t>
  </si>
  <si>
    <t>IS0099</t>
  </si>
  <si>
    <t>M.O. - ENGRADAMENTO DE MADEIRA PARA TELHA FIBRO-CIMENTO</t>
  </si>
  <si>
    <t>MADEIRA APRA BANDEJA SALVA-VID AS LARG=250CM</t>
  </si>
  <si>
    <t>COMPENSADO PLASTIFICADO E=14   MM (220x110cm)</t>
  </si>
  <si>
    <t>MADEIRA APRA BANDEJA SALVA-VID AS LARG=150CM</t>
  </si>
  <si>
    <t>COMPENSADO RESINADO E=14MM     (220x110cm)</t>
  </si>
  <si>
    <t>TELA PARA ANDAIME FACHADEIRO   (TELA DE POLIETILENO)</t>
  </si>
  <si>
    <t>RUFO DE CHAPA GALVANIZADA No   26  DESENVOLVIMENTO (CM): 28</t>
  </si>
  <si>
    <t>CALHA #22 D= 50CM</t>
  </si>
  <si>
    <t>IMPERMEABILIZAÇÃO COM          ARGAMASSA POLIMÉRICA</t>
  </si>
  <si>
    <t>RODAPÉ DE GRANITO TIPO 02</t>
  </si>
  <si>
    <t>SOLEIRA DE MÁRMORE BRANCO 15CM</t>
  </si>
  <si>
    <t>SOLEIRA DE MÁRMORE BRANCO LARG 15CM</t>
  </si>
  <si>
    <t>PEITORIL MÁRMORE BRANCO 15CM</t>
  </si>
  <si>
    <t>PEITORIL MÁRMORE BRANCO LARG.  22CM</t>
  </si>
  <si>
    <t>GRANITO 3 EM PAREDES</t>
  </si>
  <si>
    <t>GRANITO FACHADA TIPO 1</t>
  </si>
  <si>
    <t>M.O. REVESTIMENTO GRANITO /    MÁRMORE / ARDÓSIA</t>
  </si>
  <si>
    <t>CP2203</t>
  </si>
  <si>
    <t>REJUNTE GRANITO/MARMORE</t>
  </si>
  <si>
    <t>MÁRMORE 2 EM PAREDES</t>
  </si>
  <si>
    <t>IS09992</t>
  </si>
  <si>
    <t xml:space="preserve">M.O. EMBOÇO EXTERNO + PONTO DE MASSA
</t>
  </si>
  <si>
    <t>AJUDANTE DE PINTOR             (PLANEJAMENTO)</t>
  </si>
  <si>
    <t>PISO EM GRANITO TIPO 02</t>
  </si>
  <si>
    <t>M.O. PISO GRANITO / MÁRMORE /  ARDÓSIA</t>
  </si>
  <si>
    <t>PISO EM GRANITO TIPO 03</t>
  </si>
  <si>
    <t>PISO EM GRANITO TIPO 04</t>
  </si>
  <si>
    <t>PISO EM GRANITO TIPO 05</t>
  </si>
  <si>
    <t>CN0203</t>
  </si>
  <si>
    <t>TRANSPORTE HORIZONTAL DE       MATERIAIS A GRANEL, DIST=100 M</t>
  </si>
  <si>
    <t>BOTA-FORA DE ENTULHOS PARA CAÇ AMBA</t>
  </si>
  <si>
    <t>E</t>
  </si>
  <si>
    <t>MICTÓRIO DE LOUÇA</t>
  </si>
  <si>
    <t>VÁLVULA DE DESCARGA P/         MICTÓRIO</t>
  </si>
  <si>
    <t>MICTÓRIO DE LOUÇA COM SIFÃO IN TEGRADO TIPO 01</t>
  </si>
  <si>
    <t>BACIA C/ CAIXA ACOPLADA TIPO 1</t>
  </si>
  <si>
    <t>ANEL DE VEDAÇÃO - BACIA        SANITÁRIA 150MM</t>
  </si>
  <si>
    <t>BANCADA DE MÁRMORE 1</t>
  </si>
  <si>
    <t>BANCADA EM MÁRMORE TIPO 1</t>
  </si>
  <si>
    <t>FURO E COLAGEM DE BOJO E       TORNEIRA</t>
  </si>
  <si>
    <t>M.O. ASSENTAMENTO DE           RODABANCADA</t>
  </si>
  <si>
    <t>BARRA DE APOIO PARA DEFICIENTE</t>
  </si>
  <si>
    <t>CUBA LOUÇA DE SOBREPOR TIPO 01</t>
  </si>
  <si>
    <t>SIFÃO PLÁSTICO PARA CUBA</t>
  </si>
  <si>
    <t>VÁLVULA CROMADA PARA CUBA</t>
  </si>
  <si>
    <t>PISO EM CERÂMICA TIPO 01</t>
  </si>
  <si>
    <t>CP2201</t>
  </si>
  <si>
    <t>REJUNTE CERÂMICO</t>
  </si>
  <si>
    <t>PISO EM CERÂMICA TIPO 02</t>
  </si>
  <si>
    <t>PISO EM CERÂMICA TIPO 03</t>
  </si>
  <si>
    <t>PISO EM CERÂMICA TIPO 02       EXTERNA</t>
  </si>
  <si>
    <t>ALVENARIA DE BLOCO DE CONCRETO E= 09cm</t>
  </si>
  <si>
    <t>ARGAMASSA PRONTA MULTI USO</t>
  </si>
  <si>
    <t>M.O. ALVENARIA BLOCO CONCRETO  E= 10CM</t>
  </si>
  <si>
    <t>ALVENARIA DE BLOCO DE CONCRETO E= 14cm</t>
  </si>
  <si>
    <t>M.O. ALVENARIA BLOCO CONCRETO  E= 15CM</t>
  </si>
  <si>
    <t>ALVENARIA DE BLOCO DE CONCRETO E= 19cm</t>
  </si>
  <si>
    <t>M.O. ALVENARIA BLOCO CONCRETO  E= 20CM</t>
  </si>
  <si>
    <t>CHAPISCO</t>
  </si>
  <si>
    <t>EMBOÇO E= 2,5CM</t>
  </si>
  <si>
    <t>REBOCO E= 2,5CM</t>
  </si>
  <si>
    <t>CERÂMICA 1- INTERNA</t>
  </si>
  <si>
    <t>M.O. REVESTIMENTO CERÂMICO     INTERNO</t>
  </si>
  <si>
    <t>CERÂMICA 2- INTERNA</t>
  </si>
  <si>
    <t>CERÂMICA 3- INTERNA</t>
  </si>
  <si>
    <t>EMBOÇO E= 1,5CM EXTERNO</t>
  </si>
  <si>
    <t>M.O. EMBOÇO EXTERNO + PONTO DE MASSA</t>
  </si>
  <si>
    <t>CERÂMICA EXTERNA 2</t>
  </si>
  <si>
    <t>CERÂMICA FACHADA - TIPO 2</t>
  </si>
  <si>
    <t>IS0037</t>
  </si>
  <si>
    <t>M.O. REVESTIMENTO CERÂMICO     FACHADA</t>
  </si>
  <si>
    <t>CERÂMICA 4- INTERNA</t>
  </si>
  <si>
    <t>CERÂMICA 5- INTERNA</t>
  </si>
  <si>
    <t>CERÂMICA REF. GAIL - Parede</t>
  </si>
  <si>
    <t>ESMALTE SINTÉTICO ESQ. MET.</t>
  </si>
  <si>
    <t>PASTILHA TIPO 01</t>
  </si>
  <si>
    <t>ARGAMASSA ASSENTAMENTO         PASTILHA (BRANCA)</t>
  </si>
  <si>
    <t>PASTILHA TIPO 02</t>
  </si>
  <si>
    <t>SOLEIRA DE GRANITO 15CM</t>
  </si>
  <si>
    <t>SOLEIRA EM GRANITO BRANCO LARG = 15CM</t>
  </si>
  <si>
    <t>SOLEIRA DE GRANITO 12CM</t>
  </si>
  <si>
    <t>SOLEIRA DE GRANITO 20CM</t>
  </si>
  <si>
    <t>SOLEIRA DE GRANITO BRANCO      L=20CM</t>
  </si>
  <si>
    <t>RODAPÉ EM ARDÓSIA H= 10CM</t>
  </si>
  <si>
    <t>PINTURA LATEX PVA COM MASSA</t>
  </si>
  <si>
    <t>EMPREITEIRO PINTURA LATEX COM MASSA (MAT+MO)</t>
  </si>
  <si>
    <t>RODAPÉ DE GRANITO 01 H= 10CM</t>
  </si>
  <si>
    <t>RODAPÉ DE GRANITO TIPO 1</t>
  </si>
  <si>
    <t>ADUELA EM GRANITO 01</t>
  </si>
  <si>
    <t>ADUELA EM GRANITO L=12CM</t>
  </si>
  <si>
    <t>PINTURA LATEX PVA SEM MASSA</t>
  </si>
  <si>
    <t>EMPREITEIRO PINTURA LATEX SEM MASSA (MAT+MO)</t>
  </si>
  <si>
    <t>CHAPISCO COM BIANCO</t>
  </si>
  <si>
    <t>RODAPÉ EM CERÂMICA INTERNA     H=15CM</t>
  </si>
  <si>
    <t>RODAPÉ CERÂMICO REF. GAIL H=10 CM</t>
  </si>
  <si>
    <t>BANCADA DE GRANITO</t>
  </si>
  <si>
    <t>RODABANCA DE GRANITO TIPO 1 -  H=15CM</t>
  </si>
  <si>
    <t>BANCADA DE GRANITO TIPO 1</t>
  </si>
  <si>
    <t>TESTEIRA EM GRANITO TIPO 1 -   H=5CM</t>
  </si>
  <si>
    <t>BANCADA DE GRANITO 2</t>
  </si>
  <si>
    <t>RODABANCADA DE GRANITO TIPO 2  H=15CM</t>
  </si>
  <si>
    <t>BANCADA EM GRANITO TIPO 02</t>
  </si>
  <si>
    <t>TESTEIRA EM GRANITO TIPO 02    H=5CM</t>
  </si>
  <si>
    <t>BANCADA DE GRANITO 3</t>
  </si>
  <si>
    <t>RODABANCA DE GRANITO TIPO 03   H=15CM</t>
  </si>
  <si>
    <t>BANCADA EM GRANITO TIPO 03</t>
  </si>
  <si>
    <t>TESTEIRA EM GRANITO TIPO 03    H=5CM</t>
  </si>
  <si>
    <t>BANCADA DE GRANITO 5</t>
  </si>
  <si>
    <t>BANCADA EM GRANITO TIPO 4</t>
  </si>
  <si>
    <t>RODABANCADA DE GRANITO TIPO 4  H=15CM</t>
  </si>
  <si>
    <t>TESTEIRA EM GRANITO TIPO 04    H=5CM</t>
  </si>
  <si>
    <t>RODAPÉ EM PORCELANATO TIPO 1</t>
  </si>
  <si>
    <t>RODAPÉ EM PORCELANATO TIPO 2</t>
  </si>
  <si>
    <t>JUNTA DE DILATAÇÃO DA FACAHADA</t>
  </si>
  <si>
    <t>SELANTE PARA ENCHIMENTO DE     JUNTAS - 310ML</t>
  </si>
  <si>
    <t>M.O. JUNTA DE DILATAÇÃO        FACHADA</t>
  </si>
  <si>
    <t>FORMA (ESCORAMENTO, MATERIAL E MÃO-DE-OBRA)</t>
  </si>
  <si>
    <t>EMPREITEIRO FORMA PARA ESTRUTU RA (MAT+ESCORAMENTO+MO)</t>
  </si>
  <si>
    <t>FORMA ESCADA (ESCORAMENTO,     MATERIAL E MÃO-DE-OBRA)</t>
  </si>
  <si>
    <t>FORMA RAMPA (ESCORAMENTO,      MATERIAL E MÃO-DE-OBRA)</t>
  </si>
  <si>
    <t>EMPREITEIRO FORMA RAMPA (MAT+  MO + ESCORAMENTO)</t>
  </si>
  <si>
    <t>FORMA BLOCOS E CINTAS (MAT. E  MÃO-DE-OBRA)</t>
  </si>
  <si>
    <t>EMPREITEIRO FORMA BLOCOS E     CINTAS (MAT. E MO)</t>
  </si>
  <si>
    <t>ALVENARIA TIJOLO FURADO E=10cm</t>
  </si>
  <si>
    <t>TIJOLO CERÂMICO FURADO         09X19X29 CM</t>
  </si>
  <si>
    <t>ALVENARIA TIJOLO FURADO E=15cm</t>
  </si>
  <si>
    <t>TIJOLO CERÂMICO FURADO         14X19X29 CM</t>
  </si>
  <si>
    <t>MURO ESTRUTURADO E= 09CM       TIJOLO FURADO</t>
  </si>
  <si>
    <t>CZ9001</t>
  </si>
  <si>
    <t>ESTRUTURA EM CONCRETO ARMADO   PARA MUROS E MURETAS</t>
  </si>
  <si>
    <t>MURO ESTRUTURADO E= 14CM       TIJOLO FURADO</t>
  </si>
  <si>
    <t>ENCUNHAMENTO DE ALVENARIA      E=10cm</t>
  </si>
  <si>
    <t>CUNHAMENTO DE ALVENARIA E=15cm</t>
  </si>
  <si>
    <t>ENCUNHAMENTO DE ALVENARIA      E=19cm</t>
  </si>
  <si>
    <t>ALVENARIA TIJOLO FURADO E=19cm</t>
  </si>
  <si>
    <t>TIJOLO CERÂMICO FURADO         19X19X29 CM</t>
  </si>
  <si>
    <t>RODAPÉ EM CERÂMICA EXTERNA     H=15CM</t>
  </si>
  <si>
    <t>RODAPÉ CERÂMICA TIPO 2</t>
  </si>
  <si>
    <t>RODAPÉ EM CERÂMICA 2 INTERNA   H=10CM</t>
  </si>
  <si>
    <t>RODAPÉ CERÂMICA TIPO 3</t>
  </si>
  <si>
    <t>PINTURA NOVACOR EM PISOS</t>
  </si>
  <si>
    <t>REBOCO E= 2,5CM EXTERNO</t>
  </si>
  <si>
    <t>REJUNTE PORCELANATO</t>
  </si>
  <si>
    <t>PISO EM PORCELANATO POLIDO</t>
  </si>
  <si>
    <t>PISO EM PORCELANATO POLIDO 2</t>
  </si>
  <si>
    <t>PISO EM PORCELANATO POLIDO 3</t>
  </si>
  <si>
    <t>PISO EM GRANITO TIPO 01</t>
  </si>
  <si>
    <t>GRANITO BRANCO TIPO 3 - Piso</t>
  </si>
  <si>
    <t>PEITORIL DE CONCRETO L= 15CM</t>
  </si>
  <si>
    <t>PEITORIL DE CONCRETO PRÉ       MOLDADO LARG= 17CM</t>
  </si>
  <si>
    <t>PEITORIL DE CONCRETO L= 20CM</t>
  </si>
  <si>
    <t>PINGADEIRA DE CONCRETO PRÉ     MOLDADO LARG= 24CM</t>
  </si>
  <si>
    <t>PEITORIL DE CONCRETO L= 25CM</t>
  </si>
  <si>
    <t>PEITORIL DE CONCRETO PRÉ       MOLDADO LARG= 30CM</t>
  </si>
  <si>
    <t>GRANITO BRANCO TIPO 4 - Piso</t>
  </si>
  <si>
    <t>PINTURA ESMALTE EM CORRIMÃO</t>
  </si>
  <si>
    <t>EMPREITEIRO PINTURA ESMALTE EM CORRIMÃO METÁLICO (MAT+MO)</t>
  </si>
  <si>
    <t>PINTURA DE DEMARCAÇÃO DE VAGAS DE GARAGEM</t>
  </si>
  <si>
    <t>EMPREITEIRO PINTURA DE         DEMARCAÇÃO DE VAGAS (MAT+MO)</t>
  </si>
  <si>
    <t>PEITORIL L&lt;15CM EM GRANITO 01</t>
  </si>
  <si>
    <t>PEITORIL DE GRANITO BRANCO     L=15CM</t>
  </si>
  <si>
    <t>PEITORIL L&lt;17CM EM GRANITO 01</t>
  </si>
  <si>
    <t>PEITORIL DE GRANITO BRANCO     L=17 CM</t>
  </si>
  <si>
    <t>PEITORIL L&lt;22CM EM GRANITO 01</t>
  </si>
  <si>
    <t>PEITORIL DE GRANITO BRANCO     L=22CM</t>
  </si>
  <si>
    <t>PEITORIL L&lt;42CM EM GRANITO 01</t>
  </si>
  <si>
    <t>PEITORIL DE GRANITO L=42CM</t>
  </si>
  <si>
    <t>PINTURA DE FAIXA DE MARCAÇÃO   H=15 CM</t>
  </si>
  <si>
    <t>EMPREITEIRO PINTURA DE FAIXAS  H=15CM (MAT+M.O)</t>
  </si>
  <si>
    <t>CAMADA DE REGULARIZAÇÃO C/ ARG DE CIMENTO E AREIA TRAÇO 1:3</t>
  </si>
  <si>
    <t>PROMOTOR DE ADESÃO PARA        ARGAMASSA (AFIX ADITIVO PVA)</t>
  </si>
  <si>
    <t>PORTA CORTA-FOGO 01 FOLHA</t>
  </si>
  <si>
    <t>M.O. COLOCAÇÃO DE PORTA        CORTA-FOGO</t>
  </si>
  <si>
    <t>M.O. ASSENTAMENTO CONTRAMARCO  PORTA CORTA FOGO</t>
  </si>
  <si>
    <t>CZ1583</t>
  </si>
  <si>
    <t>ASSENTAMENTO DE ESQUADRIAS     Planejamento</t>
  </si>
  <si>
    <t>COBERTURA EM UMA ÁGUA COM      TELHA FIBROC. PERFIL E = 6 MM</t>
  </si>
  <si>
    <t>IM0440</t>
  </si>
  <si>
    <t>CONJUNTO DE VEDAÇÃO P/ TELHA   (2 ARRUELAS)</t>
  </si>
  <si>
    <t>IM1757</t>
  </si>
  <si>
    <t>PINO RETO DE FERRO GALVANIZADO 1/4X300MM</t>
  </si>
  <si>
    <t>TELHA DE FIBROCIMENTO</t>
  </si>
  <si>
    <t>M.O. ASSENTAMENTO ESQUADRIAS   METÁLICA / ALUMÍNIO</t>
  </si>
  <si>
    <t>CERÂMICA 10X10 EXTERNA</t>
  </si>
  <si>
    <t>CERÂMICA FACHADA - TIPO 1</t>
  </si>
  <si>
    <t>EMPREITEIRO DE GESSO CORRIDO MESTRADO (MAT+MO)</t>
  </si>
  <si>
    <t>ASSENTAMENTO DE CONTRAMARCO</t>
  </si>
  <si>
    <t>M.O. ASSENTAMENTO CONTRAMARCO  DE ALUMÍNIO</t>
  </si>
  <si>
    <t>PORTA PRONTA 60X210 INCLUSIVE  FECHADURA INTERNA E DOBRADIÇAS</t>
  </si>
  <si>
    <t>KIT PORTA PRONTA 60X210</t>
  </si>
  <si>
    <t>PORTA PRONTA 70X210, INCLUSIVE FECHADURA INTERNA E DOBRADIÇAS</t>
  </si>
  <si>
    <t>KIT PORTA PRONTA 70X210CM</t>
  </si>
  <si>
    <t>PORTA PRONTA 80X210, INCLUSIVE FECHADURA EXTERNA E DOBRADIÇAS</t>
  </si>
  <si>
    <t>KIT PORTA PRONTA 80X210CM</t>
  </si>
  <si>
    <t>PINTURA ACRÍLICA INTERNA       COM MASSA PVA</t>
  </si>
  <si>
    <t>EMPREITEIRO PINTURA ACRÍLICA   COM EMASSAMENTO (MAT+MO)</t>
  </si>
  <si>
    <t>REVESTIMENTO EM PORCELANATO    TIPO 01</t>
  </si>
  <si>
    <t>IMPERMEABILIZAÇÃO COM MANTA AS FÁLTICA C/ PROTEÇÃO MECÂNICA</t>
  </si>
  <si>
    <t>IMPERMEABLIZAÇÃO MANTA         ASFALTICA 4MM</t>
  </si>
  <si>
    <t>IMPERMEABILIZAÇÃO COM MANTA AS FÁLTICA ANTIRAIZ</t>
  </si>
  <si>
    <t>IMPERMEABILIZAÇÃO C/ MANTA     ASFÁLTICA ANTIRAIZ (MAT+MO)</t>
  </si>
  <si>
    <t>GRANITO 4 EM PAREDES</t>
  </si>
  <si>
    <t>GRANITO 2 EM PAREDES</t>
  </si>
  <si>
    <t>PISO EM MÁRMORE TIPO 01</t>
  </si>
  <si>
    <t>EMPREITEIRO DE CALÇAMENTO EM PEDRA PARALELEPIPEDO (MAT+MO)</t>
  </si>
  <si>
    <t>GRANITO EM FACHADA AERADA</t>
  </si>
  <si>
    <t>GRANITO TIPO 1 PARA FACHADA AE RADA</t>
  </si>
  <si>
    <t>IS3502</t>
  </si>
  <si>
    <t>EMPREITEIRO FACHADA AERADA     INCL. ACESS/COMPL/M.O.REJUNTE</t>
  </si>
  <si>
    <t>CZ1202</t>
  </si>
  <si>
    <t>MATERIAL REJUNTE GRANITO -     FACHADA AERADA</t>
  </si>
  <si>
    <t>CZ1201</t>
  </si>
  <si>
    <t>SERVIÇOS CIVIS- FIXAÇÃO INSER  TS MET - VERGAS EM BLOCO CANAL</t>
  </si>
  <si>
    <t>TRATAMENTO DE CONCRETO APARENT E</t>
  </si>
  <si>
    <t>EMPREITEIRO TRAT DE CONC       APARENTE C/ VERNIZ (MAT+MO)</t>
  </si>
  <si>
    <t>PISO TIPO CONCREFIT</t>
  </si>
  <si>
    <t>IM6027</t>
  </si>
  <si>
    <t>ACESSÓRIO PARA PISO CONCREFIT</t>
  </si>
  <si>
    <t>IO2340</t>
  </si>
  <si>
    <t>TUBO PVC ESGOTO 100MM</t>
  </si>
  <si>
    <t>IS4550</t>
  </si>
  <si>
    <t>M.O. - PISO CONCREFIT</t>
  </si>
  <si>
    <t>PINTURA ACRÍLICA SEM MASSA</t>
  </si>
  <si>
    <t>EMPREITEIRO PINTURA ACRÍLICA   SEM EMASSAMENTO (MAT+MO)</t>
  </si>
  <si>
    <t>PINTURA ACRÍLICA SEM MASSA 2</t>
  </si>
  <si>
    <t>EMPREITEIRO PINTURA ACRÍLICA   1/2 MASSA - SOBRE GESSO</t>
  </si>
  <si>
    <t>ANDAIME LEVE SUSPENSO</t>
  </si>
  <si>
    <t>PLATAFORMA SUPER DE ELEVAÇÃO   MANUAL DE 1 A 6 METROS -</t>
  </si>
  <si>
    <t>TELA P/ ANDAIME LEVE SUSPENSO</t>
  </si>
  <si>
    <t>LOCAÇÃO DE MÃO FRANCESA PARA   BANDEJA SALVA-VIDAS</t>
  </si>
  <si>
    <t>MÃO FRANCESA PARA BANDEJA      SALVA-VIDAS L=2,5M</t>
  </si>
  <si>
    <t>UN/MÊS</t>
  </si>
  <si>
    <t>LOCAÇÃO DE MÃO FRANCESA PARA   BANDEJA APARALIXO</t>
  </si>
  <si>
    <t>MÃO FRANCESA PARA BANDEJA      APARALIXO L=1,5M</t>
  </si>
  <si>
    <t>M.O. P/ MONTAGEM/DESMONTAGEM   BANDEJAS SALVA-VIDA E APARALIX</t>
  </si>
  <si>
    <t>MONTAGEM E DESMONTAGEM DE      ELEVADOR DE OBRA</t>
  </si>
  <si>
    <t>DESMONTAGEM ELEVADOR           CREMALHEIRA</t>
  </si>
  <si>
    <t>MONTAGEM/DESMONTAGEM DE ANDAI- ME LEVE SUSPENSO</t>
  </si>
  <si>
    <t>MONTAGEM DE ANDAIME LEVE       SUSPENSO</t>
  </si>
  <si>
    <t>DESMONTAGEM DE ANDAIME LEVE    SUSPENSO</t>
  </si>
  <si>
    <t>MONTAGEM E DESMONTAGEM DE AN-  DAIME FACHAD INCL. ENTELAMENTO</t>
  </si>
  <si>
    <t>MONTAGEM E DESMONTAGEM DE      ANDAIME FACHADEIRO</t>
  </si>
  <si>
    <t>CAÇAMBA PARA BOTA FORA</t>
  </si>
  <si>
    <t>CAÇAMBA P/REMOÇÃO DE ENTULHOS  (5M³)</t>
  </si>
  <si>
    <t>CZ2014</t>
  </si>
  <si>
    <t>BASE GRUA</t>
  </si>
  <si>
    <t>ANDAIME FACHADEIRO SEM PISO    METALICO</t>
  </si>
  <si>
    <t>M2/MÊS</t>
  </si>
  <si>
    <t>GUARDA-CORPO GC-02</t>
  </si>
  <si>
    <t>GUARDA CORPO METÁLICO COM      CORRIMÃO H=1,10M PADRÃO CORPO</t>
  </si>
  <si>
    <t>GUARDA-CORPO GC-01</t>
  </si>
  <si>
    <t>GUARDA CORPO METÁLICO H=1,10M  PADRÃO CORPO DE BOMBEIRO</t>
  </si>
  <si>
    <t>EMPREITEIRO ESCAVAÇÃO MANUAL   DE VALAS</t>
  </si>
  <si>
    <t>ESQ. METÁLICA - PORTAS 1</t>
  </si>
  <si>
    <t>ESQ. METÁLICA - PORTAS 2</t>
  </si>
  <si>
    <t>TAXA DE ADMINISTRAÇÃO - 10%    (CUSTOS DIRETOS + INDIRETOS +</t>
  </si>
  <si>
    <t>PROJETO DE INSTALAÇÕES         COMPLEMENTARES</t>
  </si>
  <si>
    <t>PROJETO DE INSTALAÇÕES         ELÉTRICAS,</t>
  </si>
  <si>
    <t>PROJETO DE PISO DE CONCRETO    ARMADO E PISO PARA ÁREA</t>
  </si>
  <si>
    <t>IS09993</t>
  </si>
  <si>
    <t xml:space="preserve">PROJETO ESTRUTURA METÁLICA
</t>
  </si>
  <si>
    <t>PROJETO EXECUTIVO DA           ARQUITETURA</t>
  </si>
  <si>
    <t>PROJETO INSTALAÇÕES            HIDROSSANITÁRIO</t>
  </si>
  <si>
    <t>CONTROLE TECNOLÓGICO - ENSAIO  DE ROMPIMENTO - ESTIMATIVA</t>
  </si>
  <si>
    <t>VISTORIA INICIAL PARA          ACOMPANHAMENTO DE REFLEXOS EM</t>
  </si>
  <si>
    <t>R</t>
  </si>
  <si>
    <t>LOCAÇÃO DE CONTAINER           ESCRITÓRIO</t>
  </si>
  <si>
    <t>LOCAÇÃO DE CONTAINER           ALMOXARIFADO</t>
  </si>
  <si>
    <t>LOCAÇÃO DE CONTAINER           REFEITÓRIO</t>
  </si>
  <si>
    <t>INSTALAÇÃO PROVISÓRIA DE       ENERGIA ELÉTRICA, ÁGUA E</t>
  </si>
  <si>
    <t>BARRACÃO PROVISÓRIO DE OBRA +  INSTALAÇÃO PROVISÓRIA DE</t>
  </si>
  <si>
    <t>DESMOBILIZAÇÃO DO CANTEIRO DE  OBRAS, PESSOAL E EQUIPAMENTOS</t>
  </si>
  <si>
    <t>EQUIPAMENTOS E MÓVEIS DE       ESCRITÓRIO</t>
  </si>
  <si>
    <t>MANUTENÇÃO DE CANTEIRO DE      OBRAS</t>
  </si>
  <si>
    <t>TÉCNICO DE SEGURANÇA DO        TRABALHO</t>
  </si>
  <si>
    <t>AUXILIAR DE BETONEIRA          (SERVENTE)</t>
  </si>
  <si>
    <t>OPERADOR DE ELEVADOR MISTO +   CARGA + DEFINITIVO</t>
  </si>
  <si>
    <t>OPERADOR DE ELEVADOR           CREMALHEIRA</t>
  </si>
  <si>
    <t>CARPINTEIRO DE APOIO E         SEGURANÇA</t>
  </si>
  <si>
    <t>VALE TRANSPORTE (47 homens) -  4UN/DIA</t>
  </si>
  <si>
    <t>CUSTO PARA EMISSÃO DE NF EM    NOME DA CONSTRUTORA - XX%</t>
  </si>
  <si>
    <t>EMPRESA DE SEGURANÇA DO        TRABALHO</t>
  </si>
  <si>
    <t>RÁDIO DE COMUNICAÇÃO MOTOROLA  EP150 (compra)</t>
  </si>
  <si>
    <t>RELÓGIO DE PONTO DIGITAL       (compra)</t>
  </si>
  <si>
    <t>BETONEIRA 400 LITROS SEM       CARREGADOR</t>
  </si>
  <si>
    <t>BETONEIRA 580 LITROS COM       CARREGADOR</t>
  </si>
  <si>
    <t>BETONEIRA 600 LITROS COM       CARREGADOR</t>
  </si>
  <si>
    <t>SERRA CIRCULAR ELÉTRICA        BANCADA</t>
  </si>
  <si>
    <t>COMPACTADOR CM20 TIPO SAPO     MECÂNICO</t>
  </si>
  <si>
    <t>MÁQUINA DE CORTAR FERRO -      policorte</t>
  </si>
  <si>
    <t>ELEVADOR TIPO CREMALHEIRA      CABINE DUPLA</t>
  </si>
  <si>
    <t>ACESSÓRIOS PARA MONTAGEM DOS   ELEVADORES DE OBRA - Lista de</t>
  </si>
  <si>
    <t>LOCAÇÃO DE CAMINHÃO MUNCK PARA CARGA/DESCARGA DE ELEVADOR DE</t>
  </si>
  <si>
    <t>FERRAMENTAS LEVES E DISCOS DE  CORTE</t>
  </si>
  <si>
    <t>EQUIPAMENTOS DE PROTEÇÃO       COLETIVA (E.P.C.)</t>
  </si>
  <si>
    <t>MATERIAL SAÚDE E SEGURANÇA DO  TRABALHO</t>
  </si>
  <si>
    <t>TAXAS PREFEITURA - aprovação   do projeto, taxa de</t>
  </si>
  <si>
    <t>TAXAS DE LEGALIZAÇÃO           (CARTÓRIO) - incorporação da</t>
  </si>
  <si>
    <t>TAXAS PARA OBTENÇÃO DE         FINANCIAMENTO DA PRODUÇÃO</t>
  </si>
  <si>
    <t>DEMOLIÇÕES, REMOÇÕES E         BOTA-FORA DE DE MATERIAL</t>
  </si>
  <si>
    <t>0</t>
  </si>
  <si>
    <t xml:space="preserve">SISTEMA DRENAGEM  </t>
  </si>
  <si>
    <t>MOBILIZAÇÃO/DESMOBILIZAÇÃO DE  EQUIPAMENTO DE TERRAPLENAGEM</t>
  </si>
  <si>
    <t>ESCAVAÇÃO EM MATERIAL DE 1ª    CATEGORIA, CARGA, TRANSPORTE E</t>
  </si>
  <si>
    <t>ESCAVAÇÃO EM MATERIAL DE 1ª    CATEGORIA - Estimado</t>
  </si>
  <si>
    <t>EXECUÇÃO DE PAREDE DIAFRAGMA   MOLDADA ”IN LOCO” ESCAVADA</t>
  </si>
  <si>
    <t>REMOÇÃO DE LAMA BENTONÍTICA    NÃO-REAPROVEITÁVEL PARA</t>
  </si>
  <si>
    <t>MOBILIZAÇÃO DE EQUIPAMENTO     PARA FUNDAÇÃO TRADO</t>
  </si>
  <si>
    <t>ESCAVAÇÃO DE TUBULÃO (BASE+    RODAPÉ)</t>
  </si>
  <si>
    <t>IH09041</t>
  </si>
  <si>
    <t>POCEIRO (PLANEJAMENTO)</t>
  </si>
  <si>
    <t>IH09042</t>
  </si>
  <si>
    <t>EQUIPE DE RETANGULÃO (PLANEJAMENTO)</t>
  </si>
  <si>
    <t>IS1819</t>
  </si>
  <si>
    <t>ESTACA TIPO TRADO MECÂNICO     Ø300mm</t>
  </si>
  <si>
    <t>ESTACA TIPO TRADO MECÂNICO     Ø400mm</t>
  </si>
  <si>
    <t>ESTACA TIPO TRADO MECÂNICO     Ø500mm</t>
  </si>
  <si>
    <t>ESTACA TIPO TRADO MECÂNICO     Ø600mm</t>
  </si>
  <si>
    <t>ESTACA TIPO TRADO MECÂNICO     Ø700mm</t>
  </si>
  <si>
    <t>ESTACA TIPO TRADO MECÂNICO     Ø800mm</t>
  </si>
  <si>
    <t>SERVENTE DE APOIO - (Dois      serventes por mês)</t>
  </si>
  <si>
    <t>SERVENTE DE APOIO ESTACA       HÉLICE CONTÍNUA</t>
  </si>
  <si>
    <t>MOBILIZAÇÃO DE EQUIPAMENTO     PARA FUNDAÇÃO HÉLICE CONTÍNUA</t>
  </si>
  <si>
    <t>ESTACA TIPO HÉLICE CONTÍNUA    Ø300mm</t>
  </si>
  <si>
    <t>ESTACA TIPO HÉLICE CONTÍNUA    Ø400mm</t>
  </si>
  <si>
    <t>ESTACA TIPO HÉLICE CONTÍNUA    Ø500mm</t>
  </si>
  <si>
    <t>ESTACA TIPO HÉLICE CONTÍNUA    Ø600mm</t>
  </si>
  <si>
    <t>ESTACA TIPO HÉLICE CONTÍNUA    Ø700mm</t>
  </si>
  <si>
    <t>ESTACA TIPO HÉLICE CONTÍNUA    Ø800mm</t>
  </si>
  <si>
    <t>ACABAMENTO NÍVEL ZERO          CAMURÇADO</t>
  </si>
  <si>
    <t>GUARDA CORPO EM AÇO INOX H =   110 CM COM CORRIMÃO EM AÇO</t>
  </si>
  <si>
    <t>GUARDA CORPO EM AÇO INOX H =   100 CM</t>
  </si>
  <si>
    <t>GUARDA CORPO EM INOX H = 110   CM</t>
  </si>
  <si>
    <t>ESCADA METÁLICA CONFORME       PROJETO</t>
  </si>
  <si>
    <t>LAMINADO DE MADEIRA DURAFLOOR, LINHA LIFE CARVALHO, INCLUSIVE</t>
  </si>
  <si>
    <t>INSTALAÇÕES ELÉTRICAS -        material - estimado</t>
  </si>
  <si>
    <t>INSTALAÇÃO DE GRUPO GERADOR -  material e mão de obra</t>
  </si>
  <si>
    <t>INSTALAÇÃO SUBESTAÇÃO -        material e mão de obra</t>
  </si>
  <si>
    <t>INSTALAÇÃO DE LUMINÁRIAS -     material</t>
  </si>
  <si>
    <t>INSTALAÇÕES DE TELECOM -       material - estimado</t>
  </si>
  <si>
    <t>INSTALAÇÕES DE TELECOM - mão   de obra - estimado</t>
  </si>
  <si>
    <t>INSTALAÇÕES DE GÁS CANALIZADO  - Estimativa</t>
  </si>
  <si>
    <t>AR CONDICIONADO -              INFRAESTRUTURA</t>
  </si>
  <si>
    <t>INSTALAÇÃO DE PREVENÇÃO E      COMBATE A INCÊNDIO - material</t>
  </si>
  <si>
    <t>INSTALAÇÃO DE PREVENÇÃO E      COMBATE A INCÊNDIO -</t>
  </si>
  <si>
    <t>SISTEMA DE PRESSURIZAÇÃO       ESCADA DE INCÊNDIO</t>
  </si>
  <si>
    <t>INTERFONE E AUTOMAÇÃO PORTÃO   DE GARAGEM</t>
  </si>
  <si>
    <t>CATRACA PARA ENTRADA DE        VEÍCULOS</t>
  </si>
  <si>
    <t>PISO EM GRANILITE RÚSTICO      IMPERMEABILIZADO</t>
  </si>
  <si>
    <t>NUMERAÇÃO DE APARTAMENTOS /    PLACAS / ÁREA COMUM / NOME E</t>
  </si>
  <si>
    <t>PLANTIO DE JARDINEIRAS SOBRE   TERRENO</t>
  </si>
  <si>
    <t>GRADIL FRONTAL</t>
  </si>
  <si>
    <t>GRADIL NYLOFOR (MAT+MO) H=2,50 M</t>
  </si>
  <si>
    <t>CZ1955</t>
  </si>
  <si>
    <t>CINTAMENTO BASE DO GRADIL      20X40CM</t>
  </si>
  <si>
    <t>CZ0041</t>
  </si>
  <si>
    <t>LASTRO DE AREIA LAVADA</t>
  </si>
  <si>
    <t>LOCAÇÃO DE OBRAS MAIORES</t>
  </si>
  <si>
    <t>IMPERMEABILIZAÇÃO DE BLOCOS/CI NTAS COM PINTURA ASFÁLTICA (MA</t>
  </si>
  <si>
    <t>TINTA ASFÁLTICA IMPERMEABILIZA NTE - REF.: NEUTROL VEDACIT</t>
  </si>
  <si>
    <t>IM4535</t>
  </si>
  <si>
    <t>BLOCO DE CONC. CANELETA TIPO   ”U” 19X19X19cm</t>
  </si>
  <si>
    <t>IM2003</t>
  </si>
  <si>
    <t>FITA CREPE 19 MM ROLO 50 M</t>
  </si>
  <si>
    <t>CONCRETO USINADO CONVENCIONAL  FCK 25,0 MPa</t>
  </si>
  <si>
    <t>PORTA METÁLICA 80X210CM</t>
  </si>
  <si>
    <t>PORTA METÁLICA 70X210CM</t>
  </si>
  <si>
    <t>PINTURA LATEX PVA SEM MASSA 2</t>
  </si>
  <si>
    <t>EMPREITEIRO PINTURA SINALIZAÇÃ O PAREDE COR PRETA H=90CM (MAT</t>
  </si>
  <si>
    <t>PREPARAÇÃO PARA COBERTURA VERD E</t>
  </si>
  <si>
    <t>PORTA PRONTA 70X210 CORRER,    INCLUSIVEFECHADURA E DOBRADIÇA</t>
  </si>
  <si>
    <t>KIT FERRAGEM PARA PORTA DE     CORRER (TRILHO,ROLDANA,PINO)</t>
  </si>
  <si>
    <t>KIT PORTA PRONTA 70X210 DE     CORRER</t>
  </si>
  <si>
    <t>ASSENTAMENTO DE PORTA PRONTA   CORRER</t>
  </si>
  <si>
    <t>PORTA PRONTA 60X210 CORRER,    INCLUSIVEFECHADURA E DOBRADIÇA</t>
  </si>
  <si>
    <t>KIT PORTA PRONTA 60X210 DE CORRER</t>
  </si>
  <si>
    <t>PORTA PRONTA 80X210 CORRER,    INCLUSIVEFECHADURA E DOBRADIÇA</t>
  </si>
  <si>
    <t>KIT PORTA PRONTA 80X210 DE     CORRER</t>
  </si>
  <si>
    <t>PORTA PIVOTANTE 80X210 CM</t>
  </si>
  <si>
    <t>KIT FERRAGENS (PIVÔ) - PORTA   PIVOTANTE</t>
  </si>
  <si>
    <t>KIT PORTA PIVOTANTE 80X210CM</t>
  </si>
  <si>
    <t>CZ2125</t>
  </si>
  <si>
    <t>ASSENTAMENTO DE PORTA PRONTA   PIVOTANTE</t>
  </si>
  <si>
    <t>PORTA PIVOTANTE 70X210 CM</t>
  </si>
  <si>
    <t>KIT PORTA PIVOTANTE 70X210 CM</t>
  </si>
  <si>
    <t>PORTA PIVOTANTE 60X210 CM</t>
  </si>
  <si>
    <t>KIT PORTA PIVOTANTE 60X210 CM</t>
  </si>
  <si>
    <t>BACIA CONVENCIONAL TIPO 01</t>
  </si>
  <si>
    <t>BACIA CONVENCIONAL TIPO 1</t>
  </si>
  <si>
    <t>TEXTURA ACRÍLICA COM ROLO</t>
  </si>
  <si>
    <t>EMPREITEIRO TEXTURA ACRÍLICA   TIPO 2 (MAT+MO)</t>
  </si>
  <si>
    <t>CZ9612</t>
  </si>
  <si>
    <t>FORMA EM TÁBUAS DE MADEIRA</t>
  </si>
  <si>
    <t>PINTURA TUBULAÇÃO DE           GARAGEM</t>
  </si>
  <si>
    <t>EMPREITEIRO PINTURA TUBULAÇÃO  APARENTE DAS GARAGENS (MAT+MO)</t>
  </si>
  <si>
    <t>PINTURA ACRILICA SEM MASSA</t>
  </si>
  <si>
    <t>EMPREITEIRO PINTURA LATEX SEM  MASSA (MAT+MO)</t>
  </si>
  <si>
    <t>PISO EM CONCRETO FCK 20,0 MPa  E= 10CM C/ ACABAMENTO CAMURÇAD</t>
  </si>
  <si>
    <t>FORMA (ESCORAMENTO, MATERIAL E MÃO-DE-OBRA) ATEX</t>
  </si>
  <si>
    <t>EMPREITEIRO FORMA PARA ATEX    (MAT+ESCORAMENTO+MO)</t>
  </si>
  <si>
    <t>MURO ESTRUTURADO E= 19CM       TIJOLO FURADO</t>
  </si>
  <si>
    <t>CORDOALHA ENGRAXADA P/ PROTENS</t>
  </si>
  <si>
    <t>CORDOALHA ENGRAXADA P/ PROTENS ÃO CP 190 RB07 - ø15,2MM</t>
  </si>
  <si>
    <t>M.O. APLIC E PROTENSÃO         CORDOALHA ENGRAXADA ø15,2MM</t>
  </si>
  <si>
    <t>ENCUNHAMENTO COM ARGAMASSA     EXPANSIVA</t>
  </si>
  <si>
    <t>M.O. - ASSENTAMENTO DE PORTAS  CORRER (INCLUSIVE ESPUMA)</t>
  </si>
  <si>
    <t>M.O. - ASSENTAMENTO DE PORTAS  PIVOTANTE (INCLUSIVE ESPUMA)</t>
  </si>
  <si>
    <t>MONTAGEM E DESMONTAGEM DE      ELEVADOR CREMALHEIRA</t>
  </si>
  <si>
    <t>PINTURA DEMARCACAO             PNE</t>
  </si>
  <si>
    <t>EMPREITEIRO PINTURA DE         SINALIZAÇÃO VAGA DEFICIENTE</t>
  </si>
  <si>
    <t>PAVIMENTAÇÃO INTERTRAVADA      INCLUSIVE BASE EM BICA CORRIDA</t>
  </si>
  <si>
    <t>IM6546</t>
  </si>
  <si>
    <t>BGS - BRITA GRADUADA</t>
  </si>
  <si>
    <t>IS4183</t>
  </si>
  <si>
    <t>COMPACTAÇÃO DE BASE ESTABIL</t>
  </si>
  <si>
    <t>NUMERAÇÃO DE VAGAS DE          GARAGEM</t>
  </si>
  <si>
    <t>TEXTURA GRAFIATO</t>
  </si>
  <si>
    <t>PROTEÇÃO MECÂNICA SOBRE MANTA  m.o preço da manta</t>
  </si>
  <si>
    <t>DIVISÓRIA EM GRANITO TIPO 01</t>
  </si>
  <si>
    <t>BACIA C/ CAIXA ACOPLADA TIPO 2</t>
  </si>
  <si>
    <t>BACIA C/ CAIXA ACOPLADA TIPO 3</t>
  </si>
  <si>
    <t>BACIA CONVENCIONAL TIPO 02</t>
  </si>
  <si>
    <t>VÁLVULA DESCARGA TIPO 1</t>
  </si>
  <si>
    <t>BACIA CONVENCIONAL TIPO 03</t>
  </si>
  <si>
    <t>BACIA COM CAIXA MONTANA PARA   PNE TIPO 01</t>
  </si>
  <si>
    <t>CAIXA ACOPLADA MONTANA PARA    BACIA ADAPTADA PNES</t>
  </si>
  <si>
    <t>BACIA P/ CAIXA ACOPLADA ADAPT. PARA DEFICIENTE FÍSICO TIPO 01</t>
  </si>
  <si>
    <t>BACIA COM CAIXA MONTANA PARA   PNE TIPO 02</t>
  </si>
  <si>
    <t>BACIA PARA PNE TIPO 02</t>
  </si>
  <si>
    <t>CUBA  LOUÇA DE EMBUTIR TIPO 01</t>
  </si>
  <si>
    <t>CUBA  LOUÇA DE EMBUTIR TIPO 02</t>
  </si>
  <si>
    <t>CUBA DE LOUCA DE EMBUTIR TIPO  02</t>
  </si>
  <si>
    <t>CUBA  LOUÇA DE EMBUTIR TIPO 03</t>
  </si>
  <si>
    <t>CUBA DE LOUÇA DE EMBUTIR TIPO  03</t>
  </si>
  <si>
    <t>CUBA LOUÇA DE SOBREPOR TIPO 02</t>
  </si>
  <si>
    <t>CUBA LOUÇA DE SOBREPOR TIPO 03</t>
  </si>
  <si>
    <t>LAVATÓRIO EM LOUÇA COM OU SEM  COLUNA TIPO 01</t>
  </si>
  <si>
    <t>SIFÃO PLÁSTICO PARA LAVATÓRIO</t>
  </si>
  <si>
    <t>VÁLVULA DE PVC PARA LAVATÓRIO</t>
  </si>
  <si>
    <t>LAVATÓRIO DE LOUÇA COM OU SEM  COLUNA TIPO 01</t>
  </si>
  <si>
    <t>LAVATÓRIO EM LOUÇA COM OU SEM  COLUNA TIPO 02</t>
  </si>
  <si>
    <t>LAVATÓRIO EM LOUÇA COM OU SEM  COLUNA TIPO 03</t>
  </si>
  <si>
    <t>TANQUE EM LOUÇA COM OU SEM     COLUNA TIPO 01</t>
  </si>
  <si>
    <t>TANQUE EM LOUÇA COM OU SEM     COLUNA TIPO 02</t>
  </si>
  <si>
    <t>TANQUE EM LOUÇA COM OU SEM     COLUNA TIPO 2</t>
  </si>
  <si>
    <t>TANQUE EM LOUÇA COM OU SEM     COLUNA TIPO 03</t>
  </si>
  <si>
    <t>ALIZAR EM GRANITO 01</t>
  </si>
  <si>
    <t>ALIZAR EM GRANITO L=12CM</t>
  </si>
  <si>
    <t>ADUELA EM GRANITO BCO</t>
  </si>
  <si>
    <t>ADUELA EM GRANITO BRANCO LARG. 12CM</t>
  </si>
  <si>
    <t>ALIZAR EM GRANITO BCO</t>
  </si>
  <si>
    <t>ALIZAR EM GRANITO BRANCO LARG. 12CM</t>
  </si>
  <si>
    <t>GRANITO EM FACHADA AERADA 2</t>
  </si>
  <si>
    <t>CZ9607</t>
  </si>
  <si>
    <t>VERGA PARA ANCORAGEM DOS INSER TS METÁLICOS</t>
  </si>
  <si>
    <t>MICTÓRIO DE LOUÇA 02</t>
  </si>
  <si>
    <t>MICTÓRIO DE LOUÇA COM SIFÃO    INTEGRADO TIPO 02</t>
  </si>
  <si>
    <t>IM6564</t>
  </si>
  <si>
    <t>CONJUNTO DE INSTALAÇÃO DO MICT ÓRIO</t>
  </si>
  <si>
    <t>ARAME RECOZIDO BWG 10 (antigo  PG-18)</t>
  </si>
  <si>
    <t>Insumo existente no projeto 10013</t>
  </si>
  <si>
    <t>PAVIMENTAÇÃO EXTERNA</t>
  </si>
  <si>
    <t>ACABAMENTO INTERNO</t>
  </si>
  <si>
    <t>MÃO DE OBRA INDIRETO</t>
  </si>
  <si>
    <t>EQUIPE INDIRETA PERMANENTE DA OBRA</t>
  </si>
  <si>
    <t>REVESTIMENTO DE PAREDE EM CERÂMICA/PORCELANATO</t>
  </si>
  <si>
    <t>REVESTIMENTO DE PAREDE EM GRANITO/MÁRMORE</t>
  </si>
  <si>
    <t>REVESTIMENTO DE PAREDE EM FÓRMICA</t>
  </si>
  <si>
    <t>PISO EM GRANITO/MÁRMORE</t>
  </si>
  <si>
    <t>PISO EM CERÂMICA/PORCELANATO</t>
  </si>
  <si>
    <t>REVESTIMENTO DE PAREDE</t>
  </si>
  <si>
    <t>REVESTIMENTO DE PISO/RODAPÉ/SOLEIRA</t>
  </si>
  <si>
    <t>REVESTIMENTOS DE TETO</t>
  </si>
  <si>
    <t>MODELO DE IMPORTAÇÃO DE COMPOSIÇÃO</t>
  </si>
  <si>
    <t>MODELO DE IMPORTAÇÃO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</si>
</sst>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"/>
    <numFmt numFmtId="165" formatCode="[$-416]d\-mmm\-yy;@"/>
    <numFmt numFmtId="166" formatCode="_(* #,##0.00_);_(* \(#,##0.00\);_(* &quot;-&quot;??_);_(@_)"/>
    <numFmt numFmtId="167" formatCode="[$-416]mmm\-yy;@"/>
    <numFmt numFmtId="168" formatCode="[$-416]mmm/yy"/>
    <numFmt numFmtId="169" formatCode="&quot;R$&quot;\ #,##0.0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7"/>
      <name val="Calibri"/>
      <family val="2"/>
      <scheme val="minor"/>
    </font>
    <font>
      <sz val="8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sz val="7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Arial"/>
      <family val="2"/>
    </font>
    <font>
      <i/>
      <sz val="9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color rgb="FF000000"/>
      <name val="Arial"/>
      <family val="2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 Black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2"/>
      <name val="Calibri"/>
      <family val="2"/>
    </font>
    <font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Gray">
        <fgColor indexed="9"/>
        <bgColor indexed="51"/>
      </patternFill>
    </fill>
    <fill>
      <patternFill patternType="lightGray">
        <fgColor indexed="9"/>
        <bgColor indexed="44"/>
      </patternFill>
    </fill>
    <fill>
      <patternFill patternType="mediumGray">
        <fgColor indexed="9"/>
        <bgColor indexed="4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Down"/>
    </fill>
    <fill>
      <patternFill patternType="solid">
        <fgColor rgb="FFFFFFFF"/>
        <bgColor rgb="FFFFFFCC"/>
      </patternFill>
    </fill>
    <fill>
      <patternFill patternType="solid">
        <fgColor rgb="FFFCD5B5"/>
        <bgColor rgb="FFFDEADA"/>
      </patternFill>
    </fill>
    <fill>
      <patternFill patternType="solid">
        <fgColor rgb="FFEBF1DE"/>
        <bgColor rgb="FFFDEADA"/>
      </patternFill>
    </fill>
    <fill>
      <patternFill patternType="solid">
        <fgColor theme="4" tint="0.59999389629810485"/>
        <bgColor rgb="FFFFCC99"/>
      </patternFill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rgb="FFFCD5B5"/>
      </patternFill>
    </fill>
    <fill>
      <patternFill patternType="solid">
        <fgColor rgb="FFFCD5B5"/>
        <bgColor rgb="FFFFCC99"/>
      </patternFill>
    </fill>
    <fill>
      <patternFill patternType="solid">
        <fgColor rgb="FFDDDAB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1027">
    <xf numFmtId="0" fontId="0" fillId="0" borderId="0"/>
    <xf numFmtId="0" fontId="14" fillId="0" borderId="0"/>
    <xf numFmtId="0" fontId="27" fillId="0" borderId="0" applyNumberFormat="0" applyFill="0" applyBorder="0" applyAlignment="0" applyProtection="0"/>
    <xf numFmtId="0" fontId="28" fillId="0" borderId="19" applyNumberFormat="0" applyFill="0" applyAlignment="0" applyProtection="0"/>
    <xf numFmtId="0" fontId="29" fillId="0" borderId="20" applyNumberFormat="0" applyFill="0" applyAlignment="0" applyProtection="0"/>
    <xf numFmtId="0" fontId="30" fillId="0" borderId="21" applyNumberFormat="0" applyFill="0" applyAlignment="0" applyProtection="0"/>
    <xf numFmtId="0" fontId="30" fillId="0" borderId="0" applyNumberFormat="0" applyFill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34" fillId="6" borderId="22" applyNumberFormat="0" applyAlignment="0" applyProtection="0"/>
    <xf numFmtId="0" fontId="35" fillId="7" borderId="23" applyNumberFormat="0" applyAlignment="0" applyProtection="0"/>
    <xf numFmtId="0" fontId="36" fillId="7" borderId="22" applyNumberFormat="0" applyAlignment="0" applyProtection="0"/>
    <xf numFmtId="0" fontId="37" fillId="0" borderId="24" applyNumberFormat="0" applyFill="0" applyAlignment="0" applyProtection="0"/>
    <xf numFmtId="0" fontId="38" fillId="8" borderId="25" applyNumberFormat="0" applyAlignment="0" applyProtection="0"/>
    <xf numFmtId="0" fontId="2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1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41" fillId="33" borderId="0" applyNumberFormat="0" applyBorder="0" applyAlignment="0" applyProtection="0"/>
    <xf numFmtId="0" fontId="13" fillId="0" borderId="0"/>
    <xf numFmtId="0" fontId="13" fillId="9" borderId="26" applyNumberFormat="0" applyFont="0" applyAlignment="0" applyProtection="0"/>
    <xf numFmtId="0" fontId="13" fillId="9" borderId="26" applyNumberFormat="0" applyFont="0" applyAlignment="0" applyProtection="0"/>
    <xf numFmtId="0" fontId="12" fillId="0" borderId="0"/>
    <xf numFmtId="0" fontId="11" fillId="0" borderId="0"/>
    <xf numFmtId="164" fontId="44" fillId="0" borderId="0" applyFont="0" applyFill="0" applyBorder="0" applyAlignment="0" applyProtection="0"/>
    <xf numFmtId="0" fontId="11" fillId="0" borderId="0"/>
    <xf numFmtId="0" fontId="44" fillId="0" borderId="0"/>
    <xf numFmtId="0" fontId="11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10" fillId="0" borderId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9" borderId="26" applyNumberFormat="0" applyFont="0" applyAlignment="0" applyProtection="0"/>
    <xf numFmtId="0" fontId="10" fillId="12" borderId="0" applyNumberFormat="0" applyBorder="0" applyAlignment="0" applyProtection="0"/>
    <xf numFmtId="0" fontId="10" fillId="0" borderId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19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9" borderId="26" applyNumberFormat="0" applyFont="0" applyAlignment="0" applyProtection="0"/>
    <xf numFmtId="0" fontId="10" fillId="12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0" borderId="0"/>
    <xf numFmtId="0" fontId="10" fillId="23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16" borderId="0" applyNumberFormat="0" applyBorder="0" applyAlignment="0" applyProtection="0"/>
    <xf numFmtId="0" fontId="10" fillId="24" borderId="0" applyNumberFormat="0" applyBorder="0" applyAlignment="0" applyProtection="0"/>
    <xf numFmtId="0" fontId="10" fillId="0" borderId="0"/>
    <xf numFmtId="0" fontId="10" fillId="0" borderId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24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0" borderId="0"/>
    <xf numFmtId="0" fontId="10" fillId="0" borderId="0"/>
    <xf numFmtId="0" fontId="10" fillId="2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0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9" borderId="0" applyNumberFormat="0" applyBorder="0" applyAlignment="0" applyProtection="0"/>
    <xf numFmtId="0" fontId="10" fillId="24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9" borderId="26" applyNumberFormat="0" applyFont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4" borderId="0" applyNumberFormat="0" applyBorder="0" applyAlignment="0" applyProtection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9" borderId="26" applyNumberFormat="0" applyFont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5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0" borderId="0"/>
    <xf numFmtId="0" fontId="10" fillId="23" borderId="0" applyNumberFormat="0" applyBorder="0" applyAlignment="0" applyProtection="0"/>
    <xf numFmtId="0" fontId="10" fillId="16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1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6" borderId="0" applyNumberFormat="0" applyBorder="0" applyAlignment="0" applyProtection="0"/>
    <xf numFmtId="0" fontId="10" fillId="0" borderId="0"/>
    <xf numFmtId="0" fontId="10" fillId="9" borderId="26" applyNumberFormat="0" applyFont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24" borderId="0" applyNumberFormat="0" applyBorder="0" applyAlignment="0" applyProtection="0"/>
    <xf numFmtId="0" fontId="10" fillId="0" borderId="0"/>
    <xf numFmtId="0" fontId="10" fillId="0" borderId="0"/>
    <xf numFmtId="0" fontId="10" fillId="20" borderId="0" applyNumberFormat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2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2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1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20" borderId="0" applyNumberFormat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2" borderId="0" applyNumberFormat="0" applyBorder="0" applyAlignment="0" applyProtection="0"/>
    <xf numFmtId="0" fontId="44" fillId="0" borderId="0"/>
    <xf numFmtId="0" fontId="44" fillId="0" borderId="0"/>
    <xf numFmtId="0" fontId="10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24" borderId="0" applyNumberFormat="0" applyBorder="0" applyAlignment="0" applyProtection="0"/>
    <xf numFmtId="0" fontId="10" fillId="0" borderId="0"/>
    <xf numFmtId="0" fontId="10" fillId="0" borderId="0"/>
    <xf numFmtId="0" fontId="10" fillId="20" borderId="0" applyNumberFormat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2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2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11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24" borderId="0" applyNumberFormat="0" applyBorder="0" applyAlignment="0" applyProtection="0"/>
    <xf numFmtId="0" fontId="10" fillId="12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24" borderId="0" applyNumberFormat="0" applyBorder="0" applyAlignment="0" applyProtection="0"/>
    <xf numFmtId="0" fontId="10" fillId="0" borderId="0"/>
    <xf numFmtId="0" fontId="10" fillId="0" borderId="0"/>
    <xf numFmtId="0" fontId="10" fillId="20" borderId="0" applyNumberFormat="0" applyBorder="0" applyAlignment="0" applyProtection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2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2" borderId="0" applyNumberFormat="0" applyBorder="0" applyAlignment="0" applyProtection="0"/>
    <xf numFmtId="0" fontId="44" fillId="0" borderId="0"/>
    <xf numFmtId="0" fontId="44" fillId="0" borderId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9" borderId="26" applyNumberFormat="0" applyFont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24" borderId="0" applyNumberFormat="0" applyBorder="0" applyAlignment="0" applyProtection="0"/>
    <xf numFmtId="0" fontId="10" fillId="11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3" borderId="0" applyNumberFormat="0" applyBorder="0" applyAlignment="0" applyProtection="0"/>
    <xf numFmtId="0" fontId="10" fillId="0" borderId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9" borderId="26" applyNumberFormat="0" applyFont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24" borderId="0" applyNumberFormat="0" applyBorder="0" applyAlignment="0" applyProtection="0"/>
    <xf numFmtId="0" fontId="10" fillId="15" borderId="0" applyNumberFormat="0" applyBorder="0" applyAlignment="0" applyProtection="0"/>
    <xf numFmtId="0" fontId="10" fillId="24" borderId="0" applyNumberFormat="0" applyBorder="0" applyAlignment="0" applyProtection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19" borderId="0" applyNumberFormat="0" applyBorder="0" applyAlignment="0" applyProtection="0"/>
    <xf numFmtId="0" fontId="10" fillId="11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0" borderId="0"/>
    <xf numFmtId="0" fontId="10" fillId="0" borderId="0"/>
    <xf numFmtId="0" fontId="10" fillId="12" borderId="0" applyNumberFormat="0" applyBorder="0" applyAlignment="0" applyProtection="0"/>
    <xf numFmtId="0" fontId="10" fillId="9" borderId="26" applyNumberFormat="0" applyFont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3" borderId="0" applyNumberFormat="0" applyBorder="0" applyAlignment="0" applyProtection="0"/>
    <xf numFmtId="0" fontId="10" fillId="9" borderId="26" applyNumberFormat="0" applyFont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6" borderId="0" applyNumberFormat="0" applyBorder="0" applyAlignment="0" applyProtection="0"/>
    <xf numFmtId="0" fontId="44" fillId="0" borderId="0"/>
    <xf numFmtId="0" fontId="44" fillId="0" borderId="0"/>
    <xf numFmtId="0" fontId="10" fillId="9" borderId="26" applyNumberFormat="0" applyFont="0" applyAlignment="0" applyProtection="0"/>
    <xf numFmtId="0" fontId="10" fillId="12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0" borderId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15" borderId="0" applyNumberFormat="0" applyBorder="0" applyAlignment="0" applyProtection="0"/>
    <xf numFmtId="0" fontId="10" fillId="0" borderId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19" borderId="0" applyNumberFormat="0" applyBorder="0" applyAlignment="0" applyProtection="0"/>
    <xf numFmtId="0" fontId="44" fillId="0" borderId="0"/>
    <xf numFmtId="0" fontId="44" fillId="0" borderId="0"/>
    <xf numFmtId="0" fontId="10" fillId="0" borderId="0"/>
    <xf numFmtId="0" fontId="10" fillId="0" borderId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44" fillId="0" borderId="0"/>
    <xf numFmtId="0" fontId="44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43" fontId="47" fillId="0" borderId="0" applyFon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" fillId="0" borderId="0"/>
    <xf numFmtId="0" fontId="4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4" fillId="0" borderId="0"/>
    <xf numFmtId="0" fontId="44" fillId="0" borderId="0"/>
    <xf numFmtId="0" fontId="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" fillId="0" borderId="0"/>
    <xf numFmtId="0" fontId="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0" fontId="6" fillId="0" borderId="0"/>
    <xf numFmtId="0" fontId="53" fillId="0" borderId="0"/>
    <xf numFmtId="0" fontId="5" fillId="0" borderId="0"/>
    <xf numFmtId="0" fontId="5" fillId="0" borderId="0"/>
    <xf numFmtId="0" fontId="60" fillId="0" borderId="0"/>
    <xf numFmtId="0" fontId="64" fillId="0" borderId="0"/>
    <xf numFmtId="0" fontId="60" fillId="0" borderId="0"/>
    <xf numFmtId="0" fontId="60" fillId="0" borderId="0"/>
    <xf numFmtId="44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" fillId="0" borderId="0"/>
    <xf numFmtId="0" fontId="3" fillId="0" borderId="0"/>
  </cellStyleXfs>
  <cellXfs count="452">
    <xf numFmtId="0" fontId="0" fillId="0" borderId="0" xfId="0"/>
    <xf numFmtId="0" fontId="17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65" fontId="19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 applyProtection="1">
      <alignment vertical="center" wrapText="1"/>
      <protection locked="0"/>
    </xf>
    <xf numFmtId="0" fontId="16" fillId="0" borderId="0" xfId="0" applyFont="1"/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8" fillId="0" borderId="0" xfId="0" applyFont="1" applyAlignment="1" applyProtection="1">
      <alignment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4" fontId="42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0" fontId="21" fillId="0" borderId="13" xfId="0" applyFont="1" applyBorder="1" applyAlignment="1">
      <alignment horizontal="center" vertical="center" shrinkToFit="1"/>
    </xf>
    <xf numFmtId="0" fontId="24" fillId="0" borderId="0" xfId="1" applyFont="1" applyAlignment="1">
      <alignment vertical="center" wrapText="1"/>
    </xf>
    <xf numFmtId="0" fontId="26" fillId="0" borderId="0" xfId="1" applyFont="1" applyAlignment="1">
      <alignment vertical="center"/>
    </xf>
    <xf numFmtId="0" fontId="45" fillId="0" borderId="0" xfId="0" applyFont="1" applyAlignment="1" applyProtection="1">
      <alignment horizontal="right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4" fontId="45" fillId="0" borderId="12" xfId="0" applyNumberFormat="1" applyFont="1" applyBorder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4" fontId="23" fillId="0" borderId="0" xfId="0" applyNumberFormat="1" applyFont="1" applyAlignment="1">
      <alignment vertical="center"/>
    </xf>
    <xf numFmtId="4" fontId="45" fillId="0" borderId="13" xfId="0" applyNumberFormat="1" applyFont="1" applyBorder="1" applyAlignment="1">
      <alignment horizontal="right" vertical="center" wrapText="1"/>
    </xf>
    <xf numFmtId="4" fontId="45" fillId="0" borderId="14" xfId="0" applyNumberFormat="1" applyFont="1" applyBorder="1" applyAlignment="1">
      <alignment horizontal="right" vertical="center" wrapText="1"/>
    </xf>
    <xf numFmtId="4" fontId="45" fillId="2" borderId="11" xfId="0" applyNumberFormat="1" applyFont="1" applyFill="1" applyBorder="1" applyAlignment="1">
      <alignment horizontal="right" vertical="center" wrapText="1"/>
    </xf>
    <xf numFmtId="0" fontId="40" fillId="0" borderId="0" xfId="1299" applyFont="1" applyAlignment="1">
      <alignment horizontal="center" vertical="center"/>
    </xf>
    <xf numFmtId="0" fontId="40" fillId="0" borderId="0" xfId="1299" applyFont="1" applyAlignment="1">
      <alignment vertical="center"/>
    </xf>
    <xf numFmtId="4" fontId="40" fillId="0" borderId="0" xfId="1299" applyNumberFormat="1" applyFont="1" applyAlignment="1">
      <alignment horizontal="center" vertical="center" wrapText="1"/>
    </xf>
    <xf numFmtId="0" fontId="40" fillId="0" borderId="0" xfId="1299" applyFont="1" applyAlignment="1">
      <alignment horizontal="center" vertical="center" wrapText="1"/>
    </xf>
    <xf numFmtId="0" fontId="40" fillId="37" borderId="0" xfId="1299" applyFont="1" applyFill="1" applyAlignment="1">
      <alignment horizontal="center" vertical="center" wrapText="1"/>
    </xf>
    <xf numFmtId="0" fontId="40" fillId="37" borderId="0" xfId="1299" applyFont="1" applyFill="1" applyAlignment="1">
      <alignment vertical="center" wrapText="1"/>
    </xf>
    <xf numFmtId="4" fontId="40" fillId="37" borderId="0" xfId="1299" applyNumberFormat="1" applyFont="1" applyFill="1" applyAlignment="1">
      <alignment horizontal="center" vertical="center" wrapText="1"/>
    </xf>
    <xf numFmtId="4" fontId="40" fillId="37" borderId="0" xfId="1299" applyNumberFormat="1" applyFont="1" applyFill="1" applyAlignment="1">
      <alignment vertical="center" wrapText="1"/>
    </xf>
    <xf numFmtId="0" fontId="8" fillId="0" borderId="0" xfId="1299" applyAlignment="1">
      <alignment vertical="center"/>
    </xf>
    <xf numFmtId="0" fontId="8" fillId="0" borderId="0" xfId="1300" applyAlignment="1">
      <alignment horizontal="center"/>
    </xf>
    <xf numFmtId="0" fontId="8" fillId="0" borderId="0" xfId="1300"/>
    <xf numFmtId="4" fontId="8" fillId="0" borderId="0" xfId="1299" applyNumberFormat="1" applyAlignment="1">
      <alignment vertical="center"/>
    </xf>
    <xf numFmtId="0" fontId="40" fillId="42" borderId="0" xfId="1300" applyFont="1" applyFill="1" applyAlignment="1">
      <alignment horizontal="center"/>
    </xf>
    <xf numFmtId="0" fontId="40" fillId="42" borderId="0" xfId="1300" applyFont="1" applyFill="1"/>
    <xf numFmtId="0" fontId="40" fillId="42" borderId="0" xfId="1299" applyFont="1" applyFill="1" applyAlignment="1">
      <alignment vertical="center"/>
    </xf>
    <xf numFmtId="4" fontId="40" fillId="42" borderId="0" xfId="1299" applyNumberFormat="1" applyFont="1" applyFill="1" applyAlignment="1">
      <alignment vertical="center"/>
    </xf>
    <xf numFmtId="0" fontId="40" fillId="0" borderId="0" xfId="1300" applyFont="1" applyAlignment="1">
      <alignment horizontal="center"/>
    </xf>
    <xf numFmtId="0" fontId="40" fillId="0" borderId="0" xfId="1300" applyFont="1"/>
    <xf numFmtId="0" fontId="8" fillId="0" borderId="0" xfId="1299" applyAlignment="1">
      <alignment horizontal="center" vertical="center"/>
    </xf>
    <xf numFmtId="0" fontId="24" fillId="0" borderId="0" xfId="1" applyFont="1" applyAlignment="1">
      <alignment horizontal="center" vertical="center"/>
    </xf>
    <xf numFmtId="4" fontId="24" fillId="0" borderId="0" xfId="1" applyNumberFormat="1" applyFont="1" applyAlignment="1">
      <alignment horizontal="center" vertical="center"/>
    </xf>
    <xf numFmtId="0" fontId="24" fillId="0" borderId="0" xfId="1" applyFont="1" applyAlignment="1">
      <alignment vertical="center"/>
    </xf>
    <xf numFmtId="0" fontId="26" fillId="0" borderId="28" xfId="87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/>
    </xf>
    <xf numFmtId="0" fontId="26" fillId="0" borderId="28" xfId="1" applyFont="1" applyBorder="1" applyAlignment="1">
      <alignment horizontal="left" vertical="center" wrapText="1"/>
    </xf>
    <xf numFmtId="4" fontId="26" fillId="0" borderId="28" xfId="1" applyNumberFormat="1" applyFont="1" applyBorder="1" applyAlignment="1">
      <alignment horizontal="center" vertical="center"/>
    </xf>
    <xf numFmtId="43" fontId="26" fillId="0" borderId="28" xfId="10496" applyFont="1" applyBorder="1" applyAlignment="1">
      <alignment vertical="center"/>
    </xf>
    <xf numFmtId="0" fontId="26" fillId="0" borderId="28" xfId="1" applyFont="1" applyBorder="1" applyAlignment="1">
      <alignment vertical="center"/>
    </xf>
    <xf numFmtId="4" fontId="25" fillId="2" borderId="28" xfId="0" applyNumberFormat="1" applyFont="1" applyFill="1" applyBorder="1" applyAlignment="1">
      <alignment horizontal="center" vertical="center" wrapText="1"/>
    </xf>
    <xf numFmtId="2" fontId="26" fillId="0" borderId="28" xfId="1" applyNumberFormat="1" applyFont="1" applyBorder="1" applyAlignment="1">
      <alignment horizontal="center" vertical="center"/>
    </xf>
    <xf numFmtId="0" fontId="26" fillId="0" borderId="28" xfId="452" applyFont="1" applyBorder="1" applyAlignment="1">
      <alignment horizontal="center" vertical="center" wrapText="1"/>
    </xf>
    <xf numFmtId="0" fontId="26" fillId="0" borderId="28" xfId="54" applyFont="1" applyBorder="1" applyAlignment="1">
      <alignment horizontal="center" vertical="center" wrapText="1"/>
    </xf>
    <xf numFmtId="0" fontId="25" fillId="0" borderId="28" xfId="1" applyFont="1" applyBorder="1" applyAlignment="1">
      <alignment horizontal="center" vertical="center" wrapText="1"/>
    </xf>
    <xf numFmtId="0" fontId="25" fillId="0" borderId="28" xfId="1" applyFont="1" applyBorder="1" applyAlignment="1">
      <alignment vertical="center" wrapText="1"/>
    </xf>
    <xf numFmtId="4" fontId="26" fillId="43" borderId="28" xfId="1" applyNumberFormat="1" applyFont="1" applyFill="1" applyBorder="1" applyAlignment="1">
      <alignment horizontal="center" vertical="center"/>
    </xf>
    <xf numFmtId="4" fontId="26" fillId="44" borderId="28" xfId="1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0" xfId="0" applyFont="1" applyAlignment="1" applyProtection="1">
      <alignment vertical="center" wrapText="1"/>
      <protection locked="0"/>
    </xf>
    <xf numFmtId="0" fontId="50" fillId="0" borderId="0" xfId="0" applyFont="1" applyAlignment="1">
      <alignment vertical="center" wrapText="1"/>
    </xf>
    <xf numFmtId="0" fontId="46" fillId="0" borderId="0" xfId="0" applyFont="1"/>
    <xf numFmtId="43" fontId="24" fillId="0" borderId="0" xfId="10496" applyFont="1" applyBorder="1" applyAlignment="1">
      <alignment vertical="center"/>
    </xf>
    <xf numFmtId="43" fontId="26" fillId="0" borderId="0" xfId="10496" applyFont="1" applyBorder="1" applyAlignment="1">
      <alignment vertical="center"/>
    </xf>
    <xf numFmtId="0" fontId="16" fillId="0" borderId="0" xfId="10497" applyFont="1" applyAlignment="1">
      <alignment vertical="center"/>
    </xf>
    <xf numFmtId="0" fontId="16" fillId="43" borderId="0" xfId="10497" applyFont="1" applyFill="1" applyAlignment="1">
      <alignment vertical="center"/>
    </xf>
    <xf numFmtId="4" fontId="16" fillId="0" borderId="5" xfId="10497" applyNumberFormat="1" applyFont="1" applyBorder="1" applyAlignment="1">
      <alignment vertical="center"/>
    </xf>
    <xf numFmtId="0" fontId="18" fillId="0" borderId="0" xfId="10497" applyFont="1" applyAlignment="1">
      <alignment horizontal="right" vertical="center"/>
    </xf>
    <xf numFmtId="0" fontId="16" fillId="0" borderId="10" xfId="10497" applyFont="1" applyBorder="1" applyAlignment="1">
      <alignment vertical="center"/>
    </xf>
    <xf numFmtId="0" fontId="18" fillId="0" borderId="10" xfId="10497" applyFont="1" applyBorder="1" applyAlignment="1">
      <alignment horizontal="right" vertical="center"/>
    </xf>
    <xf numFmtId="0" fontId="18" fillId="46" borderId="29" xfId="10497" applyFont="1" applyFill="1" applyBorder="1" applyAlignment="1">
      <alignment horizontal="center" vertical="center"/>
    </xf>
    <xf numFmtId="0" fontId="16" fillId="48" borderId="30" xfId="10497" applyFont="1" applyFill="1" applyBorder="1" applyAlignment="1">
      <alignment horizontal="center" vertical="center"/>
    </xf>
    <xf numFmtId="4" fontId="18" fillId="46" borderId="14" xfId="10497" applyNumberFormat="1" applyFont="1" applyFill="1" applyBorder="1" applyAlignment="1">
      <alignment horizontal="center" vertical="center"/>
    </xf>
    <xf numFmtId="0" fontId="18" fillId="0" borderId="0" xfId="10497" applyFont="1" applyAlignment="1">
      <alignment vertical="center"/>
    </xf>
    <xf numFmtId="0" fontId="18" fillId="43" borderId="0" xfId="10497" applyFont="1" applyFill="1" applyAlignment="1">
      <alignment vertical="center"/>
    </xf>
    <xf numFmtId="0" fontId="43" fillId="0" borderId="32" xfId="10497" applyFont="1" applyBorder="1" applyAlignment="1">
      <alignment horizontal="center" vertical="center"/>
    </xf>
    <xf numFmtId="0" fontId="43" fillId="0" borderId="28" xfId="10497" applyFont="1" applyBorder="1" applyAlignment="1">
      <alignment horizontal="center" vertical="center"/>
    </xf>
    <xf numFmtId="2" fontId="16" fillId="0" borderId="0" xfId="10497" applyNumberFormat="1" applyFont="1" applyAlignment="1">
      <alignment vertical="center"/>
    </xf>
    <xf numFmtId="4" fontId="16" fillId="0" borderId="0" xfId="10497" applyNumberFormat="1" applyFont="1" applyAlignment="1">
      <alignment vertical="center"/>
    </xf>
    <xf numFmtId="2" fontId="16" fillId="43" borderId="0" xfId="10497" applyNumberFormat="1" applyFont="1" applyFill="1" applyAlignment="1">
      <alignment vertical="center"/>
    </xf>
    <xf numFmtId="0" fontId="26" fillId="0" borderId="28" xfId="380" applyFont="1" applyBorder="1" applyAlignment="1">
      <alignment horizontal="center" vertical="center"/>
    </xf>
    <xf numFmtId="0" fontId="43" fillId="0" borderId="38" xfId="10497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43" fontId="26" fillId="0" borderId="0" xfId="10496" applyFont="1" applyFill="1" applyBorder="1" applyAlignment="1">
      <alignment vertical="center"/>
    </xf>
    <xf numFmtId="0" fontId="45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45" fillId="0" borderId="10" xfId="0" applyFont="1" applyBorder="1" applyAlignment="1" applyProtection="1">
      <alignment horizontal="left" vertical="center"/>
      <protection locked="0"/>
    </xf>
    <xf numFmtId="0" fontId="45" fillId="0" borderId="10" xfId="0" applyFont="1" applyBorder="1" applyAlignment="1" applyProtection="1">
      <alignment horizontal="right" vertical="center"/>
      <protection locked="0"/>
    </xf>
    <xf numFmtId="0" fontId="19" fillId="0" borderId="10" xfId="0" applyFont="1" applyBorder="1" applyAlignment="1" applyProtection="1">
      <alignment horizontal="left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52" fillId="0" borderId="12" xfId="0" applyFont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 wrapText="1"/>
    </xf>
    <xf numFmtId="0" fontId="19" fillId="0" borderId="0" xfId="0" applyFont="1"/>
    <xf numFmtId="0" fontId="22" fillId="0" borderId="0" xfId="0" applyFont="1" applyAlignment="1" applyProtection="1">
      <alignment horizontal="left" vertical="center"/>
      <protection locked="0"/>
    </xf>
    <xf numFmtId="0" fontId="22" fillId="0" borderId="10" xfId="0" applyFont="1" applyBorder="1" applyAlignment="1" applyProtection="1">
      <alignment horizontal="left" vertical="center"/>
      <protection locked="0"/>
    </xf>
    <xf numFmtId="2" fontId="22" fillId="50" borderId="28" xfId="10497" applyNumberFormat="1" applyFont="1" applyFill="1" applyBorder="1" applyAlignment="1">
      <alignment horizontal="center" vertical="center"/>
    </xf>
    <xf numFmtId="2" fontId="22" fillId="50" borderId="36" xfId="10497" applyNumberFormat="1" applyFont="1" applyFill="1" applyBorder="1" applyAlignment="1">
      <alignment horizontal="center" vertical="center"/>
    </xf>
    <xf numFmtId="2" fontId="22" fillId="50" borderId="37" xfId="10497" applyNumberFormat="1" applyFont="1" applyFill="1" applyBorder="1" applyAlignment="1">
      <alignment horizontal="center" vertical="center" wrapText="1"/>
    </xf>
    <xf numFmtId="2" fontId="22" fillId="47" borderId="12" xfId="10497" applyNumberFormat="1" applyFont="1" applyFill="1" applyBorder="1" applyAlignment="1">
      <alignment horizontal="center" vertical="center"/>
    </xf>
    <xf numFmtId="2" fontId="22" fillId="47" borderId="18" xfId="10497" applyNumberFormat="1" applyFont="1" applyFill="1" applyBorder="1" applyAlignment="1">
      <alignment horizontal="center" vertical="center"/>
    </xf>
    <xf numFmtId="2" fontId="22" fillId="50" borderId="37" xfId="10497" applyNumberFormat="1" applyFont="1" applyFill="1" applyBorder="1" applyAlignment="1">
      <alignment horizontal="left" vertical="center" wrapText="1"/>
    </xf>
    <xf numFmtId="0" fontId="25" fillId="43" borderId="0" xfId="0" applyFont="1" applyFill="1" applyAlignment="1">
      <alignment vertical="center" wrapText="1"/>
    </xf>
    <xf numFmtId="0" fontId="25" fillId="0" borderId="0" xfId="1" applyFont="1" applyAlignment="1">
      <alignment vertical="center"/>
    </xf>
    <xf numFmtId="0" fontId="22" fillId="0" borderId="4" xfId="10497" applyFont="1" applyBorder="1" applyAlignment="1">
      <alignment vertical="center"/>
    </xf>
    <xf numFmtId="0" fontId="22" fillId="0" borderId="0" xfId="10497" applyFont="1" applyAlignment="1">
      <alignment vertical="center"/>
    </xf>
    <xf numFmtId="0" fontId="20" fillId="0" borderId="0" xfId="10497" applyFont="1" applyAlignment="1">
      <alignment horizontal="right" vertical="center"/>
    </xf>
    <xf numFmtId="0" fontId="22" fillId="0" borderId="0" xfId="10497" applyFont="1" applyAlignment="1" applyProtection="1">
      <alignment horizontal="left" vertical="center"/>
      <protection locked="0"/>
    </xf>
    <xf numFmtId="0" fontId="16" fillId="45" borderId="0" xfId="10497" applyFont="1" applyFill="1" applyAlignment="1">
      <alignment horizontal="left" vertical="center"/>
    </xf>
    <xf numFmtId="0" fontId="22" fillId="0" borderId="9" xfId="10497" applyFont="1" applyBorder="1" applyAlignment="1">
      <alignment vertical="center"/>
    </xf>
    <xf numFmtId="0" fontId="20" fillId="0" borderId="10" xfId="10497" applyFont="1" applyBorder="1" applyAlignment="1">
      <alignment horizontal="right" vertical="center"/>
    </xf>
    <xf numFmtId="0" fontId="22" fillId="0" borderId="10" xfId="10497" applyFont="1" applyBorder="1" applyAlignment="1" applyProtection="1">
      <alignment horizontal="left" vertical="center"/>
      <protection locked="0"/>
    </xf>
    <xf numFmtId="0" fontId="16" fillId="45" borderId="10" xfId="10497" applyFont="1" applyFill="1" applyBorder="1" applyAlignment="1">
      <alignment horizontal="left" vertical="center"/>
    </xf>
    <xf numFmtId="0" fontId="20" fillId="47" borderId="11" xfId="10497" applyFont="1" applyFill="1" applyBorder="1" applyAlignment="1">
      <alignment horizontal="center" vertical="center"/>
    </xf>
    <xf numFmtId="0" fontId="20" fillId="47" borderId="6" xfId="10497" applyFont="1" applyFill="1" applyBorder="1" applyAlignment="1">
      <alignment horizontal="center" vertical="center"/>
    </xf>
    <xf numFmtId="49" fontId="20" fillId="48" borderId="11" xfId="10497" applyNumberFormat="1" applyFont="1" applyFill="1" applyBorder="1" applyAlignment="1">
      <alignment vertical="center"/>
    </xf>
    <xf numFmtId="0" fontId="20" fillId="48" borderId="8" xfId="10497" applyFont="1" applyFill="1" applyBorder="1" applyAlignment="1">
      <alignment horizontal="center" vertical="center"/>
    </xf>
    <xf numFmtId="0" fontId="20" fillId="48" borderId="11" xfId="10497" applyFont="1" applyFill="1" applyBorder="1" applyAlignment="1">
      <alignment horizontal="center" vertical="center"/>
    </xf>
    <xf numFmtId="0" fontId="20" fillId="48" borderId="11" xfId="10497" applyFont="1" applyFill="1" applyBorder="1" applyAlignment="1">
      <alignment horizontal="center" vertical="center" wrapText="1"/>
    </xf>
    <xf numFmtId="49" fontId="22" fillId="0" borderId="31" xfId="10497" applyNumberFormat="1" applyFont="1" applyBorder="1" applyAlignment="1">
      <alignment vertical="center"/>
    </xf>
    <xf numFmtId="2" fontId="22" fillId="50" borderId="32" xfId="10497" applyNumberFormat="1" applyFont="1" applyFill="1" applyBorder="1" applyAlignment="1">
      <alignment horizontal="center" vertical="center"/>
    </xf>
    <xf numFmtId="2" fontId="22" fillId="50" borderId="33" xfId="10497" applyNumberFormat="1" applyFont="1" applyFill="1" applyBorder="1" applyAlignment="1">
      <alignment horizontal="center" vertical="center"/>
    </xf>
    <xf numFmtId="2" fontId="22" fillId="50" borderId="34" xfId="10497" applyNumberFormat="1" applyFont="1" applyFill="1" applyBorder="1" applyAlignment="1">
      <alignment horizontal="left" vertical="center" wrapText="1"/>
    </xf>
    <xf numFmtId="2" fontId="22" fillId="47" borderId="15" xfId="10497" applyNumberFormat="1" applyFont="1" applyFill="1" applyBorder="1" applyAlignment="1">
      <alignment horizontal="center" vertical="center"/>
    </xf>
    <xf numFmtId="2" fontId="22" fillId="47" borderId="31" xfId="10497" applyNumberFormat="1" applyFont="1" applyFill="1" applyBorder="1" applyAlignment="1">
      <alignment horizontal="center" vertical="center"/>
    </xf>
    <xf numFmtId="0" fontId="43" fillId="0" borderId="35" xfId="10497" applyFont="1" applyBorder="1" applyAlignment="1">
      <alignment horizontal="center" vertical="center"/>
    </xf>
    <xf numFmtId="49" fontId="22" fillId="0" borderId="17" xfId="10497" applyNumberFormat="1" applyFont="1" applyBorder="1" applyAlignment="1">
      <alignment vertical="center"/>
    </xf>
    <xf numFmtId="2" fontId="22" fillId="50" borderId="37" xfId="10497" applyNumberFormat="1" applyFont="1" applyFill="1" applyBorder="1" applyAlignment="1">
      <alignment horizontal="center" vertical="center"/>
    </xf>
    <xf numFmtId="2" fontId="22" fillId="0" borderId="0" xfId="10497" applyNumberFormat="1" applyFont="1" applyAlignment="1">
      <alignment vertical="center"/>
    </xf>
    <xf numFmtId="4" fontId="25" fillId="0" borderId="40" xfId="1" applyNumberFormat="1" applyFont="1" applyBorder="1" applyAlignment="1">
      <alignment horizontal="center" vertical="center"/>
    </xf>
    <xf numFmtId="4" fontId="25" fillId="0" borderId="41" xfId="1" applyNumberFormat="1" applyFont="1" applyBorder="1" applyAlignment="1">
      <alignment horizontal="center" vertical="center"/>
    </xf>
    <xf numFmtId="0" fontId="26" fillId="0" borderId="41" xfId="1" applyFont="1" applyBorder="1" applyAlignment="1">
      <alignment horizontal="center" vertical="center"/>
    </xf>
    <xf numFmtId="0" fontId="25" fillId="0" borderId="41" xfId="1" applyFont="1" applyBorder="1" applyAlignment="1">
      <alignment horizontal="center" vertical="center"/>
    </xf>
    <xf numFmtId="4" fontId="25" fillId="0" borderId="42" xfId="1" applyNumberFormat="1" applyFont="1" applyBorder="1" applyAlignment="1">
      <alignment horizontal="center" vertical="center" wrapText="1"/>
    </xf>
    <xf numFmtId="0" fontId="25" fillId="41" borderId="38" xfId="0" applyFont="1" applyFill="1" applyBorder="1" applyAlignment="1">
      <alignment horizontal="center" vertical="center" wrapText="1"/>
    </xf>
    <xf numFmtId="0" fontId="25" fillId="39" borderId="28" xfId="0" applyFont="1" applyFill="1" applyBorder="1" applyAlignment="1">
      <alignment horizontal="center" vertical="center" wrapText="1"/>
    </xf>
    <xf numFmtId="0" fontId="25" fillId="39" borderId="28" xfId="0" applyFont="1" applyFill="1" applyBorder="1" applyAlignment="1">
      <alignment vertical="center" wrapText="1"/>
    </xf>
    <xf numFmtId="4" fontId="26" fillId="39" borderId="28" xfId="0" applyNumberFormat="1" applyFont="1" applyFill="1" applyBorder="1" applyAlignment="1">
      <alignment horizontal="center" vertical="center" wrapText="1"/>
    </xf>
    <xf numFmtId="4" fontId="25" fillId="39" borderId="28" xfId="0" applyNumberFormat="1" applyFont="1" applyFill="1" applyBorder="1" applyAlignment="1">
      <alignment horizontal="center" vertical="center" wrapText="1"/>
    </xf>
    <xf numFmtId="4" fontId="25" fillId="39" borderId="37" xfId="0" applyNumberFormat="1" applyFont="1" applyFill="1" applyBorder="1" applyAlignment="1">
      <alignment horizontal="center" vertical="center" wrapText="1"/>
    </xf>
    <xf numFmtId="0" fontId="25" fillId="37" borderId="38" xfId="0" applyFont="1" applyFill="1" applyBorder="1" applyAlignment="1">
      <alignment horizontal="center" vertical="center" wrapText="1"/>
    </xf>
    <xf numFmtId="0" fontId="25" fillId="37" borderId="28" xfId="0" applyFont="1" applyFill="1" applyBorder="1" applyAlignment="1">
      <alignment horizontal="center" vertical="center" wrapText="1"/>
    </xf>
    <xf numFmtId="0" fontId="25" fillId="37" borderId="28" xfId="0" applyFont="1" applyFill="1" applyBorder="1" applyAlignment="1">
      <alignment vertical="center" wrapText="1"/>
    </xf>
    <xf numFmtId="0" fontId="26" fillId="37" borderId="28" xfId="0" applyFont="1" applyFill="1" applyBorder="1" applyAlignment="1">
      <alignment vertical="center" wrapText="1"/>
    </xf>
    <xf numFmtId="0" fontId="25" fillId="37" borderId="37" xfId="0" applyFont="1" applyFill="1" applyBorder="1" applyAlignment="1">
      <alignment vertical="center" wrapText="1"/>
    </xf>
    <xf numFmtId="0" fontId="25" fillId="38" borderId="38" xfId="1" applyFont="1" applyFill="1" applyBorder="1" applyAlignment="1">
      <alignment horizontal="center" vertical="center" wrapText="1"/>
    </xf>
    <xf numFmtId="0" fontId="25" fillId="38" borderId="28" xfId="1" applyFont="1" applyFill="1" applyBorder="1" applyAlignment="1">
      <alignment horizontal="center" vertical="center" wrapText="1"/>
    </xf>
    <xf numFmtId="0" fontId="25" fillId="38" borderId="28" xfId="1" applyFont="1" applyFill="1" applyBorder="1" applyAlignment="1">
      <alignment vertical="center" wrapText="1"/>
    </xf>
    <xf numFmtId="0" fontId="26" fillId="38" borderId="28" xfId="1" applyFont="1" applyFill="1" applyBorder="1" applyAlignment="1">
      <alignment vertical="center" wrapText="1"/>
    </xf>
    <xf numFmtId="0" fontId="25" fillId="38" borderId="37" xfId="1" applyFont="1" applyFill="1" applyBorder="1" applyAlignment="1">
      <alignment vertical="center" wrapText="1"/>
    </xf>
    <xf numFmtId="0" fontId="25" fillId="40" borderId="38" xfId="1" applyFont="1" applyFill="1" applyBorder="1" applyAlignment="1">
      <alignment horizontal="center" vertical="center" wrapText="1"/>
    </xf>
    <xf numFmtId="0" fontId="25" fillId="40" borderId="28" xfId="1" applyFont="1" applyFill="1" applyBorder="1" applyAlignment="1">
      <alignment horizontal="center" vertical="center" wrapText="1"/>
    </xf>
    <xf numFmtId="0" fontId="25" fillId="40" borderId="28" xfId="1" applyFont="1" applyFill="1" applyBorder="1" applyAlignment="1">
      <alignment vertical="center" wrapText="1"/>
    </xf>
    <xf numFmtId="4" fontId="26" fillId="40" borderId="28" xfId="1" applyNumberFormat="1" applyFont="1" applyFill="1" applyBorder="1" applyAlignment="1">
      <alignment vertical="center" wrapText="1"/>
    </xf>
    <xf numFmtId="0" fontId="25" fillId="40" borderId="37" xfId="1" applyFont="1" applyFill="1" applyBorder="1" applyAlignment="1">
      <alignment vertical="center" wrapText="1"/>
    </xf>
    <xf numFmtId="0" fontId="26" fillId="0" borderId="38" xfId="1" applyFont="1" applyBorder="1" applyAlignment="1">
      <alignment horizontal="center" vertical="center" wrapText="1"/>
    </xf>
    <xf numFmtId="4" fontId="25" fillId="2" borderId="37" xfId="0" applyNumberFormat="1" applyFont="1" applyFill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5" fillId="0" borderId="38" xfId="1" applyFont="1" applyBorder="1" applyAlignment="1">
      <alignment horizontal="center" vertical="center" wrapText="1"/>
    </xf>
    <xf numFmtId="0" fontId="25" fillId="0" borderId="37" xfId="1" applyFont="1" applyBorder="1" applyAlignment="1">
      <alignment vertical="center" wrapText="1"/>
    </xf>
    <xf numFmtId="0" fontId="16" fillId="0" borderId="13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 wrapText="1"/>
    </xf>
    <xf numFmtId="0" fontId="17" fillId="0" borderId="2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4" xfId="0" applyFont="1" applyBorder="1" applyAlignment="1" applyProtection="1">
      <alignment horizontal="center" vertical="center"/>
      <protection locked="0"/>
    </xf>
    <xf numFmtId="0" fontId="46" fillId="0" borderId="5" xfId="0" applyFont="1" applyBorder="1" applyAlignment="1" applyProtection="1">
      <alignment vertical="center" wrapText="1"/>
      <protection locked="0"/>
    </xf>
    <xf numFmtId="0" fontId="26" fillId="0" borderId="28" xfId="1" applyFont="1" applyBorder="1" applyAlignment="1">
      <alignment horizontal="center" vertical="center" wrapText="1"/>
    </xf>
    <xf numFmtId="0" fontId="26" fillId="0" borderId="28" xfId="1" applyFont="1" applyBorder="1" applyAlignment="1">
      <alignment vertical="center" wrapText="1"/>
    </xf>
    <xf numFmtId="0" fontId="54" fillId="0" borderId="38" xfId="1" applyFont="1" applyBorder="1" applyAlignment="1">
      <alignment horizontal="center" vertical="center" wrapText="1"/>
    </xf>
    <xf numFmtId="0" fontId="54" fillId="0" borderId="28" xfId="54" applyFont="1" applyBorder="1" applyAlignment="1">
      <alignment horizontal="center" vertical="center" wrapText="1"/>
    </xf>
    <xf numFmtId="0" fontId="54" fillId="0" borderId="28" xfId="1" applyFont="1" applyBorder="1" applyAlignment="1">
      <alignment horizontal="center" vertical="center"/>
    </xf>
    <xf numFmtId="0" fontId="54" fillId="0" borderId="28" xfId="1" applyFont="1" applyBorder="1" applyAlignment="1">
      <alignment horizontal="left" vertical="center" wrapText="1"/>
    </xf>
    <xf numFmtId="4" fontId="54" fillId="0" borderId="28" xfId="1" applyNumberFormat="1" applyFont="1" applyBorder="1" applyAlignment="1">
      <alignment horizontal="center" vertical="center"/>
    </xf>
    <xf numFmtId="43" fontId="54" fillId="0" borderId="28" xfId="10496" applyFont="1" applyBorder="1" applyAlignment="1">
      <alignment vertical="center"/>
    </xf>
    <xf numFmtId="0" fontId="54" fillId="0" borderId="28" xfId="1" applyFont="1" applyBorder="1" applyAlignment="1">
      <alignment vertical="center"/>
    </xf>
    <xf numFmtId="4" fontId="54" fillId="43" borderId="28" xfId="1" applyNumberFormat="1" applyFont="1" applyFill="1" applyBorder="1" applyAlignment="1">
      <alignment horizontal="center" vertical="center"/>
    </xf>
    <xf numFmtId="4" fontId="55" fillId="2" borderId="37" xfId="0" applyNumberFormat="1" applyFont="1" applyFill="1" applyBorder="1" applyAlignment="1">
      <alignment horizontal="center" vertical="center" wrapText="1"/>
    </xf>
    <xf numFmtId="0" fontId="17" fillId="0" borderId="0" xfId="0" applyFont="1" applyAlignment="1" applyProtection="1">
      <alignment horizontal="left" vertical="center"/>
      <protection locked="0"/>
    </xf>
    <xf numFmtId="4" fontId="26" fillId="39" borderId="0" xfId="1" applyNumberFormat="1" applyFont="1" applyFill="1" applyAlignment="1">
      <alignment vertical="center"/>
    </xf>
    <xf numFmtId="0" fontId="40" fillId="0" borderId="0" xfId="11017" applyFont="1" applyAlignment="1">
      <alignment horizontal="center" vertical="center"/>
    </xf>
    <xf numFmtId="0" fontId="40" fillId="0" borderId="0" xfId="11017" applyFont="1" applyAlignment="1">
      <alignment vertical="center"/>
    </xf>
    <xf numFmtId="4" fontId="40" fillId="0" borderId="0" xfId="11017" applyNumberFormat="1" applyFont="1" applyAlignment="1">
      <alignment horizontal="center" vertical="center" wrapText="1"/>
    </xf>
    <xf numFmtId="0" fontId="40" fillId="0" borderId="0" xfId="11017" applyFont="1" applyAlignment="1">
      <alignment horizontal="center" vertical="center" wrapText="1"/>
    </xf>
    <xf numFmtId="0" fontId="40" fillId="51" borderId="0" xfId="11017" applyFont="1" applyFill="1" applyAlignment="1">
      <alignment horizontal="left" vertical="center"/>
    </xf>
    <xf numFmtId="0" fontId="40" fillId="51" borderId="0" xfId="11017" applyFont="1" applyFill="1" applyAlignment="1">
      <alignment horizontal="center" vertical="center"/>
    </xf>
    <xf numFmtId="0" fontId="40" fillId="51" borderId="0" xfId="11017" applyFont="1" applyFill="1" applyAlignment="1">
      <alignment vertical="center"/>
    </xf>
    <xf numFmtId="4" fontId="40" fillId="51" borderId="0" xfId="11017" applyNumberFormat="1" applyFont="1" applyFill="1" applyAlignment="1">
      <alignment horizontal="center" vertical="center" wrapText="1"/>
    </xf>
    <xf numFmtId="0" fontId="40" fillId="51" borderId="0" xfId="11017" applyFont="1" applyFill="1" applyAlignment="1">
      <alignment horizontal="center" vertical="center" wrapText="1"/>
    </xf>
    <xf numFmtId="0" fontId="40" fillId="37" borderId="0" xfId="11017" applyFont="1" applyFill="1" applyAlignment="1">
      <alignment horizontal="center" vertical="center" wrapText="1"/>
    </xf>
    <xf numFmtId="0" fontId="40" fillId="37" borderId="0" xfId="11017" applyFont="1" applyFill="1" applyAlignment="1">
      <alignment vertical="center" wrapText="1"/>
    </xf>
    <xf numFmtId="4" fontId="40" fillId="37" borderId="0" xfId="11017" applyNumberFormat="1" applyFont="1" applyFill="1" applyAlignment="1">
      <alignment horizontal="center" vertical="center" wrapText="1"/>
    </xf>
    <xf numFmtId="4" fontId="40" fillId="37" borderId="0" xfId="11017" applyNumberFormat="1" applyFont="1" applyFill="1" applyAlignment="1">
      <alignment vertical="center" wrapText="1"/>
    </xf>
    <xf numFmtId="0" fontId="40" fillId="42" borderId="0" xfId="11018" applyFont="1" applyFill="1" applyAlignment="1">
      <alignment horizontal="center"/>
    </xf>
    <xf numFmtId="0" fontId="40" fillId="42" borderId="0" xfId="11018" applyFont="1" applyFill="1"/>
    <xf numFmtId="0" fontId="40" fillId="42" borderId="0" xfId="11017" applyFont="1" applyFill="1" applyAlignment="1">
      <alignment horizontal="center" vertical="center"/>
    </xf>
    <xf numFmtId="0" fontId="40" fillId="42" borderId="0" xfId="11017" applyFont="1" applyFill="1" applyAlignment="1">
      <alignment vertical="center"/>
    </xf>
    <xf numFmtId="4" fontId="40" fillId="42" borderId="0" xfId="11017" applyNumberFormat="1" applyFont="1" applyFill="1" applyAlignment="1">
      <alignment vertical="center"/>
    </xf>
    <xf numFmtId="4" fontId="40" fillId="42" borderId="0" xfId="11017" applyNumberFormat="1" applyFont="1" applyFill="1" applyAlignment="1">
      <alignment horizontal="center" vertical="center"/>
    </xf>
    <xf numFmtId="0" fontId="40" fillId="0" borderId="0" xfId="11018" applyFont="1" applyAlignment="1">
      <alignment horizontal="center"/>
    </xf>
    <xf numFmtId="0" fontId="40" fillId="0" borderId="0" xfId="11018" applyFont="1"/>
    <xf numFmtId="0" fontId="40" fillId="49" borderId="0" xfId="11018" applyFont="1" applyFill="1" applyAlignment="1">
      <alignment horizontal="center"/>
    </xf>
    <xf numFmtId="0" fontId="40" fillId="49" borderId="0" xfId="11018" applyFont="1" applyFill="1"/>
    <xf numFmtId="4" fontId="40" fillId="0" borderId="0" xfId="11017" applyNumberFormat="1" applyFont="1" applyAlignment="1">
      <alignment vertical="center"/>
    </xf>
    <xf numFmtId="4" fontId="40" fillId="0" borderId="0" xfId="11017" applyNumberFormat="1" applyFont="1" applyAlignment="1">
      <alignment horizontal="center" vertical="center"/>
    </xf>
    <xf numFmtId="0" fontId="40" fillId="52" borderId="0" xfId="11018" applyFont="1" applyFill="1" applyAlignment="1">
      <alignment horizontal="center"/>
    </xf>
    <xf numFmtId="0" fontId="40" fillId="52" borderId="0" xfId="11017" applyFont="1" applyFill="1" applyAlignment="1">
      <alignment horizontal="center" vertical="center"/>
    </xf>
    <xf numFmtId="0" fontId="40" fillId="52" borderId="0" xfId="11017" applyFont="1" applyFill="1" applyAlignment="1">
      <alignment vertical="center"/>
    </xf>
    <xf numFmtId="0" fontId="40" fillId="52" borderId="0" xfId="11018" applyFont="1" applyFill="1"/>
    <xf numFmtId="4" fontId="40" fillId="52" borderId="0" xfId="11017" applyNumberFormat="1" applyFont="1" applyFill="1" applyAlignment="1">
      <alignment vertical="center"/>
    </xf>
    <xf numFmtId="4" fontId="40" fillId="52" borderId="0" xfId="11017" applyNumberFormat="1" applyFont="1" applyFill="1" applyAlignment="1">
      <alignment horizontal="center" vertical="center"/>
    </xf>
    <xf numFmtId="0" fontId="56" fillId="42" borderId="0" xfId="11018" applyFont="1" applyFill="1"/>
    <xf numFmtId="0" fontId="56" fillId="0" borderId="0" xfId="11018" applyFont="1"/>
    <xf numFmtId="0" fontId="20" fillId="0" borderId="0" xfId="0" applyFont="1" applyAlignment="1" applyProtection="1">
      <alignment horizontal="left" vertical="center"/>
      <protection locked="0"/>
    </xf>
    <xf numFmtId="0" fontId="20" fillId="0" borderId="10" xfId="0" applyFont="1" applyBorder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1" fillId="0" borderId="10" xfId="0" applyFont="1" applyBorder="1" applyAlignment="1" applyProtection="1">
      <alignment horizontal="left" vertical="center"/>
      <protection locked="0"/>
    </xf>
    <xf numFmtId="0" fontId="44" fillId="0" borderId="0" xfId="210"/>
    <xf numFmtId="0" fontId="44" fillId="0" borderId="0" xfId="210" applyAlignment="1">
      <alignment horizontal="center"/>
    </xf>
    <xf numFmtId="0" fontId="44" fillId="0" borderId="0" xfId="210" applyAlignment="1">
      <alignment vertical="center"/>
    </xf>
    <xf numFmtId="0" fontId="57" fillId="0" borderId="0" xfId="210" applyFont="1" applyAlignment="1" applyProtection="1">
      <alignment horizontal="left" vertical="center"/>
      <protection hidden="1"/>
    </xf>
    <xf numFmtId="0" fontId="15" fillId="0" borderId="0" xfId="210" applyFont="1" applyAlignment="1">
      <alignment horizontal="right" vertical="center"/>
    </xf>
    <xf numFmtId="2" fontId="15" fillId="0" borderId="0" xfId="210" applyNumberFormat="1" applyFont="1" applyAlignment="1">
      <alignment horizontal="right" vertical="center"/>
    </xf>
    <xf numFmtId="0" fontId="44" fillId="0" borderId="43" xfId="210" applyBorder="1"/>
    <xf numFmtId="0" fontId="44" fillId="0" borderId="44" xfId="210" applyBorder="1" applyAlignment="1">
      <alignment horizontal="center"/>
    </xf>
    <xf numFmtId="0" fontId="59" fillId="0" borderId="0" xfId="210" applyFont="1" applyAlignment="1">
      <alignment horizontal="right" vertical="center"/>
    </xf>
    <xf numFmtId="0" fontId="15" fillId="0" borderId="45" xfId="210" applyFont="1" applyBorder="1" applyAlignment="1">
      <alignment horizontal="right" vertical="center"/>
    </xf>
    <xf numFmtId="0" fontId="44" fillId="0" borderId="45" xfId="210" applyBorder="1"/>
    <xf numFmtId="0" fontId="44" fillId="0" borderId="13" xfId="210" applyBorder="1"/>
    <xf numFmtId="0" fontId="44" fillId="0" borderId="13" xfId="210" applyBorder="1" applyAlignment="1">
      <alignment horizontal="center"/>
    </xf>
    <xf numFmtId="0" fontId="44" fillId="0" borderId="1" xfId="210" applyBorder="1"/>
    <xf numFmtId="0" fontId="44" fillId="0" borderId="2" xfId="210" applyBorder="1"/>
    <xf numFmtId="0" fontId="44" fillId="0" borderId="3" xfId="210" applyBorder="1"/>
    <xf numFmtId="0" fontId="44" fillId="0" borderId="31" xfId="210" applyBorder="1"/>
    <xf numFmtId="0" fontId="44" fillId="0" borderId="46" xfId="210" applyBorder="1" applyAlignment="1">
      <alignment horizontal="center"/>
    </xf>
    <xf numFmtId="0" fontId="44" fillId="0" borderId="4" xfId="210" applyBorder="1"/>
    <xf numFmtId="0" fontId="44" fillId="0" borderId="5" xfId="210" applyBorder="1"/>
    <xf numFmtId="0" fontId="44" fillId="0" borderId="9" xfId="210" applyBorder="1"/>
    <xf numFmtId="0" fontId="44" fillId="0" borderId="16" xfId="210" applyBorder="1"/>
    <xf numFmtId="0" fontId="44" fillId="0" borderId="47" xfId="210" applyBorder="1"/>
    <xf numFmtId="0" fontId="44" fillId="0" borderId="10" xfId="210" applyBorder="1"/>
    <xf numFmtId="0" fontId="44" fillId="0" borderId="46" xfId="210" applyBorder="1"/>
    <xf numFmtId="0" fontId="44" fillId="0" borderId="2" xfId="210" applyBorder="1" applyAlignment="1">
      <alignment horizontal="center"/>
    </xf>
    <xf numFmtId="0" fontId="44" fillId="0" borderId="10" xfId="210" applyBorder="1" applyAlignment="1">
      <alignment horizontal="center"/>
    </xf>
    <xf numFmtId="0" fontId="44" fillId="53" borderId="0" xfId="210" applyFill="1"/>
    <xf numFmtId="0" fontId="44" fillId="53" borderId="46" xfId="210" applyFill="1" applyBorder="1"/>
    <xf numFmtId="2" fontId="44" fillId="0" borderId="0" xfId="210" applyNumberFormat="1"/>
    <xf numFmtId="0" fontId="44" fillId="0" borderId="0" xfId="210" applyAlignment="1">
      <alignment horizontal="right"/>
    </xf>
    <xf numFmtId="17" fontId="44" fillId="0" borderId="0" xfId="210" applyNumberFormat="1" applyAlignment="1">
      <alignment horizontal="center" vertical="center"/>
    </xf>
    <xf numFmtId="0" fontId="59" fillId="0" borderId="0" xfId="210" applyFont="1" applyAlignment="1">
      <alignment vertical="center"/>
    </xf>
    <xf numFmtId="0" fontId="44" fillId="0" borderId="7" xfId="210" applyBorder="1" applyAlignment="1">
      <alignment horizontal="right" vertical="center"/>
    </xf>
    <xf numFmtId="0" fontId="44" fillId="0" borderId="7" xfId="210" applyBorder="1" applyAlignment="1">
      <alignment vertical="center"/>
    </xf>
    <xf numFmtId="0" fontId="44" fillId="0" borderId="8" xfId="210" applyBorder="1" applyAlignment="1">
      <alignment vertical="center"/>
    </xf>
    <xf numFmtId="0" fontId="61" fillId="0" borderId="0" xfId="11019" applyFont="1" applyAlignment="1" applyProtection="1">
      <alignment vertical="center"/>
      <protection hidden="1"/>
    </xf>
    <xf numFmtId="0" fontId="62" fillId="0" borderId="0" xfId="11019" applyFont="1" applyAlignment="1" applyProtection="1">
      <alignment horizontal="left" vertical="center"/>
      <protection hidden="1"/>
    </xf>
    <xf numFmtId="0" fontId="63" fillId="0" borderId="0" xfId="11019" applyFont="1" applyAlignment="1" applyProtection="1">
      <alignment horizontal="left" vertical="center"/>
      <protection hidden="1"/>
    </xf>
    <xf numFmtId="0" fontId="61" fillId="0" borderId="0" xfId="11019" applyFont="1" applyAlignment="1" applyProtection="1">
      <alignment horizontal="right" vertical="center"/>
      <protection hidden="1"/>
    </xf>
    <xf numFmtId="0" fontId="61" fillId="54" borderId="0" xfId="11019" applyFont="1" applyFill="1" applyAlignment="1" applyProtection="1">
      <alignment vertical="center"/>
      <protection hidden="1"/>
    </xf>
    <xf numFmtId="0" fontId="64" fillId="0" borderId="0" xfId="11020"/>
    <xf numFmtId="0" fontId="61" fillId="0" borderId="0" xfId="11019" applyFont="1" applyAlignment="1" applyProtection="1">
      <alignment horizontal="left" vertical="center"/>
      <protection hidden="1"/>
    </xf>
    <xf numFmtId="0" fontId="65" fillId="0" borderId="0" xfId="11019" applyFont="1" applyAlignment="1" applyProtection="1">
      <alignment horizontal="left" vertical="center"/>
      <protection hidden="1"/>
    </xf>
    <xf numFmtId="0" fontId="65" fillId="54" borderId="0" xfId="11019" applyFont="1" applyFill="1" applyAlignment="1" applyProtection="1">
      <alignment horizontal="left" vertical="center"/>
      <protection hidden="1"/>
    </xf>
    <xf numFmtId="0" fontId="65" fillId="54" borderId="0" xfId="11019" applyFont="1" applyFill="1" applyAlignment="1" applyProtection="1">
      <alignment horizontal="right" vertical="center"/>
      <protection hidden="1"/>
    </xf>
    <xf numFmtId="0" fontId="65" fillId="0" borderId="0" xfId="11019" applyFont="1" applyAlignment="1" applyProtection="1">
      <alignment horizontal="center" vertical="center"/>
      <protection hidden="1"/>
    </xf>
    <xf numFmtId="0" fontId="65" fillId="54" borderId="0" xfId="11019" applyFont="1" applyFill="1" applyAlignment="1" applyProtection="1">
      <alignment vertical="center"/>
      <protection hidden="1"/>
    </xf>
    <xf numFmtId="167" fontId="65" fillId="59" borderId="11" xfId="11019" applyNumberFormat="1" applyFont="1" applyFill="1" applyBorder="1" applyAlignment="1" applyProtection="1">
      <alignment horizontal="center" vertical="center" wrapText="1"/>
      <protection hidden="1"/>
    </xf>
    <xf numFmtId="167" fontId="65" fillId="59" borderId="11" xfId="11019" applyNumberFormat="1" applyFont="1" applyFill="1" applyBorder="1" applyAlignment="1" applyProtection="1">
      <alignment horizontal="center" vertical="center"/>
      <protection hidden="1"/>
    </xf>
    <xf numFmtId="168" fontId="61" fillId="0" borderId="0" xfId="11019" applyNumberFormat="1" applyFont="1" applyAlignment="1" applyProtection="1">
      <alignment horizontal="center" vertical="center"/>
      <protection hidden="1"/>
    </xf>
    <xf numFmtId="168" fontId="65" fillId="0" borderId="0" xfId="11019" applyNumberFormat="1" applyFont="1" applyAlignment="1" applyProtection="1">
      <alignment horizontal="center" vertical="center"/>
      <protection hidden="1"/>
    </xf>
    <xf numFmtId="0" fontId="61" fillId="0" borderId="11" xfId="11022" applyFont="1" applyBorder="1" applyAlignment="1">
      <alignment vertical="center" wrapText="1"/>
    </xf>
    <xf numFmtId="44" fontId="61" fillId="61" borderId="11" xfId="11023" applyFont="1" applyFill="1" applyBorder="1" applyAlignment="1">
      <alignment horizontal="center" vertical="center" wrapText="1"/>
    </xf>
    <xf numFmtId="3" fontId="61" fillId="0" borderId="50" xfId="11019" applyNumberFormat="1" applyFont="1" applyBorder="1" applyAlignment="1" applyProtection="1">
      <alignment horizontal="center" vertical="center"/>
      <protection hidden="1"/>
    </xf>
    <xf numFmtId="0" fontId="61" fillId="0" borderId="11" xfId="11019" applyFont="1" applyBorder="1" applyAlignment="1" applyProtection="1">
      <alignment horizontal="center" vertical="center"/>
      <protection hidden="1"/>
    </xf>
    <xf numFmtId="3" fontId="65" fillId="60" borderId="11" xfId="11019" applyNumberFormat="1" applyFont="1" applyFill="1" applyBorder="1" applyAlignment="1" applyProtection="1">
      <alignment horizontal="center" vertical="center"/>
      <protection hidden="1"/>
    </xf>
    <xf numFmtId="44" fontId="61" fillId="0" borderId="0" xfId="11019" applyNumberFormat="1" applyFont="1" applyAlignment="1" applyProtection="1">
      <alignment horizontal="center" vertical="center"/>
      <protection hidden="1"/>
    </xf>
    <xf numFmtId="0" fontId="66" fillId="54" borderId="0" xfId="11019" applyFont="1" applyFill="1" applyAlignment="1" applyProtection="1">
      <alignment vertical="center"/>
      <protection hidden="1"/>
    </xf>
    <xf numFmtId="0" fontId="66" fillId="0" borderId="0" xfId="11019" applyFont="1" applyAlignment="1" applyProtection="1">
      <alignment vertical="center"/>
      <protection hidden="1"/>
    </xf>
    <xf numFmtId="44" fontId="61" fillId="0" borderId="11" xfId="11023" applyFont="1" applyBorder="1" applyAlignment="1">
      <alignment horizontal="center" vertical="center" wrapText="1"/>
    </xf>
    <xf numFmtId="0" fontId="61" fillId="61" borderId="11" xfId="11019" applyFont="1" applyFill="1" applyBorder="1" applyAlignment="1" applyProtection="1">
      <alignment horizontal="center" vertical="center"/>
      <protection hidden="1"/>
    </xf>
    <xf numFmtId="0" fontId="61" fillId="62" borderId="0" xfId="11019" applyFont="1" applyFill="1" applyAlignment="1" applyProtection="1">
      <alignment vertical="center"/>
      <protection hidden="1"/>
    </xf>
    <xf numFmtId="3" fontId="61" fillId="0" borderId="0" xfId="11019" applyNumberFormat="1" applyFont="1" applyAlignment="1" applyProtection="1">
      <alignment horizontal="center" vertical="center"/>
      <protection hidden="1"/>
    </xf>
    <xf numFmtId="3" fontId="61" fillId="54" borderId="7" xfId="11019" applyNumberFormat="1" applyFont="1" applyFill="1" applyBorder="1" applyAlignment="1" applyProtection="1">
      <alignment horizontal="center" vertical="center"/>
      <protection hidden="1"/>
    </xf>
    <xf numFmtId="3" fontId="61" fillId="0" borderId="0" xfId="11019" applyNumberFormat="1" applyFont="1" applyAlignment="1" applyProtection="1">
      <alignment vertical="center"/>
      <protection hidden="1"/>
    </xf>
    <xf numFmtId="3" fontId="65" fillId="58" borderId="11" xfId="11019" applyNumberFormat="1" applyFont="1" applyFill="1" applyBorder="1" applyAlignment="1" applyProtection="1">
      <alignment horizontal="center" vertical="center"/>
      <protection hidden="1"/>
    </xf>
    <xf numFmtId="44" fontId="61" fillId="54" borderId="0" xfId="11019" applyNumberFormat="1" applyFont="1" applyFill="1" applyAlignment="1" applyProtection="1">
      <alignment vertical="center"/>
      <protection hidden="1"/>
    </xf>
    <xf numFmtId="169" fontId="61" fillId="54" borderId="0" xfId="11019" applyNumberFormat="1" applyFont="1" applyFill="1" applyAlignment="1" applyProtection="1">
      <alignment horizontal="center" vertical="center"/>
      <protection hidden="1"/>
    </xf>
    <xf numFmtId="43" fontId="66" fillId="54" borderId="0" xfId="11024" applyFont="1" applyFill="1" applyAlignment="1" applyProtection="1">
      <alignment horizontal="center" vertical="center"/>
      <protection hidden="1"/>
    </xf>
    <xf numFmtId="3" fontId="61" fillId="54" borderId="0" xfId="11019" applyNumberFormat="1" applyFont="1" applyFill="1" applyAlignment="1" applyProtection="1">
      <alignment vertical="center"/>
      <protection hidden="1"/>
    </xf>
    <xf numFmtId="4" fontId="61" fillId="0" borderId="0" xfId="11019" applyNumberFormat="1" applyFont="1" applyAlignment="1" applyProtection="1">
      <alignment vertical="center"/>
      <protection hidden="1"/>
    </xf>
    <xf numFmtId="0" fontId="61" fillId="64" borderId="11" xfId="11019" applyFont="1" applyFill="1" applyBorder="1" applyAlignment="1" applyProtection="1">
      <alignment horizontal="center" vertical="center"/>
      <protection hidden="1"/>
    </xf>
    <xf numFmtId="3" fontId="61" fillId="0" borderId="11" xfId="11019" applyNumberFormat="1" applyFont="1" applyBorder="1" applyAlignment="1" applyProtection="1">
      <alignment horizontal="center" vertical="center"/>
      <protection hidden="1"/>
    </xf>
    <xf numFmtId="4" fontId="65" fillId="58" borderId="11" xfId="11019" applyNumberFormat="1" applyFont="1" applyFill="1" applyBorder="1" applyAlignment="1" applyProtection="1">
      <alignment horizontal="left" vertical="center"/>
      <protection hidden="1"/>
    </xf>
    <xf numFmtId="0" fontId="4" fillId="0" borderId="1" xfId="11025" applyBorder="1"/>
    <xf numFmtId="0" fontId="4" fillId="0" borderId="2" xfId="11025" applyBorder="1"/>
    <xf numFmtId="0" fontId="4" fillId="0" borderId="3" xfId="11025" applyBorder="1"/>
    <xf numFmtId="0" fontId="4" fillId="0" borderId="0" xfId="11025"/>
    <xf numFmtId="0" fontId="4" fillId="0" borderId="4" xfId="11025" applyBorder="1"/>
    <xf numFmtId="0" fontId="67" fillId="0" borderId="0" xfId="11025" applyFont="1" applyAlignment="1">
      <alignment horizontal="right"/>
    </xf>
    <xf numFmtId="0" fontId="68" fillId="0" borderId="0" xfId="11025" applyFont="1"/>
    <xf numFmtId="0" fontId="4" fillId="0" borderId="5" xfId="11025" applyBorder="1"/>
    <xf numFmtId="0" fontId="68" fillId="0" borderId="51" xfId="11025" quotePrefix="1" applyFont="1" applyBorder="1"/>
    <xf numFmtId="0" fontId="67" fillId="0" borderId="11" xfId="11025" applyFont="1" applyBorder="1" applyAlignment="1">
      <alignment horizontal="center" vertical="center"/>
    </xf>
    <xf numFmtId="0" fontId="67" fillId="0" borderId="11" xfId="11025" applyFont="1" applyBorder="1" applyAlignment="1">
      <alignment horizontal="right"/>
    </xf>
    <xf numFmtId="4" fontId="68" fillId="0" borderId="11" xfId="11025" applyNumberFormat="1" applyFont="1" applyBorder="1" applyAlignment="1">
      <alignment horizontal="center" vertical="center"/>
    </xf>
    <xf numFmtId="0" fontId="67" fillId="0" borderId="0" xfId="11025" applyFont="1" applyAlignment="1">
      <alignment horizontal="center" vertical="center"/>
    </xf>
    <xf numFmtId="0" fontId="67" fillId="0" borderId="0" xfId="11025" applyFont="1"/>
    <xf numFmtId="0" fontId="67" fillId="65" borderId="0" xfId="11025" applyFont="1" applyFill="1" applyAlignment="1">
      <alignment vertical="center"/>
    </xf>
    <xf numFmtId="0" fontId="4" fillId="65" borderId="0" xfId="11025" applyFill="1"/>
    <xf numFmtId="0" fontId="67" fillId="67" borderId="0" xfId="11025" applyFont="1" applyFill="1" applyAlignment="1">
      <alignment vertical="center"/>
    </xf>
    <xf numFmtId="0" fontId="4" fillId="67" borderId="0" xfId="11025" applyFill="1"/>
    <xf numFmtId="0" fontId="67" fillId="0" borderId="11" xfId="11025" applyFont="1" applyBorder="1" applyAlignment="1">
      <alignment horizontal="right" vertical="center"/>
    </xf>
    <xf numFmtId="0" fontId="68" fillId="0" borderId="0" xfId="11025" applyFont="1" applyAlignment="1">
      <alignment horizontal="center" vertical="center"/>
    </xf>
    <xf numFmtId="0" fontId="4" fillId="0" borderId="9" xfId="11025" applyBorder="1"/>
    <xf numFmtId="0" fontId="4" fillId="0" borderId="10" xfId="11025" applyBorder="1"/>
    <xf numFmtId="0" fontId="4" fillId="0" borderId="16" xfId="11025" applyBorder="1"/>
    <xf numFmtId="0" fontId="71" fillId="0" borderId="0" xfId="0" applyFont="1" applyAlignment="1">
      <alignment vertical="top"/>
    </xf>
    <xf numFmtId="0" fontId="0" fillId="0" borderId="0" xfId="0" applyAlignment="1">
      <alignment vertical="top"/>
    </xf>
    <xf numFmtId="0" fontId="72" fillId="0" borderId="0" xfId="0" applyFont="1" applyAlignment="1">
      <alignment vertical="top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0" fontId="16" fillId="37" borderId="0" xfId="0" applyFont="1" applyFill="1"/>
    <xf numFmtId="0" fontId="18" fillId="37" borderId="0" xfId="0" applyFont="1" applyFill="1" applyAlignment="1">
      <alignment horizontal="left" vertical="center"/>
    </xf>
    <xf numFmtId="0" fontId="3" fillId="0" borderId="0" xfId="11026" applyAlignment="1">
      <alignment horizontal="left"/>
    </xf>
    <xf numFmtId="0" fontId="3" fillId="0" borderId="0" xfId="11026"/>
    <xf numFmtId="0" fontId="3" fillId="0" borderId="0" xfId="11026" applyAlignment="1">
      <alignment horizontal="center" vertical="center"/>
    </xf>
    <xf numFmtId="0" fontId="40" fillId="0" borderId="0" xfId="11026" applyFont="1" applyAlignment="1">
      <alignment horizontal="center" vertical="center"/>
    </xf>
    <xf numFmtId="0" fontId="3" fillId="37" borderId="0" xfId="11026" applyFill="1"/>
    <xf numFmtId="0" fontId="25" fillId="37" borderId="0" xfId="0" applyFont="1" applyFill="1" applyAlignment="1">
      <alignment horizontal="left" vertical="center"/>
    </xf>
    <xf numFmtId="0" fontId="58" fillId="0" borderId="0" xfId="0" applyFont="1" applyAlignment="1">
      <alignment vertical="top"/>
    </xf>
    <xf numFmtId="0" fontId="72" fillId="38" borderId="0" xfId="0" applyFont="1" applyFill="1" applyAlignment="1">
      <alignment vertical="top"/>
    </xf>
    <xf numFmtId="0" fontId="59" fillId="0" borderId="0" xfId="0" applyFont="1" applyAlignment="1">
      <alignment vertical="top"/>
    </xf>
    <xf numFmtId="3" fontId="40" fillId="52" borderId="0" xfId="11018" applyNumberFormat="1" applyFont="1" applyFill="1" applyAlignment="1">
      <alignment horizontal="center"/>
    </xf>
    <xf numFmtId="3" fontId="40" fillId="0" borderId="0" xfId="11018" applyNumberFormat="1" applyFont="1" applyAlignment="1">
      <alignment horizontal="center"/>
    </xf>
    <xf numFmtId="0" fontId="2" fillId="0" borderId="0" xfId="11017" applyFont="1" applyAlignment="1">
      <alignment vertical="center"/>
    </xf>
    <xf numFmtId="0" fontId="2" fillId="0" borderId="0" xfId="11018" applyFont="1" applyAlignment="1">
      <alignment horizontal="center"/>
    </xf>
    <xf numFmtId="0" fontId="2" fillId="0" borderId="0" xfId="11017" applyFont="1" applyAlignment="1">
      <alignment horizontal="center" vertical="center"/>
    </xf>
    <xf numFmtId="0" fontId="2" fillId="0" borderId="0" xfId="11018" applyFont="1"/>
    <xf numFmtId="4" fontId="2" fillId="0" borderId="0" xfId="11017" applyNumberFormat="1" applyFont="1" applyAlignment="1">
      <alignment vertical="center"/>
    </xf>
    <xf numFmtId="4" fontId="2" fillId="0" borderId="0" xfId="11017" applyNumberFormat="1" applyFont="1" applyAlignment="1">
      <alignment horizontal="center" vertical="center"/>
    </xf>
    <xf numFmtId="0" fontId="2" fillId="42" borderId="0" xfId="11018" applyFont="1" applyFill="1" applyAlignment="1">
      <alignment horizontal="center"/>
    </xf>
    <xf numFmtId="0" fontId="2" fillId="42" borderId="0" xfId="11017" applyFont="1" applyFill="1" applyAlignment="1">
      <alignment horizontal="center" vertical="center"/>
    </xf>
    <xf numFmtId="0" fontId="2" fillId="42" borderId="0" xfId="11017" applyFont="1" applyFill="1" applyAlignment="1">
      <alignment vertical="center"/>
    </xf>
    <xf numFmtId="4" fontId="2" fillId="42" borderId="0" xfId="11017" applyNumberFormat="1" applyFont="1" applyFill="1" applyAlignment="1">
      <alignment vertical="center"/>
    </xf>
    <xf numFmtId="4" fontId="2" fillId="42" borderId="0" xfId="11017" applyNumberFormat="1" applyFont="1" applyFill="1" applyAlignment="1">
      <alignment horizontal="center" vertical="center"/>
    </xf>
    <xf numFmtId="0" fontId="2" fillId="42" borderId="0" xfId="11018" quotePrefix="1" applyFont="1" applyFill="1" applyAlignment="1">
      <alignment horizontal="center"/>
    </xf>
    <xf numFmtId="0" fontId="2" fillId="49" borderId="0" xfId="11018" applyFont="1" applyFill="1" applyAlignment="1">
      <alignment horizontal="center"/>
    </xf>
    <xf numFmtId="0" fontId="2" fillId="49" borderId="0" xfId="11017" applyFont="1" applyFill="1" applyAlignment="1">
      <alignment horizontal="center" vertical="center"/>
    </xf>
    <xf numFmtId="0" fontId="2" fillId="49" borderId="0" xfId="11017" applyFont="1" applyFill="1" applyAlignment="1">
      <alignment vertical="center"/>
    </xf>
    <xf numFmtId="4" fontId="2" fillId="49" borderId="0" xfId="11017" applyNumberFormat="1" applyFont="1" applyFill="1" applyAlignment="1">
      <alignment vertical="center"/>
    </xf>
    <xf numFmtId="4" fontId="2" fillId="49" borderId="0" xfId="11017" applyNumberFormat="1" applyFont="1" applyFill="1" applyAlignment="1">
      <alignment horizontal="center" vertical="center"/>
    </xf>
    <xf numFmtId="3" fontId="2" fillId="0" borderId="0" xfId="11018" applyNumberFormat="1" applyFont="1" applyAlignment="1">
      <alignment horizontal="center"/>
    </xf>
    <xf numFmtId="0" fontId="26" fillId="0" borderId="0" xfId="11017" applyFont="1" applyAlignment="1">
      <alignment horizontal="center" vertical="center"/>
    </xf>
    <xf numFmtId="0" fontId="26" fillId="0" borderId="0" xfId="11018" applyFont="1"/>
    <xf numFmtId="0" fontId="26" fillId="0" borderId="0" xfId="11018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26" fillId="0" borderId="0" xfId="11017" applyFont="1" applyAlignment="1">
      <alignment vertical="center"/>
    </xf>
    <xf numFmtId="0" fontId="25" fillId="0" borderId="0" xfId="1" applyFont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0" fillId="0" borderId="4" xfId="0" applyBorder="1"/>
    <xf numFmtId="0" fontId="0" fillId="0" borderId="9" xfId="0" applyBorder="1"/>
    <xf numFmtId="0" fontId="20" fillId="2" borderId="13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20" fillId="0" borderId="14" xfId="0" applyFont="1" applyBorder="1" applyAlignment="1">
      <alignment horizontal="left" vertical="center" wrapText="1"/>
    </xf>
    <xf numFmtId="0" fontId="21" fillId="49" borderId="1" xfId="10497" applyFont="1" applyFill="1" applyBorder="1" applyAlignment="1">
      <alignment horizontal="center" vertical="center"/>
    </xf>
    <xf numFmtId="0" fontId="21" fillId="49" borderId="2" xfId="10497" applyFont="1" applyFill="1" applyBorder="1" applyAlignment="1">
      <alignment horizontal="center" vertical="center"/>
    </xf>
    <xf numFmtId="0" fontId="21" fillId="49" borderId="39" xfId="10497" applyFont="1" applyFill="1" applyBorder="1" applyAlignment="1">
      <alignment horizontal="center" vertical="center"/>
    </xf>
    <xf numFmtId="0" fontId="17" fillId="0" borderId="1" xfId="10497" applyFont="1" applyBorder="1" applyAlignment="1">
      <alignment horizontal="center" vertical="center"/>
    </xf>
    <xf numFmtId="0" fontId="17" fillId="0" borderId="2" xfId="10497" applyFont="1" applyBorder="1" applyAlignment="1">
      <alignment horizontal="center" vertical="center"/>
    </xf>
    <xf numFmtId="0" fontId="17" fillId="0" borderId="3" xfId="10497" applyFont="1" applyBorder="1" applyAlignment="1">
      <alignment horizontal="center" vertical="center"/>
    </xf>
    <xf numFmtId="14" fontId="16" fillId="0" borderId="0" xfId="10497" applyNumberFormat="1" applyFont="1" applyAlignment="1">
      <alignment horizontal="center" vertical="center"/>
    </xf>
    <xf numFmtId="14" fontId="16" fillId="0" borderId="5" xfId="10497" applyNumberFormat="1" applyFont="1" applyBorder="1" applyAlignment="1">
      <alignment horizontal="center" vertical="center"/>
    </xf>
    <xf numFmtId="0" fontId="16" fillId="0" borderId="10" xfId="10497" applyFont="1" applyBorder="1" applyAlignment="1">
      <alignment horizontal="center" vertical="center"/>
    </xf>
    <xf numFmtId="0" fontId="16" fillId="0" borderId="16" xfId="10497" applyFont="1" applyBorder="1" applyAlignment="1">
      <alignment horizontal="center" vertical="center"/>
    </xf>
    <xf numFmtId="0" fontId="20" fillId="46" borderId="6" xfId="10497" applyFont="1" applyFill="1" applyBorder="1" applyAlignment="1">
      <alignment horizontal="center" vertical="center"/>
    </xf>
    <xf numFmtId="0" fontId="20" fillId="46" borderId="7" xfId="10497" applyFont="1" applyFill="1" applyBorder="1" applyAlignment="1">
      <alignment horizontal="center" vertical="center"/>
    </xf>
    <xf numFmtId="0" fontId="20" fillId="46" borderId="8" xfId="10497" applyFont="1" applyFill="1" applyBorder="1" applyAlignment="1">
      <alignment horizontal="center" vertical="center"/>
    </xf>
    <xf numFmtId="0" fontId="21" fillId="49" borderId="6" xfId="10497" applyFont="1" applyFill="1" applyBorder="1" applyAlignment="1">
      <alignment horizontal="center" vertical="center"/>
    </xf>
    <xf numFmtId="0" fontId="21" fillId="49" borderId="7" xfId="10497" applyFont="1" applyFill="1" applyBorder="1" applyAlignment="1">
      <alignment horizontal="center" vertical="center"/>
    </xf>
    <xf numFmtId="0" fontId="21" fillId="49" borderId="8" xfId="10497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/>
    </xf>
    <xf numFmtId="0" fontId="20" fillId="36" borderId="1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51" fillId="0" borderId="13" xfId="0" applyFont="1" applyBorder="1" applyAlignment="1">
      <alignment horizontal="left" vertical="center" wrapText="1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45" fillId="0" borderId="2" xfId="0" applyFont="1" applyBorder="1" applyAlignment="1" applyProtection="1">
      <alignment horizontal="center" vertical="center"/>
      <protection locked="0"/>
    </xf>
    <xf numFmtId="0" fontId="45" fillId="2" borderId="1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45" fillId="2" borderId="9" xfId="0" applyFont="1" applyFill="1" applyBorder="1" applyAlignment="1">
      <alignment horizontal="center" vertical="center"/>
    </xf>
    <xf numFmtId="0" fontId="45" fillId="2" borderId="10" xfId="0" applyFont="1" applyFill="1" applyBorder="1" applyAlignment="1">
      <alignment horizontal="center" vertical="center"/>
    </xf>
    <xf numFmtId="0" fontId="45" fillId="2" borderId="16" xfId="0" applyFont="1" applyFill="1" applyBorder="1" applyAlignment="1">
      <alignment horizontal="center" vertical="center"/>
    </xf>
    <xf numFmtId="0" fontId="45" fillId="2" borderId="11" xfId="0" applyFont="1" applyFill="1" applyBorder="1" applyAlignment="1">
      <alignment horizontal="center" vertical="center"/>
    </xf>
    <xf numFmtId="0" fontId="51" fillId="0" borderId="6" xfId="0" applyFont="1" applyBorder="1" applyAlignment="1">
      <alignment horizontal="center" vertical="center" wrapText="1"/>
    </xf>
    <xf numFmtId="0" fontId="51" fillId="0" borderId="7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2" fillId="0" borderId="2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51" fillId="0" borderId="14" xfId="0" applyFont="1" applyBorder="1" applyAlignment="1">
      <alignment horizontal="left" vertical="center" wrapText="1"/>
    </xf>
    <xf numFmtId="0" fontId="45" fillId="2" borderId="11" xfId="0" applyFont="1" applyFill="1" applyBorder="1" applyAlignment="1">
      <alignment horizontal="center" vertical="center" wrapText="1"/>
    </xf>
    <xf numFmtId="0" fontId="44" fillId="0" borderId="6" xfId="210" applyBorder="1" applyAlignment="1">
      <alignment horizontal="center" vertical="center" wrapText="1"/>
    </xf>
    <xf numFmtId="0" fontId="44" fillId="0" borderId="7" xfId="210" applyBorder="1" applyAlignment="1">
      <alignment horizontal="center" vertical="center" wrapText="1"/>
    </xf>
    <xf numFmtId="0" fontId="57" fillId="0" borderId="0" xfId="210" applyFont="1" applyAlignment="1" applyProtection="1">
      <alignment horizontal="center" vertical="center"/>
      <protection hidden="1"/>
    </xf>
    <xf numFmtId="0" fontId="58" fillId="0" borderId="0" xfId="210" applyFont="1" applyAlignment="1" applyProtection="1">
      <alignment horizontal="center" vertical="center"/>
      <protection hidden="1"/>
    </xf>
    <xf numFmtId="0" fontId="58" fillId="0" borderId="12" xfId="210" applyFont="1" applyBorder="1" applyAlignment="1">
      <alignment horizontal="center"/>
    </xf>
    <xf numFmtId="0" fontId="65" fillId="60" borderId="48" xfId="11019" applyFont="1" applyFill="1" applyBorder="1" applyAlignment="1" applyProtection="1">
      <alignment horizontal="center" vertical="center"/>
      <protection hidden="1"/>
    </xf>
    <xf numFmtId="0" fontId="65" fillId="60" borderId="49" xfId="11019" applyFont="1" applyFill="1" applyBorder="1" applyAlignment="1" applyProtection="1">
      <alignment horizontal="center" vertical="center"/>
      <protection hidden="1"/>
    </xf>
    <xf numFmtId="4" fontId="65" fillId="58" borderId="6" xfId="11019" applyNumberFormat="1" applyFont="1" applyFill="1" applyBorder="1" applyAlignment="1" applyProtection="1">
      <alignment horizontal="center" vertical="center"/>
      <protection hidden="1"/>
    </xf>
    <xf numFmtId="4" fontId="65" fillId="58" borderId="8" xfId="11019" applyNumberFormat="1" applyFont="1" applyFill="1" applyBorder="1" applyAlignment="1" applyProtection="1">
      <alignment horizontal="center" vertical="center"/>
      <protection hidden="1"/>
    </xf>
    <xf numFmtId="0" fontId="65" fillId="55" borderId="10" xfId="11021" applyFont="1" applyFill="1" applyBorder="1" applyAlignment="1" applyProtection="1">
      <alignment horizontal="center" vertical="center"/>
      <protection hidden="1"/>
    </xf>
    <xf numFmtId="0" fontId="65" fillId="56" borderId="10" xfId="11021" applyFont="1" applyFill="1" applyBorder="1" applyAlignment="1" applyProtection="1">
      <alignment horizontal="center" vertical="center"/>
      <protection hidden="1"/>
    </xf>
    <xf numFmtId="0" fontId="65" fillId="57" borderId="10" xfId="11021" applyFont="1" applyFill="1" applyBorder="1" applyAlignment="1" applyProtection="1">
      <alignment horizontal="center" vertical="center"/>
      <protection hidden="1"/>
    </xf>
    <xf numFmtId="0" fontId="65" fillId="58" borderId="48" xfId="11019" applyFont="1" applyFill="1" applyBorder="1" applyAlignment="1" applyProtection="1">
      <alignment horizontal="center" vertical="center"/>
      <protection hidden="1"/>
    </xf>
    <xf numFmtId="0" fontId="65" fillId="58" borderId="49" xfId="11019" applyFont="1" applyFill="1" applyBorder="1" applyAlignment="1" applyProtection="1">
      <alignment horizontal="center" vertical="center"/>
      <protection hidden="1"/>
    </xf>
    <xf numFmtId="0" fontId="65" fillId="58" borderId="48" xfId="11019" applyFont="1" applyFill="1" applyBorder="1" applyAlignment="1" applyProtection="1">
      <alignment horizontal="center" vertical="center" wrapText="1"/>
      <protection hidden="1"/>
    </xf>
    <xf numFmtId="0" fontId="65" fillId="63" borderId="10" xfId="11021" applyFont="1" applyFill="1" applyBorder="1" applyAlignment="1" applyProtection="1">
      <alignment horizontal="center" vertical="center"/>
      <protection hidden="1"/>
    </xf>
    <xf numFmtId="0" fontId="67" fillId="65" borderId="11" xfId="11025" applyFont="1" applyFill="1" applyBorder="1" applyAlignment="1">
      <alignment horizontal="center"/>
    </xf>
    <xf numFmtId="0" fontId="69" fillId="66" borderId="6" xfId="11025" applyFont="1" applyFill="1" applyBorder="1" applyAlignment="1">
      <alignment horizontal="center" vertical="center"/>
    </xf>
    <xf numFmtId="0" fontId="69" fillId="66" borderId="7" xfId="11025" applyFont="1" applyFill="1" applyBorder="1" applyAlignment="1">
      <alignment horizontal="center" vertical="center"/>
    </xf>
    <xf numFmtId="0" fontId="69" fillId="66" borderId="8" xfId="11025" applyFont="1" applyFill="1" applyBorder="1" applyAlignment="1">
      <alignment horizontal="center" vertical="center"/>
    </xf>
    <xf numFmtId="4" fontId="70" fillId="40" borderId="0" xfId="11025" applyNumberFormat="1" applyFont="1" applyFill="1" applyAlignment="1">
      <alignment horizontal="center" vertical="center"/>
    </xf>
    <xf numFmtId="0" fontId="67" fillId="0" borderId="11" xfId="11025" applyFont="1" applyBorder="1" applyAlignment="1">
      <alignment horizontal="center" vertical="center"/>
    </xf>
    <xf numFmtId="0" fontId="1" fillId="0" borderId="0" xfId="11026" applyFont="1"/>
  </cellXfs>
  <cellStyles count="11027">
    <cellStyle name="20% - Ênfase1" xfId="19" builtinId="30" customBuiltin="1"/>
    <cellStyle name="20% - Ênfase1 10" xfId="168" xr:uid="{00000000-0005-0000-0000-000001000000}"/>
    <cellStyle name="20% - Ênfase1 10 10" xfId="1301" xr:uid="{00000000-0005-0000-0000-000002000000}"/>
    <cellStyle name="20% - Ênfase1 10 11" xfId="1302" xr:uid="{00000000-0005-0000-0000-000003000000}"/>
    <cellStyle name="20% - Ênfase1 10 12" xfId="1303" xr:uid="{00000000-0005-0000-0000-000004000000}"/>
    <cellStyle name="20% - Ênfase1 10 13" xfId="1304" xr:uid="{00000000-0005-0000-0000-000005000000}"/>
    <cellStyle name="20% - Ênfase1 10 14" xfId="1305" xr:uid="{00000000-0005-0000-0000-000006000000}"/>
    <cellStyle name="20% - Ênfase1 10 15" xfId="1306" xr:uid="{00000000-0005-0000-0000-000007000000}"/>
    <cellStyle name="20% - Ênfase1 10 16" xfId="1307" xr:uid="{00000000-0005-0000-0000-000008000000}"/>
    <cellStyle name="20% - Ênfase1 10 17" xfId="1308" xr:uid="{00000000-0005-0000-0000-000009000000}"/>
    <cellStyle name="20% - Ênfase1 10 18" xfId="1309" xr:uid="{00000000-0005-0000-0000-00000A000000}"/>
    <cellStyle name="20% - Ênfase1 10 19" xfId="1310" xr:uid="{00000000-0005-0000-0000-00000B000000}"/>
    <cellStyle name="20% - Ênfase1 10 2" xfId="1311" xr:uid="{00000000-0005-0000-0000-00000C000000}"/>
    <cellStyle name="20% - Ênfase1 10 20" xfId="1312" xr:uid="{00000000-0005-0000-0000-00000D000000}"/>
    <cellStyle name="20% - Ênfase1 10 3" xfId="1313" xr:uid="{00000000-0005-0000-0000-00000E000000}"/>
    <cellStyle name="20% - Ênfase1 10 4" xfId="1314" xr:uid="{00000000-0005-0000-0000-00000F000000}"/>
    <cellStyle name="20% - Ênfase1 10 5" xfId="1315" xr:uid="{00000000-0005-0000-0000-000010000000}"/>
    <cellStyle name="20% - Ênfase1 10 6" xfId="1316" xr:uid="{00000000-0005-0000-0000-000011000000}"/>
    <cellStyle name="20% - Ênfase1 10 7" xfId="1317" xr:uid="{00000000-0005-0000-0000-000012000000}"/>
    <cellStyle name="20% - Ênfase1 10 8" xfId="1318" xr:uid="{00000000-0005-0000-0000-000013000000}"/>
    <cellStyle name="20% - Ênfase1 10 9" xfId="1319" xr:uid="{00000000-0005-0000-0000-000014000000}"/>
    <cellStyle name="20% - Ênfase1 11" xfId="185" xr:uid="{00000000-0005-0000-0000-000015000000}"/>
    <cellStyle name="20% - Ênfase1 11 10" xfId="1320" xr:uid="{00000000-0005-0000-0000-000016000000}"/>
    <cellStyle name="20% - Ênfase1 11 11" xfId="1321" xr:uid="{00000000-0005-0000-0000-000017000000}"/>
    <cellStyle name="20% - Ênfase1 11 12" xfId="1322" xr:uid="{00000000-0005-0000-0000-000018000000}"/>
    <cellStyle name="20% - Ênfase1 11 13" xfId="1323" xr:uid="{00000000-0005-0000-0000-000019000000}"/>
    <cellStyle name="20% - Ênfase1 11 14" xfId="1324" xr:uid="{00000000-0005-0000-0000-00001A000000}"/>
    <cellStyle name="20% - Ênfase1 11 15" xfId="1325" xr:uid="{00000000-0005-0000-0000-00001B000000}"/>
    <cellStyle name="20% - Ênfase1 11 16" xfId="1326" xr:uid="{00000000-0005-0000-0000-00001C000000}"/>
    <cellStyle name="20% - Ênfase1 11 17" xfId="1327" xr:uid="{00000000-0005-0000-0000-00001D000000}"/>
    <cellStyle name="20% - Ênfase1 11 18" xfId="1328" xr:uid="{00000000-0005-0000-0000-00001E000000}"/>
    <cellStyle name="20% - Ênfase1 11 19" xfId="1329" xr:uid="{00000000-0005-0000-0000-00001F000000}"/>
    <cellStyle name="20% - Ênfase1 11 2" xfId="1330" xr:uid="{00000000-0005-0000-0000-000020000000}"/>
    <cellStyle name="20% - Ênfase1 11 20" xfId="1331" xr:uid="{00000000-0005-0000-0000-000021000000}"/>
    <cellStyle name="20% - Ênfase1 11 3" xfId="1332" xr:uid="{00000000-0005-0000-0000-000022000000}"/>
    <cellStyle name="20% - Ênfase1 11 4" xfId="1333" xr:uid="{00000000-0005-0000-0000-000023000000}"/>
    <cellStyle name="20% - Ênfase1 11 5" xfId="1334" xr:uid="{00000000-0005-0000-0000-000024000000}"/>
    <cellStyle name="20% - Ênfase1 11 6" xfId="1335" xr:uid="{00000000-0005-0000-0000-000025000000}"/>
    <cellStyle name="20% - Ênfase1 11 7" xfId="1336" xr:uid="{00000000-0005-0000-0000-000026000000}"/>
    <cellStyle name="20% - Ênfase1 11 8" xfId="1337" xr:uid="{00000000-0005-0000-0000-000027000000}"/>
    <cellStyle name="20% - Ênfase1 11 9" xfId="1338" xr:uid="{00000000-0005-0000-0000-000028000000}"/>
    <cellStyle name="20% - Ênfase1 12" xfId="202" xr:uid="{00000000-0005-0000-0000-000029000000}"/>
    <cellStyle name="20% - Ênfase1 12 10" xfId="1339" xr:uid="{00000000-0005-0000-0000-00002A000000}"/>
    <cellStyle name="20% - Ênfase1 12 11" xfId="1340" xr:uid="{00000000-0005-0000-0000-00002B000000}"/>
    <cellStyle name="20% - Ênfase1 12 12" xfId="1341" xr:uid="{00000000-0005-0000-0000-00002C000000}"/>
    <cellStyle name="20% - Ênfase1 12 13" xfId="1342" xr:uid="{00000000-0005-0000-0000-00002D000000}"/>
    <cellStyle name="20% - Ênfase1 12 14" xfId="1343" xr:uid="{00000000-0005-0000-0000-00002E000000}"/>
    <cellStyle name="20% - Ênfase1 12 15" xfId="1344" xr:uid="{00000000-0005-0000-0000-00002F000000}"/>
    <cellStyle name="20% - Ênfase1 12 16" xfId="1345" xr:uid="{00000000-0005-0000-0000-000030000000}"/>
    <cellStyle name="20% - Ênfase1 12 17" xfId="1346" xr:uid="{00000000-0005-0000-0000-000031000000}"/>
    <cellStyle name="20% - Ênfase1 12 18" xfId="1347" xr:uid="{00000000-0005-0000-0000-000032000000}"/>
    <cellStyle name="20% - Ênfase1 12 19" xfId="1348" xr:uid="{00000000-0005-0000-0000-000033000000}"/>
    <cellStyle name="20% - Ênfase1 12 2" xfId="1349" xr:uid="{00000000-0005-0000-0000-000034000000}"/>
    <cellStyle name="20% - Ênfase1 12 20" xfId="1350" xr:uid="{00000000-0005-0000-0000-000035000000}"/>
    <cellStyle name="20% - Ênfase1 12 3" xfId="1351" xr:uid="{00000000-0005-0000-0000-000036000000}"/>
    <cellStyle name="20% - Ênfase1 12 4" xfId="1352" xr:uid="{00000000-0005-0000-0000-000037000000}"/>
    <cellStyle name="20% - Ênfase1 12 5" xfId="1353" xr:uid="{00000000-0005-0000-0000-000038000000}"/>
    <cellStyle name="20% - Ênfase1 12 6" xfId="1354" xr:uid="{00000000-0005-0000-0000-000039000000}"/>
    <cellStyle name="20% - Ênfase1 12 7" xfId="1355" xr:uid="{00000000-0005-0000-0000-00003A000000}"/>
    <cellStyle name="20% - Ênfase1 12 8" xfId="1356" xr:uid="{00000000-0005-0000-0000-00003B000000}"/>
    <cellStyle name="20% - Ênfase1 12 9" xfId="1357" xr:uid="{00000000-0005-0000-0000-00003C000000}"/>
    <cellStyle name="20% - Ênfase1 13" xfId="219" xr:uid="{00000000-0005-0000-0000-00003D000000}"/>
    <cellStyle name="20% - Ênfase1 13 10" xfId="1358" xr:uid="{00000000-0005-0000-0000-00003E000000}"/>
    <cellStyle name="20% - Ênfase1 13 11" xfId="1359" xr:uid="{00000000-0005-0000-0000-00003F000000}"/>
    <cellStyle name="20% - Ênfase1 13 12" xfId="1360" xr:uid="{00000000-0005-0000-0000-000040000000}"/>
    <cellStyle name="20% - Ênfase1 13 13" xfId="1361" xr:uid="{00000000-0005-0000-0000-000041000000}"/>
    <cellStyle name="20% - Ênfase1 13 14" xfId="1362" xr:uid="{00000000-0005-0000-0000-000042000000}"/>
    <cellStyle name="20% - Ênfase1 13 15" xfId="1363" xr:uid="{00000000-0005-0000-0000-000043000000}"/>
    <cellStyle name="20% - Ênfase1 13 16" xfId="1364" xr:uid="{00000000-0005-0000-0000-000044000000}"/>
    <cellStyle name="20% - Ênfase1 13 17" xfId="1365" xr:uid="{00000000-0005-0000-0000-000045000000}"/>
    <cellStyle name="20% - Ênfase1 13 18" xfId="1366" xr:uid="{00000000-0005-0000-0000-000046000000}"/>
    <cellStyle name="20% - Ênfase1 13 19" xfId="1367" xr:uid="{00000000-0005-0000-0000-000047000000}"/>
    <cellStyle name="20% - Ênfase1 13 2" xfId="1368" xr:uid="{00000000-0005-0000-0000-000048000000}"/>
    <cellStyle name="20% - Ênfase1 13 20" xfId="1369" xr:uid="{00000000-0005-0000-0000-000049000000}"/>
    <cellStyle name="20% - Ênfase1 13 3" xfId="1370" xr:uid="{00000000-0005-0000-0000-00004A000000}"/>
    <cellStyle name="20% - Ênfase1 13 4" xfId="1371" xr:uid="{00000000-0005-0000-0000-00004B000000}"/>
    <cellStyle name="20% - Ênfase1 13 5" xfId="1372" xr:uid="{00000000-0005-0000-0000-00004C000000}"/>
    <cellStyle name="20% - Ênfase1 13 6" xfId="1373" xr:uid="{00000000-0005-0000-0000-00004D000000}"/>
    <cellStyle name="20% - Ênfase1 13 7" xfId="1374" xr:uid="{00000000-0005-0000-0000-00004E000000}"/>
    <cellStyle name="20% - Ênfase1 13 8" xfId="1375" xr:uid="{00000000-0005-0000-0000-00004F000000}"/>
    <cellStyle name="20% - Ênfase1 13 9" xfId="1376" xr:uid="{00000000-0005-0000-0000-000050000000}"/>
    <cellStyle name="20% - Ênfase1 14" xfId="236" xr:uid="{00000000-0005-0000-0000-000051000000}"/>
    <cellStyle name="20% - Ênfase1 14 10" xfId="1377" xr:uid="{00000000-0005-0000-0000-000052000000}"/>
    <cellStyle name="20% - Ênfase1 14 11" xfId="1378" xr:uid="{00000000-0005-0000-0000-000053000000}"/>
    <cellStyle name="20% - Ênfase1 14 12" xfId="1379" xr:uid="{00000000-0005-0000-0000-000054000000}"/>
    <cellStyle name="20% - Ênfase1 14 13" xfId="1380" xr:uid="{00000000-0005-0000-0000-000055000000}"/>
    <cellStyle name="20% - Ênfase1 14 14" xfId="1381" xr:uid="{00000000-0005-0000-0000-000056000000}"/>
    <cellStyle name="20% - Ênfase1 14 15" xfId="1382" xr:uid="{00000000-0005-0000-0000-000057000000}"/>
    <cellStyle name="20% - Ênfase1 14 16" xfId="1383" xr:uid="{00000000-0005-0000-0000-000058000000}"/>
    <cellStyle name="20% - Ênfase1 14 17" xfId="1384" xr:uid="{00000000-0005-0000-0000-000059000000}"/>
    <cellStyle name="20% - Ênfase1 14 18" xfId="1385" xr:uid="{00000000-0005-0000-0000-00005A000000}"/>
    <cellStyle name="20% - Ênfase1 14 19" xfId="1386" xr:uid="{00000000-0005-0000-0000-00005B000000}"/>
    <cellStyle name="20% - Ênfase1 14 2" xfId="1387" xr:uid="{00000000-0005-0000-0000-00005C000000}"/>
    <cellStyle name="20% - Ênfase1 14 20" xfId="1388" xr:uid="{00000000-0005-0000-0000-00005D000000}"/>
    <cellStyle name="20% - Ênfase1 14 3" xfId="1389" xr:uid="{00000000-0005-0000-0000-00005E000000}"/>
    <cellStyle name="20% - Ênfase1 14 4" xfId="1390" xr:uid="{00000000-0005-0000-0000-00005F000000}"/>
    <cellStyle name="20% - Ênfase1 14 5" xfId="1391" xr:uid="{00000000-0005-0000-0000-000060000000}"/>
    <cellStyle name="20% - Ênfase1 14 6" xfId="1392" xr:uid="{00000000-0005-0000-0000-000061000000}"/>
    <cellStyle name="20% - Ênfase1 14 7" xfId="1393" xr:uid="{00000000-0005-0000-0000-000062000000}"/>
    <cellStyle name="20% - Ênfase1 14 8" xfId="1394" xr:uid="{00000000-0005-0000-0000-000063000000}"/>
    <cellStyle name="20% - Ênfase1 14 9" xfId="1395" xr:uid="{00000000-0005-0000-0000-000064000000}"/>
    <cellStyle name="20% - Ênfase1 15" xfId="253" xr:uid="{00000000-0005-0000-0000-000065000000}"/>
    <cellStyle name="20% - Ênfase1 15 10" xfId="1396" xr:uid="{00000000-0005-0000-0000-000066000000}"/>
    <cellStyle name="20% - Ênfase1 15 11" xfId="1397" xr:uid="{00000000-0005-0000-0000-000067000000}"/>
    <cellStyle name="20% - Ênfase1 15 12" xfId="1398" xr:uid="{00000000-0005-0000-0000-000068000000}"/>
    <cellStyle name="20% - Ênfase1 15 13" xfId="1399" xr:uid="{00000000-0005-0000-0000-000069000000}"/>
    <cellStyle name="20% - Ênfase1 15 14" xfId="1400" xr:uid="{00000000-0005-0000-0000-00006A000000}"/>
    <cellStyle name="20% - Ênfase1 15 15" xfId="1401" xr:uid="{00000000-0005-0000-0000-00006B000000}"/>
    <cellStyle name="20% - Ênfase1 15 16" xfId="1402" xr:uid="{00000000-0005-0000-0000-00006C000000}"/>
    <cellStyle name="20% - Ênfase1 15 17" xfId="1403" xr:uid="{00000000-0005-0000-0000-00006D000000}"/>
    <cellStyle name="20% - Ênfase1 15 18" xfId="1404" xr:uid="{00000000-0005-0000-0000-00006E000000}"/>
    <cellStyle name="20% - Ênfase1 15 19" xfId="1405" xr:uid="{00000000-0005-0000-0000-00006F000000}"/>
    <cellStyle name="20% - Ênfase1 15 2" xfId="1406" xr:uid="{00000000-0005-0000-0000-000070000000}"/>
    <cellStyle name="20% - Ênfase1 15 20" xfId="1407" xr:uid="{00000000-0005-0000-0000-000071000000}"/>
    <cellStyle name="20% - Ênfase1 15 3" xfId="1408" xr:uid="{00000000-0005-0000-0000-000072000000}"/>
    <cellStyle name="20% - Ênfase1 15 4" xfId="1409" xr:uid="{00000000-0005-0000-0000-000073000000}"/>
    <cellStyle name="20% - Ênfase1 15 5" xfId="1410" xr:uid="{00000000-0005-0000-0000-000074000000}"/>
    <cellStyle name="20% - Ênfase1 15 6" xfId="1411" xr:uid="{00000000-0005-0000-0000-000075000000}"/>
    <cellStyle name="20% - Ênfase1 15 7" xfId="1412" xr:uid="{00000000-0005-0000-0000-000076000000}"/>
    <cellStyle name="20% - Ênfase1 15 8" xfId="1413" xr:uid="{00000000-0005-0000-0000-000077000000}"/>
    <cellStyle name="20% - Ênfase1 15 9" xfId="1414" xr:uid="{00000000-0005-0000-0000-000078000000}"/>
    <cellStyle name="20% - Ênfase1 16" xfId="270" xr:uid="{00000000-0005-0000-0000-000079000000}"/>
    <cellStyle name="20% - Ênfase1 16 10" xfId="1415" xr:uid="{00000000-0005-0000-0000-00007A000000}"/>
    <cellStyle name="20% - Ênfase1 16 11" xfId="1416" xr:uid="{00000000-0005-0000-0000-00007B000000}"/>
    <cellStyle name="20% - Ênfase1 16 12" xfId="1417" xr:uid="{00000000-0005-0000-0000-00007C000000}"/>
    <cellStyle name="20% - Ênfase1 16 13" xfId="1418" xr:uid="{00000000-0005-0000-0000-00007D000000}"/>
    <cellStyle name="20% - Ênfase1 16 14" xfId="1419" xr:uid="{00000000-0005-0000-0000-00007E000000}"/>
    <cellStyle name="20% - Ênfase1 16 15" xfId="1420" xr:uid="{00000000-0005-0000-0000-00007F000000}"/>
    <cellStyle name="20% - Ênfase1 16 16" xfId="1421" xr:uid="{00000000-0005-0000-0000-000080000000}"/>
    <cellStyle name="20% - Ênfase1 16 17" xfId="1422" xr:uid="{00000000-0005-0000-0000-000081000000}"/>
    <cellStyle name="20% - Ênfase1 16 18" xfId="1423" xr:uid="{00000000-0005-0000-0000-000082000000}"/>
    <cellStyle name="20% - Ênfase1 16 19" xfId="1424" xr:uid="{00000000-0005-0000-0000-000083000000}"/>
    <cellStyle name="20% - Ênfase1 16 2" xfId="1425" xr:uid="{00000000-0005-0000-0000-000084000000}"/>
    <cellStyle name="20% - Ênfase1 16 20" xfId="1426" xr:uid="{00000000-0005-0000-0000-000085000000}"/>
    <cellStyle name="20% - Ênfase1 16 3" xfId="1427" xr:uid="{00000000-0005-0000-0000-000086000000}"/>
    <cellStyle name="20% - Ênfase1 16 4" xfId="1428" xr:uid="{00000000-0005-0000-0000-000087000000}"/>
    <cellStyle name="20% - Ênfase1 16 5" xfId="1429" xr:uid="{00000000-0005-0000-0000-000088000000}"/>
    <cellStyle name="20% - Ênfase1 16 6" xfId="1430" xr:uid="{00000000-0005-0000-0000-000089000000}"/>
    <cellStyle name="20% - Ênfase1 16 7" xfId="1431" xr:uid="{00000000-0005-0000-0000-00008A000000}"/>
    <cellStyle name="20% - Ênfase1 16 8" xfId="1432" xr:uid="{00000000-0005-0000-0000-00008B000000}"/>
    <cellStyle name="20% - Ênfase1 16 9" xfId="1433" xr:uid="{00000000-0005-0000-0000-00008C000000}"/>
    <cellStyle name="20% - Ênfase1 17" xfId="287" xr:uid="{00000000-0005-0000-0000-00008D000000}"/>
    <cellStyle name="20% - Ênfase1 17 10" xfId="1434" xr:uid="{00000000-0005-0000-0000-00008E000000}"/>
    <cellStyle name="20% - Ênfase1 17 11" xfId="1435" xr:uid="{00000000-0005-0000-0000-00008F000000}"/>
    <cellStyle name="20% - Ênfase1 17 12" xfId="1436" xr:uid="{00000000-0005-0000-0000-000090000000}"/>
    <cellStyle name="20% - Ênfase1 17 13" xfId="1437" xr:uid="{00000000-0005-0000-0000-000091000000}"/>
    <cellStyle name="20% - Ênfase1 17 14" xfId="1438" xr:uid="{00000000-0005-0000-0000-000092000000}"/>
    <cellStyle name="20% - Ênfase1 17 15" xfId="1439" xr:uid="{00000000-0005-0000-0000-000093000000}"/>
    <cellStyle name="20% - Ênfase1 17 16" xfId="1440" xr:uid="{00000000-0005-0000-0000-000094000000}"/>
    <cellStyle name="20% - Ênfase1 17 17" xfId="1441" xr:uid="{00000000-0005-0000-0000-000095000000}"/>
    <cellStyle name="20% - Ênfase1 17 18" xfId="1442" xr:uid="{00000000-0005-0000-0000-000096000000}"/>
    <cellStyle name="20% - Ênfase1 17 19" xfId="1443" xr:uid="{00000000-0005-0000-0000-000097000000}"/>
    <cellStyle name="20% - Ênfase1 17 2" xfId="1444" xr:uid="{00000000-0005-0000-0000-000098000000}"/>
    <cellStyle name="20% - Ênfase1 17 20" xfId="1445" xr:uid="{00000000-0005-0000-0000-000099000000}"/>
    <cellStyle name="20% - Ênfase1 17 3" xfId="1446" xr:uid="{00000000-0005-0000-0000-00009A000000}"/>
    <cellStyle name="20% - Ênfase1 17 4" xfId="1447" xr:uid="{00000000-0005-0000-0000-00009B000000}"/>
    <cellStyle name="20% - Ênfase1 17 5" xfId="1448" xr:uid="{00000000-0005-0000-0000-00009C000000}"/>
    <cellStyle name="20% - Ênfase1 17 6" xfId="1449" xr:uid="{00000000-0005-0000-0000-00009D000000}"/>
    <cellStyle name="20% - Ênfase1 17 7" xfId="1450" xr:uid="{00000000-0005-0000-0000-00009E000000}"/>
    <cellStyle name="20% - Ênfase1 17 8" xfId="1451" xr:uid="{00000000-0005-0000-0000-00009F000000}"/>
    <cellStyle name="20% - Ênfase1 17 9" xfId="1452" xr:uid="{00000000-0005-0000-0000-0000A0000000}"/>
    <cellStyle name="20% - Ênfase1 18" xfId="304" xr:uid="{00000000-0005-0000-0000-0000A1000000}"/>
    <cellStyle name="20% - Ênfase1 18 10" xfId="1453" xr:uid="{00000000-0005-0000-0000-0000A2000000}"/>
    <cellStyle name="20% - Ênfase1 18 11" xfId="1454" xr:uid="{00000000-0005-0000-0000-0000A3000000}"/>
    <cellStyle name="20% - Ênfase1 18 12" xfId="1455" xr:uid="{00000000-0005-0000-0000-0000A4000000}"/>
    <cellStyle name="20% - Ênfase1 18 13" xfId="1456" xr:uid="{00000000-0005-0000-0000-0000A5000000}"/>
    <cellStyle name="20% - Ênfase1 18 14" xfId="1457" xr:uid="{00000000-0005-0000-0000-0000A6000000}"/>
    <cellStyle name="20% - Ênfase1 18 15" xfId="1458" xr:uid="{00000000-0005-0000-0000-0000A7000000}"/>
    <cellStyle name="20% - Ênfase1 18 16" xfId="1459" xr:uid="{00000000-0005-0000-0000-0000A8000000}"/>
    <cellStyle name="20% - Ênfase1 18 17" xfId="1460" xr:uid="{00000000-0005-0000-0000-0000A9000000}"/>
    <cellStyle name="20% - Ênfase1 18 18" xfId="1461" xr:uid="{00000000-0005-0000-0000-0000AA000000}"/>
    <cellStyle name="20% - Ênfase1 18 19" xfId="1462" xr:uid="{00000000-0005-0000-0000-0000AB000000}"/>
    <cellStyle name="20% - Ênfase1 18 2" xfId="1463" xr:uid="{00000000-0005-0000-0000-0000AC000000}"/>
    <cellStyle name="20% - Ênfase1 18 20" xfId="1464" xr:uid="{00000000-0005-0000-0000-0000AD000000}"/>
    <cellStyle name="20% - Ênfase1 18 3" xfId="1465" xr:uid="{00000000-0005-0000-0000-0000AE000000}"/>
    <cellStyle name="20% - Ênfase1 18 4" xfId="1466" xr:uid="{00000000-0005-0000-0000-0000AF000000}"/>
    <cellStyle name="20% - Ênfase1 18 5" xfId="1467" xr:uid="{00000000-0005-0000-0000-0000B0000000}"/>
    <cellStyle name="20% - Ênfase1 18 6" xfId="1468" xr:uid="{00000000-0005-0000-0000-0000B1000000}"/>
    <cellStyle name="20% - Ênfase1 18 7" xfId="1469" xr:uid="{00000000-0005-0000-0000-0000B2000000}"/>
    <cellStyle name="20% - Ênfase1 18 8" xfId="1470" xr:uid="{00000000-0005-0000-0000-0000B3000000}"/>
    <cellStyle name="20% - Ênfase1 18 9" xfId="1471" xr:uid="{00000000-0005-0000-0000-0000B4000000}"/>
    <cellStyle name="20% - Ênfase1 19" xfId="335" xr:uid="{00000000-0005-0000-0000-0000B5000000}"/>
    <cellStyle name="20% - Ênfase1 19 10" xfId="1472" xr:uid="{00000000-0005-0000-0000-0000B6000000}"/>
    <cellStyle name="20% - Ênfase1 19 11" xfId="1473" xr:uid="{00000000-0005-0000-0000-0000B7000000}"/>
    <cellStyle name="20% - Ênfase1 19 12" xfId="1474" xr:uid="{00000000-0005-0000-0000-0000B8000000}"/>
    <cellStyle name="20% - Ênfase1 19 13" xfId="1475" xr:uid="{00000000-0005-0000-0000-0000B9000000}"/>
    <cellStyle name="20% - Ênfase1 19 14" xfId="1476" xr:uid="{00000000-0005-0000-0000-0000BA000000}"/>
    <cellStyle name="20% - Ênfase1 19 15" xfId="1477" xr:uid="{00000000-0005-0000-0000-0000BB000000}"/>
    <cellStyle name="20% - Ênfase1 19 16" xfId="1478" xr:uid="{00000000-0005-0000-0000-0000BC000000}"/>
    <cellStyle name="20% - Ênfase1 19 17" xfId="1479" xr:uid="{00000000-0005-0000-0000-0000BD000000}"/>
    <cellStyle name="20% - Ênfase1 19 18" xfId="1480" xr:uid="{00000000-0005-0000-0000-0000BE000000}"/>
    <cellStyle name="20% - Ênfase1 19 19" xfId="1481" xr:uid="{00000000-0005-0000-0000-0000BF000000}"/>
    <cellStyle name="20% - Ênfase1 19 2" xfId="1482" xr:uid="{00000000-0005-0000-0000-0000C0000000}"/>
    <cellStyle name="20% - Ênfase1 19 20" xfId="1483" xr:uid="{00000000-0005-0000-0000-0000C1000000}"/>
    <cellStyle name="20% - Ênfase1 19 3" xfId="1484" xr:uid="{00000000-0005-0000-0000-0000C2000000}"/>
    <cellStyle name="20% - Ênfase1 19 4" xfId="1485" xr:uid="{00000000-0005-0000-0000-0000C3000000}"/>
    <cellStyle name="20% - Ênfase1 19 5" xfId="1486" xr:uid="{00000000-0005-0000-0000-0000C4000000}"/>
    <cellStyle name="20% - Ênfase1 19 6" xfId="1487" xr:uid="{00000000-0005-0000-0000-0000C5000000}"/>
    <cellStyle name="20% - Ênfase1 19 7" xfId="1488" xr:uid="{00000000-0005-0000-0000-0000C6000000}"/>
    <cellStyle name="20% - Ênfase1 19 8" xfId="1489" xr:uid="{00000000-0005-0000-0000-0000C7000000}"/>
    <cellStyle name="20% - Ênfase1 19 9" xfId="1490" xr:uid="{00000000-0005-0000-0000-0000C8000000}"/>
    <cellStyle name="20% - Ênfase1 2" xfId="68" xr:uid="{00000000-0005-0000-0000-0000C9000000}"/>
    <cellStyle name="20% - Ênfase1 2 10" xfId="1491" xr:uid="{00000000-0005-0000-0000-0000CA000000}"/>
    <cellStyle name="20% - Ênfase1 2 11" xfId="1492" xr:uid="{00000000-0005-0000-0000-0000CB000000}"/>
    <cellStyle name="20% - Ênfase1 2 12" xfId="1493" xr:uid="{00000000-0005-0000-0000-0000CC000000}"/>
    <cellStyle name="20% - Ênfase1 2 13" xfId="1494" xr:uid="{00000000-0005-0000-0000-0000CD000000}"/>
    <cellStyle name="20% - Ênfase1 2 14" xfId="1495" xr:uid="{00000000-0005-0000-0000-0000CE000000}"/>
    <cellStyle name="20% - Ênfase1 2 15" xfId="1496" xr:uid="{00000000-0005-0000-0000-0000CF000000}"/>
    <cellStyle name="20% - Ênfase1 2 16" xfId="1497" xr:uid="{00000000-0005-0000-0000-0000D0000000}"/>
    <cellStyle name="20% - Ênfase1 2 17" xfId="1498" xr:uid="{00000000-0005-0000-0000-0000D1000000}"/>
    <cellStyle name="20% - Ênfase1 2 18" xfId="1499" xr:uid="{00000000-0005-0000-0000-0000D2000000}"/>
    <cellStyle name="20% - Ênfase1 2 19" xfId="1500" xr:uid="{00000000-0005-0000-0000-0000D3000000}"/>
    <cellStyle name="20% - Ênfase1 2 2" xfId="1501" xr:uid="{00000000-0005-0000-0000-0000D4000000}"/>
    <cellStyle name="20% - Ênfase1 2 20" xfId="1502" xr:uid="{00000000-0005-0000-0000-0000D5000000}"/>
    <cellStyle name="20% - Ênfase1 2 3" xfId="1503" xr:uid="{00000000-0005-0000-0000-0000D6000000}"/>
    <cellStyle name="20% - Ênfase1 2 4" xfId="1504" xr:uid="{00000000-0005-0000-0000-0000D7000000}"/>
    <cellStyle name="20% - Ênfase1 2 5" xfId="1505" xr:uid="{00000000-0005-0000-0000-0000D8000000}"/>
    <cellStyle name="20% - Ênfase1 2 6" xfId="1506" xr:uid="{00000000-0005-0000-0000-0000D9000000}"/>
    <cellStyle name="20% - Ênfase1 2 7" xfId="1507" xr:uid="{00000000-0005-0000-0000-0000DA000000}"/>
    <cellStyle name="20% - Ênfase1 2 8" xfId="1508" xr:uid="{00000000-0005-0000-0000-0000DB000000}"/>
    <cellStyle name="20% - Ênfase1 2 9" xfId="1509" xr:uid="{00000000-0005-0000-0000-0000DC000000}"/>
    <cellStyle name="20% - Ênfase1 20" xfId="372" xr:uid="{00000000-0005-0000-0000-0000DD000000}"/>
    <cellStyle name="20% - Ênfase1 20 10" xfId="1510" xr:uid="{00000000-0005-0000-0000-0000DE000000}"/>
    <cellStyle name="20% - Ênfase1 20 11" xfId="1511" xr:uid="{00000000-0005-0000-0000-0000DF000000}"/>
    <cellStyle name="20% - Ênfase1 20 12" xfId="1512" xr:uid="{00000000-0005-0000-0000-0000E0000000}"/>
    <cellStyle name="20% - Ênfase1 20 13" xfId="1513" xr:uid="{00000000-0005-0000-0000-0000E1000000}"/>
    <cellStyle name="20% - Ênfase1 20 14" xfId="1514" xr:uid="{00000000-0005-0000-0000-0000E2000000}"/>
    <cellStyle name="20% - Ênfase1 20 15" xfId="1515" xr:uid="{00000000-0005-0000-0000-0000E3000000}"/>
    <cellStyle name="20% - Ênfase1 20 16" xfId="1516" xr:uid="{00000000-0005-0000-0000-0000E4000000}"/>
    <cellStyle name="20% - Ênfase1 20 17" xfId="1517" xr:uid="{00000000-0005-0000-0000-0000E5000000}"/>
    <cellStyle name="20% - Ênfase1 20 18" xfId="1518" xr:uid="{00000000-0005-0000-0000-0000E6000000}"/>
    <cellStyle name="20% - Ênfase1 20 19" xfId="1519" xr:uid="{00000000-0005-0000-0000-0000E7000000}"/>
    <cellStyle name="20% - Ênfase1 20 2" xfId="1520" xr:uid="{00000000-0005-0000-0000-0000E8000000}"/>
    <cellStyle name="20% - Ênfase1 20 20" xfId="1521" xr:uid="{00000000-0005-0000-0000-0000E9000000}"/>
    <cellStyle name="20% - Ênfase1 20 3" xfId="1522" xr:uid="{00000000-0005-0000-0000-0000EA000000}"/>
    <cellStyle name="20% - Ênfase1 20 4" xfId="1523" xr:uid="{00000000-0005-0000-0000-0000EB000000}"/>
    <cellStyle name="20% - Ênfase1 20 5" xfId="1524" xr:uid="{00000000-0005-0000-0000-0000EC000000}"/>
    <cellStyle name="20% - Ênfase1 20 6" xfId="1525" xr:uid="{00000000-0005-0000-0000-0000ED000000}"/>
    <cellStyle name="20% - Ênfase1 20 7" xfId="1526" xr:uid="{00000000-0005-0000-0000-0000EE000000}"/>
    <cellStyle name="20% - Ênfase1 20 8" xfId="1527" xr:uid="{00000000-0005-0000-0000-0000EF000000}"/>
    <cellStyle name="20% - Ênfase1 20 9" xfId="1528" xr:uid="{00000000-0005-0000-0000-0000F0000000}"/>
    <cellStyle name="20% - Ênfase1 21" xfId="371" xr:uid="{00000000-0005-0000-0000-0000F1000000}"/>
    <cellStyle name="20% - Ênfase1 21 10" xfId="1529" xr:uid="{00000000-0005-0000-0000-0000F2000000}"/>
    <cellStyle name="20% - Ênfase1 21 11" xfId="1530" xr:uid="{00000000-0005-0000-0000-0000F3000000}"/>
    <cellStyle name="20% - Ênfase1 21 12" xfId="1531" xr:uid="{00000000-0005-0000-0000-0000F4000000}"/>
    <cellStyle name="20% - Ênfase1 21 13" xfId="1532" xr:uid="{00000000-0005-0000-0000-0000F5000000}"/>
    <cellStyle name="20% - Ênfase1 21 14" xfId="1533" xr:uid="{00000000-0005-0000-0000-0000F6000000}"/>
    <cellStyle name="20% - Ênfase1 21 15" xfId="1534" xr:uid="{00000000-0005-0000-0000-0000F7000000}"/>
    <cellStyle name="20% - Ênfase1 21 16" xfId="1535" xr:uid="{00000000-0005-0000-0000-0000F8000000}"/>
    <cellStyle name="20% - Ênfase1 21 17" xfId="1536" xr:uid="{00000000-0005-0000-0000-0000F9000000}"/>
    <cellStyle name="20% - Ênfase1 21 18" xfId="1537" xr:uid="{00000000-0005-0000-0000-0000FA000000}"/>
    <cellStyle name="20% - Ênfase1 21 19" xfId="1538" xr:uid="{00000000-0005-0000-0000-0000FB000000}"/>
    <cellStyle name="20% - Ênfase1 21 2" xfId="1539" xr:uid="{00000000-0005-0000-0000-0000FC000000}"/>
    <cellStyle name="20% - Ênfase1 21 20" xfId="1540" xr:uid="{00000000-0005-0000-0000-0000FD000000}"/>
    <cellStyle name="20% - Ênfase1 21 3" xfId="1541" xr:uid="{00000000-0005-0000-0000-0000FE000000}"/>
    <cellStyle name="20% - Ênfase1 21 4" xfId="1542" xr:uid="{00000000-0005-0000-0000-0000FF000000}"/>
    <cellStyle name="20% - Ênfase1 21 5" xfId="1543" xr:uid="{00000000-0005-0000-0000-000000010000}"/>
    <cellStyle name="20% - Ênfase1 21 6" xfId="1544" xr:uid="{00000000-0005-0000-0000-000001010000}"/>
    <cellStyle name="20% - Ênfase1 21 7" xfId="1545" xr:uid="{00000000-0005-0000-0000-000002010000}"/>
    <cellStyle name="20% - Ênfase1 21 8" xfId="1546" xr:uid="{00000000-0005-0000-0000-000003010000}"/>
    <cellStyle name="20% - Ênfase1 21 9" xfId="1547" xr:uid="{00000000-0005-0000-0000-000004010000}"/>
    <cellStyle name="20% - Ênfase1 22" xfId="375" xr:uid="{00000000-0005-0000-0000-000005010000}"/>
    <cellStyle name="20% - Ênfase1 22 10" xfId="1548" xr:uid="{00000000-0005-0000-0000-000006010000}"/>
    <cellStyle name="20% - Ênfase1 22 11" xfId="1549" xr:uid="{00000000-0005-0000-0000-000007010000}"/>
    <cellStyle name="20% - Ênfase1 22 12" xfId="1550" xr:uid="{00000000-0005-0000-0000-000008010000}"/>
    <cellStyle name="20% - Ênfase1 22 13" xfId="1551" xr:uid="{00000000-0005-0000-0000-000009010000}"/>
    <cellStyle name="20% - Ênfase1 22 14" xfId="1552" xr:uid="{00000000-0005-0000-0000-00000A010000}"/>
    <cellStyle name="20% - Ênfase1 22 15" xfId="1553" xr:uid="{00000000-0005-0000-0000-00000B010000}"/>
    <cellStyle name="20% - Ênfase1 22 16" xfId="1554" xr:uid="{00000000-0005-0000-0000-00000C010000}"/>
    <cellStyle name="20% - Ênfase1 22 17" xfId="1555" xr:uid="{00000000-0005-0000-0000-00000D010000}"/>
    <cellStyle name="20% - Ênfase1 22 18" xfId="1556" xr:uid="{00000000-0005-0000-0000-00000E010000}"/>
    <cellStyle name="20% - Ênfase1 22 19" xfId="1557" xr:uid="{00000000-0005-0000-0000-00000F010000}"/>
    <cellStyle name="20% - Ênfase1 22 2" xfId="1558" xr:uid="{00000000-0005-0000-0000-000010010000}"/>
    <cellStyle name="20% - Ênfase1 22 20" xfId="1559" xr:uid="{00000000-0005-0000-0000-000011010000}"/>
    <cellStyle name="20% - Ênfase1 22 3" xfId="1560" xr:uid="{00000000-0005-0000-0000-000012010000}"/>
    <cellStyle name="20% - Ênfase1 22 4" xfId="1561" xr:uid="{00000000-0005-0000-0000-000013010000}"/>
    <cellStyle name="20% - Ênfase1 22 5" xfId="1562" xr:uid="{00000000-0005-0000-0000-000014010000}"/>
    <cellStyle name="20% - Ênfase1 22 6" xfId="1563" xr:uid="{00000000-0005-0000-0000-000015010000}"/>
    <cellStyle name="20% - Ênfase1 22 7" xfId="1564" xr:uid="{00000000-0005-0000-0000-000016010000}"/>
    <cellStyle name="20% - Ênfase1 22 8" xfId="1565" xr:uid="{00000000-0005-0000-0000-000017010000}"/>
    <cellStyle name="20% - Ênfase1 22 9" xfId="1566" xr:uid="{00000000-0005-0000-0000-000018010000}"/>
    <cellStyle name="20% - Ênfase1 23" xfId="393" xr:uid="{00000000-0005-0000-0000-000019010000}"/>
    <cellStyle name="20% - Ênfase1 23 10" xfId="1567" xr:uid="{00000000-0005-0000-0000-00001A010000}"/>
    <cellStyle name="20% - Ênfase1 23 11" xfId="1568" xr:uid="{00000000-0005-0000-0000-00001B010000}"/>
    <cellStyle name="20% - Ênfase1 23 12" xfId="1569" xr:uid="{00000000-0005-0000-0000-00001C010000}"/>
    <cellStyle name="20% - Ênfase1 23 13" xfId="1570" xr:uid="{00000000-0005-0000-0000-00001D010000}"/>
    <cellStyle name="20% - Ênfase1 23 14" xfId="1571" xr:uid="{00000000-0005-0000-0000-00001E010000}"/>
    <cellStyle name="20% - Ênfase1 23 15" xfId="1572" xr:uid="{00000000-0005-0000-0000-00001F010000}"/>
    <cellStyle name="20% - Ênfase1 23 16" xfId="1573" xr:uid="{00000000-0005-0000-0000-000020010000}"/>
    <cellStyle name="20% - Ênfase1 23 17" xfId="1574" xr:uid="{00000000-0005-0000-0000-000021010000}"/>
    <cellStyle name="20% - Ênfase1 23 18" xfId="1575" xr:uid="{00000000-0005-0000-0000-000022010000}"/>
    <cellStyle name="20% - Ênfase1 23 19" xfId="1576" xr:uid="{00000000-0005-0000-0000-000023010000}"/>
    <cellStyle name="20% - Ênfase1 23 2" xfId="1577" xr:uid="{00000000-0005-0000-0000-000024010000}"/>
    <cellStyle name="20% - Ênfase1 23 20" xfId="1578" xr:uid="{00000000-0005-0000-0000-000025010000}"/>
    <cellStyle name="20% - Ênfase1 23 3" xfId="1579" xr:uid="{00000000-0005-0000-0000-000026010000}"/>
    <cellStyle name="20% - Ênfase1 23 4" xfId="1580" xr:uid="{00000000-0005-0000-0000-000027010000}"/>
    <cellStyle name="20% - Ênfase1 23 5" xfId="1581" xr:uid="{00000000-0005-0000-0000-000028010000}"/>
    <cellStyle name="20% - Ênfase1 23 6" xfId="1582" xr:uid="{00000000-0005-0000-0000-000029010000}"/>
    <cellStyle name="20% - Ênfase1 23 7" xfId="1583" xr:uid="{00000000-0005-0000-0000-00002A010000}"/>
    <cellStyle name="20% - Ênfase1 23 8" xfId="1584" xr:uid="{00000000-0005-0000-0000-00002B010000}"/>
    <cellStyle name="20% - Ênfase1 23 9" xfId="1585" xr:uid="{00000000-0005-0000-0000-00002C010000}"/>
    <cellStyle name="20% - Ênfase1 24" xfId="411" xr:uid="{00000000-0005-0000-0000-00002D010000}"/>
    <cellStyle name="20% - Ênfase1 24 10" xfId="1586" xr:uid="{00000000-0005-0000-0000-00002E010000}"/>
    <cellStyle name="20% - Ênfase1 24 11" xfId="1587" xr:uid="{00000000-0005-0000-0000-00002F010000}"/>
    <cellStyle name="20% - Ênfase1 24 12" xfId="1588" xr:uid="{00000000-0005-0000-0000-000030010000}"/>
    <cellStyle name="20% - Ênfase1 24 13" xfId="1589" xr:uid="{00000000-0005-0000-0000-000031010000}"/>
    <cellStyle name="20% - Ênfase1 24 14" xfId="1590" xr:uid="{00000000-0005-0000-0000-000032010000}"/>
    <cellStyle name="20% - Ênfase1 24 15" xfId="1591" xr:uid="{00000000-0005-0000-0000-000033010000}"/>
    <cellStyle name="20% - Ênfase1 24 16" xfId="1592" xr:uid="{00000000-0005-0000-0000-000034010000}"/>
    <cellStyle name="20% - Ênfase1 24 17" xfId="1593" xr:uid="{00000000-0005-0000-0000-000035010000}"/>
    <cellStyle name="20% - Ênfase1 24 18" xfId="1594" xr:uid="{00000000-0005-0000-0000-000036010000}"/>
    <cellStyle name="20% - Ênfase1 24 19" xfId="1595" xr:uid="{00000000-0005-0000-0000-000037010000}"/>
    <cellStyle name="20% - Ênfase1 24 2" xfId="1596" xr:uid="{00000000-0005-0000-0000-000038010000}"/>
    <cellStyle name="20% - Ênfase1 24 20" xfId="1597" xr:uid="{00000000-0005-0000-0000-000039010000}"/>
    <cellStyle name="20% - Ênfase1 24 3" xfId="1598" xr:uid="{00000000-0005-0000-0000-00003A010000}"/>
    <cellStyle name="20% - Ênfase1 24 4" xfId="1599" xr:uid="{00000000-0005-0000-0000-00003B010000}"/>
    <cellStyle name="20% - Ênfase1 24 5" xfId="1600" xr:uid="{00000000-0005-0000-0000-00003C010000}"/>
    <cellStyle name="20% - Ênfase1 24 6" xfId="1601" xr:uid="{00000000-0005-0000-0000-00003D010000}"/>
    <cellStyle name="20% - Ênfase1 24 7" xfId="1602" xr:uid="{00000000-0005-0000-0000-00003E010000}"/>
    <cellStyle name="20% - Ênfase1 24 8" xfId="1603" xr:uid="{00000000-0005-0000-0000-00003F010000}"/>
    <cellStyle name="20% - Ênfase1 24 9" xfId="1604" xr:uid="{00000000-0005-0000-0000-000040010000}"/>
    <cellStyle name="20% - Ênfase1 25" xfId="429" xr:uid="{00000000-0005-0000-0000-000041010000}"/>
    <cellStyle name="20% - Ênfase1 25 10" xfId="1605" xr:uid="{00000000-0005-0000-0000-000042010000}"/>
    <cellStyle name="20% - Ênfase1 25 11" xfId="1606" xr:uid="{00000000-0005-0000-0000-000043010000}"/>
    <cellStyle name="20% - Ênfase1 25 12" xfId="1607" xr:uid="{00000000-0005-0000-0000-000044010000}"/>
    <cellStyle name="20% - Ênfase1 25 13" xfId="1608" xr:uid="{00000000-0005-0000-0000-000045010000}"/>
    <cellStyle name="20% - Ênfase1 25 14" xfId="1609" xr:uid="{00000000-0005-0000-0000-000046010000}"/>
    <cellStyle name="20% - Ênfase1 25 15" xfId="1610" xr:uid="{00000000-0005-0000-0000-000047010000}"/>
    <cellStyle name="20% - Ênfase1 25 16" xfId="1611" xr:uid="{00000000-0005-0000-0000-000048010000}"/>
    <cellStyle name="20% - Ênfase1 25 17" xfId="1612" xr:uid="{00000000-0005-0000-0000-000049010000}"/>
    <cellStyle name="20% - Ênfase1 25 18" xfId="1613" xr:uid="{00000000-0005-0000-0000-00004A010000}"/>
    <cellStyle name="20% - Ênfase1 25 19" xfId="1614" xr:uid="{00000000-0005-0000-0000-00004B010000}"/>
    <cellStyle name="20% - Ênfase1 25 2" xfId="1615" xr:uid="{00000000-0005-0000-0000-00004C010000}"/>
    <cellStyle name="20% - Ênfase1 25 20" xfId="1616" xr:uid="{00000000-0005-0000-0000-00004D010000}"/>
    <cellStyle name="20% - Ênfase1 25 3" xfId="1617" xr:uid="{00000000-0005-0000-0000-00004E010000}"/>
    <cellStyle name="20% - Ênfase1 25 4" xfId="1618" xr:uid="{00000000-0005-0000-0000-00004F010000}"/>
    <cellStyle name="20% - Ênfase1 25 5" xfId="1619" xr:uid="{00000000-0005-0000-0000-000050010000}"/>
    <cellStyle name="20% - Ênfase1 25 6" xfId="1620" xr:uid="{00000000-0005-0000-0000-000051010000}"/>
    <cellStyle name="20% - Ênfase1 25 7" xfId="1621" xr:uid="{00000000-0005-0000-0000-000052010000}"/>
    <cellStyle name="20% - Ênfase1 25 8" xfId="1622" xr:uid="{00000000-0005-0000-0000-000053010000}"/>
    <cellStyle name="20% - Ênfase1 25 9" xfId="1623" xr:uid="{00000000-0005-0000-0000-000054010000}"/>
    <cellStyle name="20% - Ênfase1 26" xfId="447" xr:uid="{00000000-0005-0000-0000-000055010000}"/>
    <cellStyle name="20% - Ênfase1 26 10" xfId="1624" xr:uid="{00000000-0005-0000-0000-000056010000}"/>
    <cellStyle name="20% - Ênfase1 26 11" xfId="1625" xr:uid="{00000000-0005-0000-0000-000057010000}"/>
    <cellStyle name="20% - Ênfase1 26 12" xfId="1626" xr:uid="{00000000-0005-0000-0000-000058010000}"/>
    <cellStyle name="20% - Ênfase1 26 13" xfId="1627" xr:uid="{00000000-0005-0000-0000-000059010000}"/>
    <cellStyle name="20% - Ênfase1 26 14" xfId="1628" xr:uid="{00000000-0005-0000-0000-00005A010000}"/>
    <cellStyle name="20% - Ênfase1 26 15" xfId="1629" xr:uid="{00000000-0005-0000-0000-00005B010000}"/>
    <cellStyle name="20% - Ênfase1 26 16" xfId="1630" xr:uid="{00000000-0005-0000-0000-00005C010000}"/>
    <cellStyle name="20% - Ênfase1 26 17" xfId="1631" xr:uid="{00000000-0005-0000-0000-00005D010000}"/>
    <cellStyle name="20% - Ênfase1 26 18" xfId="1632" xr:uid="{00000000-0005-0000-0000-00005E010000}"/>
    <cellStyle name="20% - Ênfase1 26 19" xfId="1633" xr:uid="{00000000-0005-0000-0000-00005F010000}"/>
    <cellStyle name="20% - Ênfase1 26 2" xfId="1634" xr:uid="{00000000-0005-0000-0000-000060010000}"/>
    <cellStyle name="20% - Ênfase1 26 20" xfId="1635" xr:uid="{00000000-0005-0000-0000-000061010000}"/>
    <cellStyle name="20% - Ênfase1 26 3" xfId="1636" xr:uid="{00000000-0005-0000-0000-000062010000}"/>
    <cellStyle name="20% - Ênfase1 26 4" xfId="1637" xr:uid="{00000000-0005-0000-0000-000063010000}"/>
    <cellStyle name="20% - Ênfase1 26 5" xfId="1638" xr:uid="{00000000-0005-0000-0000-000064010000}"/>
    <cellStyle name="20% - Ênfase1 26 6" xfId="1639" xr:uid="{00000000-0005-0000-0000-000065010000}"/>
    <cellStyle name="20% - Ênfase1 26 7" xfId="1640" xr:uid="{00000000-0005-0000-0000-000066010000}"/>
    <cellStyle name="20% - Ênfase1 26 8" xfId="1641" xr:uid="{00000000-0005-0000-0000-000067010000}"/>
    <cellStyle name="20% - Ênfase1 26 9" xfId="1642" xr:uid="{00000000-0005-0000-0000-000068010000}"/>
    <cellStyle name="20% - Ênfase1 27" xfId="465" xr:uid="{00000000-0005-0000-0000-000069010000}"/>
    <cellStyle name="20% - Ênfase1 27 10" xfId="1643" xr:uid="{00000000-0005-0000-0000-00006A010000}"/>
    <cellStyle name="20% - Ênfase1 27 11" xfId="1644" xr:uid="{00000000-0005-0000-0000-00006B010000}"/>
    <cellStyle name="20% - Ênfase1 27 12" xfId="1645" xr:uid="{00000000-0005-0000-0000-00006C010000}"/>
    <cellStyle name="20% - Ênfase1 27 13" xfId="1646" xr:uid="{00000000-0005-0000-0000-00006D010000}"/>
    <cellStyle name="20% - Ênfase1 27 14" xfId="1647" xr:uid="{00000000-0005-0000-0000-00006E010000}"/>
    <cellStyle name="20% - Ênfase1 27 15" xfId="1648" xr:uid="{00000000-0005-0000-0000-00006F010000}"/>
    <cellStyle name="20% - Ênfase1 27 16" xfId="1649" xr:uid="{00000000-0005-0000-0000-000070010000}"/>
    <cellStyle name="20% - Ênfase1 27 17" xfId="1650" xr:uid="{00000000-0005-0000-0000-000071010000}"/>
    <cellStyle name="20% - Ênfase1 27 18" xfId="1651" xr:uid="{00000000-0005-0000-0000-000072010000}"/>
    <cellStyle name="20% - Ênfase1 27 19" xfId="1652" xr:uid="{00000000-0005-0000-0000-000073010000}"/>
    <cellStyle name="20% - Ênfase1 27 2" xfId="1653" xr:uid="{00000000-0005-0000-0000-000074010000}"/>
    <cellStyle name="20% - Ênfase1 27 20" xfId="1654" xr:uid="{00000000-0005-0000-0000-000075010000}"/>
    <cellStyle name="20% - Ênfase1 27 3" xfId="1655" xr:uid="{00000000-0005-0000-0000-000076010000}"/>
    <cellStyle name="20% - Ênfase1 27 4" xfId="1656" xr:uid="{00000000-0005-0000-0000-000077010000}"/>
    <cellStyle name="20% - Ênfase1 27 5" xfId="1657" xr:uid="{00000000-0005-0000-0000-000078010000}"/>
    <cellStyle name="20% - Ênfase1 27 6" xfId="1658" xr:uid="{00000000-0005-0000-0000-000079010000}"/>
    <cellStyle name="20% - Ênfase1 27 7" xfId="1659" xr:uid="{00000000-0005-0000-0000-00007A010000}"/>
    <cellStyle name="20% - Ênfase1 27 8" xfId="1660" xr:uid="{00000000-0005-0000-0000-00007B010000}"/>
    <cellStyle name="20% - Ênfase1 27 9" xfId="1661" xr:uid="{00000000-0005-0000-0000-00007C010000}"/>
    <cellStyle name="20% - Ênfase1 28" xfId="483" xr:uid="{00000000-0005-0000-0000-00007D010000}"/>
    <cellStyle name="20% - Ênfase1 28 10" xfId="1662" xr:uid="{00000000-0005-0000-0000-00007E010000}"/>
    <cellStyle name="20% - Ênfase1 28 11" xfId="1663" xr:uid="{00000000-0005-0000-0000-00007F010000}"/>
    <cellStyle name="20% - Ênfase1 28 12" xfId="1664" xr:uid="{00000000-0005-0000-0000-000080010000}"/>
    <cellStyle name="20% - Ênfase1 28 13" xfId="1665" xr:uid="{00000000-0005-0000-0000-000081010000}"/>
    <cellStyle name="20% - Ênfase1 28 14" xfId="1666" xr:uid="{00000000-0005-0000-0000-000082010000}"/>
    <cellStyle name="20% - Ênfase1 28 15" xfId="1667" xr:uid="{00000000-0005-0000-0000-000083010000}"/>
    <cellStyle name="20% - Ênfase1 28 16" xfId="1668" xr:uid="{00000000-0005-0000-0000-000084010000}"/>
    <cellStyle name="20% - Ênfase1 28 17" xfId="1669" xr:uid="{00000000-0005-0000-0000-000085010000}"/>
    <cellStyle name="20% - Ênfase1 28 18" xfId="1670" xr:uid="{00000000-0005-0000-0000-000086010000}"/>
    <cellStyle name="20% - Ênfase1 28 19" xfId="1671" xr:uid="{00000000-0005-0000-0000-000087010000}"/>
    <cellStyle name="20% - Ênfase1 28 2" xfId="1672" xr:uid="{00000000-0005-0000-0000-000088010000}"/>
    <cellStyle name="20% - Ênfase1 28 20" xfId="1673" xr:uid="{00000000-0005-0000-0000-000089010000}"/>
    <cellStyle name="20% - Ênfase1 28 3" xfId="1674" xr:uid="{00000000-0005-0000-0000-00008A010000}"/>
    <cellStyle name="20% - Ênfase1 28 4" xfId="1675" xr:uid="{00000000-0005-0000-0000-00008B010000}"/>
    <cellStyle name="20% - Ênfase1 28 5" xfId="1676" xr:uid="{00000000-0005-0000-0000-00008C010000}"/>
    <cellStyle name="20% - Ênfase1 28 6" xfId="1677" xr:uid="{00000000-0005-0000-0000-00008D010000}"/>
    <cellStyle name="20% - Ênfase1 28 7" xfId="1678" xr:uid="{00000000-0005-0000-0000-00008E010000}"/>
    <cellStyle name="20% - Ênfase1 28 8" xfId="1679" xr:uid="{00000000-0005-0000-0000-00008F010000}"/>
    <cellStyle name="20% - Ênfase1 28 9" xfId="1680" xr:uid="{00000000-0005-0000-0000-000090010000}"/>
    <cellStyle name="20% - Ênfase1 29" xfId="501" xr:uid="{00000000-0005-0000-0000-000091010000}"/>
    <cellStyle name="20% - Ênfase1 29 10" xfId="1681" xr:uid="{00000000-0005-0000-0000-000092010000}"/>
    <cellStyle name="20% - Ênfase1 29 11" xfId="1682" xr:uid="{00000000-0005-0000-0000-000093010000}"/>
    <cellStyle name="20% - Ênfase1 29 12" xfId="1683" xr:uid="{00000000-0005-0000-0000-000094010000}"/>
    <cellStyle name="20% - Ênfase1 29 13" xfId="1684" xr:uid="{00000000-0005-0000-0000-000095010000}"/>
    <cellStyle name="20% - Ênfase1 29 14" xfId="1685" xr:uid="{00000000-0005-0000-0000-000096010000}"/>
    <cellStyle name="20% - Ênfase1 29 15" xfId="1686" xr:uid="{00000000-0005-0000-0000-000097010000}"/>
    <cellStyle name="20% - Ênfase1 29 16" xfId="1687" xr:uid="{00000000-0005-0000-0000-000098010000}"/>
    <cellStyle name="20% - Ênfase1 29 17" xfId="1688" xr:uid="{00000000-0005-0000-0000-000099010000}"/>
    <cellStyle name="20% - Ênfase1 29 18" xfId="1689" xr:uid="{00000000-0005-0000-0000-00009A010000}"/>
    <cellStyle name="20% - Ênfase1 29 19" xfId="1690" xr:uid="{00000000-0005-0000-0000-00009B010000}"/>
    <cellStyle name="20% - Ênfase1 29 2" xfId="1691" xr:uid="{00000000-0005-0000-0000-00009C010000}"/>
    <cellStyle name="20% - Ênfase1 29 20" xfId="1692" xr:uid="{00000000-0005-0000-0000-00009D010000}"/>
    <cellStyle name="20% - Ênfase1 29 3" xfId="1693" xr:uid="{00000000-0005-0000-0000-00009E010000}"/>
    <cellStyle name="20% - Ênfase1 29 4" xfId="1694" xr:uid="{00000000-0005-0000-0000-00009F010000}"/>
    <cellStyle name="20% - Ênfase1 29 5" xfId="1695" xr:uid="{00000000-0005-0000-0000-0000A0010000}"/>
    <cellStyle name="20% - Ênfase1 29 6" xfId="1696" xr:uid="{00000000-0005-0000-0000-0000A1010000}"/>
    <cellStyle name="20% - Ênfase1 29 7" xfId="1697" xr:uid="{00000000-0005-0000-0000-0000A2010000}"/>
    <cellStyle name="20% - Ênfase1 29 8" xfId="1698" xr:uid="{00000000-0005-0000-0000-0000A3010000}"/>
    <cellStyle name="20% - Ênfase1 29 9" xfId="1699" xr:uid="{00000000-0005-0000-0000-0000A4010000}"/>
    <cellStyle name="20% - Ênfase1 3" xfId="79" xr:uid="{00000000-0005-0000-0000-0000A5010000}"/>
    <cellStyle name="20% - Ênfase1 3 10" xfId="1700" xr:uid="{00000000-0005-0000-0000-0000A6010000}"/>
    <cellStyle name="20% - Ênfase1 3 11" xfId="1701" xr:uid="{00000000-0005-0000-0000-0000A7010000}"/>
    <cellStyle name="20% - Ênfase1 3 12" xfId="1702" xr:uid="{00000000-0005-0000-0000-0000A8010000}"/>
    <cellStyle name="20% - Ênfase1 3 13" xfId="1703" xr:uid="{00000000-0005-0000-0000-0000A9010000}"/>
    <cellStyle name="20% - Ênfase1 3 14" xfId="1704" xr:uid="{00000000-0005-0000-0000-0000AA010000}"/>
    <cellStyle name="20% - Ênfase1 3 15" xfId="1705" xr:uid="{00000000-0005-0000-0000-0000AB010000}"/>
    <cellStyle name="20% - Ênfase1 3 16" xfId="1706" xr:uid="{00000000-0005-0000-0000-0000AC010000}"/>
    <cellStyle name="20% - Ênfase1 3 17" xfId="1707" xr:uid="{00000000-0005-0000-0000-0000AD010000}"/>
    <cellStyle name="20% - Ênfase1 3 18" xfId="1708" xr:uid="{00000000-0005-0000-0000-0000AE010000}"/>
    <cellStyle name="20% - Ênfase1 3 19" xfId="1709" xr:uid="{00000000-0005-0000-0000-0000AF010000}"/>
    <cellStyle name="20% - Ênfase1 3 2" xfId="1710" xr:uid="{00000000-0005-0000-0000-0000B0010000}"/>
    <cellStyle name="20% - Ênfase1 3 20" xfId="1711" xr:uid="{00000000-0005-0000-0000-0000B1010000}"/>
    <cellStyle name="20% - Ênfase1 3 3" xfId="1712" xr:uid="{00000000-0005-0000-0000-0000B2010000}"/>
    <cellStyle name="20% - Ênfase1 3 4" xfId="1713" xr:uid="{00000000-0005-0000-0000-0000B3010000}"/>
    <cellStyle name="20% - Ênfase1 3 5" xfId="1714" xr:uid="{00000000-0005-0000-0000-0000B4010000}"/>
    <cellStyle name="20% - Ênfase1 3 6" xfId="1715" xr:uid="{00000000-0005-0000-0000-0000B5010000}"/>
    <cellStyle name="20% - Ênfase1 3 7" xfId="1716" xr:uid="{00000000-0005-0000-0000-0000B6010000}"/>
    <cellStyle name="20% - Ênfase1 3 8" xfId="1717" xr:uid="{00000000-0005-0000-0000-0000B7010000}"/>
    <cellStyle name="20% - Ênfase1 3 9" xfId="1718" xr:uid="{00000000-0005-0000-0000-0000B8010000}"/>
    <cellStyle name="20% - Ênfase1 30" xfId="519" xr:uid="{00000000-0005-0000-0000-0000B9010000}"/>
    <cellStyle name="20% - Ênfase1 30 10" xfId="1719" xr:uid="{00000000-0005-0000-0000-0000BA010000}"/>
    <cellStyle name="20% - Ênfase1 30 11" xfId="1720" xr:uid="{00000000-0005-0000-0000-0000BB010000}"/>
    <cellStyle name="20% - Ênfase1 30 12" xfId="1721" xr:uid="{00000000-0005-0000-0000-0000BC010000}"/>
    <cellStyle name="20% - Ênfase1 30 13" xfId="1722" xr:uid="{00000000-0005-0000-0000-0000BD010000}"/>
    <cellStyle name="20% - Ênfase1 30 14" xfId="1723" xr:uid="{00000000-0005-0000-0000-0000BE010000}"/>
    <cellStyle name="20% - Ênfase1 30 15" xfId="1724" xr:uid="{00000000-0005-0000-0000-0000BF010000}"/>
    <cellStyle name="20% - Ênfase1 30 16" xfId="1725" xr:uid="{00000000-0005-0000-0000-0000C0010000}"/>
    <cellStyle name="20% - Ênfase1 30 17" xfId="1726" xr:uid="{00000000-0005-0000-0000-0000C1010000}"/>
    <cellStyle name="20% - Ênfase1 30 18" xfId="1727" xr:uid="{00000000-0005-0000-0000-0000C2010000}"/>
    <cellStyle name="20% - Ênfase1 30 19" xfId="1728" xr:uid="{00000000-0005-0000-0000-0000C3010000}"/>
    <cellStyle name="20% - Ênfase1 30 2" xfId="1729" xr:uid="{00000000-0005-0000-0000-0000C4010000}"/>
    <cellStyle name="20% - Ênfase1 30 20" xfId="1730" xr:uid="{00000000-0005-0000-0000-0000C5010000}"/>
    <cellStyle name="20% - Ênfase1 30 3" xfId="1731" xr:uid="{00000000-0005-0000-0000-0000C6010000}"/>
    <cellStyle name="20% - Ênfase1 30 4" xfId="1732" xr:uid="{00000000-0005-0000-0000-0000C7010000}"/>
    <cellStyle name="20% - Ênfase1 30 5" xfId="1733" xr:uid="{00000000-0005-0000-0000-0000C8010000}"/>
    <cellStyle name="20% - Ênfase1 30 6" xfId="1734" xr:uid="{00000000-0005-0000-0000-0000C9010000}"/>
    <cellStyle name="20% - Ênfase1 30 7" xfId="1735" xr:uid="{00000000-0005-0000-0000-0000CA010000}"/>
    <cellStyle name="20% - Ênfase1 30 8" xfId="1736" xr:uid="{00000000-0005-0000-0000-0000CB010000}"/>
    <cellStyle name="20% - Ênfase1 30 9" xfId="1737" xr:uid="{00000000-0005-0000-0000-0000CC010000}"/>
    <cellStyle name="20% - Ênfase1 31" xfId="537" xr:uid="{00000000-0005-0000-0000-0000CD010000}"/>
    <cellStyle name="20% - Ênfase1 31 10" xfId="1738" xr:uid="{00000000-0005-0000-0000-0000CE010000}"/>
    <cellStyle name="20% - Ênfase1 31 11" xfId="1739" xr:uid="{00000000-0005-0000-0000-0000CF010000}"/>
    <cellStyle name="20% - Ênfase1 31 12" xfId="1740" xr:uid="{00000000-0005-0000-0000-0000D0010000}"/>
    <cellStyle name="20% - Ênfase1 31 13" xfId="1741" xr:uid="{00000000-0005-0000-0000-0000D1010000}"/>
    <cellStyle name="20% - Ênfase1 31 14" xfId="1742" xr:uid="{00000000-0005-0000-0000-0000D2010000}"/>
    <cellStyle name="20% - Ênfase1 31 15" xfId="1743" xr:uid="{00000000-0005-0000-0000-0000D3010000}"/>
    <cellStyle name="20% - Ênfase1 31 16" xfId="1744" xr:uid="{00000000-0005-0000-0000-0000D4010000}"/>
    <cellStyle name="20% - Ênfase1 31 17" xfId="1745" xr:uid="{00000000-0005-0000-0000-0000D5010000}"/>
    <cellStyle name="20% - Ênfase1 31 18" xfId="1746" xr:uid="{00000000-0005-0000-0000-0000D6010000}"/>
    <cellStyle name="20% - Ênfase1 31 19" xfId="1747" xr:uid="{00000000-0005-0000-0000-0000D7010000}"/>
    <cellStyle name="20% - Ênfase1 31 2" xfId="1748" xr:uid="{00000000-0005-0000-0000-0000D8010000}"/>
    <cellStyle name="20% - Ênfase1 31 20" xfId="1749" xr:uid="{00000000-0005-0000-0000-0000D9010000}"/>
    <cellStyle name="20% - Ênfase1 31 3" xfId="1750" xr:uid="{00000000-0005-0000-0000-0000DA010000}"/>
    <cellStyle name="20% - Ênfase1 31 4" xfId="1751" xr:uid="{00000000-0005-0000-0000-0000DB010000}"/>
    <cellStyle name="20% - Ênfase1 31 5" xfId="1752" xr:uid="{00000000-0005-0000-0000-0000DC010000}"/>
    <cellStyle name="20% - Ênfase1 31 6" xfId="1753" xr:uid="{00000000-0005-0000-0000-0000DD010000}"/>
    <cellStyle name="20% - Ênfase1 31 7" xfId="1754" xr:uid="{00000000-0005-0000-0000-0000DE010000}"/>
    <cellStyle name="20% - Ênfase1 31 8" xfId="1755" xr:uid="{00000000-0005-0000-0000-0000DF010000}"/>
    <cellStyle name="20% - Ênfase1 31 9" xfId="1756" xr:uid="{00000000-0005-0000-0000-0000E0010000}"/>
    <cellStyle name="20% - Ênfase1 32" xfId="555" xr:uid="{00000000-0005-0000-0000-0000E1010000}"/>
    <cellStyle name="20% - Ênfase1 32 10" xfId="1757" xr:uid="{00000000-0005-0000-0000-0000E2010000}"/>
    <cellStyle name="20% - Ênfase1 32 11" xfId="1758" xr:uid="{00000000-0005-0000-0000-0000E3010000}"/>
    <cellStyle name="20% - Ênfase1 32 12" xfId="1759" xr:uid="{00000000-0005-0000-0000-0000E4010000}"/>
    <cellStyle name="20% - Ênfase1 32 13" xfId="1760" xr:uid="{00000000-0005-0000-0000-0000E5010000}"/>
    <cellStyle name="20% - Ênfase1 32 14" xfId="1761" xr:uid="{00000000-0005-0000-0000-0000E6010000}"/>
    <cellStyle name="20% - Ênfase1 32 15" xfId="1762" xr:uid="{00000000-0005-0000-0000-0000E7010000}"/>
    <cellStyle name="20% - Ênfase1 32 16" xfId="1763" xr:uid="{00000000-0005-0000-0000-0000E8010000}"/>
    <cellStyle name="20% - Ênfase1 32 17" xfId="1764" xr:uid="{00000000-0005-0000-0000-0000E9010000}"/>
    <cellStyle name="20% - Ênfase1 32 18" xfId="1765" xr:uid="{00000000-0005-0000-0000-0000EA010000}"/>
    <cellStyle name="20% - Ênfase1 32 19" xfId="1766" xr:uid="{00000000-0005-0000-0000-0000EB010000}"/>
    <cellStyle name="20% - Ênfase1 32 2" xfId="1767" xr:uid="{00000000-0005-0000-0000-0000EC010000}"/>
    <cellStyle name="20% - Ênfase1 32 20" xfId="1768" xr:uid="{00000000-0005-0000-0000-0000ED010000}"/>
    <cellStyle name="20% - Ênfase1 32 3" xfId="1769" xr:uid="{00000000-0005-0000-0000-0000EE010000}"/>
    <cellStyle name="20% - Ênfase1 32 4" xfId="1770" xr:uid="{00000000-0005-0000-0000-0000EF010000}"/>
    <cellStyle name="20% - Ênfase1 32 5" xfId="1771" xr:uid="{00000000-0005-0000-0000-0000F0010000}"/>
    <cellStyle name="20% - Ênfase1 32 6" xfId="1772" xr:uid="{00000000-0005-0000-0000-0000F1010000}"/>
    <cellStyle name="20% - Ênfase1 32 7" xfId="1773" xr:uid="{00000000-0005-0000-0000-0000F2010000}"/>
    <cellStyle name="20% - Ênfase1 32 8" xfId="1774" xr:uid="{00000000-0005-0000-0000-0000F3010000}"/>
    <cellStyle name="20% - Ênfase1 32 9" xfId="1775" xr:uid="{00000000-0005-0000-0000-0000F4010000}"/>
    <cellStyle name="20% - Ênfase1 33" xfId="573" xr:uid="{00000000-0005-0000-0000-0000F5010000}"/>
    <cellStyle name="20% - Ênfase1 33 10" xfId="1776" xr:uid="{00000000-0005-0000-0000-0000F6010000}"/>
    <cellStyle name="20% - Ênfase1 33 11" xfId="1777" xr:uid="{00000000-0005-0000-0000-0000F7010000}"/>
    <cellStyle name="20% - Ênfase1 33 12" xfId="1778" xr:uid="{00000000-0005-0000-0000-0000F8010000}"/>
    <cellStyle name="20% - Ênfase1 33 13" xfId="1779" xr:uid="{00000000-0005-0000-0000-0000F9010000}"/>
    <cellStyle name="20% - Ênfase1 33 14" xfId="1780" xr:uid="{00000000-0005-0000-0000-0000FA010000}"/>
    <cellStyle name="20% - Ênfase1 33 15" xfId="1781" xr:uid="{00000000-0005-0000-0000-0000FB010000}"/>
    <cellStyle name="20% - Ênfase1 33 16" xfId="1782" xr:uid="{00000000-0005-0000-0000-0000FC010000}"/>
    <cellStyle name="20% - Ênfase1 33 17" xfId="1783" xr:uid="{00000000-0005-0000-0000-0000FD010000}"/>
    <cellStyle name="20% - Ênfase1 33 18" xfId="1784" xr:uid="{00000000-0005-0000-0000-0000FE010000}"/>
    <cellStyle name="20% - Ênfase1 33 19" xfId="1785" xr:uid="{00000000-0005-0000-0000-0000FF010000}"/>
    <cellStyle name="20% - Ênfase1 33 2" xfId="1786" xr:uid="{00000000-0005-0000-0000-000000020000}"/>
    <cellStyle name="20% - Ênfase1 33 20" xfId="1787" xr:uid="{00000000-0005-0000-0000-000001020000}"/>
    <cellStyle name="20% - Ênfase1 33 3" xfId="1788" xr:uid="{00000000-0005-0000-0000-000002020000}"/>
    <cellStyle name="20% - Ênfase1 33 4" xfId="1789" xr:uid="{00000000-0005-0000-0000-000003020000}"/>
    <cellStyle name="20% - Ênfase1 33 5" xfId="1790" xr:uid="{00000000-0005-0000-0000-000004020000}"/>
    <cellStyle name="20% - Ênfase1 33 6" xfId="1791" xr:uid="{00000000-0005-0000-0000-000005020000}"/>
    <cellStyle name="20% - Ênfase1 33 7" xfId="1792" xr:uid="{00000000-0005-0000-0000-000006020000}"/>
    <cellStyle name="20% - Ênfase1 33 8" xfId="1793" xr:uid="{00000000-0005-0000-0000-000007020000}"/>
    <cellStyle name="20% - Ênfase1 33 9" xfId="1794" xr:uid="{00000000-0005-0000-0000-000008020000}"/>
    <cellStyle name="20% - Ênfase1 34" xfId="591" xr:uid="{00000000-0005-0000-0000-000009020000}"/>
    <cellStyle name="20% - Ênfase1 34 10" xfId="1795" xr:uid="{00000000-0005-0000-0000-00000A020000}"/>
    <cellStyle name="20% - Ênfase1 34 11" xfId="1796" xr:uid="{00000000-0005-0000-0000-00000B020000}"/>
    <cellStyle name="20% - Ênfase1 34 12" xfId="1797" xr:uid="{00000000-0005-0000-0000-00000C020000}"/>
    <cellStyle name="20% - Ênfase1 34 13" xfId="1798" xr:uid="{00000000-0005-0000-0000-00000D020000}"/>
    <cellStyle name="20% - Ênfase1 34 14" xfId="1799" xr:uid="{00000000-0005-0000-0000-00000E020000}"/>
    <cellStyle name="20% - Ênfase1 34 15" xfId="1800" xr:uid="{00000000-0005-0000-0000-00000F020000}"/>
    <cellStyle name="20% - Ênfase1 34 16" xfId="1801" xr:uid="{00000000-0005-0000-0000-000010020000}"/>
    <cellStyle name="20% - Ênfase1 34 17" xfId="1802" xr:uid="{00000000-0005-0000-0000-000011020000}"/>
    <cellStyle name="20% - Ênfase1 34 18" xfId="1803" xr:uid="{00000000-0005-0000-0000-000012020000}"/>
    <cellStyle name="20% - Ênfase1 34 19" xfId="1804" xr:uid="{00000000-0005-0000-0000-000013020000}"/>
    <cellStyle name="20% - Ênfase1 34 2" xfId="1805" xr:uid="{00000000-0005-0000-0000-000014020000}"/>
    <cellStyle name="20% - Ênfase1 34 20" xfId="1806" xr:uid="{00000000-0005-0000-0000-000015020000}"/>
    <cellStyle name="20% - Ênfase1 34 3" xfId="1807" xr:uid="{00000000-0005-0000-0000-000016020000}"/>
    <cellStyle name="20% - Ênfase1 34 4" xfId="1808" xr:uid="{00000000-0005-0000-0000-000017020000}"/>
    <cellStyle name="20% - Ênfase1 34 5" xfId="1809" xr:uid="{00000000-0005-0000-0000-000018020000}"/>
    <cellStyle name="20% - Ênfase1 34 6" xfId="1810" xr:uid="{00000000-0005-0000-0000-000019020000}"/>
    <cellStyle name="20% - Ênfase1 34 7" xfId="1811" xr:uid="{00000000-0005-0000-0000-00001A020000}"/>
    <cellStyle name="20% - Ênfase1 34 8" xfId="1812" xr:uid="{00000000-0005-0000-0000-00001B020000}"/>
    <cellStyle name="20% - Ênfase1 34 9" xfId="1813" xr:uid="{00000000-0005-0000-0000-00001C020000}"/>
    <cellStyle name="20% - Ênfase1 35" xfId="609" xr:uid="{00000000-0005-0000-0000-00001D020000}"/>
    <cellStyle name="20% - Ênfase1 35 10" xfId="1814" xr:uid="{00000000-0005-0000-0000-00001E020000}"/>
    <cellStyle name="20% - Ênfase1 35 11" xfId="1815" xr:uid="{00000000-0005-0000-0000-00001F020000}"/>
    <cellStyle name="20% - Ênfase1 35 12" xfId="1816" xr:uid="{00000000-0005-0000-0000-000020020000}"/>
    <cellStyle name="20% - Ênfase1 35 13" xfId="1817" xr:uid="{00000000-0005-0000-0000-000021020000}"/>
    <cellStyle name="20% - Ênfase1 35 14" xfId="1818" xr:uid="{00000000-0005-0000-0000-000022020000}"/>
    <cellStyle name="20% - Ênfase1 35 15" xfId="1819" xr:uid="{00000000-0005-0000-0000-000023020000}"/>
    <cellStyle name="20% - Ênfase1 35 16" xfId="1820" xr:uid="{00000000-0005-0000-0000-000024020000}"/>
    <cellStyle name="20% - Ênfase1 35 17" xfId="1821" xr:uid="{00000000-0005-0000-0000-000025020000}"/>
    <cellStyle name="20% - Ênfase1 35 18" xfId="1822" xr:uid="{00000000-0005-0000-0000-000026020000}"/>
    <cellStyle name="20% - Ênfase1 35 19" xfId="1823" xr:uid="{00000000-0005-0000-0000-000027020000}"/>
    <cellStyle name="20% - Ênfase1 35 2" xfId="1824" xr:uid="{00000000-0005-0000-0000-000028020000}"/>
    <cellStyle name="20% - Ênfase1 35 20" xfId="1825" xr:uid="{00000000-0005-0000-0000-000029020000}"/>
    <cellStyle name="20% - Ênfase1 35 3" xfId="1826" xr:uid="{00000000-0005-0000-0000-00002A020000}"/>
    <cellStyle name="20% - Ênfase1 35 4" xfId="1827" xr:uid="{00000000-0005-0000-0000-00002B020000}"/>
    <cellStyle name="20% - Ênfase1 35 5" xfId="1828" xr:uid="{00000000-0005-0000-0000-00002C020000}"/>
    <cellStyle name="20% - Ênfase1 35 6" xfId="1829" xr:uid="{00000000-0005-0000-0000-00002D020000}"/>
    <cellStyle name="20% - Ênfase1 35 7" xfId="1830" xr:uid="{00000000-0005-0000-0000-00002E020000}"/>
    <cellStyle name="20% - Ênfase1 35 8" xfId="1831" xr:uid="{00000000-0005-0000-0000-00002F020000}"/>
    <cellStyle name="20% - Ênfase1 35 9" xfId="1832" xr:uid="{00000000-0005-0000-0000-000030020000}"/>
    <cellStyle name="20% - Ênfase1 36" xfId="627" xr:uid="{00000000-0005-0000-0000-000031020000}"/>
    <cellStyle name="20% - Ênfase1 36 10" xfId="1833" xr:uid="{00000000-0005-0000-0000-000032020000}"/>
    <cellStyle name="20% - Ênfase1 36 11" xfId="1834" xr:uid="{00000000-0005-0000-0000-000033020000}"/>
    <cellStyle name="20% - Ênfase1 36 12" xfId="1835" xr:uid="{00000000-0005-0000-0000-000034020000}"/>
    <cellStyle name="20% - Ênfase1 36 13" xfId="1836" xr:uid="{00000000-0005-0000-0000-000035020000}"/>
    <cellStyle name="20% - Ênfase1 36 14" xfId="1837" xr:uid="{00000000-0005-0000-0000-000036020000}"/>
    <cellStyle name="20% - Ênfase1 36 15" xfId="1838" xr:uid="{00000000-0005-0000-0000-000037020000}"/>
    <cellStyle name="20% - Ênfase1 36 16" xfId="1839" xr:uid="{00000000-0005-0000-0000-000038020000}"/>
    <cellStyle name="20% - Ênfase1 36 17" xfId="1840" xr:uid="{00000000-0005-0000-0000-000039020000}"/>
    <cellStyle name="20% - Ênfase1 36 18" xfId="1841" xr:uid="{00000000-0005-0000-0000-00003A020000}"/>
    <cellStyle name="20% - Ênfase1 36 19" xfId="1842" xr:uid="{00000000-0005-0000-0000-00003B020000}"/>
    <cellStyle name="20% - Ênfase1 36 2" xfId="1843" xr:uid="{00000000-0005-0000-0000-00003C020000}"/>
    <cellStyle name="20% - Ênfase1 36 20" xfId="1844" xr:uid="{00000000-0005-0000-0000-00003D020000}"/>
    <cellStyle name="20% - Ênfase1 36 3" xfId="1845" xr:uid="{00000000-0005-0000-0000-00003E020000}"/>
    <cellStyle name="20% - Ênfase1 36 4" xfId="1846" xr:uid="{00000000-0005-0000-0000-00003F020000}"/>
    <cellStyle name="20% - Ênfase1 36 5" xfId="1847" xr:uid="{00000000-0005-0000-0000-000040020000}"/>
    <cellStyle name="20% - Ênfase1 36 6" xfId="1848" xr:uid="{00000000-0005-0000-0000-000041020000}"/>
    <cellStyle name="20% - Ênfase1 36 7" xfId="1849" xr:uid="{00000000-0005-0000-0000-000042020000}"/>
    <cellStyle name="20% - Ênfase1 36 8" xfId="1850" xr:uid="{00000000-0005-0000-0000-000043020000}"/>
    <cellStyle name="20% - Ênfase1 36 9" xfId="1851" xr:uid="{00000000-0005-0000-0000-000044020000}"/>
    <cellStyle name="20% - Ênfase1 37" xfId="645" xr:uid="{00000000-0005-0000-0000-000045020000}"/>
    <cellStyle name="20% - Ênfase1 37 10" xfId="1852" xr:uid="{00000000-0005-0000-0000-000046020000}"/>
    <cellStyle name="20% - Ênfase1 37 11" xfId="1853" xr:uid="{00000000-0005-0000-0000-000047020000}"/>
    <cellStyle name="20% - Ênfase1 37 12" xfId="1854" xr:uid="{00000000-0005-0000-0000-000048020000}"/>
    <cellStyle name="20% - Ênfase1 37 13" xfId="1855" xr:uid="{00000000-0005-0000-0000-000049020000}"/>
    <cellStyle name="20% - Ênfase1 37 14" xfId="1856" xr:uid="{00000000-0005-0000-0000-00004A020000}"/>
    <cellStyle name="20% - Ênfase1 37 15" xfId="1857" xr:uid="{00000000-0005-0000-0000-00004B020000}"/>
    <cellStyle name="20% - Ênfase1 37 16" xfId="1858" xr:uid="{00000000-0005-0000-0000-00004C020000}"/>
    <cellStyle name="20% - Ênfase1 37 17" xfId="1859" xr:uid="{00000000-0005-0000-0000-00004D020000}"/>
    <cellStyle name="20% - Ênfase1 37 18" xfId="1860" xr:uid="{00000000-0005-0000-0000-00004E020000}"/>
    <cellStyle name="20% - Ênfase1 37 19" xfId="1861" xr:uid="{00000000-0005-0000-0000-00004F020000}"/>
    <cellStyle name="20% - Ênfase1 37 2" xfId="1862" xr:uid="{00000000-0005-0000-0000-000050020000}"/>
    <cellStyle name="20% - Ênfase1 37 20" xfId="1863" xr:uid="{00000000-0005-0000-0000-000051020000}"/>
    <cellStyle name="20% - Ênfase1 37 3" xfId="1864" xr:uid="{00000000-0005-0000-0000-000052020000}"/>
    <cellStyle name="20% - Ênfase1 37 4" xfId="1865" xr:uid="{00000000-0005-0000-0000-000053020000}"/>
    <cellStyle name="20% - Ênfase1 37 5" xfId="1866" xr:uid="{00000000-0005-0000-0000-000054020000}"/>
    <cellStyle name="20% - Ênfase1 37 6" xfId="1867" xr:uid="{00000000-0005-0000-0000-000055020000}"/>
    <cellStyle name="20% - Ênfase1 37 7" xfId="1868" xr:uid="{00000000-0005-0000-0000-000056020000}"/>
    <cellStyle name="20% - Ênfase1 37 8" xfId="1869" xr:uid="{00000000-0005-0000-0000-000057020000}"/>
    <cellStyle name="20% - Ênfase1 37 9" xfId="1870" xr:uid="{00000000-0005-0000-0000-000058020000}"/>
    <cellStyle name="20% - Ênfase1 38" xfId="663" xr:uid="{00000000-0005-0000-0000-000059020000}"/>
    <cellStyle name="20% - Ênfase1 39" xfId="681" xr:uid="{00000000-0005-0000-0000-00005A020000}"/>
    <cellStyle name="20% - Ênfase1 4" xfId="78" xr:uid="{00000000-0005-0000-0000-00005B020000}"/>
    <cellStyle name="20% - Ênfase1 4 10" xfId="1871" xr:uid="{00000000-0005-0000-0000-00005C020000}"/>
    <cellStyle name="20% - Ênfase1 4 11" xfId="1872" xr:uid="{00000000-0005-0000-0000-00005D020000}"/>
    <cellStyle name="20% - Ênfase1 4 12" xfId="1873" xr:uid="{00000000-0005-0000-0000-00005E020000}"/>
    <cellStyle name="20% - Ênfase1 4 13" xfId="1874" xr:uid="{00000000-0005-0000-0000-00005F020000}"/>
    <cellStyle name="20% - Ênfase1 4 14" xfId="1875" xr:uid="{00000000-0005-0000-0000-000060020000}"/>
    <cellStyle name="20% - Ênfase1 4 15" xfId="1876" xr:uid="{00000000-0005-0000-0000-000061020000}"/>
    <cellStyle name="20% - Ênfase1 4 16" xfId="1877" xr:uid="{00000000-0005-0000-0000-000062020000}"/>
    <cellStyle name="20% - Ênfase1 4 17" xfId="1878" xr:uid="{00000000-0005-0000-0000-000063020000}"/>
    <cellStyle name="20% - Ênfase1 4 18" xfId="1879" xr:uid="{00000000-0005-0000-0000-000064020000}"/>
    <cellStyle name="20% - Ênfase1 4 19" xfId="1880" xr:uid="{00000000-0005-0000-0000-000065020000}"/>
    <cellStyle name="20% - Ênfase1 4 2" xfId="1881" xr:uid="{00000000-0005-0000-0000-000066020000}"/>
    <cellStyle name="20% - Ênfase1 4 20" xfId="1882" xr:uid="{00000000-0005-0000-0000-000067020000}"/>
    <cellStyle name="20% - Ênfase1 4 3" xfId="1883" xr:uid="{00000000-0005-0000-0000-000068020000}"/>
    <cellStyle name="20% - Ênfase1 4 4" xfId="1884" xr:uid="{00000000-0005-0000-0000-000069020000}"/>
    <cellStyle name="20% - Ênfase1 4 5" xfId="1885" xr:uid="{00000000-0005-0000-0000-00006A020000}"/>
    <cellStyle name="20% - Ênfase1 4 6" xfId="1886" xr:uid="{00000000-0005-0000-0000-00006B020000}"/>
    <cellStyle name="20% - Ênfase1 4 7" xfId="1887" xr:uid="{00000000-0005-0000-0000-00006C020000}"/>
    <cellStyle name="20% - Ênfase1 4 8" xfId="1888" xr:uid="{00000000-0005-0000-0000-00006D020000}"/>
    <cellStyle name="20% - Ênfase1 4 9" xfId="1889" xr:uid="{00000000-0005-0000-0000-00006E020000}"/>
    <cellStyle name="20% - Ênfase1 40" xfId="729" xr:uid="{00000000-0005-0000-0000-00006F020000}"/>
    <cellStyle name="20% - Ênfase1 41" xfId="750" xr:uid="{00000000-0005-0000-0000-000070020000}"/>
    <cellStyle name="20% - Ênfase1 42" xfId="749" xr:uid="{00000000-0005-0000-0000-000071020000}"/>
    <cellStyle name="20% - Ênfase1 43" xfId="753" xr:uid="{00000000-0005-0000-0000-000072020000}"/>
    <cellStyle name="20% - Ênfase1 44" xfId="771" xr:uid="{00000000-0005-0000-0000-000073020000}"/>
    <cellStyle name="20% - Ênfase1 45" xfId="789" xr:uid="{00000000-0005-0000-0000-000074020000}"/>
    <cellStyle name="20% - Ênfase1 46" xfId="807" xr:uid="{00000000-0005-0000-0000-000075020000}"/>
    <cellStyle name="20% - Ênfase1 47" xfId="825" xr:uid="{00000000-0005-0000-0000-000076020000}"/>
    <cellStyle name="20% - Ênfase1 48" xfId="843" xr:uid="{00000000-0005-0000-0000-000077020000}"/>
    <cellStyle name="20% - Ênfase1 49" xfId="861" xr:uid="{00000000-0005-0000-0000-000078020000}"/>
    <cellStyle name="20% - Ênfase1 5" xfId="82" xr:uid="{00000000-0005-0000-0000-000079020000}"/>
    <cellStyle name="20% - Ênfase1 5 10" xfId="1890" xr:uid="{00000000-0005-0000-0000-00007A020000}"/>
    <cellStyle name="20% - Ênfase1 5 11" xfId="1891" xr:uid="{00000000-0005-0000-0000-00007B020000}"/>
    <cellStyle name="20% - Ênfase1 5 12" xfId="1892" xr:uid="{00000000-0005-0000-0000-00007C020000}"/>
    <cellStyle name="20% - Ênfase1 5 13" xfId="1893" xr:uid="{00000000-0005-0000-0000-00007D020000}"/>
    <cellStyle name="20% - Ênfase1 5 14" xfId="1894" xr:uid="{00000000-0005-0000-0000-00007E020000}"/>
    <cellStyle name="20% - Ênfase1 5 15" xfId="1895" xr:uid="{00000000-0005-0000-0000-00007F020000}"/>
    <cellStyle name="20% - Ênfase1 5 16" xfId="1896" xr:uid="{00000000-0005-0000-0000-000080020000}"/>
    <cellStyle name="20% - Ênfase1 5 17" xfId="1897" xr:uid="{00000000-0005-0000-0000-000081020000}"/>
    <cellStyle name="20% - Ênfase1 5 18" xfId="1898" xr:uid="{00000000-0005-0000-0000-000082020000}"/>
    <cellStyle name="20% - Ênfase1 5 19" xfId="1899" xr:uid="{00000000-0005-0000-0000-000083020000}"/>
    <cellStyle name="20% - Ênfase1 5 2" xfId="1900" xr:uid="{00000000-0005-0000-0000-000084020000}"/>
    <cellStyle name="20% - Ênfase1 5 20" xfId="1901" xr:uid="{00000000-0005-0000-0000-000085020000}"/>
    <cellStyle name="20% - Ênfase1 5 3" xfId="1902" xr:uid="{00000000-0005-0000-0000-000086020000}"/>
    <cellStyle name="20% - Ênfase1 5 4" xfId="1903" xr:uid="{00000000-0005-0000-0000-000087020000}"/>
    <cellStyle name="20% - Ênfase1 5 5" xfId="1904" xr:uid="{00000000-0005-0000-0000-000088020000}"/>
    <cellStyle name="20% - Ênfase1 5 6" xfId="1905" xr:uid="{00000000-0005-0000-0000-000089020000}"/>
    <cellStyle name="20% - Ênfase1 5 7" xfId="1906" xr:uid="{00000000-0005-0000-0000-00008A020000}"/>
    <cellStyle name="20% - Ênfase1 5 8" xfId="1907" xr:uid="{00000000-0005-0000-0000-00008B020000}"/>
    <cellStyle name="20% - Ênfase1 5 9" xfId="1908" xr:uid="{00000000-0005-0000-0000-00008C020000}"/>
    <cellStyle name="20% - Ênfase1 50" xfId="855" xr:uid="{00000000-0005-0000-0000-00008D020000}"/>
    <cellStyle name="20% - Ênfase1 51" xfId="872" xr:uid="{00000000-0005-0000-0000-00008E020000}"/>
    <cellStyle name="20% - Ênfase1 52" xfId="897" xr:uid="{00000000-0005-0000-0000-00008F020000}"/>
    <cellStyle name="20% - Ênfase1 53" xfId="933" xr:uid="{00000000-0005-0000-0000-000090020000}"/>
    <cellStyle name="20% - Ênfase1 54" xfId="951" xr:uid="{00000000-0005-0000-0000-000091020000}"/>
    <cellStyle name="20% - Ênfase1 55" xfId="969" xr:uid="{00000000-0005-0000-0000-000092020000}"/>
    <cellStyle name="20% - Ênfase1 56" xfId="987" xr:uid="{00000000-0005-0000-0000-000093020000}"/>
    <cellStyle name="20% - Ênfase1 57" xfId="981" xr:uid="{00000000-0005-0000-0000-000094020000}"/>
    <cellStyle name="20% - Ênfase1 58" xfId="998" xr:uid="{00000000-0005-0000-0000-000095020000}"/>
    <cellStyle name="20% - Ênfase1 59" xfId="1034" xr:uid="{00000000-0005-0000-0000-000096020000}"/>
    <cellStyle name="20% - Ênfase1 6" xfId="100" xr:uid="{00000000-0005-0000-0000-000097020000}"/>
    <cellStyle name="20% - Ênfase1 6 10" xfId="1909" xr:uid="{00000000-0005-0000-0000-000098020000}"/>
    <cellStyle name="20% - Ênfase1 6 11" xfId="1910" xr:uid="{00000000-0005-0000-0000-000099020000}"/>
    <cellStyle name="20% - Ênfase1 6 12" xfId="1911" xr:uid="{00000000-0005-0000-0000-00009A020000}"/>
    <cellStyle name="20% - Ênfase1 6 13" xfId="1912" xr:uid="{00000000-0005-0000-0000-00009B020000}"/>
    <cellStyle name="20% - Ênfase1 6 14" xfId="1913" xr:uid="{00000000-0005-0000-0000-00009C020000}"/>
    <cellStyle name="20% - Ênfase1 6 15" xfId="1914" xr:uid="{00000000-0005-0000-0000-00009D020000}"/>
    <cellStyle name="20% - Ênfase1 6 16" xfId="1915" xr:uid="{00000000-0005-0000-0000-00009E020000}"/>
    <cellStyle name="20% - Ênfase1 6 17" xfId="1916" xr:uid="{00000000-0005-0000-0000-00009F020000}"/>
    <cellStyle name="20% - Ênfase1 6 18" xfId="1917" xr:uid="{00000000-0005-0000-0000-0000A0020000}"/>
    <cellStyle name="20% - Ênfase1 6 19" xfId="1918" xr:uid="{00000000-0005-0000-0000-0000A1020000}"/>
    <cellStyle name="20% - Ênfase1 6 2" xfId="1919" xr:uid="{00000000-0005-0000-0000-0000A2020000}"/>
    <cellStyle name="20% - Ênfase1 6 20" xfId="1920" xr:uid="{00000000-0005-0000-0000-0000A3020000}"/>
    <cellStyle name="20% - Ênfase1 6 3" xfId="1921" xr:uid="{00000000-0005-0000-0000-0000A4020000}"/>
    <cellStyle name="20% - Ênfase1 6 4" xfId="1922" xr:uid="{00000000-0005-0000-0000-0000A5020000}"/>
    <cellStyle name="20% - Ênfase1 6 5" xfId="1923" xr:uid="{00000000-0005-0000-0000-0000A6020000}"/>
    <cellStyle name="20% - Ênfase1 6 6" xfId="1924" xr:uid="{00000000-0005-0000-0000-0000A7020000}"/>
    <cellStyle name="20% - Ênfase1 6 7" xfId="1925" xr:uid="{00000000-0005-0000-0000-0000A8020000}"/>
    <cellStyle name="20% - Ênfase1 6 8" xfId="1926" xr:uid="{00000000-0005-0000-0000-0000A9020000}"/>
    <cellStyle name="20% - Ênfase1 6 9" xfId="1927" xr:uid="{00000000-0005-0000-0000-0000AA020000}"/>
    <cellStyle name="20% - Ênfase1 60" xfId="1054" xr:uid="{00000000-0005-0000-0000-0000AB020000}"/>
    <cellStyle name="20% - Ênfase1 61" xfId="1058" xr:uid="{00000000-0005-0000-0000-0000AC020000}"/>
    <cellStyle name="20% - Ênfase1 62" xfId="1094" xr:uid="{00000000-0005-0000-0000-0000AD020000}"/>
    <cellStyle name="20% - Ênfase1 63" xfId="1112" xr:uid="{00000000-0005-0000-0000-0000AE020000}"/>
    <cellStyle name="20% - Ênfase1 64" xfId="1106" xr:uid="{00000000-0005-0000-0000-0000AF020000}"/>
    <cellStyle name="20% - Ênfase1 65" xfId="1123" xr:uid="{00000000-0005-0000-0000-0000B0020000}"/>
    <cellStyle name="20% - Ênfase1 66" xfId="1147" xr:uid="{00000000-0005-0000-0000-0000B1020000}"/>
    <cellStyle name="20% - Ênfase1 67" xfId="1183" xr:uid="{00000000-0005-0000-0000-0000B2020000}"/>
    <cellStyle name="20% - Ênfase1 68" xfId="1201" xr:uid="{00000000-0005-0000-0000-0000B3020000}"/>
    <cellStyle name="20% - Ênfase1 69" xfId="1235" xr:uid="{00000000-0005-0000-0000-0000B4020000}"/>
    <cellStyle name="20% - Ênfase1 7" xfId="117" xr:uid="{00000000-0005-0000-0000-0000B5020000}"/>
    <cellStyle name="20% - Ênfase1 7 10" xfId="1928" xr:uid="{00000000-0005-0000-0000-0000B6020000}"/>
    <cellStyle name="20% - Ênfase1 7 11" xfId="1929" xr:uid="{00000000-0005-0000-0000-0000B7020000}"/>
    <cellStyle name="20% - Ênfase1 7 12" xfId="1930" xr:uid="{00000000-0005-0000-0000-0000B8020000}"/>
    <cellStyle name="20% - Ênfase1 7 13" xfId="1931" xr:uid="{00000000-0005-0000-0000-0000B9020000}"/>
    <cellStyle name="20% - Ênfase1 7 14" xfId="1932" xr:uid="{00000000-0005-0000-0000-0000BA020000}"/>
    <cellStyle name="20% - Ênfase1 7 15" xfId="1933" xr:uid="{00000000-0005-0000-0000-0000BB020000}"/>
    <cellStyle name="20% - Ênfase1 7 16" xfId="1934" xr:uid="{00000000-0005-0000-0000-0000BC020000}"/>
    <cellStyle name="20% - Ênfase1 7 17" xfId="1935" xr:uid="{00000000-0005-0000-0000-0000BD020000}"/>
    <cellStyle name="20% - Ênfase1 7 18" xfId="1936" xr:uid="{00000000-0005-0000-0000-0000BE020000}"/>
    <cellStyle name="20% - Ênfase1 7 19" xfId="1937" xr:uid="{00000000-0005-0000-0000-0000BF020000}"/>
    <cellStyle name="20% - Ênfase1 7 2" xfId="1938" xr:uid="{00000000-0005-0000-0000-0000C0020000}"/>
    <cellStyle name="20% - Ênfase1 7 20" xfId="1939" xr:uid="{00000000-0005-0000-0000-0000C1020000}"/>
    <cellStyle name="20% - Ênfase1 7 3" xfId="1940" xr:uid="{00000000-0005-0000-0000-0000C2020000}"/>
    <cellStyle name="20% - Ênfase1 7 4" xfId="1941" xr:uid="{00000000-0005-0000-0000-0000C3020000}"/>
    <cellStyle name="20% - Ênfase1 7 5" xfId="1942" xr:uid="{00000000-0005-0000-0000-0000C4020000}"/>
    <cellStyle name="20% - Ênfase1 7 6" xfId="1943" xr:uid="{00000000-0005-0000-0000-0000C5020000}"/>
    <cellStyle name="20% - Ênfase1 7 7" xfId="1944" xr:uid="{00000000-0005-0000-0000-0000C6020000}"/>
    <cellStyle name="20% - Ênfase1 7 8" xfId="1945" xr:uid="{00000000-0005-0000-0000-0000C7020000}"/>
    <cellStyle name="20% - Ênfase1 7 9" xfId="1946" xr:uid="{00000000-0005-0000-0000-0000C8020000}"/>
    <cellStyle name="20% - Ênfase1 70" xfId="1265" xr:uid="{00000000-0005-0000-0000-0000C9020000}"/>
    <cellStyle name="20% - Ênfase1 71" xfId="1202" xr:uid="{00000000-0005-0000-0000-0000CA020000}"/>
    <cellStyle name="20% - Ênfase1 72" xfId="1947" xr:uid="{00000000-0005-0000-0000-0000CB020000}"/>
    <cellStyle name="20% - Ênfase1 73" xfId="1948" xr:uid="{00000000-0005-0000-0000-0000CC020000}"/>
    <cellStyle name="20% - Ênfase1 74" xfId="1949" xr:uid="{00000000-0005-0000-0000-0000CD020000}"/>
    <cellStyle name="20% - Ênfase1 75" xfId="1950" xr:uid="{00000000-0005-0000-0000-0000CE020000}"/>
    <cellStyle name="20% - Ênfase1 76" xfId="1951" xr:uid="{00000000-0005-0000-0000-0000CF020000}"/>
    <cellStyle name="20% - Ênfase1 77" xfId="1952" xr:uid="{00000000-0005-0000-0000-0000D0020000}"/>
    <cellStyle name="20% - Ênfase1 78" xfId="1953" xr:uid="{00000000-0005-0000-0000-0000D1020000}"/>
    <cellStyle name="20% - Ênfase1 79" xfId="1954" xr:uid="{00000000-0005-0000-0000-0000D2020000}"/>
    <cellStyle name="20% - Ênfase1 8" xfId="134" xr:uid="{00000000-0005-0000-0000-0000D3020000}"/>
    <cellStyle name="20% - Ênfase1 8 10" xfId="1955" xr:uid="{00000000-0005-0000-0000-0000D4020000}"/>
    <cellStyle name="20% - Ênfase1 8 11" xfId="1956" xr:uid="{00000000-0005-0000-0000-0000D5020000}"/>
    <cellStyle name="20% - Ênfase1 8 12" xfId="1957" xr:uid="{00000000-0005-0000-0000-0000D6020000}"/>
    <cellStyle name="20% - Ênfase1 8 13" xfId="1958" xr:uid="{00000000-0005-0000-0000-0000D7020000}"/>
    <cellStyle name="20% - Ênfase1 8 14" xfId="1959" xr:uid="{00000000-0005-0000-0000-0000D8020000}"/>
    <cellStyle name="20% - Ênfase1 8 15" xfId="1960" xr:uid="{00000000-0005-0000-0000-0000D9020000}"/>
    <cellStyle name="20% - Ênfase1 8 16" xfId="1961" xr:uid="{00000000-0005-0000-0000-0000DA020000}"/>
    <cellStyle name="20% - Ênfase1 8 17" xfId="1962" xr:uid="{00000000-0005-0000-0000-0000DB020000}"/>
    <cellStyle name="20% - Ênfase1 8 18" xfId="1963" xr:uid="{00000000-0005-0000-0000-0000DC020000}"/>
    <cellStyle name="20% - Ênfase1 8 19" xfId="1964" xr:uid="{00000000-0005-0000-0000-0000DD020000}"/>
    <cellStyle name="20% - Ênfase1 8 2" xfId="1965" xr:uid="{00000000-0005-0000-0000-0000DE020000}"/>
    <cellStyle name="20% - Ênfase1 8 20" xfId="1966" xr:uid="{00000000-0005-0000-0000-0000DF020000}"/>
    <cellStyle name="20% - Ênfase1 8 3" xfId="1967" xr:uid="{00000000-0005-0000-0000-0000E0020000}"/>
    <cellStyle name="20% - Ênfase1 8 4" xfId="1968" xr:uid="{00000000-0005-0000-0000-0000E1020000}"/>
    <cellStyle name="20% - Ênfase1 8 5" xfId="1969" xr:uid="{00000000-0005-0000-0000-0000E2020000}"/>
    <cellStyle name="20% - Ênfase1 8 6" xfId="1970" xr:uid="{00000000-0005-0000-0000-0000E3020000}"/>
    <cellStyle name="20% - Ênfase1 8 7" xfId="1971" xr:uid="{00000000-0005-0000-0000-0000E4020000}"/>
    <cellStyle name="20% - Ênfase1 8 8" xfId="1972" xr:uid="{00000000-0005-0000-0000-0000E5020000}"/>
    <cellStyle name="20% - Ênfase1 8 9" xfId="1973" xr:uid="{00000000-0005-0000-0000-0000E6020000}"/>
    <cellStyle name="20% - Ênfase1 80" xfId="1974" xr:uid="{00000000-0005-0000-0000-0000E7020000}"/>
    <cellStyle name="20% - Ênfase1 81" xfId="1975" xr:uid="{00000000-0005-0000-0000-0000E8020000}"/>
    <cellStyle name="20% - Ênfase1 82" xfId="1976" xr:uid="{00000000-0005-0000-0000-0000E9020000}"/>
    <cellStyle name="20% - Ênfase1 83" xfId="1977" xr:uid="{00000000-0005-0000-0000-0000EA020000}"/>
    <cellStyle name="20% - Ênfase1 84" xfId="1978" xr:uid="{00000000-0005-0000-0000-0000EB020000}"/>
    <cellStyle name="20% - Ênfase1 85" xfId="1979" xr:uid="{00000000-0005-0000-0000-0000EC020000}"/>
    <cellStyle name="20% - Ênfase1 86" xfId="1980" xr:uid="{00000000-0005-0000-0000-0000ED020000}"/>
    <cellStyle name="20% - Ênfase1 87" xfId="1981" xr:uid="{00000000-0005-0000-0000-0000EE020000}"/>
    <cellStyle name="20% - Ênfase1 88" xfId="1982" xr:uid="{00000000-0005-0000-0000-0000EF020000}"/>
    <cellStyle name="20% - Ênfase1 89" xfId="1983" xr:uid="{00000000-0005-0000-0000-0000F0020000}"/>
    <cellStyle name="20% - Ênfase1 9" xfId="151" xr:uid="{00000000-0005-0000-0000-0000F1020000}"/>
    <cellStyle name="20% - Ênfase1 9 10" xfId="1984" xr:uid="{00000000-0005-0000-0000-0000F2020000}"/>
    <cellStyle name="20% - Ênfase1 9 11" xfId="1985" xr:uid="{00000000-0005-0000-0000-0000F3020000}"/>
    <cellStyle name="20% - Ênfase1 9 12" xfId="1986" xr:uid="{00000000-0005-0000-0000-0000F4020000}"/>
    <cellStyle name="20% - Ênfase1 9 13" xfId="1987" xr:uid="{00000000-0005-0000-0000-0000F5020000}"/>
    <cellStyle name="20% - Ênfase1 9 14" xfId="1988" xr:uid="{00000000-0005-0000-0000-0000F6020000}"/>
    <cellStyle name="20% - Ênfase1 9 15" xfId="1989" xr:uid="{00000000-0005-0000-0000-0000F7020000}"/>
    <cellStyle name="20% - Ênfase1 9 16" xfId="1990" xr:uid="{00000000-0005-0000-0000-0000F8020000}"/>
    <cellStyle name="20% - Ênfase1 9 17" xfId="1991" xr:uid="{00000000-0005-0000-0000-0000F9020000}"/>
    <cellStyle name="20% - Ênfase1 9 18" xfId="1992" xr:uid="{00000000-0005-0000-0000-0000FA020000}"/>
    <cellStyle name="20% - Ênfase1 9 19" xfId="1993" xr:uid="{00000000-0005-0000-0000-0000FB020000}"/>
    <cellStyle name="20% - Ênfase1 9 2" xfId="1994" xr:uid="{00000000-0005-0000-0000-0000FC020000}"/>
    <cellStyle name="20% - Ênfase1 9 20" xfId="1995" xr:uid="{00000000-0005-0000-0000-0000FD020000}"/>
    <cellStyle name="20% - Ênfase1 9 3" xfId="1996" xr:uid="{00000000-0005-0000-0000-0000FE020000}"/>
    <cellStyle name="20% - Ênfase1 9 4" xfId="1997" xr:uid="{00000000-0005-0000-0000-0000FF020000}"/>
    <cellStyle name="20% - Ênfase1 9 5" xfId="1998" xr:uid="{00000000-0005-0000-0000-000000030000}"/>
    <cellStyle name="20% - Ênfase1 9 6" xfId="1999" xr:uid="{00000000-0005-0000-0000-000001030000}"/>
    <cellStyle name="20% - Ênfase1 9 7" xfId="2000" xr:uid="{00000000-0005-0000-0000-000002030000}"/>
    <cellStyle name="20% - Ênfase1 9 8" xfId="2001" xr:uid="{00000000-0005-0000-0000-000003030000}"/>
    <cellStyle name="20% - Ênfase1 9 9" xfId="2002" xr:uid="{00000000-0005-0000-0000-000004030000}"/>
    <cellStyle name="20% - Ênfase1 90" xfId="2003" xr:uid="{00000000-0005-0000-0000-000005030000}"/>
    <cellStyle name="20% - Ênfase2" xfId="23" builtinId="34" customBuiltin="1"/>
    <cellStyle name="20% - Ênfase2 10" xfId="199" xr:uid="{00000000-0005-0000-0000-000007030000}"/>
    <cellStyle name="20% - Ênfase2 10 10" xfId="2004" xr:uid="{00000000-0005-0000-0000-000008030000}"/>
    <cellStyle name="20% - Ênfase2 10 11" xfId="2005" xr:uid="{00000000-0005-0000-0000-000009030000}"/>
    <cellStyle name="20% - Ênfase2 10 12" xfId="2006" xr:uid="{00000000-0005-0000-0000-00000A030000}"/>
    <cellStyle name="20% - Ênfase2 10 13" xfId="2007" xr:uid="{00000000-0005-0000-0000-00000B030000}"/>
    <cellStyle name="20% - Ênfase2 10 14" xfId="2008" xr:uid="{00000000-0005-0000-0000-00000C030000}"/>
    <cellStyle name="20% - Ênfase2 10 15" xfId="2009" xr:uid="{00000000-0005-0000-0000-00000D030000}"/>
    <cellStyle name="20% - Ênfase2 10 16" xfId="2010" xr:uid="{00000000-0005-0000-0000-00000E030000}"/>
    <cellStyle name="20% - Ênfase2 10 17" xfId="2011" xr:uid="{00000000-0005-0000-0000-00000F030000}"/>
    <cellStyle name="20% - Ênfase2 10 18" xfId="2012" xr:uid="{00000000-0005-0000-0000-000010030000}"/>
    <cellStyle name="20% - Ênfase2 10 19" xfId="2013" xr:uid="{00000000-0005-0000-0000-000011030000}"/>
    <cellStyle name="20% - Ênfase2 10 2" xfId="2014" xr:uid="{00000000-0005-0000-0000-000012030000}"/>
    <cellStyle name="20% - Ênfase2 10 20" xfId="2015" xr:uid="{00000000-0005-0000-0000-000013030000}"/>
    <cellStyle name="20% - Ênfase2 10 3" xfId="2016" xr:uid="{00000000-0005-0000-0000-000014030000}"/>
    <cellStyle name="20% - Ênfase2 10 4" xfId="2017" xr:uid="{00000000-0005-0000-0000-000015030000}"/>
    <cellStyle name="20% - Ênfase2 10 5" xfId="2018" xr:uid="{00000000-0005-0000-0000-000016030000}"/>
    <cellStyle name="20% - Ênfase2 10 6" xfId="2019" xr:uid="{00000000-0005-0000-0000-000017030000}"/>
    <cellStyle name="20% - Ênfase2 10 7" xfId="2020" xr:uid="{00000000-0005-0000-0000-000018030000}"/>
    <cellStyle name="20% - Ênfase2 10 8" xfId="2021" xr:uid="{00000000-0005-0000-0000-000019030000}"/>
    <cellStyle name="20% - Ênfase2 10 9" xfId="2022" xr:uid="{00000000-0005-0000-0000-00001A030000}"/>
    <cellStyle name="20% - Ênfase2 11" xfId="216" xr:uid="{00000000-0005-0000-0000-00001B030000}"/>
    <cellStyle name="20% - Ênfase2 11 10" xfId="2023" xr:uid="{00000000-0005-0000-0000-00001C030000}"/>
    <cellStyle name="20% - Ênfase2 11 11" xfId="2024" xr:uid="{00000000-0005-0000-0000-00001D030000}"/>
    <cellStyle name="20% - Ênfase2 11 12" xfId="2025" xr:uid="{00000000-0005-0000-0000-00001E030000}"/>
    <cellStyle name="20% - Ênfase2 11 13" xfId="2026" xr:uid="{00000000-0005-0000-0000-00001F030000}"/>
    <cellStyle name="20% - Ênfase2 11 14" xfId="2027" xr:uid="{00000000-0005-0000-0000-000020030000}"/>
    <cellStyle name="20% - Ênfase2 11 15" xfId="2028" xr:uid="{00000000-0005-0000-0000-000021030000}"/>
    <cellStyle name="20% - Ênfase2 11 16" xfId="2029" xr:uid="{00000000-0005-0000-0000-000022030000}"/>
    <cellStyle name="20% - Ênfase2 11 17" xfId="2030" xr:uid="{00000000-0005-0000-0000-000023030000}"/>
    <cellStyle name="20% - Ênfase2 11 18" xfId="2031" xr:uid="{00000000-0005-0000-0000-000024030000}"/>
    <cellStyle name="20% - Ênfase2 11 19" xfId="2032" xr:uid="{00000000-0005-0000-0000-000025030000}"/>
    <cellStyle name="20% - Ênfase2 11 2" xfId="2033" xr:uid="{00000000-0005-0000-0000-000026030000}"/>
    <cellStyle name="20% - Ênfase2 11 20" xfId="2034" xr:uid="{00000000-0005-0000-0000-000027030000}"/>
    <cellStyle name="20% - Ênfase2 11 3" xfId="2035" xr:uid="{00000000-0005-0000-0000-000028030000}"/>
    <cellStyle name="20% - Ênfase2 11 4" xfId="2036" xr:uid="{00000000-0005-0000-0000-000029030000}"/>
    <cellStyle name="20% - Ênfase2 11 5" xfId="2037" xr:uid="{00000000-0005-0000-0000-00002A030000}"/>
    <cellStyle name="20% - Ênfase2 11 6" xfId="2038" xr:uid="{00000000-0005-0000-0000-00002B030000}"/>
    <cellStyle name="20% - Ênfase2 11 7" xfId="2039" xr:uid="{00000000-0005-0000-0000-00002C030000}"/>
    <cellStyle name="20% - Ênfase2 11 8" xfId="2040" xr:uid="{00000000-0005-0000-0000-00002D030000}"/>
    <cellStyle name="20% - Ênfase2 11 9" xfId="2041" xr:uid="{00000000-0005-0000-0000-00002E030000}"/>
    <cellStyle name="20% - Ênfase2 12" xfId="233" xr:uid="{00000000-0005-0000-0000-00002F030000}"/>
    <cellStyle name="20% - Ênfase2 12 10" xfId="2042" xr:uid="{00000000-0005-0000-0000-000030030000}"/>
    <cellStyle name="20% - Ênfase2 12 11" xfId="2043" xr:uid="{00000000-0005-0000-0000-000031030000}"/>
    <cellStyle name="20% - Ênfase2 12 12" xfId="2044" xr:uid="{00000000-0005-0000-0000-000032030000}"/>
    <cellStyle name="20% - Ênfase2 12 13" xfId="2045" xr:uid="{00000000-0005-0000-0000-000033030000}"/>
    <cellStyle name="20% - Ênfase2 12 14" xfId="2046" xr:uid="{00000000-0005-0000-0000-000034030000}"/>
    <cellStyle name="20% - Ênfase2 12 15" xfId="2047" xr:uid="{00000000-0005-0000-0000-000035030000}"/>
    <cellStyle name="20% - Ênfase2 12 16" xfId="2048" xr:uid="{00000000-0005-0000-0000-000036030000}"/>
    <cellStyle name="20% - Ênfase2 12 17" xfId="2049" xr:uid="{00000000-0005-0000-0000-000037030000}"/>
    <cellStyle name="20% - Ênfase2 12 18" xfId="2050" xr:uid="{00000000-0005-0000-0000-000038030000}"/>
    <cellStyle name="20% - Ênfase2 12 19" xfId="2051" xr:uid="{00000000-0005-0000-0000-000039030000}"/>
    <cellStyle name="20% - Ênfase2 12 2" xfId="2052" xr:uid="{00000000-0005-0000-0000-00003A030000}"/>
    <cellStyle name="20% - Ênfase2 12 20" xfId="2053" xr:uid="{00000000-0005-0000-0000-00003B030000}"/>
    <cellStyle name="20% - Ênfase2 12 3" xfId="2054" xr:uid="{00000000-0005-0000-0000-00003C030000}"/>
    <cellStyle name="20% - Ênfase2 12 4" xfId="2055" xr:uid="{00000000-0005-0000-0000-00003D030000}"/>
    <cellStyle name="20% - Ênfase2 12 5" xfId="2056" xr:uid="{00000000-0005-0000-0000-00003E030000}"/>
    <cellStyle name="20% - Ênfase2 12 6" xfId="2057" xr:uid="{00000000-0005-0000-0000-00003F030000}"/>
    <cellStyle name="20% - Ênfase2 12 7" xfId="2058" xr:uid="{00000000-0005-0000-0000-000040030000}"/>
    <cellStyle name="20% - Ênfase2 12 8" xfId="2059" xr:uid="{00000000-0005-0000-0000-000041030000}"/>
    <cellStyle name="20% - Ênfase2 12 9" xfId="2060" xr:uid="{00000000-0005-0000-0000-000042030000}"/>
    <cellStyle name="20% - Ênfase2 13" xfId="250" xr:uid="{00000000-0005-0000-0000-000043030000}"/>
    <cellStyle name="20% - Ênfase2 13 10" xfId="2061" xr:uid="{00000000-0005-0000-0000-000044030000}"/>
    <cellStyle name="20% - Ênfase2 13 11" xfId="2062" xr:uid="{00000000-0005-0000-0000-000045030000}"/>
    <cellStyle name="20% - Ênfase2 13 12" xfId="2063" xr:uid="{00000000-0005-0000-0000-000046030000}"/>
    <cellStyle name="20% - Ênfase2 13 13" xfId="2064" xr:uid="{00000000-0005-0000-0000-000047030000}"/>
    <cellStyle name="20% - Ênfase2 13 14" xfId="2065" xr:uid="{00000000-0005-0000-0000-000048030000}"/>
    <cellStyle name="20% - Ênfase2 13 15" xfId="2066" xr:uid="{00000000-0005-0000-0000-000049030000}"/>
    <cellStyle name="20% - Ênfase2 13 16" xfId="2067" xr:uid="{00000000-0005-0000-0000-00004A030000}"/>
    <cellStyle name="20% - Ênfase2 13 17" xfId="2068" xr:uid="{00000000-0005-0000-0000-00004B030000}"/>
    <cellStyle name="20% - Ênfase2 13 18" xfId="2069" xr:uid="{00000000-0005-0000-0000-00004C030000}"/>
    <cellStyle name="20% - Ênfase2 13 19" xfId="2070" xr:uid="{00000000-0005-0000-0000-00004D030000}"/>
    <cellStyle name="20% - Ênfase2 13 2" xfId="2071" xr:uid="{00000000-0005-0000-0000-00004E030000}"/>
    <cellStyle name="20% - Ênfase2 13 20" xfId="2072" xr:uid="{00000000-0005-0000-0000-00004F030000}"/>
    <cellStyle name="20% - Ênfase2 13 3" xfId="2073" xr:uid="{00000000-0005-0000-0000-000050030000}"/>
    <cellStyle name="20% - Ênfase2 13 4" xfId="2074" xr:uid="{00000000-0005-0000-0000-000051030000}"/>
    <cellStyle name="20% - Ênfase2 13 5" xfId="2075" xr:uid="{00000000-0005-0000-0000-000052030000}"/>
    <cellStyle name="20% - Ênfase2 13 6" xfId="2076" xr:uid="{00000000-0005-0000-0000-000053030000}"/>
    <cellStyle name="20% - Ênfase2 13 7" xfId="2077" xr:uid="{00000000-0005-0000-0000-000054030000}"/>
    <cellStyle name="20% - Ênfase2 13 8" xfId="2078" xr:uid="{00000000-0005-0000-0000-000055030000}"/>
    <cellStyle name="20% - Ênfase2 13 9" xfId="2079" xr:uid="{00000000-0005-0000-0000-000056030000}"/>
    <cellStyle name="20% - Ênfase2 14" xfId="267" xr:uid="{00000000-0005-0000-0000-000057030000}"/>
    <cellStyle name="20% - Ênfase2 14 10" xfId="2080" xr:uid="{00000000-0005-0000-0000-000058030000}"/>
    <cellStyle name="20% - Ênfase2 14 11" xfId="2081" xr:uid="{00000000-0005-0000-0000-000059030000}"/>
    <cellStyle name="20% - Ênfase2 14 12" xfId="2082" xr:uid="{00000000-0005-0000-0000-00005A030000}"/>
    <cellStyle name="20% - Ênfase2 14 13" xfId="2083" xr:uid="{00000000-0005-0000-0000-00005B030000}"/>
    <cellStyle name="20% - Ênfase2 14 14" xfId="2084" xr:uid="{00000000-0005-0000-0000-00005C030000}"/>
    <cellStyle name="20% - Ênfase2 14 15" xfId="2085" xr:uid="{00000000-0005-0000-0000-00005D030000}"/>
    <cellStyle name="20% - Ênfase2 14 16" xfId="2086" xr:uid="{00000000-0005-0000-0000-00005E030000}"/>
    <cellStyle name="20% - Ênfase2 14 17" xfId="2087" xr:uid="{00000000-0005-0000-0000-00005F030000}"/>
    <cellStyle name="20% - Ênfase2 14 18" xfId="2088" xr:uid="{00000000-0005-0000-0000-000060030000}"/>
    <cellStyle name="20% - Ênfase2 14 19" xfId="2089" xr:uid="{00000000-0005-0000-0000-000061030000}"/>
    <cellStyle name="20% - Ênfase2 14 2" xfId="2090" xr:uid="{00000000-0005-0000-0000-000062030000}"/>
    <cellStyle name="20% - Ênfase2 14 20" xfId="2091" xr:uid="{00000000-0005-0000-0000-000063030000}"/>
    <cellStyle name="20% - Ênfase2 14 3" xfId="2092" xr:uid="{00000000-0005-0000-0000-000064030000}"/>
    <cellStyle name="20% - Ênfase2 14 4" xfId="2093" xr:uid="{00000000-0005-0000-0000-000065030000}"/>
    <cellStyle name="20% - Ênfase2 14 5" xfId="2094" xr:uid="{00000000-0005-0000-0000-000066030000}"/>
    <cellStyle name="20% - Ênfase2 14 6" xfId="2095" xr:uid="{00000000-0005-0000-0000-000067030000}"/>
    <cellStyle name="20% - Ênfase2 14 7" xfId="2096" xr:uid="{00000000-0005-0000-0000-000068030000}"/>
    <cellStyle name="20% - Ênfase2 14 8" xfId="2097" xr:uid="{00000000-0005-0000-0000-000069030000}"/>
    <cellStyle name="20% - Ênfase2 14 9" xfId="2098" xr:uid="{00000000-0005-0000-0000-00006A030000}"/>
    <cellStyle name="20% - Ênfase2 15" xfId="284" xr:uid="{00000000-0005-0000-0000-00006B030000}"/>
    <cellStyle name="20% - Ênfase2 15 10" xfId="2099" xr:uid="{00000000-0005-0000-0000-00006C030000}"/>
    <cellStyle name="20% - Ênfase2 15 11" xfId="2100" xr:uid="{00000000-0005-0000-0000-00006D030000}"/>
    <cellStyle name="20% - Ênfase2 15 12" xfId="2101" xr:uid="{00000000-0005-0000-0000-00006E030000}"/>
    <cellStyle name="20% - Ênfase2 15 13" xfId="2102" xr:uid="{00000000-0005-0000-0000-00006F030000}"/>
    <cellStyle name="20% - Ênfase2 15 14" xfId="2103" xr:uid="{00000000-0005-0000-0000-000070030000}"/>
    <cellStyle name="20% - Ênfase2 15 15" xfId="2104" xr:uid="{00000000-0005-0000-0000-000071030000}"/>
    <cellStyle name="20% - Ênfase2 15 16" xfId="2105" xr:uid="{00000000-0005-0000-0000-000072030000}"/>
    <cellStyle name="20% - Ênfase2 15 17" xfId="2106" xr:uid="{00000000-0005-0000-0000-000073030000}"/>
    <cellStyle name="20% - Ênfase2 15 18" xfId="2107" xr:uid="{00000000-0005-0000-0000-000074030000}"/>
    <cellStyle name="20% - Ênfase2 15 19" xfId="2108" xr:uid="{00000000-0005-0000-0000-000075030000}"/>
    <cellStyle name="20% - Ênfase2 15 2" xfId="2109" xr:uid="{00000000-0005-0000-0000-000076030000}"/>
    <cellStyle name="20% - Ênfase2 15 20" xfId="2110" xr:uid="{00000000-0005-0000-0000-000077030000}"/>
    <cellStyle name="20% - Ênfase2 15 3" xfId="2111" xr:uid="{00000000-0005-0000-0000-000078030000}"/>
    <cellStyle name="20% - Ênfase2 15 4" xfId="2112" xr:uid="{00000000-0005-0000-0000-000079030000}"/>
    <cellStyle name="20% - Ênfase2 15 5" xfId="2113" xr:uid="{00000000-0005-0000-0000-00007A030000}"/>
    <cellStyle name="20% - Ênfase2 15 6" xfId="2114" xr:uid="{00000000-0005-0000-0000-00007B030000}"/>
    <cellStyle name="20% - Ênfase2 15 7" xfId="2115" xr:uid="{00000000-0005-0000-0000-00007C030000}"/>
    <cellStyle name="20% - Ênfase2 15 8" xfId="2116" xr:uid="{00000000-0005-0000-0000-00007D030000}"/>
    <cellStyle name="20% - Ênfase2 15 9" xfId="2117" xr:uid="{00000000-0005-0000-0000-00007E030000}"/>
    <cellStyle name="20% - Ênfase2 16" xfId="301" xr:uid="{00000000-0005-0000-0000-00007F030000}"/>
    <cellStyle name="20% - Ênfase2 16 10" xfId="2118" xr:uid="{00000000-0005-0000-0000-000080030000}"/>
    <cellStyle name="20% - Ênfase2 16 11" xfId="2119" xr:uid="{00000000-0005-0000-0000-000081030000}"/>
    <cellStyle name="20% - Ênfase2 16 12" xfId="2120" xr:uid="{00000000-0005-0000-0000-000082030000}"/>
    <cellStyle name="20% - Ênfase2 16 13" xfId="2121" xr:uid="{00000000-0005-0000-0000-000083030000}"/>
    <cellStyle name="20% - Ênfase2 16 14" xfId="2122" xr:uid="{00000000-0005-0000-0000-000084030000}"/>
    <cellStyle name="20% - Ênfase2 16 15" xfId="2123" xr:uid="{00000000-0005-0000-0000-000085030000}"/>
    <cellStyle name="20% - Ênfase2 16 16" xfId="2124" xr:uid="{00000000-0005-0000-0000-000086030000}"/>
    <cellStyle name="20% - Ênfase2 16 17" xfId="2125" xr:uid="{00000000-0005-0000-0000-000087030000}"/>
    <cellStyle name="20% - Ênfase2 16 18" xfId="2126" xr:uid="{00000000-0005-0000-0000-000088030000}"/>
    <cellStyle name="20% - Ênfase2 16 19" xfId="2127" xr:uid="{00000000-0005-0000-0000-000089030000}"/>
    <cellStyle name="20% - Ênfase2 16 2" xfId="2128" xr:uid="{00000000-0005-0000-0000-00008A030000}"/>
    <cellStyle name="20% - Ênfase2 16 20" xfId="2129" xr:uid="{00000000-0005-0000-0000-00008B030000}"/>
    <cellStyle name="20% - Ênfase2 16 3" xfId="2130" xr:uid="{00000000-0005-0000-0000-00008C030000}"/>
    <cellStyle name="20% - Ênfase2 16 4" xfId="2131" xr:uid="{00000000-0005-0000-0000-00008D030000}"/>
    <cellStyle name="20% - Ênfase2 16 5" xfId="2132" xr:uid="{00000000-0005-0000-0000-00008E030000}"/>
    <cellStyle name="20% - Ênfase2 16 6" xfId="2133" xr:uid="{00000000-0005-0000-0000-00008F030000}"/>
    <cellStyle name="20% - Ênfase2 16 7" xfId="2134" xr:uid="{00000000-0005-0000-0000-000090030000}"/>
    <cellStyle name="20% - Ênfase2 16 8" xfId="2135" xr:uid="{00000000-0005-0000-0000-000091030000}"/>
    <cellStyle name="20% - Ênfase2 16 9" xfId="2136" xr:uid="{00000000-0005-0000-0000-000092030000}"/>
    <cellStyle name="20% - Ênfase2 17" xfId="318" xr:uid="{00000000-0005-0000-0000-000093030000}"/>
    <cellStyle name="20% - Ênfase2 17 10" xfId="2137" xr:uid="{00000000-0005-0000-0000-000094030000}"/>
    <cellStyle name="20% - Ênfase2 17 11" xfId="2138" xr:uid="{00000000-0005-0000-0000-000095030000}"/>
    <cellStyle name="20% - Ênfase2 17 12" xfId="2139" xr:uid="{00000000-0005-0000-0000-000096030000}"/>
    <cellStyle name="20% - Ênfase2 17 13" xfId="2140" xr:uid="{00000000-0005-0000-0000-000097030000}"/>
    <cellStyle name="20% - Ênfase2 17 14" xfId="2141" xr:uid="{00000000-0005-0000-0000-000098030000}"/>
    <cellStyle name="20% - Ênfase2 17 15" xfId="2142" xr:uid="{00000000-0005-0000-0000-000099030000}"/>
    <cellStyle name="20% - Ênfase2 17 16" xfId="2143" xr:uid="{00000000-0005-0000-0000-00009A030000}"/>
    <cellStyle name="20% - Ênfase2 17 17" xfId="2144" xr:uid="{00000000-0005-0000-0000-00009B030000}"/>
    <cellStyle name="20% - Ênfase2 17 18" xfId="2145" xr:uid="{00000000-0005-0000-0000-00009C030000}"/>
    <cellStyle name="20% - Ênfase2 17 19" xfId="2146" xr:uid="{00000000-0005-0000-0000-00009D030000}"/>
    <cellStyle name="20% - Ênfase2 17 2" xfId="2147" xr:uid="{00000000-0005-0000-0000-00009E030000}"/>
    <cellStyle name="20% - Ênfase2 17 20" xfId="2148" xr:uid="{00000000-0005-0000-0000-00009F030000}"/>
    <cellStyle name="20% - Ênfase2 17 3" xfId="2149" xr:uid="{00000000-0005-0000-0000-0000A0030000}"/>
    <cellStyle name="20% - Ênfase2 17 4" xfId="2150" xr:uid="{00000000-0005-0000-0000-0000A1030000}"/>
    <cellStyle name="20% - Ênfase2 17 5" xfId="2151" xr:uid="{00000000-0005-0000-0000-0000A2030000}"/>
    <cellStyle name="20% - Ênfase2 17 6" xfId="2152" xr:uid="{00000000-0005-0000-0000-0000A3030000}"/>
    <cellStyle name="20% - Ênfase2 17 7" xfId="2153" xr:uid="{00000000-0005-0000-0000-0000A4030000}"/>
    <cellStyle name="20% - Ênfase2 17 8" xfId="2154" xr:uid="{00000000-0005-0000-0000-0000A5030000}"/>
    <cellStyle name="20% - Ênfase2 17 9" xfId="2155" xr:uid="{00000000-0005-0000-0000-0000A6030000}"/>
    <cellStyle name="20% - Ênfase2 18" xfId="336" xr:uid="{00000000-0005-0000-0000-0000A7030000}"/>
    <cellStyle name="20% - Ênfase2 18 10" xfId="2156" xr:uid="{00000000-0005-0000-0000-0000A8030000}"/>
    <cellStyle name="20% - Ênfase2 18 11" xfId="2157" xr:uid="{00000000-0005-0000-0000-0000A9030000}"/>
    <cellStyle name="20% - Ênfase2 18 12" xfId="2158" xr:uid="{00000000-0005-0000-0000-0000AA030000}"/>
    <cellStyle name="20% - Ênfase2 18 13" xfId="2159" xr:uid="{00000000-0005-0000-0000-0000AB030000}"/>
    <cellStyle name="20% - Ênfase2 18 14" xfId="2160" xr:uid="{00000000-0005-0000-0000-0000AC030000}"/>
    <cellStyle name="20% - Ênfase2 18 15" xfId="2161" xr:uid="{00000000-0005-0000-0000-0000AD030000}"/>
    <cellStyle name="20% - Ênfase2 18 16" xfId="2162" xr:uid="{00000000-0005-0000-0000-0000AE030000}"/>
    <cellStyle name="20% - Ênfase2 18 17" xfId="2163" xr:uid="{00000000-0005-0000-0000-0000AF030000}"/>
    <cellStyle name="20% - Ênfase2 18 18" xfId="2164" xr:uid="{00000000-0005-0000-0000-0000B0030000}"/>
    <cellStyle name="20% - Ênfase2 18 19" xfId="2165" xr:uid="{00000000-0005-0000-0000-0000B1030000}"/>
    <cellStyle name="20% - Ênfase2 18 2" xfId="2166" xr:uid="{00000000-0005-0000-0000-0000B2030000}"/>
    <cellStyle name="20% - Ênfase2 18 20" xfId="2167" xr:uid="{00000000-0005-0000-0000-0000B3030000}"/>
    <cellStyle name="20% - Ênfase2 18 3" xfId="2168" xr:uid="{00000000-0005-0000-0000-0000B4030000}"/>
    <cellStyle name="20% - Ênfase2 18 4" xfId="2169" xr:uid="{00000000-0005-0000-0000-0000B5030000}"/>
    <cellStyle name="20% - Ênfase2 18 5" xfId="2170" xr:uid="{00000000-0005-0000-0000-0000B6030000}"/>
    <cellStyle name="20% - Ênfase2 18 6" xfId="2171" xr:uid="{00000000-0005-0000-0000-0000B7030000}"/>
    <cellStyle name="20% - Ênfase2 18 7" xfId="2172" xr:uid="{00000000-0005-0000-0000-0000B8030000}"/>
    <cellStyle name="20% - Ênfase2 18 8" xfId="2173" xr:uid="{00000000-0005-0000-0000-0000B9030000}"/>
    <cellStyle name="20% - Ênfase2 18 9" xfId="2174" xr:uid="{00000000-0005-0000-0000-0000BA030000}"/>
    <cellStyle name="20% - Ênfase2 19" xfId="359" xr:uid="{00000000-0005-0000-0000-0000BB030000}"/>
    <cellStyle name="20% - Ênfase2 19 10" xfId="2175" xr:uid="{00000000-0005-0000-0000-0000BC030000}"/>
    <cellStyle name="20% - Ênfase2 19 11" xfId="2176" xr:uid="{00000000-0005-0000-0000-0000BD030000}"/>
    <cellStyle name="20% - Ênfase2 19 12" xfId="2177" xr:uid="{00000000-0005-0000-0000-0000BE030000}"/>
    <cellStyle name="20% - Ênfase2 19 13" xfId="2178" xr:uid="{00000000-0005-0000-0000-0000BF030000}"/>
    <cellStyle name="20% - Ênfase2 19 14" xfId="2179" xr:uid="{00000000-0005-0000-0000-0000C0030000}"/>
    <cellStyle name="20% - Ênfase2 19 15" xfId="2180" xr:uid="{00000000-0005-0000-0000-0000C1030000}"/>
    <cellStyle name="20% - Ênfase2 19 16" xfId="2181" xr:uid="{00000000-0005-0000-0000-0000C2030000}"/>
    <cellStyle name="20% - Ênfase2 19 17" xfId="2182" xr:uid="{00000000-0005-0000-0000-0000C3030000}"/>
    <cellStyle name="20% - Ênfase2 19 18" xfId="2183" xr:uid="{00000000-0005-0000-0000-0000C4030000}"/>
    <cellStyle name="20% - Ênfase2 19 19" xfId="2184" xr:uid="{00000000-0005-0000-0000-0000C5030000}"/>
    <cellStyle name="20% - Ênfase2 19 2" xfId="2185" xr:uid="{00000000-0005-0000-0000-0000C6030000}"/>
    <cellStyle name="20% - Ênfase2 19 20" xfId="2186" xr:uid="{00000000-0005-0000-0000-0000C7030000}"/>
    <cellStyle name="20% - Ênfase2 19 3" xfId="2187" xr:uid="{00000000-0005-0000-0000-0000C8030000}"/>
    <cellStyle name="20% - Ênfase2 19 4" xfId="2188" xr:uid="{00000000-0005-0000-0000-0000C9030000}"/>
    <cellStyle name="20% - Ênfase2 19 5" xfId="2189" xr:uid="{00000000-0005-0000-0000-0000CA030000}"/>
    <cellStyle name="20% - Ênfase2 19 6" xfId="2190" xr:uid="{00000000-0005-0000-0000-0000CB030000}"/>
    <cellStyle name="20% - Ênfase2 19 7" xfId="2191" xr:uid="{00000000-0005-0000-0000-0000CC030000}"/>
    <cellStyle name="20% - Ênfase2 19 8" xfId="2192" xr:uid="{00000000-0005-0000-0000-0000CD030000}"/>
    <cellStyle name="20% - Ênfase2 19 9" xfId="2193" xr:uid="{00000000-0005-0000-0000-0000CE030000}"/>
    <cellStyle name="20% - Ênfase2 2" xfId="72" xr:uid="{00000000-0005-0000-0000-0000CF030000}"/>
    <cellStyle name="20% - Ênfase2 2 10" xfId="2194" xr:uid="{00000000-0005-0000-0000-0000D0030000}"/>
    <cellStyle name="20% - Ênfase2 2 11" xfId="2195" xr:uid="{00000000-0005-0000-0000-0000D1030000}"/>
    <cellStyle name="20% - Ênfase2 2 12" xfId="2196" xr:uid="{00000000-0005-0000-0000-0000D2030000}"/>
    <cellStyle name="20% - Ênfase2 2 13" xfId="2197" xr:uid="{00000000-0005-0000-0000-0000D3030000}"/>
    <cellStyle name="20% - Ênfase2 2 14" xfId="2198" xr:uid="{00000000-0005-0000-0000-0000D4030000}"/>
    <cellStyle name="20% - Ênfase2 2 15" xfId="2199" xr:uid="{00000000-0005-0000-0000-0000D5030000}"/>
    <cellStyle name="20% - Ênfase2 2 16" xfId="2200" xr:uid="{00000000-0005-0000-0000-0000D6030000}"/>
    <cellStyle name="20% - Ênfase2 2 17" xfId="2201" xr:uid="{00000000-0005-0000-0000-0000D7030000}"/>
    <cellStyle name="20% - Ênfase2 2 18" xfId="2202" xr:uid="{00000000-0005-0000-0000-0000D8030000}"/>
    <cellStyle name="20% - Ênfase2 2 19" xfId="2203" xr:uid="{00000000-0005-0000-0000-0000D9030000}"/>
    <cellStyle name="20% - Ênfase2 2 2" xfId="2204" xr:uid="{00000000-0005-0000-0000-0000DA030000}"/>
    <cellStyle name="20% - Ênfase2 2 20" xfId="2205" xr:uid="{00000000-0005-0000-0000-0000DB030000}"/>
    <cellStyle name="20% - Ênfase2 2 3" xfId="2206" xr:uid="{00000000-0005-0000-0000-0000DC030000}"/>
    <cellStyle name="20% - Ênfase2 2 4" xfId="2207" xr:uid="{00000000-0005-0000-0000-0000DD030000}"/>
    <cellStyle name="20% - Ênfase2 2 5" xfId="2208" xr:uid="{00000000-0005-0000-0000-0000DE030000}"/>
    <cellStyle name="20% - Ênfase2 2 6" xfId="2209" xr:uid="{00000000-0005-0000-0000-0000DF030000}"/>
    <cellStyle name="20% - Ênfase2 2 7" xfId="2210" xr:uid="{00000000-0005-0000-0000-0000E0030000}"/>
    <cellStyle name="20% - Ênfase2 2 8" xfId="2211" xr:uid="{00000000-0005-0000-0000-0000E1030000}"/>
    <cellStyle name="20% - Ênfase2 2 9" xfId="2212" xr:uid="{00000000-0005-0000-0000-0000E2030000}"/>
    <cellStyle name="20% - Ênfase2 20" xfId="360" xr:uid="{00000000-0005-0000-0000-0000E3030000}"/>
    <cellStyle name="20% - Ênfase2 20 10" xfId="2213" xr:uid="{00000000-0005-0000-0000-0000E4030000}"/>
    <cellStyle name="20% - Ênfase2 20 11" xfId="2214" xr:uid="{00000000-0005-0000-0000-0000E5030000}"/>
    <cellStyle name="20% - Ênfase2 20 12" xfId="2215" xr:uid="{00000000-0005-0000-0000-0000E6030000}"/>
    <cellStyle name="20% - Ênfase2 20 13" xfId="2216" xr:uid="{00000000-0005-0000-0000-0000E7030000}"/>
    <cellStyle name="20% - Ênfase2 20 14" xfId="2217" xr:uid="{00000000-0005-0000-0000-0000E8030000}"/>
    <cellStyle name="20% - Ênfase2 20 15" xfId="2218" xr:uid="{00000000-0005-0000-0000-0000E9030000}"/>
    <cellStyle name="20% - Ênfase2 20 16" xfId="2219" xr:uid="{00000000-0005-0000-0000-0000EA030000}"/>
    <cellStyle name="20% - Ênfase2 20 17" xfId="2220" xr:uid="{00000000-0005-0000-0000-0000EB030000}"/>
    <cellStyle name="20% - Ênfase2 20 18" xfId="2221" xr:uid="{00000000-0005-0000-0000-0000EC030000}"/>
    <cellStyle name="20% - Ênfase2 20 19" xfId="2222" xr:uid="{00000000-0005-0000-0000-0000ED030000}"/>
    <cellStyle name="20% - Ênfase2 20 2" xfId="2223" xr:uid="{00000000-0005-0000-0000-0000EE030000}"/>
    <cellStyle name="20% - Ênfase2 20 20" xfId="2224" xr:uid="{00000000-0005-0000-0000-0000EF030000}"/>
    <cellStyle name="20% - Ênfase2 20 3" xfId="2225" xr:uid="{00000000-0005-0000-0000-0000F0030000}"/>
    <cellStyle name="20% - Ênfase2 20 4" xfId="2226" xr:uid="{00000000-0005-0000-0000-0000F1030000}"/>
    <cellStyle name="20% - Ênfase2 20 5" xfId="2227" xr:uid="{00000000-0005-0000-0000-0000F2030000}"/>
    <cellStyle name="20% - Ênfase2 20 6" xfId="2228" xr:uid="{00000000-0005-0000-0000-0000F3030000}"/>
    <cellStyle name="20% - Ênfase2 20 7" xfId="2229" xr:uid="{00000000-0005-0000-0000-0000F4030000}"/>
    <cellStyle name="20% - Ênfase2 20 8" xfId="2230" xr:uid="{00000000-0005-0000-0000-0000F5030000}"/>
    <cellStyle name="20% - Ênfase2 20 9" xfId="2231" xr:uid="{00000000-0005-0000-0000-0000F6030000}"/>
    <cellStyle name="20% - Ênfase2 21" xfId="390" xr:uid="{00000000-0005-0000-0000-0000F7030000}"/>
    <cellStyle name="20% - Ênfase2 21 10" xfId="2232" xr:uid="{00000000-0005-0000-0000-0000F8030000}"/>
    <cellStyle name="20% - Ênfase2 21 11" xfId="2233" xr:uid="{00000000-0005-0000-0000-0000F9030000}"/>
    <cellStyle name="20% - Ênfase2 21 12" xfId="2234" xr:uid="{00000000-0005-0000-0000-0000FA030000}"/>
    <cellStyle name="20% - Ênfase2 21 13" xfId="2235" xr:uid="{00000000-0005-0000-0000-0000FB030000}"/>
    <cellStyle name="20% - Ênfase2 21 14" xfId="2236" xr:uid="{00000000-0005-0000-0000-0000FC030000}"/>
    <cellStyle name="20% - Ênfase2 21 15" xfId="2237" xr:uid="{00000000-0005-0000-0000-0000FD030000}"/>
    <cellStyle name="20% - Ênfase2 21 16" xfId="2238" xr:uid="{00000000-0005-0000-0000-0000FE030000}"/>
    <cellStyle name="20% - Ênfase2 21 17" xfId="2239" xr:uid="{00000000-0005-0000-0000-0000FF030000}"/>
    <cellStyle name="20% - Ênfase2 21 18" xfId="2240" xr:uid="{00000000-0005-0000-0000-000000040000}"/>
    <cellStyle name="20% - Ênfase2 21 19" xfId="2241" xr:uid="{00000000-0005-0000-0000-000001040000}"/>
    <cellStyle name="20% - Ênfase2 21 2" xfId="2242" xr:uid="{00000000-0005-0000-0000-000002040000}"/>
    <cellStyle name="20% - Ênfase2 21 20" xfId="2243" xr:uid="{00000000-0005-0000-0000-000003040000}"/>
    <cellStyle name="20% - Ênfase2 21 3" xfId="2244" xr:uid="{00000000-0005-0000-0000-000004040000}"/>
    <cellStyle name="20% - Ênfase2 21 4" xfId="2245" xr:uid="{00000000-0005-0000-0000-000005040000}"/>
    <cellStyle name="20% - Ênfase2 21 5" xfId="2246" xr:uid="{00000000-0005-0000-0000-000006040000}"/>
    <cellStyle name="20% - Ênfase2 21 6" xfId="2247" xr:uid="{00000000-0005-0000-0000-000007040000}"/>
    <cellStyle name="20% - Ênfase2 21 7" xfId="2248" xr:uid="{00000000-0005-0000-0000-000008040000}"/>
    <cellStyle name="20% - Ênfase2 21 8" xfId="2249" xr:uid="{00000000-0005-0000-0000-000009040000}"/>
    <cellStyle name="20% - Ênfase2 21 9" xfId="2250" xr:uid="{00000000-0005-0000-0000-00000A040000}"/>
    <cellStyle name="20% - Ênfase2 22" xfId="408" xr:uid="{00000000-0005-0000-0000-00000B040000}"/>
    <cellStyle name="20% - Ênfase2 22 10" xfId="2251" xr:uid="{00000000-0005-0000-0000-00000C040000}"/>
    <cellStyle name="20% - Ênfase2 22 11" xfId="2252" xr:uid="{00000000-0005-0000-0000-00000D040000}"/>
    <cellStyle name="20% - Ênfase2 22 12" xfId="2253" xr:uid="{00000000-0005-0000-0000-00000E040000}"/>
    <cellStyle name="20% - Ênfase2 22 13" xfId="2254" xr:uid="{00000000-0005-0000-0000-00000F040000}"/>
    <cellStyle name="20% - Ênfase2 22 14" xfId="2255" xr:uid="{00000000-0005-0000-0000-000010040000}"/>
    <cellStyle name="20% - Ênfase2 22 15" xfId="2256" xr:uid="{00000000-0005-0000-0000-000011040000}"/>
    <cellStyle name="20% - Ênfase2 22 16" xfId="2257" xr:uid="{00000000-0005-0000-0000-000012040000}"/>
    <cellStyle name="20% - Ênfase2 22 17" xfId="2258" xr:uid="{00000000-0005-0000-0000-000013040000}"/>
    <cellStyle name="20% - Ênfase2 22 18" xfId="2259" xr:uid="{00000000-0005-0000-0000-000014040000}"/>
    <cellStyle name="20% - Ênfase2 22 19" xfId="2260" xr:uid="{00000000-0005-0000-0000-000015040000}"/>
    <cellStyle name="20% - Ênfase2 22 2" xfId="2261" xr:uid="{00000000-0005-0000-0000-000016040000}"/>
    <cellStyle name="20% - Ênfase2 22 20" xfId="2262" xr:uid="{00000000-0005-0000-0000-000017040000}"/>
    <cellStyle name="20% - Ênfase2 22 3" xfId="2263" xr:uid="{00000000-0005-0000-0000-000018040000}"/>
    <cellStyle name="20% - Ênfase2 22 4" xfId="2264" xr:uid="{00000000-0005-0000-0000-000019040000}"/>
    <cellStyle name="20% - Ênfase2 22 5" xfId="2265" xr:uid="{00000000-0005-0000-0000-00001A040000}"/>
    <cellStyle name="20% - Ênfase2 22 6" xfId="2266" xr:uid="{00000000-0005-0000-0000-00001B040000}"/>
    <cellStyle name="20% - Ênfase2 22 7" xfId="2267" xr:uid="{00000000-0005-0000-0000-00001C040000}"/>
    <cellStyle name="20% - Ênfase2 22 8" xfId="2268" xr:uid="{00000000-0005-0000-0000-00001D040000}"/>
    <cellStyle name="20% - Ênfase2 22 9" xfId="2269" xr:uid="{00000000-0005-0000-0000-00001E040000}"/>
    <cellStyle name="20% - Ênfase2 23" xfId="426" xr:uid="{00000000-0005-0000-0000-00001F040000}"/>
    <cellStyle name="20% - Ênfase2 23 10" xfId="2270" xr:uid="{00000000-0005-0000-0000-000020040000}"/>
    <cellStyle name="20% - Ênfase2 23 11" xfId="2271" xr:uid="{00000000-0005-0000-0000-000021040000}"/>
    <cellStyle name="20% - Ênfase2 23 12" xfId="2272" xr:uid="{00000000-0005-0000-0000-000022040000}"/>
    <cellStyle name="20% - Ênfase2 23 13" xfId="2273" xr:uid="{00000000-0005-0000-0000-000023040000}"/>
    <cellStyle name="20% - Ênfase2 23 14" xfId="2274" xr:uid="{00000000-0005-0000-0000-000024040000}"/>
    <cellStyle name="20% - Ênfase2 23 15" xfId="2275" xr:uid="{00000000-0005-0000-0000-000025040000}"/>
    <cellStyle name="20% - Ênfase2 23 16" xfId="2276" xr:uid="{00000000-0005-0000-0000-000026040000}"/>
    <cellStyle name="20% - Ênfase2 23 17" xfId="2277" xr:uid="{00000000-0005-0000-0000-000027040000}"/>
    <cellStyle name="20% - Ênfase2 23 18" xfId="2278" xr:uid="{00000000-0005-0000-0000-000028040000}"/>
    <cellStyle name="20% - Ênfase2 23 19" xfId="2279" xr:uid="{00000000-0005-0000-0000-000029040000}"/>
    <cellStyle name="20% - Ênfase2 23 2" xfId="2280" xr:uid="{00000000-0005-0000-0000-00002A040000}"/>
    <cellStyle name="20% - Ênfase2 23 20" xfId="2281" xr:uid="{00000000-0005-0000-0000-00002B040000}"/>
    <cellStyle name="20% - Ênfase2 23 3" xfId="2282" xr:uid="{00000000-0005-0000-0000-00002C040000}"/>
    <cellStyle name="20% - Ênfase2 23 4" xfId="2283" xr:uid="{00000000-0005-0000-0000-00002D040000}"/>
    <cellStyle name="20% - Ênfase2 23 5" xfId="2284" xr:uid="{00000000-0005-0000-0000-00002E040000}"/>
    <cellStyle name="20% - Ênfase2 23 6" xfId="2285" xr:uid="{00000000-0005-0000-0000-00002F040000}"/>
    <cellStyle name="20% - Ênfase2 23 7" xfId="2286" xr:uid="{00000000-0005-0000-0000-000030040000}"/>
    <cellStyle name="20% - Ênfase2 23 8" xfId="2287" xr:uid="{00000000-0005-0000-0000-000031040000}"/>
    <cellStyle name="20% - Ênfase2 23 9" xfId="2288" xr:uid="{00000000-0005-0000-0000-000032040000}"/>
    <cellStyle name="20% - Ênfase2 24" xfId="444" xr:uid="{00000000-0005-0000-0000-000033040000}"/>
    <cellStyle name="20% - Ênfase2 24 10" xfId="2289" xr:uid="{00000000-0005-0000-0000-000034040000}"/>
    <cellStyle name="20% - Ênfase2 24 11" xfId="2290" xr:uid="{00000000-0005-0000-0000-000035040000}"/>
    <cellStyle name="20% - Ênfase2 24 12" xfId="2291" xr:uid="{00000000-0005-0000-0000-000036040000}"/>
    <cellStyle name="20% - Ênfase2 24 13" xfId="2292" xr:uid="{00000000-0005-0000-0000-000037040000}"/>
    <cellStyle name="20% - Ênfase2 24 14" xfId="2293" xr:uid="{00000000-0005-0000-0000-000038040000}"/>
    <cellStyle name="20% - Ênfase2 24 15" xfId="2294" xr:uid="{00000000-0005-0000-0000-000039040000}"/>
    <cellStyle name="20% - Ênfase2 24 16" xfId="2295" xr:uid="{00000000-0005-0000-0000-00003A040000}"/>
    <cellStyle name="20% - Ênfase2 24 17" xfId="2296" xr:uid="{00000000-0005-0000-0000-00003B040000}"/>
    <cellStyle name="20% - Ênfase2 24 18" xfId="2297" xr:uid="{00000000-0005-0000-0000-00003C040000}"/>
    <cellStyle name="20% - Ênfase2 24 19" xfId="2298" xr:uid="{00000000-0005-0000-0000-00003D040000}"/>
    <cellStyle name="20% - Ênfase2 24 2" xfId="2299" xr:uid="{00000000-0005-0000-0000-00003E040000}"/>
    <cellStyle name="20% - Ênfase2 24 20" xfId="2300" xr:uid="{00000000-0005-0000-0000-00003F040000}"/>
    <cellStyle name="20% - Ênfase2 24 3" xfId="2301" xr:uid="{00000000-0005-0000-0000-000040040000}"/>
    <cellStyle name="20% - Ênfase2 24 4" xfId="2302" xr:uid="{00000000-0005-0000-0000-000041040000}"/>
    <cellStyle name="20% - Ênfase2 24 5" xfId="2303" xr:uid="{00000000-0005-0000-0000-000042040000}"/>
    <cellStyle name="20% - Ênfase2 24 6" xfId="2304" xr:uid="{00000000-0005-0000-0000-000043040000}"/>
    <cellStyle name="20% - Ênfase2 24 7" xfId="2305" xr:uid="{00000000-0005-0000-0000-000044040000}"/>
    <cellStyle name="20% - Ênfase2 24 8" xfId="2306" xr:uid="{00000000-0005-0000-0000-000045040000}"/>
    <cellStyle name="20% - Ênfase2 24 9" xfId="2307" xr:uid="{00000000-0005-0000-0000-000046040000}"/>
    <cellStyle name="20% - Ênfase2 25" xfId="462" xr:uid="{00000000-0005-0000-0000-000047040000}"/>
    <cellStyle name="20% - Ênfase2 25 10" xfId="2308" xr:uid="{00000000-0005-0000-0000-000048040000}"/>
    <cellStyle name="20% - Ênfase2 25 11" xfId="2309" xr:uid="{00000000-0005-0000-0000-000049040000}"/>
    <cellStyle name="20% - Ênfase2 25 12" xfId="2310" xr:uid="{00000000-0005-0000-0000-00004A040000}"/>
    <cellStyle name="20% - Ênfase2 25 13" xfId="2311" xr:uid="{00000000-0005-0000-0000-00004B040000}"/>
    <cellStyle name="20% - Ênfase2 25 14" xfId="2312" xr:uid="{00000000-0005-0000-0000-00004C040000}"/>
    <cellStyle name="20% - Ênfase2 25 15" xfId="2313" xr:uid="{00000000-0005-0000-0000-00004D040000}"/>
    <cellStyle name="20% - Ênfase2 25 16" xfId="2314" xr:uid="{00000000-0005-0000-0000-00004E040000}"/>
    <cellStyle name="20% - Ênfase2 25 17" xfId="2315" xr:uid="{00000000-0005-0000-0000-00004F040000}"/>
    <cellStyle name="20% - Ênfase2 25 18" xfId="2316" xr:uid="{00000000-0005-0000-0000-000050040000}"/>
    <cellStyle name="20% - Ênfase2 25 19" xfId="2317" xr:uid="{00000000-0005-0000-0000-000051040000}"/>
    <cellStyle name="20% - Ênfase2 25 2" xfId="2318" xr:uid="{00000000-0005-0000-0000-000052040000}"/>
    <cellStyle name="20% - Ênfase2 25 20" xfId="2319" xr:uid="{00000000-0005-0000-0000-000053040000}"/>
    <cellStyle name="20% - Ênfase2 25 3" xfId="2320" xr:uid="{00000000-0005-0000-0000-000054040000}"/>
    <cellStyle name="20% - Ênfase2 25 4" xfId="2321" xr:uid="{00000000-0005-0000-0000-000055040000}"/>
    <cellStyle name="20% - Ênfase2 25 5" xfId="2322" xr:uid="{00000000-0005-0000-0000-000056040000}"/>
    <cellStyle name="20% - Ênfase2 25 6" xfId="2323" xr:uid="{00000000-0005-0000-0000-000057040000}"/>
    <cellStyle name="20% - Ênfase2 25 7" xfId="2324" xr:uid="{00000000-0005-0000-0000-000058040000}"/>
    <cellStyle name="20% - Ênfase2 25 8" xfId="2325" xr:uid="{00000000-0005-0000-0000-000059040000}"/>
    <cellStyle name="20% - Ênfase2 25 9" xfId="2326" xr:uid="{00000000-0005-0000-0000-00005A040000}"/>
    <cellStyle name="20% - Ênfase2 26" xfId="480" xr:uid="{00000000-0005-0000-0000-00005B040000}"/>
    <cellStyle name="20% - Ênfase2 26 10" xfId="2327" xr:uid="{00000000-0005-0000-0000-00005C040000}"/>
    <cellStyle name="20% - Ênfase2 26 11" xfId="2328" xr:uid="{00000000-0005-0000-0000-00005D040000}"/>
    <cellStyle name="20% - Ênfase2 26 12" xfId="2329" xr:uid="{00000000-0005-0000-0000-00005E040000}"/>
    <cellStyle name="20% - Ênfase2 26 13" xfId="2330" xr:uid="{00000000-0005-0000-0000-00005F040000}"/>
    <cellStyle name="20% - Ênfase2 26 14" xfId="2331" xr:uid="{00000000-0005-0000-0000-000060040000}"/>
    <cellStyle name="20% - Ênfase2 26 15" xfId="2332" xr:uid="{00000000-0005-0000-0000-000061040000}"/>
    <cellStyle name="20% - Ênfase2 26 16" xfId="2333" xr:uid="{00000000-0005-0000-0000-000062040000}"/>
    <cellStyle name="20% - Ênfase2 26 17" xfId="2334" xr:uid="{00000000-0005-0000-0000-000063040000}"/>
    <cellStyle name="20% - Ênfase2 26 18" xfId="2335" xr:uid="{00000000-0005-0000-0000-000064040000}"/>
    <cellStyle name="20% - Ênfase2 26 19" xfId="2336" xr:uid="{00000000-0005-0000-0000-000065040000}"/>
    <cellStyle name="20% - Ênfase2 26 2" xfId="2337" xr:uid="{00000000-0005-0000-0000-000066040000}"/>
    <cellStyle name="20% - Ênfase2 26 20" xfId="2338" xr:uid="{00000000-0005-0000-0000-000067040000}"/>
    <cellStyle name="20% - Ênfase2 26 3" xfId="2339" xr:uid="{00000000-0005-0000-0000-000068040000}"/>
    <cellStyle name="20% - Ênfase2 26 4" xfId="2340" xr:uid="{00000000-0005-0000-0000-000069040000}"/>
    <cellStyle name="20% - Ênfase2 26 5" xfId="2341" xr:uid="{00000000-0005-0000-0000-00006A040000}"/>
    <cellStyle name="20% - Ênfase2 26 6" xfId="2342" xr:uid="{00000000-0005-0000-0000-00006B040000}"/>
    <cellStyle name="20% - Ênfase2 26 7" xfId="2343" xr:uid="{00000000-0005-0000-0000-00006C040000}"/>
    <cellStyle name="20% - Ênfase2 26 8" xfId="2344" xr:uid="{00000000-0005-0000-0000-00006D040000}"/>
    <cellStyle name="20% - Ênfase2 26 9" xfId="2345" xr:uid="{00000000-0005-0000-0000-00006E040000}"/>
    <cellStyle name="20% - Ênfase2 27" xfId="498" xr:uid="{00000000-0005-0000-0000-00006F040000}"/>
    <cellStyle name="20% - Ênfase2 27 10" xfId="2346" xr:uid="{00000000-0005-0000-0000-000070040000}"/>
    <cellStyle name="20% - Ênfase2 27 11" xfId="2347" xr:uid="{00000000-0005-0000-0000-000071040000}"/>
    <cellStyle name="20% - Ênfase2 27 12" xfId="2348" xr:uid="{00000000-0005-0000-0000-000072040000}"/>
    <cellStyle name="20% - Ênfase2 27 13" xfId="2349" xr:uid="{00000000-0005-0000-0000-000073040000}"/>
    <cellStyle name="20% - Ênfase2 27 14" xfId="2350" xr:uid="{00000000-0005-0000-0000-000074040000}"/>
    <cellStyle name="20% - Ênfase2 27 15" xfId="2351" xr:uid="{00000000-0005-0000-0000-000075040000}"/>
    <cellStyle name="20% - Ênfase2 27 16" xfId="2352" xr:uid="{00000000-0005-0000-0000-000076040000}"/>
    <cellStyle name="20% - Ênfase2 27 17" xfId="2353" xr:uid="{00000000-0005-0000-0000-000077040000}"/>
    <cellStyle name="20% - Ênfase2 27 18" xfId="2354" xr:uid="{00000000-0005-0000-0000-000078040000}"/>
    <cellStyle name="20% - Ênfase2 27 19" xfId="2355" xr:uid="{00000000-0005-0000-0000-000079040000}"/>
    <cellStyle name="20% - Ênfase2 27 2" xfId="2356" xr:uid="{00000000-0005-0000-0000-00007A040000}"/>
    <cellStyle name="20% - Ênfase2 27 20" xfId="2357" xr:uid="{00000000-0005-0000-0000-00007B040000}"/>
    <cellStyle name="20% - Ênfase2 27 3" xfId="2358" xr:uid="{00000000-0005-0000-0000-00007C040000}"/>
    <cellStyle name="20% - Ênfase2 27 4" xfId="2359" xr:uid="{00000000-0005-0000-0000-00007D040000}"/>
    <cellStyle name="20% - Ênfase2 27 5" xfId="2360" xr:uid="{00000000-0005-0000-0000-00007E040000}"/>
    <cellStyle name="20% - Ênfase2 27 6" xfId="2361" xr:uid="{00000000-0005-0000-0000-00007F040000}"/>
    <cellStyle name="20% - Ênfase2 27 7" xfId="2362" xr:uid="{00000000-0005-0000-0000-000080040000}"/>
    <cellStyle name="20% - Ênfase2 27 8" xfId="2363" xr:uid="{00000000-0005-0000-0000-000081040000}"/>
    <cellStyle name="20% - Ênfase2 27 9" xfId="2364" xr:uid="{00000000-0005-0000-0000-000082040000}"/>
    <cellStyle name="20% - Ênfase2 28" xfId="516" xr:uid="{00000000-0005-0000-0000-000083040000}"/>
    <cellStyle name="20% - Ênfase2 28 10" xfId="2365" xr:uid="{00000000-0005-0000-0000-000084040000}"/>
    <cellStyle name="20% - Ênfase2 28 11" xfId="2366" xr:uid="{00000000-0005-0000-0000-000085040000}"/>
    <cellStyle name="20% - Ênfase2 28 12" xfId="2367" xr:uid="{00000000-0005-0000-0000-000086040000}"/>
    <cellStyle name="20% - Ênfase2 28 13" xfId="2368" xr:uid="{00000000-0005-0000-0000-000087040000}"/>
    <cellStyle name="20% - Ênfase2 28 14" xfId="2369" xr:uid="{00000000-0005-0000-0000-000088040000}"/>
    <cellStyle name="20% - Ênfase2 28 15" xfId="2370" xr:uid="{00000000-0005-0000-0000-000089040000}"/>
    <cellStyle name="20% - Ênfase2 28 16" xfId="2371" xr:uid="{00000000-0005-0000-0000-00008A040000}"/>
    <cellStyle name="20% - Ênfase2 28 17" xfId="2372" xr:uid="{00000000-0005-0000-0000-00008B040000}"/>
    <cellStyle name="20% - Ênfase2 28 18" xfId="2373" xr:uid="{00000000-0005-0000-0000-00008C040000}"/>
    <cellStyle name="20% - Ênfase2 28 19" xfId="2374" xr:uid="{00000000-0005-0000-0000-00008D040000}"/>
    <cellStyle name="20% - Ênfase2 28 2" xfId="2375" xr:uid="{00000000-0005-0000-0000-00008E040000}"/>
    <cellStyle name="20% - Ênfase2 28 20" xfId="2376" xr:uid="{00000000-0005-0000-0000-00008F040000}"/>
    <cellStyle name="20% - Ênfase2 28 3" xfId="2377" xr:uid="{00000000-0005-0000-0000-000090040000}"/>
    <cellStyle name="20% - Ênfase2 28 4" xfId="2378" xr:uid="{00000000-0005-0000-0000-000091040000}"/>
    <cellStyle name="20% - Ênfase2 28 5" xfId="2379" xr:uid="{00000000-0005-0000-0000-000092040000}"/>
    <cellStyle name="20% - Ênfase2 28 6" xfId="2380" xr:uid="{00000000-0005-0000-0000-000093040000}"/>
    <cellStyle name="20% - Ênfase2 28 7" xfId="2381" xr:uid="{00000000-0005-0000-0000-000094040000}"/>
    <cellStyle name="20% - Ênfase2 28 8" xfId="2382" xr:uid="{00000000-0005-0000-0000-000095040000}"/>
    <cellStyle name="20% - Ênfase2 28 9" xfId="2383" xr:uid="{00000000-0005-0000-0000-000096040000}"/>
    <cellStyle name="20% - Ênfase2 29" xfId="534" xr:uid="{00000000-0005-0000-0000-000097040000}"/>
    <cellStyle name="20% - Ênfase2 29 10" xfId="2384" xr:uid="{00000000-0005-0000-0000-000098040000}"/>
    <cellStyle name="20% - Ênfase2 29 11" xfId="2385" xr:uid="{00000000-0005-0000-0000-000099040000}"/>
    <cellStyle name="20% - Ênfase2 29 12" xfId="2386" xr:uid="{00000000-0005-0000-0000-00009A040000}"/>
    <cellStyle name="20% - Ênfase2 29 13" xfId="2387" xr:uid="{00000000-0005-0000-0000-00009B040000}"/>
    <cellStyle name="20% - Ênfase2 29 14" xfId="2388" xr:uid="{00000000-0005-0000-0000-00009C040000}"/>
    <cellStyle name="20% - Ênfase2 29 15" xfId="2389" xr:uid="{00000000-0005-0000-0000-00009D040000}"/>
    <cellStyle name="20% - Ênfase2 29 16" xfId="2390" xr:uid="{00000000-0005-0000-0000-00009E040000}"/>
    <cellStyle name="20% - Ênfase2 29 17" xfId="2391" xr:uid="{00000000-0005-0000-0000-00009F040000}"/>
    <cellStyle name="20% - Ênfase2 29 18" xfId="2392" xr:uid="{00000000-0005-0000-0000-0000A0040000}"/>
    <cellStyle name="20% - Ênfase2 29 19" xfId="2393" xr:uid="{00000000-0005-0000-0000-0000A1040000}"/>
    <cellStyle name="20% - Ênfase2 29 2" xfId="2394" xr:uid="{00000000-0005-0000-0000-0000A2040000}"/>
    <cellStyle name="20% - Ênfase2 29 20" xfId="2395" xr:uid="{00000000-0005-0000-0000-0000A3040000}"/>
    <cellStyle name="20% - Ênfase2 29 3" xfId="2396" xr:uid="{00000000-0005-0000-0000-0000A4040000}"/>
    <cellStyle name="20% - Ênfase2 29 4" xfId="2397" xr:uid="{00000000-0005-0000-0000-0000A5040000}"/>
    <cellStyle name="20% - Ênfase2 29 5" xfId="2398" xr:uid="{00000000-0005-0000-0000-0000A6040000}"/>
    <cellStyle name="20% - Ênfase2 29 6" xfId="2399" xr:uid="{00000000-0005-0000-0000-0000A7040000}"/>
    <cellStyle name="20% - Ênfase2 29 7" xfId="2400" xr:uid="{00000000-0005-0000-0000-0000A8040000}"/>
    <cellStyle name="20% - Ênfase2 29 8" xfId="2401" xr:uid="{00000000-0005-0000-0000-0000A9040000}"/>
    <cellStyle name="20% - Ênfase2 29 9" xfId="2402" xr:uid="{00000000-0005-0000-0000-0000AA040000}"/>
    <cellStyle name="20% - Ênfase2 3" xfId="61" xr:uid="{00000000-0005-0000-0000-0000AB040000}"/>
    <cellStyle name="20% - Ênfase2 3 10" xfId="2403" xr:uid="{00000000-0005-0000-0000-0000AC040000}"/>
    <cellStyle name="20% - Ênfase2 3 11" xfId="2404" xr:uid="{00000000-0005-0000-0000-0000AD040000}"/>
    <cellStyle name="20% - Ênfase2 3 12" xfId="2405" xr:uid="{00000000-0005-0000-0000-0000AE040000}"/>
    <cellStyle name="20% - Ênfase2 3 13" xfId="2406" xr:uid="{00000000-0005-0000-0000-0000AF040000}"/>
    <cellStyle name="20% - Ênfase2 3 14" xfId="2407" xr:uid="{00000000-0005-0000-0000-0000B0040000}"/>
    <cellStyle name="20% - Ênfase2 3 15" xfId="2408" xr:uid="{00000000-0005-0000-0000-0000B1040000}"/>
    <cellStyle name="20% - Ênfase2 3 16" xfId="2409" xr:uid="{00000000-0005-0000-0000-0000B2040000}"/>
    <cellStyle name="20% - Ênfase2 3 17" xfId="2410" xr:uid="{00000000-0005-0000-0000-0000B3040000}"/>
    <cellStyle name="20% - Ênfase2 3 18" xfId="2411" xr:uid="{00000000-0005-0000-0000-0000B4040000}"/>
    <cellStyle name="20% - Ênfase2 3 19" xfId="2412" xr:uid="{00000000-0005-0000-0000-0000B5040000}"/>
    <cellStyle name="20% - Ênfase2 3 2" xfId="2413" xr:uid="{00000000-0005-0000-0000-0000B6040000}"/>
    <cellStyle name="20% - Ênfase2 3 20" xfId="2414" xr:uid="{00000000-0005-0000-0000-0000B7040000}"/>
    <cellStyle name="20% - Ênfase2 3 3" xfId="2415" xr:uid="{00000000-0005-0000-0000-0000B8040000}"/>
    <cellStyle name="20% - Ênfase2 3 4" xfId="2416" xr:uid="{00000000-0005-0000-0000-0000B9040000}"/>
    <cellStyle name="20% - Ênfase2 3 5" xfId="2417" xr:uid="{00000000-0005-0000-0000-0000BA040000}"/>
    <cellStyle name="20% - Ênfase2 3 6" xfId="2418" xr:uid="{00000000-0005-0000-0000-0000BB040000}"/>
    <cellStyle name="20% - Ênfase2 3 7" xfId="2419" xr:uid="{00000000-0005-0000-0000-0000BC040000}"/>
    <cellStyle name="20% - Ênfase2 3 8" xfId="2420" xr:uid="{00000000-0005-0000-0000-0000BD040000}"/>
    <cellStyle name="20% - Ênfase2 3 9" xfId="2421" xr:uid="{00000000-0005-0000-0000-0000BE040000}"/>
    <cellStyle name="20% - Ênfase2 30" xfId="552" xr:uid="{00000000-0005-0000-0000-0000BF040000}"/>
    <cellStyle name="20% - Ênfase2 30 10" xfId="2422" xr:uid="{00000000-0005-0000-0000-0000C0040000}"/>
    <cellStyle name="20% - Ênfase2 30 11" xfId="2423" xr:uid="{00000000-0005-0000-0000-0000C1040000}"/>
    <cellStyle name="20% - Ênfase2 30 12" xfId="2424" xr:uid="{00000000-0005-0000-0000-0000C2040000}"/>
    <cellStyle name="20% - Ênfase2 30 13" xfId="2425" xr:uid="{00000000-0005-0000-0000-0000C3040000}"/>
    <cellStyle name="20% - Ênfase2 30 14" xfId="2426" xr:uid="{00000000-0005-0000-0000-0000C4040000}"/>
    <cellStyle name="20% - Ênfase2 30 15" xfId="2427" xr:uid="{00000000-0005-0000-0000-0000C5040000}"/>
    <cellStyle name="20% - Ênfase2 30 16" xfId="2428" xr:uid="{00000000-0005-0000-0000-0000C6040000}"/>
    <cellStyle name="20% - Ênfase2 30 17" xfId="2429" xr:uid="{00000000-0005-0000-0000-0000C7040000}"/>
    <cellStyle name="20% - Ênfase2 30 18" xfId="2430" xr:uid="{00000000-0005-0000-0000-0000C8040000}"/>
    <cellStyle name="20% - Ênfase2 30 19" xfId="2431" xr:uid="{00000000-0005-0000-0000-0000C9040000}"/>
    <cellStyle name="20% - Ênfase2 30 2" xfId="2432" xr:uid="{00000000-0005-0000-0000-0000CA040000}"/>
    <cellStyle name="20% - Ênfase2 30 20" xfId="2433" xr:uid="{00000000-0005-0000-0000-0000CB040000}"/>
    <cellStyle name="20% - Ênfase2 30 3" xfId="2434" xr:uid="{00000000-0005-0000-0000-0000CC040000}"/>
    <cellStyle name="20% - Ênfase2 30 4" xfId="2435" xr:uid="{00000000-0005-0000-0000-0000CD040000}"/>
    <cellStyle name="20% - Ênfase2 30 5" xfId="2436" xr:uid="{00000000-0005-0000-0000-0000CE040000}"/>
    <cellStyle name="20% - Ênfase2 30 6" xfId="2437" xr:uid="{00000000-0005-0000-0000-0000CF040000}"/>
    <cellStyle name="20% - Ênfase2 30 7" xfId="2438" xr:uid="{00000000-0005-0000-0000-0000D0040000}"/>
    <cellStyle name="20% - Ênfase2 30 8" xfId="2439" xr:uid="{00000000-0005-0000-0000-0000D1040000}"/>
    <cellStyle name="20% - Ênfase2 30 9" xfId="2440" xr:uid="{00000000-0005-0000-0000-0000D2040000}"/>
    <cellStyle name="20% - Ênfase2 31" xfId="570" xr:uid="{00000000-0005-0000-0000-0000D3040000}"/>
    <cellStyle name="20% - Ênfase2 31 10" xfId="2441" xr:uid="{00000000-0005-0000-0000-0000D4040000}"/>
    <cellStyle name="20% - Ênfase2 31 11" xfId="2442" xr:uid="{00000000-0005-0000-0000-0000D5040000}"/>
    <cellStyle name="20% - Ênfase2 31 12" xfId="2443" xr:uid="{00000000-0005-0000-0000-0000D6040000}"/>
    <cellStyle name="20% - Ênfase2 31 13" xfId="2444" xr:uid="{00000000-0005-0000-0000-0000D7040000}"/>
    <cellStyle name="20% - Ênfase2 31 14" xfId="2445" xr:uid="{00000000-0005-0000-0000-0000D8040000}"/>
    <cellStyle name="20% - Ênfase2 31 15" xfId="2446" xr:uid="{00000000-0005-0000-0000-0000D9040000}"/>
    <cellStyle name="20% - Ênfase2 31 16" xfId="2447" xr:uid="{00000000-0005-0000-0000-0000DA040000}"/>
    <cellStyle name="20% - Ênfase2 31 17" xfId="2448" xr:uid="{00000000-0005-0000-0000-0000DB040000}"/>
    <cellStyle name="20% - Ênfase2 31 18" xfId="2449" xr:uid="{00000000-0005-0000-0000-0000DC040000}"/>
    <cellStyle name="20% - Ênfase2 31 19" xfId="2450" xr:uid="{00000000-0005-0000-0000-0000DD040000}"/>
    <cellStyle name="20% - Ênfase2 31 2" xfId="2451" xr:uid="{00000000-0005-0000-0000-0000DE040000}"/>
    <cellStyle name="20% - Ênfase2 31 20" xfId="2452" xr:uid="{00000000-0005-0000-0000-0000DF040000}"/>
    <cellStyle name="20% - Ênfase2 31 3" xfId="2453" xr:uid="{00000000-0005-0000-0000-0000E0040000}"/>
    <cellStyle name="20% - Ênfase2 31 4" xfId="2454" xr:uid="{00000000-0005-0000-0000-0000E1040000}"/>
    <cellStyle name="20% - Ênfase2 31 5" xfId="2455" xr:uid="{00000000-0005-0000-0000-0000E2040000}"/>
    <cellStyle name="20% - Ênfase2 31 6" xfId="2456" xr:uid="{00000000-0005-0000-0000-0000E3040000}"/>
    <cellStyle name="20% - Ênfase2 31 7" xfId="2457" xr:uid="{00000000-0005-0000-0000-0000E4040000}"/>
    <cellStyle name="20% - Ênfase2 31 8" xfId="2458" xr:uid="{00000000-0005-0000-0000-0000E5040000}"/>
    <cellStyle name="20% - Ênfase2 31 9" xfId="2459" xr:uid="{00000000-0005-0000-0000-0000E6040000}"/>
    <cellStyle name="20% - Ênfase2 32" xfId="588" xr:uid="{00000000-0005-0000-0000-0000E7040000}"/>
    <cellStyle name="20% - Ênfase2 32 10" xfId="2460" xr:uid="{00000000-0005-0000-0000-0000E8040000}"/>
    <cellStyle name="20% - Ênfase2 32 11" xfId="2461" xr:uid="{00000000-0005-0000-0000-0000E9040000}"/>
    <cellStyle name="20% - Ênfase2 32 12" xfId="2462" xr:uid="{00000000-0005-0000-0000-0000EA040000}"/>
    <cellStyle name="20% - Ênfase2 32 13" xfId="2463" xr:uid="{00000000-0005-0000-0000-0000EB040000}"/>
    <cellStyle name="20% - Ênfase2 32 14" xfId="2464" xr:uid="{00000000-0005-0000-0000-0000EC040000}"/>
    <cellStyle name="20% - Ênfase2 32 15" xfId="2465" xr:uid="{00000000-0005-0000-0000-0000ED040000}"/>
    <cellStyle name="20% - Ênfase2 32 16" xfId="2466" xr:uid="{00000000-0005-0000-0000-0000EE040000}"/>
    <cellStyle name="20% - Ênfase2 32 17" xfId="2467" xr:uid="{00000000-0005-0000-0000-0000EF040000}"/>
    <cellStyle name="20% - Ênfase2 32 18" xfId="2468" xr:uid="{00000000-0005-0000-0000-0000F0040000}"/>
    <cellStyle name="20% - Ênfase2 32 19" xfId="2469" xr:uid="{00000000-0005-0000-0000-0000F1040000}"/>
    <cellStyle name="20% - Ênfase2 32 2" xfId="2470" xr:uid="{00000000-0005-0000-0000-0000F2040000}"/>
    <cellStyle name="20% - Ênfase2 32 20" xfId="2471" xr:uid="{00000000-0005-0000-0000-0000F3040000}"/>
    <cellStyle name="20% - Ênfase2 32 3" xfId="2472" xr:uid="{00000000-0005-0000-0000-0000F4040000}"/>
    <cellStyle name="20% - Ênfase2 32 4" xfId="2473" xr:uid="{00000000-0005-0000-0000-0000F5040000}"/>
    <cellStyle name="20% - Ênfase2 32 5" xfId="2474" xr:uid="{00000000-0005-0000-0000-0000F6040000}"/>
    <cellStyle name="20% - Ênfase2 32 6" xfId="2475" xr:uid="{00000000-0005-0000-0000-0000F7040000}"/>
    <cellStyle name="20% - Ênfase2 32 7" xfId="2476" xr:uid="{00000000-0005-0000-0000-0000F8040000}"/>
    <cellStyle name="20% - Ênfase2 32 8" xfId="2477" xr:uid="{00000000-0005-0000-0000-0000F9040000}"/>
    <cellStyle name="20% - Ênfase2 32 9" xfId="2478" xr:uid="{00000000-0005-0000-0000-0000FA040000}"/>
    <cellStyle name="20% - Ênfase2 33" xfId="606" xr:uid="{00000000-0005-0000-0000-0000FB040000}"/>
    <cellStyle name="20% - Ênfase2 33 10" xfId="2479" xr:uid="{00000000-0005-0000-0000-0000FC040000}"/>
    <cellStyle name="20% - Ênfase2 33 11" xfId="2480" xr:uid="{00000000-0005-0000-0000-0000FD040000}"/>
    <cellStyle name="20% - Ênfase2 33 12" xfId="2481" xr:uid="{00000000-0005-0000-0000-0000FE040000}"/>
    <cellStyle name="20% - Ênfase2 33 13" xfId="2482" xr:uid="{00000000-0005-0000-0000-0000FF040000}"/>
    <cellStyle name="20% - Ênfase2 33 14" xfId="2483" xr:uid="{00000000-0005-0000-0000-000000050000}"/>
    <cellStyle name="20% - Ênfase2 33 15" xfId="2484" xr:uid="{00000000-0005-0000-0000-000001050000}"/>
    <cellStyle name="20% - Ênfase2 33 16" xfId="2485" xr:uid="{00000000-0005-0000-0000-000002050000}"/>
    <cellStyle name="20% - Ênfase2 33 17" xfId="2486" xr:uid="{00000000-0005-0000-0000-000003050000}"/>
    <cellStyle name="20% - Ênfase2 33 18" xfId="2487" xr:uid="{00000000-0005-0000-0000-000004050000}"/>
    <cellStyle name="20% - Ênfase2 33 19" xfId="2488" xr:uid="{00000000-0005-0000-0000-000005050000}"/>
    <cellStyle name="20% - Ênfase2 33 2" xfId="2489" xr:uid="{00000000-0005-0000-0000-000006050000}"/>
    <cellStyle name="20% - Ênfase2 33 20" xfId="2490" xr:uid="{00000000-0005-0000-0000-000007050000}"/>
    <cellStyle name="20% - Ênfase2 33 3" xfId="2491" xr:uid="{00000000-0005-0000-0000-000008050000}"/>
    <cellStyle name="20% - Ênfase2 33 4" xfId="2492" xr:uid="{00000000-0005-0000-0000-000009050000}"/>
    <cellStyle name="20% - Ênfase2 33 5" xfId="2493" xr:uid="{00000000-0005-0000-0000-00000A050000}"/>
    <cellStyle name="20% - Ênfase2 33 6" xfId="2494" xr:uid="{00000000-0005-0000-0000-00000B050000}"/>
    <cellStyle name="20% - Ênfase2 33 7" xfId="2495" xr:uid="{00000000-0005-0000-0000-00000C050000}"/>
    <cellStyle name="20% - Ênfase2 33 8" xfId="2496" xr:uid="{00000000-0005-0000-0000-00000D050000}"/>
    <cellStyle name="20% - Ênfase2 33 9" xfId="2497" xr:uid="{00000000-0005-0000-0000-00000E050000}"/>
    <cellStyle name="20% - Ênfase2 34" xfId="624" xr:uid="{00000000-0005-0000-0000-00000F050000}"/>
    <cellStyle name="20% - Ênfase2 34 10" xfId="2498" xr:uid="{00000000-0005-0000-0000-000010050000}"/>
    <cellStyle name="20% - Ênfase2 34 11" xfId="2499" xr:uid="{00000000-0005-0000-0000-000011050000}"/>
    <cellStyle name="20% - Ênfase2 34 12" xfId="2500" xr:uid="{00000000-0005-0000-0000-000012050000}"/>
    <cellStyle name="20% - Ênfase2 34 13" xfId="2501" xr:uid="{00000000-0005-0000-0000-000013050000}"/>
    <cellStyle name="20% - Ênfase2 34 14" xfId="2502" xr:uid="{00000000-0005-0000-0000-000014050000}"/>
    <cellStyle name="20% - Ênfase2 34 15" xfId="2503" xr:uid="{00000000-0005-0000-0000-000015050000}"/>
    <cellStyle name="20% - Ênfase2 34 16" xfId="2504" xr:uid="{00000000-0005-0000-0000-000016050000}"/>
    <cellStyle name="20% - Ênfase2 34 17" xfId="2505" xr:uid="{00000000-0005-0000-0000-000017050000}"/>
    <cellStyle name="20% - Ênfase2 34 18" xfId="2506" xr:uid="{00000000-0005-0000-0000-000018050000}"/>
    <cellStyle name="20% - Ênfase2 34 19" xfId="2507" xr:uid="{00000000-0005-0000-0000-000019050000}"/>
    <cellStyle name="20% - Ênfase2 34 2" xfId="2508" xr:uid="{00000000-0005-0000-0000-00001A050000}"/>
    <cellStyle name="20% - Ênfase2 34 20" xfId="2509" xr:uid="{00000000-0005-0000-0000-00001B050000}"/>
    <cellStyle name="20% - Ênfase2 34 3" xfId="2510" xr:uid="{00000000-0005-0000-0000-00001C050000}"/>
    <cellStyle name="20% - Ênfase2 34 4" xfId="2511" xr:uid="{00000000-0005-0000-0000-00001D050000}"/>
    <cellStyle name="20% - Ênfase2 34 5" xfId="2512" xr:uid="{00000000-0005-0000-0000-00001E050000}"/>
    <cellStyle name="20% - Ênfase2 34 6" xfId="2513" xr:uid="{00000000-0005-0000-0000-00001F050000}"/>
    <cellStyle name="20% - Ênfase2 34 7" xfId="2514" xr:uid="{00000000-0005-0000-0000-000020050000}"/>
    <cellStyle name="20% - Ênfase2 34 8" xfId="2515" xr:uid="{00000000-0005-0000-0000-000021050000}"/>
    <cellStyle name="20% - Ênfase2 34 9" xfId="2516" xr:uid="{00000000-0005-0000-0000-000022050000}"/>
    <cellStyle name="20% - Ênfase2 35" xfId="642" xr:uid="{00000000-0005-0000-0000-000023050000}"/>
    <cellStyle name="20% - Ênfase2 35 10" xfId="2517" xr:uid="{00000000-0005-0000-0000-000024050000}"/>
    <cellStyle name="20% - Ênfase2 35 11" xfId="2518" xr:uid="{00000000-0005-0000-0000-000025050000}"/>
    <cellStyle name="20% - Ênfase2 35 12" xfId="2519" xr:uid="{00000000-0005-0000-0000-000026050000}"/>
    <cellStyle name="20% - Ênfase2 35 13" xfId="2520" xr:uid="{00000000-0005-0000-0000-000027050000}"/>
    <cellStyle name="20% - Ênfase2 35 14" xfId="2521" xr:uid="{00000000-0005-0000-0000-000028050000}"/>
    <cellStyle name="20% - Ênfase2 35 15" xfId="2522" xr:uid="{00000000-0005-0000-0000-000029050000}"/>
    <cellStyle name="20% - Ênfase2 35 16" xfId="2523" xr:uid="{00000000-0005-0000-0000-00002A050000}"/>
    <cellStyle name="20% - Ênfase2 35 17" xfId="2524" xr:uid="{00000000-0005-0000-0000-00002B050000}"/>
    <cellStyle name="20% - Ênfase2 35 18" xfId="2525" xr:uid="{00000000-0005-0000-0000-00002C050000}"/>
    <cellStyle name="20% - Ênfase2 35 19" xfId="2526" xr:uid="{00000000-0005-0000-0000-00002D050000}"/>
    <cellStyle name="20% - Ênfase2 35 2" xfId="2527" xr:uid="{00000000-0005-0000-0000-00002E050000}"/>
    <cellStyle name="20% - Ênfase2 35 20" xfId="2528" xr:uid="{00000000-0005-0000-0000-00002F050000}"/>
    <cellStyle name="20% - Ênfase2 35 3" xfId="2529" xr:uid="{00000000-0005-0000-0000-000030050000}"/>
    <cellStyle name="20% - Ênfase2 35 4" xfId="2530" xr:uid="{00000000-0005-0000-0000-000031050000}"/>
    <cellStyle name="20% - Ênfase2 35 5" xfId="2531" xr:uid="{00000000-0005-0000-0000-000032050000}"/>
    <cellStyle name="20% - Ênfase2 35 6" xfId="2532" xr:uid="{00000000-0005-0000-0000-000033050000}"/>
    <cellStyle name="20% - Ênfase2 35 7" xfId="2533" xr:uid="{00000000-0005-0000-0000-000034050000}"/>
    <cellStyle name="20% - Ênfase2 35 8" xfId="2534" xr:uid="{00000000-0005-0000-0000-000035050000}"/>
    <cellStyle name="20% - Ênfase2 35 9" xfId="2535" xr:uid="{00000000-0005-0000-0000-000036050000}"/>
    <cellStyle name="20% - Ênfase2 36" xfId="660" xr:uid="{00000000-0005-0000-0000-000037050000}"/>
    <cellStyle name="20% - Ênfase2 36 10" xfId="2536" xr:uid="{00000000-0005-0000-0000-000038050000}"/>
    <cellStyle name="20% - Ênfase2 36 11" xfId="2537" xr:uid="{00000000-0005-0000-0000-000039050000}"/>
    <cellStyle name="20% - Ênfase2 36 12" xfId="2538" xr:uid="{00000000-0005-0000-0000-00003A050000}"/>
    <cellStyle name="20% - Ênfase2 36 13" xfId="2539" xr:uid="{00000000-0005-0000-0000-00003B050000}"/>
    <cellStyle name="20% - Ênfase2 36 14" xfId="2540" xr:uid="{00000000-0005-0000-0000-00003C050000}"/>
    <cellStyle name="20% - Ênfase2 36 15" xfId="2541" xr:uid="{00000000-0005-0000-0000-00003D050000}"/>
    <cellStyle name="20% - Ênfase2 36 16" xfId="2542" xr:uid="{00000000-0005-0000-0000-00003E050000}"/>
    <cellStyle name="20% - Ênfase2 36 17" xfId="2543" xr:uid="{00000000-0005-0000-0000-00003F050000}"/>
    <cellStyle name="20% - Ênfase2 36 18" xfId="2544" xr:uid="{00000000-0005-0000-0000-000040050000}"/>
    <cellStyle name="20% - Ênfase2 36 19" xfId="2545" xr:uid="{00000000-0005-0000-0000-000041050000}"/>
    <cellStyle name="20% - Ênfase2 36 2" xfId="2546" xr:uid="{00000000-0005-0000-0000-000042050000}"/>
    <cellStyle name="20% - Ênfase2 36 20" xfId="2547" xr:uid="{00000000-0005-0000-0000-000043050000}"/>
    <cellStyle name="20% - Ênfase2 36 3" xfId="2548" xr:uid="{00000000-0005-0000-0000-000044050000}"/>
    <cellStyle name="20% - Ênfase2 36 4" xfId="2549" xr:uid="{00000000-0005-0000-0000-000045050000}"/>
    <cellStyle name="20% - Ênfase2 36 5" xfId="2550" xr:uid="{00000000-0005-0000-0000-000046050000}"/>
    <cellStyle name="20% - Ênfase2 36 6" xfId="2551" xr:uid="{00000000-0005-0000-0000-000047050000}"/>
    <cellStyle name="20% - Ênfase2 36 7" xfId="2552" xr:uid="{00000000-0005-0000-0000-000048050000}"/>
    <cellStyle name="20% - Ênfase2 36 8" xfId="2553" xr:uid="{00000000-0005-0000-0000-000049050000}"/>
    <cellStyle name="20% - Ênfase2 36 9" xfId="2554" xr:uid="{00000000-0005-0000-0000-00004A050000}"/>
    <cellStyle name="20% - Ênfase2 37" xfId="678" xr:uid="{00000000-0005-0000-0000-00004B050000}"/>
    <cellStyle name="20% - Ênfase2 37 10" xfId="2555" xr:uid="{00000000-0005-0000-0000-00004C050000}"/>
    <cellStyle name="20% - Ênfase2 37 11" xfId="2556" xr:uid="{00000000-0005-0000-0000-00004D050000}"/>
    <cellStyle name="20% - Ênfase2 37 12" xfId="2557" xr:uid="{00000000-0005-0000-0000-00004E050000}"/>
    <cellStyle name="20% - Ênfase2 37 13" xfId="2558" xr:uid="{00000000-0005-0000-0000-00004F050000}"/>
    <cellStyle name="20% - Ênfase2 37 14" xfId="2559" xr:uid="{00000000-0005-0000-0000-000050050000}"/>
    <cellStyle name="20% - Ênfase2 37 15" xfId="2560" xr:uid="{00000000-0005-0000-0000-000051050000}"/>
    <cellStyle name="20% - Ênfase2 37 16" xfId="2561" xr:uid="{00000000-0005-0000-0000-000052050000}"/>
    <cellStyle name="20% - Ênfase2 37 17" xfId="2562" xr:uid="{00000000-0005-0000-0000-000053050000}"/>
    <cellStyle name="20% - Ênfase2 37 18" xfId="2563" xr:uid="{00000000-0005-0000-0000-000054050000}"/>
    <cellStyle name="20% - Ênfase2 37 19" xfId="2564" xr:uid="{00000000-0005-0000-0000-000055050000}"/>
    <cellStyle name="20% - Ênfase2 37 2" xfId="2565" xr:uid="{00000000-0005-0000-0000-000056050000}"/>
    <cellStyle name="20% - Ênfase2 37 20" xfId="2566" xr:uid="{00000000-0005-0000-0000-000057050000}"/>
    <cellStyle name="20% - Ênfase2 37 3" xfId="2567" xr:uid="{00000000-0005-0000-0000-000058050000}"/>
    <cellStyle name="20% - Ênfase2 37 4" xfId="2568" xr:uid="{00000000-0005-0000-0000-000059050000}"/>
    <cellStyle name="20% - Ênfase2 37 5" xfId="2569" xr:uid="{00000000-0005-0000-0000-00005A050000}"/>
    <cellStyle name="20% - Ênfase2 37 6" xfId="2570" xr:uid="{00000000-0005-0000-0000-00005B050000}"/>
    <cellStyle name="20% - Ênfase2 37 7" xfId="2571" xr:uid="{00000000-0005-0000-0000-00005C050000}"/>
    <cellStyle name="20% - Ênfase2 37 8" xfId="2572" xr:uid="{00000000-0005-0000-0000-00005D050000}"/>
    <cellStyle name="20% - Ênfase2 37 9" xfId="2573" xr:uid="{00000000-0005-0000-0000-00005E050000}"/>
    <cellStyle name="20% - Ênfase2 38" xfId="696" xr:uid="{00000000-0005-0000-0000-00005F050000}"/>
    <cellStyle name="20% - Ênfase2 39" xfId="713" xr:uid="{00000000-0005-0000-0000-000060050000}"/>
    <cellStyle name="20% - Ênfase2 4" xfId="97" xr:uid="{00000000-0005-0000-0000-000061050000}"/>
    <cellStyle name="20% - Ênfase2 4 10" xfId="2574" xr:uid="{00000000-0005-0000-0000-000062050000}"/>
    <cellStyle name="20% - Ênfase2 4 11" xfId="2575" xr:uid="{00000000-0005-0000-0000-000063050000}"/>
    <cellStyle name="20% - Ênfase2 4 12" xfId="2576" xr:uid="{00000000-0005-0000-0000-000064050000}"/>
    <cellStyle name="20% - Ênfase2 4 13" xfId="2577" xr:uid="{00000000-0005-0000-0000-000065050000}"/>
    <cellStyle name="20% - Ênfase2 4 14" xfId="2578" xr:uid="{00000000-0005-0000-0000-000066050000}"/>
    <cellStyle name="20% - Ênfase2 4 15" xfId="2579" xr:uid="{00000000-0005-0000-0000-000067050000}"/>
    <cellStyle name="20% - Ênfase2 4 16" xfId="2580" xr:uid="{00000000-0005-0000-0000-000068050000}"/>
    <cellStyle name="20% - Ênfase2 4 17" xfId="2581" xr:uid="{00000000-0005-0000-0000-000069050000}"/>
    <cellStyle name="20% - Ênfase2 4 18" xfId="2582" xr:uid="{00000000-0005-0000-0000-00006A050000}"/>
    <cellStyle name="20% - Ênfase2 4 19" xfId="2583" xr:uid="{00000000-0005-0000-0000-00006B050000}"/>
    <cellStyle name="20% - Ênfase2 4 2" xfId="2584" xr:uid="{00000000-0005-0000-0000-00006C050000}"/>
    <cellStyle name="20% - Ênfase2 4 20" xfId="2585" xr:uid="{00000000-0005-0000-0000-00006D050000}"/>
    <cellStyle name="20% - Ênfase2 4 3" xfId="2586" xr:uid="{00000000-0005-0000-0000-00006E050000}"/>
    <cellStyle name="20% - Ênfase2 4 4" xfId="2587" xr:uid="{00000000-0005-0000-0000-00006F050000}"/>
    <cellStyle name="20% - Ênfase2 4 5" xfId="2588" xr:uid="{00000000-0005-0000-0000-000070050000}"/>
    <cellStyle name="20% - Ênfase2 4 6" xfId="2589" xr:uid="{00000000-0005-0000-0000-000071050000}"/>
    <cellStyle name="20% - Ênfase2 4 7" xfId="2590" xr:uid="{00000000-0005-0000-0000-000072050000}"/>
    <cellStyle name="20% - Ênfase2 4 8" xfId="2591" xr:uid="{00000000-0005-0000-0000-000073050000}"/>
    <cellStyle name="20% - Ênfase2 4 9" xfId="2592" xr:uid="{00000000-0005-0000-0000-000074050000}"/>
    <cellStyle name="20% - Ênfase2 40" xfId="740" xr:uid="{00000000-0005-0000-0000-000075050000}"/>
    <cellStyle name="20% - Ênfase2 41" xfId="727" xr:uid="{00000000-0005-0000-0000-000076050000}"/>
    <cellStyle name="20% - Ênfase2 42" xfId="768" xr:uid="{00000000-0005-0000-0000-000077050000}"/>
    <cellStyle name="20% - Ênfase2 43" xfId="786" xr:uid="{00000000-0005-0000-0000-000078050000}"/>
    <cellStyle name="20% - Ênfase2 44" xfId="804" xr:uid="{00000000-0005-0000-0000-000079050000}"/>
    <cellStyle name="20% - Ênfase2 45" xfId="822" xr:uid="{00000000-0005-0000-0000-00007A050000}"/>
    <cellStyle name="20% - Ênfase2 46" xfId="840" xr:uid="{00000000-0005-0000-0000-00007B050000}"/>
    <cellStyle name="20% - Ênfase2 47" xfId="858" xr:uid="{00000000-0005-0000-0000-00007C050000}"/>
    <cellStyle name="20% - Ênfase2 48" xfId="876" xr:uid="{00000000-0005-0000-0000-00007D050000}"/>
    <cellStyle name="20% - Ênfase2 49" xfId="894" xr:uid="{00000000-0005-0000-0000-00007E050000}"/>
    <cellStyle name="20% - Ênfase2 5" xfId="114" xr:uid="{00000000-0005-0000-0000-00007F050000}"/>
    <cellStyle name="20% - Ênfase2 5 10" xfId="2593" xr:uid="{00000000-0005-0000-0000-000080050000}"/>
    <cellStyle name="20% - Ênfase2 5 11" xfId="2594" xr:uid="{00000000-0005-0000-0000-000081050000}"/>
    <cellStyle name="20% - Ênfase2 5 12" xfId="2595" xr:uid="{00000000-0005-0000-0000-000082050000}"/>
    <cellStyle name="20% - Ênfase2 5 13" xfId="2596" xr:uid="{00000000-0005-0000-0000-000083050000}"/>
    <cellStyle name="20% - Ênfase2 5 14" xfId="2597" xr:uid="{00000000-0005-0000-0000-000084050000}"/>
    <cellStyle name="20% - Ênfase2 5 15" xfId="2598" xr:uid="{00000000-0005-0000-0000-000085050000}"/>
    <cellStyle name="20% - Ênfase2 5 16" xfId="2599" xr:uid="{00000000-0005-0000-0000-000086050000}"/>
    <cellStyle name="20% - Ênfase2 5 17" xfId="2600" xr:uid="{00000000-0005-0000-0000-000087050000}"/>
    <cellStyle name="20% - Ênfase2 5 18" xfId="2601" xr:uid="{00000000-0005-0000-0000-000088050000}"/>
    <cellStyle name="20% - Ênfase2 5 19" xfId="2602" xr:uid="{00000000-0005-0000-0000-000089050000}"/>
    <cellStyle name="20% - Ênfase2 5 2" xfId="2603" xr:uid="{00000000-0005-0000-0000-00008A050000}"/>
    <cellStyle name="20% - Ênfase2 5 20" xfId="2604" xr:uid="{00000000-0005-0000-0000-00008B050000}"/>
    <cellStyle name="20% - Ênfase2 5 3" xfId="2605" xr:uid="{00000000-0005-0000-0000-00008C050000}"/>
    <cellStyle name="20% - Ênfase2 5 4" xfId="2606" xr:uid="{00000000-0005-0000-0000-00008D050000}"/>
    <cellStyle name="20% - Ênfase2 5 5" xfId="2607" xr:uid="{00000000-0005-0000-0000-00008E050000}"/>
    <cellStyle name="20% - Ênfase2 5 6" xfId="2608" xr:uid="{00000000-0005-0000-0000-00008F050000}"/>
    <cellStyle name="20% - Ênfase2 5 7" xfId="2609" xr:uid="{00000000-0005-0000-0000-000090050000}"/>
    <cellStyle name="20% - Ênfase2 5 8" xfId="2610" xr:uid="{00000000-0005-0000-0000-000091050000}"/>
    <cellStyle name="20% - Ênfase2 5 9" xfId="2611" xr:uid="{00000000-0005-0000-0000-000092050000}"/>
    <cellStyle name="20% - Ênfase2 50" xfId="893" xr:uid="{00000000-0005-0000-0000-000093050000}"/>
    <cellStyle name="20% - Ênfase2 51" xfId="910" xr:uid="{00000000-0005-0000-0000-000094050000}"/>
    <cellStyle name="20% - Ênfase2 52" xfId="948" xr:uid="{00000000-0005-0000-0000-000095050000}"/>
    <cellStyle name="20% - Ênfase2 53" xfId="966" xr:uid="{00000000-0005-0000-0000-000096050000}"/>
    <cellStyle name="20% - Ênfase2 54" xfId="984" xr:uid="{00000000-0005-0000-0000-000097050000}"/>
    <cellStyle name="20% - Ênfase2 55" xfId="1002" xr:uid="{00000000-0005-0000-0000-000098050000}"/>
    <cellStyle name="20% - Ênfase2 56" xfId="1019" xr:uid="{00000000-0005-0000-0000-000099050000}"/>
    <cellStyle name="20% - Ênfase2 57" xfId="1018" xr:uid="{00000000-0005-0000-0000-00009A050000}"/>
    <cellStyle name="20% - Ênfase2 58" xfId="1035" xr:uid="{00000000-0005-0000-0000-00009B050000}"/>
    <cellStyle name="20% - Ênfase2 59" xfId="1051" xr:uid="{00000000-0005-0000-0000-00009C050000}"/>
    <cellStyle name="20% - Ênfase2 6" xfId="131" xr:uid="{00000000-0005-0000-0000-00009D050000}"/>
    <cellStyle name="20% - Ênfase2 6 10" xfId="2612" xr:uid="{00000000-0005-0000-0000-00009E050000}"/>
    <cellStyle name="20% - Ênfase2 6 11" xfId="2613" xr:uid="{00000000-0005-0000-0000-00009F050000}"/>
    <cellStyle name="20% - Ênfase2 6 12" xfId="2614" xr:uid="{00000000-0005-0000-0000-0000A0050000}"/>
    <cellStyle name="20% - Ênfase2 6 13" xfId="2615" xr:uid="{00000000-0005-0000-0000-0000A1050000}"/>
    <cellStyle name="20% - Ênfase2 6 14" xfId="2616" xr:uid="{00000000-0005-0000-0000-0000A2050000}"/>
    <cellStyle name="20% - Ênfase2 6 15" xfId="2617" xr:uid="{00000000-0005-0000-0000-0000A3050000}"/>
    <cellStyle name="20% - Ênfase2 6 16" xfId="2618" xr:uid="{00000000-0005-0000-0000-0000A4050000}"/>
    <cellStyle name="20% - Ênfase2 6 17" xfId="2619" xr:uid="{00000000-0005-0000-0000-0000A5050000}"/>
    <cellStyle name="20% - Ênfase2 6 18" xfId="2620" xr:uid="{00000000-0005-0000-0000-0000A6050000}"/>
    <cellStyle name="20% - Ênfase2 6 19" xfId="2621" xr:uid="{00000000-0005-0000-0000-0000A7050000}"/>
    <cellStyle name="20% - Ênfase2 6 2" xfId="2622" xr:uid="{00000000-0005-0000-0000-0000A8050000}"/>
    <cellStyle name="20% - Ênfase2 6 20" xfId="2623" xr:uid="{00000000-0005-0000-0000-0000A9050000}"/>
    <cellStyle name="20% - Ênfase2 6 3" xfId="2624" xr:uid="{00000000-0005-0000-0000-0000AA050000}"/>
    <cellStyle name="20% - Ênfase2 6 4" xfId="2625" xr:uid="{00000000-0005-0000-0000-0000AB050000}"/>
    <cellStyle name="20% - Ênfase2 6 5" xfId="2626" xr:uid="{00000000-0005-0000-0000-0000AC050000}"/>
    <cellStyle name="20% - Ênfase2 6 6" xfId="2627" xr:uid="{00000000-0005-0000-0000-0000AD050000}"/>
    <cellStyle name="20% - Ênfase2 6 7" xfId="2628" xr:uid="{00000000-0005-0000-0000-0000AE050000}"/>
    <cellStyle name="20% - Ênfase2 6 8" xfId="2629" xr:uid="{00000000-0005-0000-0000-0000AF050000}"/>
    <cellStyle name="20% - Ênfase2 6 9" xfId="2630" xr:uid="{00000000-0005-0000-0000-0000B0050000}"/>
    <cellStyle name="20% - Ênfase2 60" xfId="1071" xr:uid="{00000000-0005-0000-0000-0000B1050000}"/>
    <cellStyle name="20% - Ênfase2 61" xfId="1109" xr:uid="{00000000-0005-0000-0000-0000B2050000}"/>
    <cellStyle name="20% - Ênfase2 62" xfId="1127" xr:uid="{00000000-0005-0000-0000-0000B3050000}"/>
    <cellStyle name="20% - Ênfase2 63" xfId="1144" xr:uid="{00000000-0005-0000-0000-0000B4050000}"/>
    <cellStyle name="20% - Ênfase2 64" xfId="1143" xr:uid="{00000000-0005-0000-0000-0000B5050000}"/>
    <cellStyle name="20% - Ênfase2 65" xfId="1160" xr:uid="{00000000-0005-0000-0000-0000B6050000}"/>
    <cellStyle name="20% - Ênfase2 66" xfId="1198" xr:uid="{00000000-0005-0000-0000-0000B7050000}"/>
    <cellStyle name="20% - Ênfase2 67" xfId="1216" xr:uid="{00000000-0005-0000-0000-0000B8050000}"/>
    <cellStyle name="20% - Ênfase2 68" xfId="1231" xr:uid="{00000000-0005-0000-0000-0000B9050000}"/>
    <cellStyle name="20% - Ênfase2 69" xfId="1213" xr:uid="{00000000-0005-0000-0000-0000BA050000}"/>
    <cellStyle name="20% - Ênfase2 7" xfId="148" xr:uid="{00000000-0005-0000-0000-0000BB050000}"/>
    <cellStyle name="20% - Ênfase2 7 10" xfId="2631" xr:uid="{00000000-0005-0000-0000-0000BC050000}"/>
    <cellStyle name="20% - Ênfase2 7 11" xfId="2632" xr:uid="{00000000-0005-0000-0000-0000BD050000}"/>
    <cellStyle name="20% - Ênfase2 7 12" xfId="2633" xr:uid="{00000000-0005-0000-0000-0000BE050000}"/>
    <cellStyle name="20% - Ênfase2 7 13" xfId="2634" xr:uid="{00000000-0005-0000-0000-0000BF050000}"/>
    <cellStyle name="20% - Ênfase2 7 14" xfId="2635" xr:uid="{00000000-0005-0000-0000-0000C0050000}"/>
    <cellStyle name="20% - Ênfase2 7 15" xfId="2636" xr:uid="{00000000-0005-0000-0000-0000C1050000}"/>
    <cellStyle name="20% - Ênfase2 7 16" xfId="2637" xr:uid="{00000000-0005-0000-0000-0000C2050000}"/>
    <cellStyle name="20% - Ênfase2 7 17" xfId="2638" xr:uid="{00000000-0005-0000-0000-0000C3050000}"/>
    <cellStyle name="20% - Ênfase2 7 18" xfId="2639" xr:uid="{00000000-0005-0000-0000-0000C4050000}"/>
    <cellStyle name="20% - Ênfase2 7 19" xfId="2640" xr:uid="{00000000-0005-0000-0000-0000C5050000}"/>
    <cellStyle name="20% - Ênfase2 7 2" xfId="2641" xr:uid="{00000000-0005-0000-0000-0000C6050000}"/>
    <cellStyle name="20% - Ênfase2 7 20" xfId="2642" xr:uid="{00000000-0005-0000-0000-0000C7050000}"/>
    <cellStyle name="20% - Ênfase2 7 3" xfId="2643" xr:uid="{00000000-0005-0000-0000-0000C8050000}"/>
    <cellStyle name="20% - Ênfase2 7 4" xfId="2644" xr:uid="{00000000-0005-0000-0000-0000C9050000}"/>
    <cellStyle name="20% - Ênfase2 7 5" xfId="2645" xr:uid="{00000000-0005-0000-0000-0000CA050000}"/>
    <cellStyle name="20% - Ênfase2 7 6" xfId="2646" xr:uid="{00000000-0005-0000-0000-0000CB050000}"/>
    <cellStyle name="20% - Ênfase2 7 7" xfId="2647" xr:uid="{00000000-0005-0000-0000-0000CC050000}"/>
    <cellStyle name="20% - Ênfase2 7 8" xfId="2648" xr:uid="{00000000-0005-0000-0000-0000CD050000}"/>
    <cellStyle name="20% - Ênfase2 7 9" xfId="2649" xr:uid="{00000000-0005-0000-0000-0000CE050000}"/>
    <cellStyle name="20% - Ênfase2 70" xfId="1229" xr:uid="{00000000-0005-0000-0000-0000CF050000}"/>
    <cellStyle name="20% - Ênfase2 71" xfId="1277" xr:uid="{00000000-0005-0000-0000-0000D0050000}"/>
    <cellStyle name="20% - Ênfase2 72" xfId="2650" xr:uid="{00000000-0005-0000-0000-0000D1050000}"/>
    <cellStyle name="20% - Ênfase2 73" xfId="2651" xr:uid="{00000000-0005-0000-0000-0000D2050000}"/>
    <cellStyle name="20% - Ênfase2 74" xfId="2652" xr:uid="{00000000-0005-0000-0000-0000D3050000}"/>
    <cellStyle name="20% - Ênfase2 75" xfId="2653" xr:uid="{00000000-0005-0000-0000-0000D4050000}"/>
    <cellStyle name="20% - Ênfase2 76" xfId="2654" xr:uid="{00000000-0005-0000-0000-0000D5050000}"/>
    <cellStyle name="20% - Ênfase2 77" xfId="2655" xr:uid="{00000000-0005-0000-0000-0000D6050000}"/>
    <cellStyle name="20% - Ênfase2 78" xfId="2656" xr:uid="{00000000-0005-0000-0000-0000D7050000}"/>
    <cellStyle name="20% - Ênfase2 79" xfId="2657" xr:uid="{00000000-0005-0000-0000-0000D8050000}"/>
    <cellStyle name="20% - Ênfase2 8" xfId="165" xr:uid="{00000000-0005-0000-0000-0000D9050000}"/>
    <cellStyle name="20% - Ênfase2 8 10" xfId="2658" xr:uid="{00000000-0005-0000-0000-0000DA050000}"/>
    <cellStyle name="20% - Ênfase2 8 11" xfId="2659" xr:uid="{00000000-0005-0000-0000-0000DB050000}"/>
    <cellStyle name="20% - Ênfase2 8 12" xfId="2660" xr:uid="{00000000-0005-0000-0000-0000DC050000}"/>
    <cellStyle name="20% - Ênfase2 8 13" xfId="2661" xr:uid="{00000000-0005-0000-0000-0000DD050000}"/>
    <cellStyle name="20% - Ênfase2 8 14" xfId="2662" xr:uid="{00000000-0005-0000-0000-0000DE050000}"/>
    <cellStyle name="20% - Ênfase2 8 15" xfId="2663" xr:uid="{00000000-0005-0000-0000-0000DF050000}"/>
    <cellStyle name="20% - Ênfase2 8 16" xfId="2664" xr:uid="{00000000-0005-0000-0000-0000E0050000}"/>
    <cellStyle name="20% - Ênfase2 8 17" xfId="2665" xr:uid="{00000000-0005-0000-0000-0000E1050000}"/>
    <cellStyle name="20% - Ênfase2 8 18" xfId="2666" xr:uid="{00000000-0005-0000-0000-0000E2050000}"/>
    <cellStyle name="20% - Ênfase2 8 19" xfId="2667" xr:uid="{00000000-0005-0000-0000-0000E3050000}"/>
    <cellStyle name="20% - Ênfase2 8 2" xfId="2668" xr:uid="{00000000-0005-0000-0000-0000E4050000}"/>
    <cellStyle name="20% - Ênfase2 8 20" xfId="2669" xr:uid="{00000000-0005-0000-0000-0000E5050000}"/>
    <cellStyle name="20% - Ênfase2 8 3" xfId="2670" xr:uid="{00000000-0005-0000-0000-0000E6050000}"/>
    <cellStyle name="20% - Ênfase2 8 4" xfId="2671" xr:uid="{00000000-0005-0000-0000-0000E7050000}"/>
    <cellStyle name="20% - Ênfase2 8 5" xfId="2672" xr:uid="{00000000-0005-0000-0000-0000E8050000}"/>
    <cellStyle name="20% - Ênfase2 8 6" xfId="2673" xr:uid="{00000000-0005-0000-0000-0000E9050000}"/>
    <cellStyle name="20% - Ênfase2 8 7" xfId="2674" xr:uid="{00000000-0005-0000-0000-0000EA050000}"/>
    <cellStyle name="20% - Ênfase2 8 8" xfId="2675" xr:uid="{00000000-0005-0000-0000-0000EB050000}"/>
    <cellStyle name="20% - Ênfase2 8 9" xfId="2676" xr:uid="{00000000-0005-0000-0000-0000EC050000}"/>
    <cellStyle name="20% - Ênfase2 80" xfId="2677" xr:uid="{00000000-0005-0000-0000-0000ED050000}"/>
    <cellStyle name="20% - Ênfase2 81" xfId="2678" xr:uid="{00000000-0005-0000-0000-0000EE050000}"/>
    <cellStyle name="20% - Ênfase2 82" xfId="2679" xr:uid="{00000000-0005-0000-0000-0000EF050000}"/>
    <cellStyle name="20% - Ênfase2 83" xfId="2680" xr:uid="{00000000-0005-0000-0000-0000F0050000}"/>
    <cellStyle name="20% - Ênfase2 84" xfId="2681" xr:uid="{00000000-0005-0000-0000-0000F1050000}"/>
    <cellStyle name="20% - Ênfase2 85" xfId="2682" xr:uid="{00000000-0005-0000-0000-0000F2050000}"/>
    <cellStyle name="20% - Ênfase2 86" xfId="2683" xr:uid="{00000000-0005-0000-0000-0000F3050000}"/>
    <cellStyle name="20% - Ênfase2 87" xfId="2684" xr:uid="{00000000-0005-0000-0000-0000F4050000}"/>
    <cellStyle name="20% - Ênfase2 88" xfId="2685" xr:uid="{00000000-0005-0000-0000-0000F5050000}"/>
    <cellStyle name="20% - Ênfase2 89" xfId="2686" xr:uid="{00000000-0005-0000-0000-0000F6050000}"/>
    <cellStyle name="20% - Ênfase2 9" xfId="182" xr:uid="{00000000-0005-0000-0000-0000F7050000}"/>
    <cellStyle name="20% - Ênfase2 9 10" xfId="2687" xr:uid="{00000000-0005-0000-0000-0000F8050000}"/>
    <cellStyle name="20% - Ênfase2 9 11" xfId="2688" xr:uid="{00000000-0005-0000-0000-0000F9050000}"/>
    <cellStyle name="20% - Ênfase2 9 12" xfId="2689" xr:uid="{00000000-0005-0000-0000-0000FA050000}"/>
    <cellStyle name="20% - Ênfase2 9 13" xfId="2690" xr:uid="{00000000-0005-0000-0000-0000FB050000}"/>
    <cellStyle name="20% - Ênfase2 9 14" xfId="2691" xr:uid="{00000000-0005-0000-0000-0000FC050000}"/>
    <cellStyle name="20% - Ênfase2 9 15" xfId="2692" xr:uid="{00000000-0005-0000-0000-0000FD050000}"/>
    <cellStyle name="20% - Ênfase2 9 16" xfId="2693" xr:uid="{00000000-0005-0000-0000-0000FE050000}"/>
    <cellStyle name="20% - Ênfase2 9 17" xfId="2694" xr:uid="{00000000-0005-0000-0000-0000FF050000}"/>
    <cellStyle name="20% - Ênfase2 9 18" xfId="2695" xr:uid="{00000000-0005-0000-0000-000000060000}"/>
    <cellStyle name="20% - Ênfase2 9 19" xfId="2696" xr:uid="{00000000-0005-0000-0000-000001060000}"/>
    <cellStyle name="20% - Ênfase2 9 2" xfId="2697" xr:uid="{00000000-0005-0000-0000-000002060000}"/>
    <cellStyle name="20% - Ênfase2 9 20" xfId="2698" xr:uid="{00000000-0005-0000-0000-000003060000}"/>
    <cellStyle name="20% - Ênfase2 9 3" xfId="2699" xr:uid="{00000000-0005-0000-0000-000004060000}"/>
    <cellStyle name="20% - Ênfase2 9 4" xfId="2700" xr:uid="{00000000-0005-0000-0000-000005060000}"/>
    <cellStyle name="20% - Ênfase2 9 5" xfId="2701" xr:uid="{00000000-0005-0000-0000-000006060000}"/>
    <cellStyle name="20% - Ênfase2 9 6" xfId="2702" xr:uid="{00000000-0005-0000-0000-000007060000}"/>
    <cellStyle name="20% - Ênfase2 9 7" xfId="2703" xr:uid="{00000000-0005-0000-0000-000008060000}"/>
    <cellStyle name="20% - Ênfase2 9 8" xfId="2704" xr:uid="{00000000-0005-0000-0000-000009060000}"/>
    <cellStyle name="20% - Ênfase2 9 9" xfId="2705" xr:uid="{00000000-0005-0000-0000-00000A060000}"/>
    <cellStyle name="20% - Ênfase2 90" xfId="2706" xr:uid="{00000000-0005-0000-0000-00000B060000}"/>
    <cellStyle name="20% - Ênfase3" xfId="27" builtinId="38" customBuiltin="1"/>
    <cellStyle name="20% - Ênfase3 10" xfId="209" xr:uid="{00000000-0005-0000-0000-00000D060000}"/>
    <cellStyle name="20% - Ênfase3 10 10" xfId="2707" xr:uid="{00000000-0005-0000-0000-00000E060000}"/>
    <cellStyle name="20% - Ênfase3 10 11" xfId="2708" xr:uid="{00000000-0005-0000-0000-00000F060000}"/>
    <cellStyle name="20% - Ênfase3 10 12" xfId="2709" xr:uid="{00000000-0005-0000-0000-000010060000}"/>
    <cellStyle name="20% - Ênfase3 10 13" xfId="2710" xr:uid="{00000000-0005-0000-0000-000011060000}"/>
    <cellStyle name="20% - Ênfase3 10 14" xfId="2711" xr:uid="{00000000-0005-0000-0000-000012060000}"/>
    <cellStyle name="20% - Ênfase3 10 15" xfId="2712" xr:uid="{00000000-0005-0000-0000-000013060000}"/>
    <cellStyle name="20% - Ênfase3 10 16" xfId="2713" xr:uid="{00000000-0005-0000-0000-000014060000}"/>
    <cellStyle name="20% - Ênfase3 10 17" xfId="2714" xr:uid="{00000000-0005-0000-0000-000015060000}"/>
    <cellStyle name="20% - Ênfase3 10 18" xfId="2715" xr:uid="{00000000-0005-0000-0000-000016060000}"/>
    <cellStyle name="20% - Ênfase3 10 19" xfId="2716" xr:uid="{00000000-0005-0000-0000-000017060000}"/>
    <cellStyle name="20% - Ênfase3 10 2" xfId="2717" xr:uid="{00000000-0005-0000-0000-000018060000}"/>
    <cellStyle name="20% - Ênfase3 10 20" xfId="2718" xr:uid="{00000000-0005-0000-0000-000019060000}"/>
    <cellStyle name="20% - Ênfase3 10 3" xfId="2719" xr:uid="{00000000-0005-0000-0000-00001A060000}"/>
    <cellStyle name="20% - Ênfase3 10 4" xfId="2720" xr:uid="{00000000-0005-0000-0000-00001B060000}"/>
    <cellStyle name="20% - Ênfase3 10 5" xfId="2721" xr:uid="{00000000-0005-0000-0000-00001C060000}"/>
    <cellStyle name="20% - Ênfase3 10 6" xfId="2722" xr:uid="{00000000-0005-0000-0000-00001D060000}"/>
    <cellStyle name="20% - Ênfase3 10 7" xfId="2723" xr:uid="{00000000-0005-0000-0000-00001E060000}"/>
    <cellStyle name="20% - Ênfase3 10 8" xfId="2724" xr:uid="{00000000-0005-0000-0000-00001F060000}"/>
    <cellStyle name="20% - Ênfase3 10 9" xfId="2725" xr:uid="{00000000-0005-0000-0000-000020060000}"/>
    <cellStyle name="20% - Ênfase3 11" xfId="226" xr:uid="{00000000-0005-0000-0000-000021060000}"/>
    <cellStyle name="20% - Ênfase3 11 10" xfId="2726" xr:uid="{00000000-0005-0000-0000-000022060000}"/>
    <cellStyle name="20% - Ênfase3 11 11" xfId="2727" xr:uid="{00000000-0005-0000-0000-000023060000}"/>
    <cellStyle name="20% - Ênfase3 11 12" xfId="2728" xr:uid="{00000000-0005-0000-0000-000024060000}"/>
    <cellStyle name="20% - Ênfase3 11 13" xfId="2729" xr:uid="{00000000-0005-0000-0000-000025060000}"/>
    <cellStyle name="20% - Ênfase3 11 14" xfId="2730" xr:uid="{00000000-0005-0000-0000-000026060000}"/>
    <cellStyle name="20% - Ênfase3 11 15" xfId="2731" xr:uid="{00000000-0005-0000-0000-000027060000}"/>
    <cellStyle name="20% - Ênfase3 11 16" xfId="2732" xr:uid="{00000000-0005-0000-0000-000028060000}"/>
    <cellStyle name="20% - Ênfase3 11 17" xfId="2733" xr:uid="{00000000-0005-0000-0000-000029060000}"/>
    <cellStyle name="20% - Ênfase3 11 18" xfId="2734" xr:uid="{00000000-0005-0000-0000-00002A060000}"/>
    <cellStyle name="20% - Ênfase3 11 19" xfId="2735" xr:uid="{00000000-0005-0000-0000-00002B060000}"/>
    <cellStyle name="20% - Ênfase3 11 2" xfId="2736" xr:uid="{00000000-0005-0000-0000-00002C060000}"/>
    <cellStyle name="20% - Ênfase3 11 20" xfId="2737" xr:uid="{00000000-0005-0000-0000-00002D060000}"/>
    <cellStyle name="20% - Ênfase3 11 3" xfId="2738" xr:uid="{00000000-0005-0000-0000-00002E060000}"/>
    <cellStyle name="20% - Ênfase3 11 4" xfId="2739" xr:uid="{00000000-0005-0000-0000-00002F060000}"/>
    <cellStyle name="20% - Ênfase3 11 5" xfId="2740" xr:uid="{00000000-0005-0000-0000-000030060000}"/>
    <cellStyle name="20% - Ênfase3 11 6" xfId="2741" xr:uid="{00000000-0005-0000-0000-000031060000}"/>
    <cellStyle name="20% - Ênfase3 11 7" xfId="2742" xr:uid="{00000000-0005-0000-0000-000032060000}"/>
    <cellStyle name="20% - Ênfase3 11 8" xfId="2743" xr:uid="{00000000-0005-0000-0000-000033060000}"/>
    <cellStyle name="20% - Ênfase3 11 9" xfId="2744" xr:uid="{00000000-0005-0000-0000-000034060000}"/>
    <cellStyle name="20% - Ênfase3 12" xfId="243" xr:uid="{00000000-0005-0000-0000-000035060000}"/>
    <cellStyle name="20% - Ênfase3 12 10" xfId="2745" xr:uid="{00000000-0005-0000-0000-000036060000}"/>
    <cellStyle name="20% - Ênfase3 12 11" xfId="2746" xr:uid="{00000000-0005-0000-0000-000037060000}"/>
    <cellStyle name="20% - Ênfase3 12 12" xfId="2747" xr:uid="{00000000-0005-0000-0000-000038060000}"/>
    <cellStyle name="20% - Ênfase3 12 13" xfId="2748" xr:uid="{00000000-0005-0000-0000-000039060000}"/>
    <cellStyle name="20% - Ênfase3 12 14" xfId="2749" xr:uid="{00000000-0005-0000-0000-00003A060000}"/>
    <cellStyle name="20% - Ênfase3 12 15" xfId="2750" xr:uid="{00000000-0005-0000-0000-00003B060000}"/>
    <cellStyle name="20% - Ênfase3 12 16" xfId="2751" xr:uid="{00000000-0005-0000-0000-00003C060000}"/>
    <cellStyle name="20% - Ênfase3 12 17" xfId="2752" xr:uid="{00000000-0005-0000-0000-00003D060000}"/>
    <cellStyle name="20% - Ênfase3 12 18" xfId="2753" xr:uid="{00000000-0005-0000-0000-00003E060000}"/>
    <cellStyle name="20% - Ênfase3 12 19" xfId="2754" xr:uid="{00000000-0005-0000-0000-00003F060000}"/>
    <cellStyle name="20% - Ênfase3 12 2" xfId="2755" xr:uid="{00000000-0005-0000-0000-000040060000}"/>
    <cellStyle name="20% - Ênfase3 12 20" xfId="2756" xr:uid="{00000000-0005-0000-0000-000041060000}"/>
    <cellStyle name="20% - Ênfase3 12 3" xfId="2757" xr:uid="{00000000-0005-0000-0000-000042060000}"/>
    <cellStyle name="20% - Ênfase3 12 4" xfId="2758" xr:uid="{00000000-0005-0000-0000-000043060000}"/>
    <cellStyle name="20% - Ênfase3 12 5" xfId="2759" xr:uid="{00000000-0005-0000-0000-000044060000}"/>
    <cellStyle name="20% - Ênfase3 12 6" xfId="2760" xr:uid="{00000000-0005-0000-0000-000045060000}"/>
    <cellStyle name="20% - Ênfase3 12 7" xfId="2761" xr:uid="{00000000-0005-0000-0000-000046060000}"/>
    <cellStyle name="20% - Ênfase3 12 8" xfId="2762" xr:uid="{00000000-0005-0000-0000-000047060000}"/>
    <cellStyle name="20% - Ênfase3 12 9" xfId="2763" xr:uid="{00000000-0005-0000-0000-000048060000}"/>
    <cellStyle name="20% - Ênfase3 13" xfId="260" xr:uid="{00000000-0005-0000-0000-000049060000}"/>
    <cellStyle name="20% - Ênfase3 13 10" xfId="2764" xr:uid="{00000000-0005-0000-0000-00004A060000}"/>
    <cellStyle name="20% - Ênfase3 13 11" xfId="2765" xr:uid="{00000000-0005-0000-0000-00004B060000}"/>
    <cellStyle name="20% - Ênfase3 13 12" xfId="2766" xr:uid="{00000000-0005-0000-0000-00004C060000}"/>
    <cellStyle name="20% - Ênfase3 13 13" xfId="2767" xr:uid="{00000000-0005-0000-0000-00004D060000}"/>
    <cellStyle name="20% - Ênfase3 13 14" xfId="2768" xr:uid="{00000000-0005-0000-0000-00004E060000}"/>
    <cellStyle name="20% - Ênfase3 13 15" xfId="2769" xr:uid="{00000000-0005-0000-0000-00004F060000}"/>
    <cellStyle name="20% - Ênfase3 13 16" xfId="2770" xr:uid="{00000000-0005-0000-0000-000050060000}"/>
    <cellStyle name="20% - Ênfase3 13 17" xfId="2771" xr:uid="{00000000-0005-0000-0000-000051060000}"/>
    <cellStyle name="20% - Ênfase3 13 18" xfId="2772" xr:uid="{00000000-0005-0000-0000-000052060000}"/>
    <cellStyle name="20% - Ênfase3 13 19" xfId="2773" xr:uid="{00000000-0005-0000-0000-000053060000}"/>
    <cellStyle name="20% - Ênfase3 13 2" xfId="2774" xr:uid="{00000000-0005-0000-0000-000054060000}"/>
    <cellStyle name="20% - Ênfase3 13 20" xfId="2775" xr:uid="{00000000-0005-0000-0000-000055060000}"/>
    <cellStyle name="20% - Ênfase3 13 3" xfId="2776" xr:uid="{00000000-0005-0000-0000-000056060000}"/>
    <cellStyle name="20% - Ênfase3 13 4" xfId="2777" xr:uid="{00000000-0005-0000-0000-000057060000}"/>
    <cellStyle name="20% - Ênfase3 13 5" xfId="2778" xr:uid="{00000000-0005-0000-0000-000058060000}"/>
    <cellStyle name="20% - Ênfase3 13 6" xfId="2779" xr:uid="{00000000-0005-0000-0000-000059060000}"/>
    <cellStyle name="20% - Ênfase3 13 7" xfId="2780" xr:uid="{00000000-0005-0000-0000-00005A060000}"/>
    <cellStyle name="20% - Ênfase3 13 8" xfId="2781" xr:uid="{00000000-0005-0000-0000-00005B060000}"/>
    <cellStyle name="20% - Ênfase3 13 9" xfId="2782" xr:uid="{00000000-0005-0000-0000-00005C060000}"/>
    <cellStyle name="20% - Ênfase3 14" xfId="277" xr:uid="{00000000-0005-0000-0000-00005D060000}"/>
    <cellStyle name="20% - Ênfase3 14 10" xfId="2783" xr:uid="{00000000-0005-0000-0000-00005E060000}"/>
    <cellStyle name="20% - Ênfase3 14 11" xfId="2784" xr:uid="{00000000-0005-0000-0000-00005F060000}"/>
    <cellStyle name="20% - Ênfase3 14 12" xfId="2785" xr:uid="{00000000-0005-0000-0000-000060060000}"/>
    <cellStyle name="20% - Ênfase3 14 13" xfId="2786" xr:uid="{00000000-0005-0000-0000-000061060000}"/>
    <cellStyle name="20% - Ênfase3 14 14" xfId="2787" xr:uid="{00000000-0005-0000-0000-000062060000}"/>
    <cellStyle name="20% - Ênfase3 14 15" xfId="2788" xr:uid="{00000000-0005-0000-0000-000063060000}"/>
    <cellStyle name="20% - Ênfase3 14 16" xfId="2789" xr:uid="{00000000-0005-0000-0000-000064060000}"/>
    <cellStyle name="20% - Ênfase3 14 17" xfId="2790" xr:uid="{00000000-0005-0000-0000-000065060000}"/>
    <cellStyle name="20% - Ênfase3 14 18" xfId="2791" xr:uid="{00000000-0005-0000-0000-000066060000}"/>
    <cellStyle name="20% - Ênfase3 14 19" xfId="2792" xr:uid="{00000000-0005-0000-0000-000067060000}"/>
    <cellStyle name="20% - Ênfase3 14 2" xfId="2793" xr:uid="{00000000-0005-0000-0000-000068060000}"/>
    <cellStyle name="20% - Ênfase3 14 20" xfId="2794" xr:uid="{00000000-0005-0000-0000-000069060000}"/>
    <cellStyle name="20% - Ênfase3 14 3" xfId="2795" xr:uid="{00000000-0005-0000-0000-00006A060000}"/>
    <cellStyle name="20% - Ênfase3 14 4" xfId="2796" xr:uid="{00000000-0005-0000-0000-00006B060000}"/>
    <cellStyle name="20% - Ênfase3 14 5" xfId="2797" xr:uid="{00000000-0005-0000-0000-00006C060000}"/>
    <cellStyle name="20% - Ênfase3 14 6" xfId="2798" xr:uid="{00000000-0005-0000-0000-00006D060000}"/>
    <cellStyle name="20% - Ênfase3 14 7" xfId="2799" xr:uid="{00000000-0005-0000-0000-00006E060000}"/>
    <cellStyle name="20% - Ênfase3 14 8" xfId="2800" xr:uid="{00000000-0005-0000-0000-00006F060000}"/>
    <cellStyle name="20% - Ênfase3 14 9" xfId="2801" xr:uid="{00000000-0005-0000-0000-000070060000}"/>
    <cellStyle name="20% - Ênfase3 15" xfId="294" xr:uid="{00000000-0005-0000-0000-000071060000}"/>
    <cellStyle name="20% - Ênfase3 15 10" xfId="2802" xr:uid="{00000000-0005-0000-0000-000072060000}"/>
    <cellStyle name="20% - Ênfase3 15 11" xfId="2803" xr:uid="{00000000-0005-0000-0000-000073060000}"/>
    <cellStyle name="20% - Ênfase3 15 12" xfId="2804" xr:uid="{00000000-0005-0000-0000-000074060000}"/>
    <cellStyle name="20% - Ênfase3 15 13" xfId="2805" xr:uid="{00000000-0005-0000-0000-000075060000}"/>
    <cellStyle name="20% - Ênfase3 15 14" xfId="2806" xr:uid="{00000000-0005-0000-0000-000076060000}"/>
    <cellStyle name="20% - Ênfase3 15 15" xfId="2807" xr:uid="{00000000-0005-0000-0000-000077060000}"/>
    <cellStyle name="20% - Ênfase3 15 16" xfId="2808" xr:uid="{00000000-0005-0000-0000-000078060000}"/>
    <cellStyle name="20% - Ênfase3 15 17" xfId="2809" xr:uid="{00000000-0005-0000-0000-000079060000}"/>
    <cellStyle name="20% - Ênfase3 15 18" xfId="2810" xr:uid="{00000000-0005-0000-0000-00007A060000}"/>
    <cellStyle name="20% - Ênfase3 15 19" xfId="2811" xr:uid="{00000000-0005-0000-0000-00007B060000}"/>
    <cellStyle name="20% - Ênfase3 15 2" xfId="2812" xr:uid="{00000000-0005-0000-0000-00007C060000}"/>
    <cellStyle name="20% - Ênfase3 15 20" xfId="2813" xr:uid="{00000000-0005-0000-0000-00007D060000}"/>
    <cellStyle name="20% - Ênfase3 15 3" xfId="2814" xr:uid="{00000000-0005-0000-0000-00007E060000}"/>
    <cellStyle name="20% - Ênfase3 15 4" xfId="2815" xr:uid="{00000000-0005-0000-0000-00007F060000}"/>
    <cellStyle name="20% - Ênfase3 15 5" xfId="2816" xr:uid="{00000000-0005-0000-0000-000080060000}"/>
    <cellStyle name="20% - Ênfase3 15 6" xfId="2817" xr:uid="{00000000-0005-0000-0000-000081060000}"/>
    <cellStyle name="20% - Ênfase3 15 7" xfId="2818" xr:uid="{00000000-0005-0000-0000-000082060000}"/>
    <cellStyle name="20% - Ênfase3 15 8" xfId="2819" xr:uid="{00000000-0005-0000-0000-000083060000}"/>
    <cellStyle name="20% - Ênfase3 15 9" xfId="2820" xr:uid="{00000000-0005-0000-0000-000084060000}"/>
    <cellStyle name="20% - Ênfase3 16" xfId="311" xr:uid="{00000000-0005-0000-0000-000085060000}"/>
    <cellStyle name="20% - Ênfase3 16 10" xfId="2821" xr:uid="{00000000-0005-0000-0000-000086060000}"/>
    <cellStyle name="20% - Ênfase3 16 11" xfId="2822" xr:uid="{00000000-0005-0000-0000-000087060000}"/>
    <cellStyle name="20% - Ênfase3 16 12" xfId="2823" xr:uid="{00000000-0005-0000-0000-000088060000}"/>
    <cellStyle name="20% - Ênfase3 16 13" xfId="2824" xr:uid="{00000000-0005-0000-0000-000089060000}"/>
    <cellStyle name="20% - Ênfase3 16 14" xfId="2825" xr:uid="{00000000-0005-0000-0000-00008A060000}"/>
    <cellStyle name="20% - Ênfase3 16 15" xfId="2826" xr:uid="{00000000-0005-0000-0000-00008B060000}"/>
    <cellStyle name="20% - Ênfase3 16 16" xfId="2827" xr:uid="{00000000-0005-0000-0000-00008C060000}"/>
    <cellStyle name="20% - Ênfase3 16 17" xfId="2828" xr:uid="{00000000-0005-0000-0000-00008D060000}"/>
    <cellStyle name="20% - Ênfase3 16 18" xfId="2829" xr:uid="{00000000-0005-0000-0000-00008E060000}"/>
    <cellStyle name="20% - Ênfase3 16 19" xfId="2830" xr:uid="{00000000-0005-0000-0000-00008F060000}"/>
    <cellStyle name="20% - Ênfase3 16 2" xfId="2831" xr:uid="{00000000-0005-0000-0000-000090060000}"/>
    <cellStyle name="20% - Ênfase3 16 20" xfId="2832" xr:uid="{00000000-0005-0000-0000-000091060000}"/>
    <cellStyle name="20% - Ênfase3 16 3" xfId="2833" xr:uid="{00000000-0005-0000-0000-000092060000}"/>
    <cellStyle name="20% - Ênfase3 16 4" xfId="2834" xr:uid="{00000000-0005-0000-0000-000093060000}"/>
    <cellStyle name="20% - Ênfase3 16 5" xfId="2835" xr:uid="{00000000-0005-0000-0000-000094060000}"/>
    <cellStyle name="20% - Ênfase3 16 6" xfId="2836" xr:uid="{00000000-0005-0000-0000-000095060000}"/>
    <cellStyle name="20% - Ênfase3 16 7" xfId="2837" xr:uid="{00000000-0005-0000-0000-000096060000}"/>
    <cellStyle name="20% - Ênfase3 16 8" xfId="2838" xr:uid="{00000000-0005-0000-0000-000097060000}"/>
    <cellStyle name="20% - Ênfase3 16 9" xfId="2839" xr:uid="{00000000-0005-0000-0000-000098060000}"/>
    <cellStyle name="20% - Ênfase3 17" xfId="329" xr:uid="{00000000-0005-0000-0000-000099060000}"/>
    <cellStyle name="20% - Ênfase3 17 10" xfId="2840" xr:uid="{00000000-0005-0000-0000-00009A060000}"/>
    <cellStyle name="20% - Ênfase3 17 11" xfId="2841" xr:uid="{00000000-0005-0000-0000-00009B060000}"/>
    <cellStyle name="20% - Ênfase3 17 12" xfId="2842" xr:uid="{00000000-0005-0000-0000-00009C060000}"/>
    <cellStyle name="20% - Ênfase3 17 13" xfId="2843" xr:uid="{00000000-0005-0000-0000-00009D060000}"/>
    <cellStyle name="20% - Ênfase3 17 14" xfId="2844" xr:uid="{00000000-0005-0000-0000-00009E060000}"/>
    <cellStyle name="20% - Ênfase3 17 15" xfId="2845" xr:uid="{00000000-0005-0000-0000-00009F060000}"/>
    <cellStyle name="20% - Ênfase3 17 16" xfId="2846" xr:uid="{00000000-0005-0000-0000-0000A0060000}"/>
    <cellStyle name="20% - Ênfase3 17 17" xfId="2847" xr:uid="{00000000-0005-0000-0000-0000A1060000}"/>
    <cellStyle name="20% - Ênfase3 17 18" xfId="2848" xr:uid="{00000000-0005-0000-0000-0000A2060000}"/>
    <cellStyle name="20% - Ênfase3 17 19" xfId="2849" xr:uid="{00000000-0005-0000-0000-0000A3060000}"/>
    <cellStyle name="20% - Ênfase3 17 2" xfId="2850" xr:uid="{00000000-0005-0000-0000-0000A4060000}"/>
    <cellStyle name="20% - Ênfase3 17 20" xfId="2851" xr:uid="{00000000-0005-0000-0000-0000A5060000}"/>
    <cellStyle name="20% - Ênfase3 17 3" xfId="2852" xr:uid="{00000000-0005-0000-0000-0000A6060000}"/>
    <cellStyle name="20% - Ênfase3 17 4" xfId="2853" xr:uid="{00000000-0005-0000-0000-0000A7060000}"/>
    <cellStyle name="20% - Ênfase3 17 5" xfId="2854" xr:uid="{00000000-0005-0000-0000-0000A8060000}"/>
    <cellStyle name="20% - Ênfase3 17 6" xfId="2855" xr:uid="{00000000-0005-0000-0000-0000A9060000}"/>
    <cellStyle name="20% - Ênfase3 17 7" xfId="2856" xr:uid="{00000000-0005-0000-0000-0000AA060000}"/>
    <cellStyle name="20% - Ênfase3 17 8" xfId="2857" xr:uid="{00000000-0005-0000-0000-0000AB060000}"/>
    <cellStyle name="20% - Ênfase3 17 9" xfId="2858" xr:uid="{00000000-0005-0000-0000-0000AC060000}"/>
    <cellStyle name="20% - Ênfase3 18" xfId="345" xr:uid="{00000000-0005-0000-0000-0000AD060000}"/>
    <cellStyle name="20% - Ênfase3 18 10" xfId="2859" xr:uid="{00000000-0005-0000-0000-0000AE060000}"/>
    <cellStyle name="20% - Ênfase3 18 11" xfId="2860" xr:uid="{00000000-0005-0000-0000-0000AF060000}"/>
    <cellStyle name="20% - Ênfase3 18 12" xfId="2861" xr:uid="{00000000-0005-0000-0000-0000B0060000}"/>
    <cellStyle name="20% - Ênfase3 18 13" xfId="2862" xr:uid="{00000000-0005-0000-0000-0000B1060000}"/>
    <cellStyle name="20% - Ênfase3 18 14" xfId="2863" xr:uid="{00000000-0005-0000-0000-0000B2060000}"/>
    <cellStyle name="20% - Ênfase3 18 15" xfId="2864" xr:uid="{00000000-0005-0000-0000-0000B3060000}"/>
    <cellStyle name="20% - Ênfase3 18 16" xfId="2865" xr:uid="{00000000-0005-0000-0000-0000B4060000}"/>
    <cellStyle name="20% - Ênfase3 18 17" xfId="2866" xr:uid="{00000000-0005-0000-0000-0000B5060000}"/>
    <cellStyle name="20% - Ênfase3 18 18" xfId="2867" xr:uid="{00000000-0005-0000-0000-0000B6060000}"/>
    <cellStyle name="20% - Ênfase3 18 19" xfId="2868" xr:uid="{00000000-0005-0000-0000-0000B7060000}"/>
    <cellStyle name="20% - Ênfase3 18 2" xfId="2869" xr:uid="{00000000-0005-0000-0000-0000B8060000}"/>
    <cellStyle name="20% - Ênfase3 18 20" xfId="2870" xr:uid="{00000000-0005-0000-0000-0000B9060000}"/>
    <cellStyle name="20% - Ênfase3 18 3" xfId="2871" xr:uid="{00000000-0005-0000-0000-0000BA060000}"/>
    <cellStyle name="20% - Ênfase3 18 4" xfId="2872" xr:uid="{00000000-0005-0000-0000-0000BB060000}"/>
    <cellStyle name="20% - Ênfase3 18 5" xfId="2873" xr:uid="{00000000-0005-0000-0000-0000BC060000}"/>
    <cellStyle name="20% - Ênfase3 18 6" xfId="2874" xr:uid="{00000000-0005-0000-0000-0000BD060000}"/>
    <cellStyle name="20% - Ênfase3 18 7" xfId="2875" xr:uid="{00000000-0005-0000-0000-0000BE060000}"/>
    <cellStyle name="20% - Ênfase3 18 8" xfId="2876" xr:uid="{00000000-0005-0000-0000-0000BF060000}"/>
    <cellStyle name="20% - Ênfase3 18 9" xfId="2877" xr:uid="{00000000-0005-0000-0000-0000C0060000}"/>
    <cellStyle name="20% - Ênfase3 19" xfId="305" xr:uid="{00000000-0005-0000-0000-0000C1060000}"/>
    <cellStyle name="20% - Ênfase3 19 10" xfId="2878" xr:uid="{00000000-0005-0000-0000-0000C2060000}"/>
    <cellStyle name="20% - Ênfase3 19 11" xfId="2879" xr:uid="{00000000-0005-0000-0000-0000C3060000}"/>
    <cellStyle name="20% - Ênfase3 19 12" xfId="2880" xr:uid="{00000000-0005-0000-0000-0000C4060000}"/>
    <cellStyle name="20% - Ênfase3 19 13" xfId="2881" xr:uid="{00000000-0005-0000-0000-0000C5060000}"/>
    <cellStyle name="20% - Ênfase3 19 14" xfId="2882" xr:uid="{00000000-0005-0000-0000-0000C6060000}"/>
    <cellStyle name="20% - Ênfase3 19 15" xfId="2883" xr:uid="{00000000-0005-0000-0000-0000C7060000}"/>
    <cellStyle name="20% - Ênfase3 19 16" xfId="2884" xr:uid="{00000000-0005-0000-0000-0000C8060000}"/>
    <cellStyle name="20% - Ênfase3 19 17" xfId="2885" xr:uid="{00000000-0005-0000-0000-0000C9060000}"/>
    <cellStyle name="20% - Ênfase3 19 18" xfId="2886" xr:uid="{00000000-0005-0000-0000-0000CA060000}"/>
    <cellStyle name="20% - Ênfase3 19 19" xfId="2887" xr:uid="{00000000-0005-0000-0000-0000CB060000}"/>
    <cellStyle name="20% - Ênfase3 19 2" xfId="2888" xr:uid="{00000000-0005-0000-0000-0000CC060000}"/>
    <cellStyle name="20% - Ênfase3 19 20" xfId="2889" xr:uid="{00000000-0005-0000-0000-0000CD060000}"/>
    <cellStyle name="20% - Ênfase3 19 3" xfId="2890" xr:uid="{00000000-0005-0000-0000-0000CE060000}"/>
    <cellStyle name="20% - Ênfase3 19 4" xfId="2891" xr:uid="{00000000-0005-0000-0000-0000CF060000}"/>
    <cellStyle name="20% - Ênfase3 19 5" xfId="2892" xr:uid="{00000000-0005-0000-0000-0000D0060000}"/>
    <cellStyle name="20% - Ênfase3 19 6" xfId="2893" xr:uid="{00000000-0005-0000-0000-0000D1060000}"/>
    <cellStyle name="20% - Ênfase3 19 7" xfId="2894" xr:uid="{00000000-0005-0000-0000-0000D2060000}"/>
    <cellStyle name="20% - Ênfase3 19 8" xfId="2895" xr:uid="{00000000-0005-0000-0000-0000D3060000}"/>
    <cellStyle name="20% - Ênfase3 19 9" xfId="2896" xr:uid="{00000000-0005-0000-0000-0000D4060000}"/>
    <cellStyle name="20% - Ênfase3 2" xfId="76" xr:uid="{00000000-0005-0000-0000-0000D5060000}"/>
    <cellStyle name="20% - Ênfase3 2 10" xfId="2897" xr:uid="{00000000-0005-0000-0000-0000D6060000}"/>
    <cellStyle name="20% - Ênfase3 2 11" xfId="2898" xr:uid="{00000000-0005-0000-0000-0000D7060000}"/>
    <cellStyle name="20% - Ênfase3 2 12" xfId="2899" xr:uid="{00000000-0005-0000-0000-0000D8060000}"/>
    <cellStyle name="20% - Ênfase3 2 13" xfId="2900" xr:uid="{00000000-0005-0000-0000-0000D9060000}"/>
    <cellStyle name="20% - Ênfase3 2 14" xfId="2901" xr:uid="{00000000-0005-0000-0000-0000DA060000}"/>
    <cellStyle name="20% - Ênfase3 2 15" xfId="2902" xr:uid="{00000000-0005-0000-0000-0000DB060000}"/>
    <cellStyle name="20% - Ênfase3 2 16" xfId="2903" xr:uid="{00000000-0005-0000-0000-0000DC060000}"/>
    <cellStyle name="20% - Ênfase3 2 17" xfId="2904" xr:uid="{00000000-0005-0000-0000-0000DD060000}"/>
    <cellStyle name="20% - Ênfase3 2 18" xfId="2905" xr:uid="{00000000-0005-0000-0000-0000DE060000}"/>
    <cellStyle name="20% - Ênfase3 2 19" xfId="2906" xr:uid="{00000000-0005-0000-0000-0000DF060000}"/>
    <cellStyle name="20% - Ênfase3 2 2" xfId="2907" xr:uid="{00000000-0005-0000-0000-0000E0060000}"/>
    <cellStyle name="20% - Ênfase3 2 20" xfId="2908" xr:uid="{00000000-0005-0000-0000-0000E1060000}"/>
    <cellStyle name="20% - Ênfase3 2 3" xfId="2909" xr:uid="{00000000-0005-0000-0000-0000E2060000}"/>
    <cellStyle name="20% - Ênfase3 2 4" xfId="2910" xr:uid="{00000000-0005-0000-0000-0000E3060000}"/>
    <cellStyle name="20% - Ênfase3 2 5" xfId="2911" xr:uid="{00000000-0005-0000-0000-0000E4060000}"/>
    <cellStyle name="20% - Ênfase3 2 6" xfId="2912" xr:uid="{00000000-0005-0000-0000-0000E5060000}"/>
    <cellStyle name="20% - Ênfase3 2 7" xfId="2913" xr:uid="{00000000-0005-0000-0000-0000E6060000}"/>
    <cellStyle name="20% - Ênfase3 2 8" xfId="2914" xr:uid="{00000000-0005-0000-0000-0000E7060000}"/>
    <cellStyle name="20% - Ênfase3 2 9" xfId="2915" xr:uid="{00000000-0005-0000-0000-0000E8060000}"/>
    <cellStyle name="20% - Ênfase3 20" xfId="383" xr:uid="{00000000-0005-0000-0000-0000E9060000}"/>
    <cellStyle name="20% - Ênfase3 20 10" xfId="2916" xr:uid="{00000000-0005-0000-0000-0000EA060000}"/>
    <cellStyle name="20% - Ênfase3 20 11" xfId="2917" xr:uid="{00000000-0005-0000-0000-0000EB060000}"/>
    <cellStyle name="20% - Ênfase3 20 12" xfId="2918" xr:uid="{00000000-0005-0000-0000-0000EC060000}"/>
    <cellStyle name="20% - Ênfase3 20 13" xfId="2919" xr:uid="{00000000-0005-0000-0000-0000ED060000}"/>
    <cellStyle name="20% - Ênfase3 20 14" xfId="2920" xr:uid="{00000000-0005-0000-0000-0000EE060000}"/>
    <cellStyle name="20% - Ênfase3 20 15" xfId="2921" xr:uid="{00000000-0005-0000-0000-0000EF060000}"/>
    <cellStyle name="20% - Ênfase3 20 16" xfId="2922" xr:uid="{00000000-0005-0000-0000-0000F0060000}"/>
    <cellStyle name="20% - Ênfase3 20 17" xfId="2923" xr:uid="{00000000-0005-0000-0000-0000F1060000}"/>
    <cellStyle name="20% - Ênfase3 20 18" xfId="2924" xr:uid="{00000000-0005-0000-0000-0000F2060000}"/>
    <cellStyle name="20% - Ênfase3 20 19" xfId="2925" xr:uid="{00000000-0005-0000-0000-0000F3060000}"/>
    <cellStyle name="20% - Ênfase3 20 2" xfId="2926" xr:uid="{00000000-0005-0000-0000-0000F4060000}"/>
    <cellStyle name="20% - Ênfase3 20 20" xfId="2927" xr:uid="{00000000-0005-0000-0000-0000F5060000}"/>
    <cellStyle name="20% - Ênfase3 20 3" xfId="2928" xr:uid="{00000000-0005-0000-0000-0000F6060000}"/>
    <cellStyle name="20% - Ênfase3 20 4" xfId="2929" xr:uid="{00000000-0005-0000-0000-0000F7060000}"/>
    <cellStyle name="20% - Ênfase3 20 5" xfId="2930" xr:uid="{00000000-0005-0000-0000-0000F8060000}"/>
    <cellStyle name="20% - Ênfase3 20 6" xfId="2931" xr:uid="{00000000-0005-0000-0000-0000F9060000}"/>
    <cellStyle name="20% - Ênfase3 20 7" xfId="2932" xr:uid="{00000000-0005-0000-0000-0000FA060000}"/>
    <cellStyle name="20% - Ênfase3 20 8" xfId="2933" xr:uid="{00000000-0005-0000-0000-0000FB060000}"/>
    <cellStyle name="20% - Ênfase3 20 9" xfId="2934" xr:uid="{00000000-0005-0000-0000-0000FC060000}"/>
    <cellStyle name="20% - Ênfase3 21" xfId="401" xr:uid="{00000000-0005-0000-0000-0000FD060000}"/>
    <cellStyle name="20% - Ênfase3 21 10" xfId="2935" xr:uid="{00000000-0005-0000-0000-0000FE060000}"/>
    <cellStyle name="20% - Ênfase3 21 11" xfId="2936" xr:uid="{00000000-0005-0000-0000-0000FF060000}"/>
    <cellStyle name="20% - Ênfase3 21 12" xfId="2937" xr:uid="{00000000-0005-0000-0000-000000070000}"/>
    <cellStyle name="20% - Ênfase3 21 13" xfId="2938" xr:uid="{00000000-0005-0000-0000-000001070000}"/>
    <cellStyle name="20% - Ênfase3 21 14" xfId="2939" xr:uid="{00000000-0005-0000-0000-000002070000}"/>
    <cellStyle name="20% - Ênfase3 21 15" xfId="2940" xr:uid="{00000000-0005-0000-0000-000003070000}"/>
    <cellStyle name="20% - Ênfase3 21 16" xfId="2941" xr:uid="{00000000-0005-0000-0000-000004070000}"/>
    <cellStyle name="20% - Ênfase3 21 17" xfId="2942" xr:uid="{00000000-0005-0000-0000-000005070000}"/>
    <cellStyle name="20% - Ênfase3 21 18" xfId="2943" xr:uid="{00000000-0005-0000-0000-000006070000}"/>
    <cellStyle name="20% - Ênfase3 21 19" xfId="2944" xr:uid="{00000000-0005-0000-0000-000007070000}"/>
    <cellStyle name="20% - Ênfase3 21 2" xfId="2945" xr:uid="{00000000-0005-0000-0000-000008070000}"/>
    <cellStyle name="20% - Ênfase3 21 20" xfId="2946" xr:uid="{00000000-0005-0000-0000-000009070000}"/>
    <cellStyle name="20% - Ênfase3 21 3" xfId="2947" xr:uid="{00000000-0005-0000-0000-00000A070000}"/>
    <cellStyle name="20% - Ênfase3 21 4" xfId="2948" xr:uid="{00000000-0005-0000-0000-00000B070000}"/>
    <cellStyle name="20% - Ênfase3 21 5" xfId="2949" xr:uid="{00000000-0005-0000-0000-00000C070000}"/>
    <cellStyle name="20% - Ênfase3 21 6" xfId="2950" xr:uid="{00000000-0005-0000-0000-00000D070000}"/>
    <cellStyle name="20% - Ênfase3 21 7" xfId="2951" xr:uid="{00000000-0005-0000-0000-00000E070000}"/>
    <cellStyle name="20% - Ênfase3 21 8" xfId="2952" xr:uid="{00000000-0005-0000-0000-00000F070000}"/>
    <cellStyle name="20% - Ênfase3 21 9" xfId="2953" xr:uid="{00000000-0005-0000-0000-000010070000}"/>
    <cellStyle name="20% - Ênfase3 22" xfId="419" xr:uid="{00000000-0005-0000-0000-000011070000}"/>
    <cellStyle name="20% - Ênfase3 22 10" xfId="2954" xr:uid="{00000000-0005-0000-0000-000012070000}"/>
    <cellStyle name="20% - Ênfase3 22 11" xfId="2955" xr:uid="{00000000-0005-0000-0000-000013070000}"/>
    <cellStyle name="20% - Ênfase3 22 12" xfId="2956" xr:uid="{00000000-0005-0000-0000-000014070000}"/>
    <cellStyle name="20% - Ênfase3 22 13" xfId="2957" xr:uid="{00000000-0005-0000-0000-000015070000}"/>
    <cellStyle name="20% - Ênfase3 22 14" xfId="2958" xr:uid="{00000000-0005-0000-0000-000016070000}"/>
    <cellStyle name="20% - Ênfase3 22 15" xfId="2959" xr:uid="{00000000-0005-0000-0000-000017070000}"/>
    <cellStyle name="20% - Ênfase3 22 16" xfId="2960" xr:uid="{00000000-0005-0000-0000-000018070000}"/>
    <cellStyle name="20% - Ênfase3 22 17" xfId="2961" xr:uid="{00000000-0005-0000-0000-000019070000}"/>
    <cellStyle name="20% - Ênfase3 22 18" xfId="2962" xr:uid="{00000000-0005-0000-0000-00001A070000}"/>
    <cellStyle name="20% - Ênfase3 22 19" xfId="2963" xr:uid="{00000000-0005-0000-0000-00001B070000}"/>
    <cellStyle name="20% - Ênfase3 22 2" xfId="2964" xr:uid="{00000000-0005-0000-0000-00001C070000}"/>
    <cellStyle name="20% - Ênfase3 22 20" xfId="2965" xr:uid="{00000000-0005-0000-0000-00001D070000}"/>
    <cellStyle name="20% - Ênfase3 22 3" xfId="2966" xr:uid="{00000000-0005-0000-0000-00001E070000}"/>
    <cellStyle name="20% - Ênfase3 22 4" xfId="2967" xr:uid="{00000000-0005-0000-0000-00001F070000}"/>
    <cellStyle name="20% - Ênfase3 22 5" xfId="2968" xr:uid="{00000000-0005-0000-0000-000020070000}"/>
    <cellStyle name="20% - Ênfase3 22 6" xfId="2969" xr:uid="{00000000-0005-0000-0000-000021070000}"/>
    <cellStyle name="20% - Ênfase3 22 7" xfId="2970" xr:uid="{00000000-0005-0000-0000-000022070000}"/>
    <cellStyle name="20% - Ênfase3 22 8" xfId="2971" xr:uid="{00000000-0005-0000-0000-000023070000}"/>
    <cellStyle name="20% - Ênfase3 22 9" xfId="2972" xr:uid="{00000000-0005-0000-0000-000024070000}"/>
    <cellStyle name="20% - Ênfase3 23" xfId="437" xr:uid="{00000000-0005-0000-0000-000025070000}"/>
    <cellStyle name="20% - Ênfase3 23 10" xfId="2973" xr:uid="{00000000-0005-0000-0000-000026070000}"/>
    <cellStyle name="20% - Ênfase3 23 11" xfId="2974" xr:uid="{00000000-0005-0000-0000-000027070000}"/>
    <cellStyle name="20% - Ênfase3 23 12" xfId="2975" xr:uid="{00000000-0005-0000-0000-000028070000}"/>
    <cellStyle name="20% - Ênfase3 23 13" xfId="2976" xr:uid="{00000000-0005-0000-0000-000029070000}"/>
    <cellStyle name="20% - Ênfase3 23 14" xfId="2977" xr:uid="{00000000-0005-0000-0000-00002A070000}"/>
    <cellStyle name="20% - Ênfase3 23 15" xfId="2978" xr:uid="{00000000-0005-0000-0000-00002B070000}"/>
    <cellStyle name="20% - Ênfase3 23 16" xfId="2979" xr:uid="{00000000-0005-0000-0000-00002C070000}"/>
    <cellStyle name="20% - Ênfase3 23 17" xfId="2980" xr:uid="{00000000-0005-0000-0000-00002D070000}"/>
    <cellStyle name="20% - Ênfase3 23 18" xfId="2981" xr:uid="{00000000-0005-0000-0000-00002E070000}"/>
    <cellStyle name="20% - Ênfase3 23 19" xfId="2982" xr:uid="{00000000-0005-0000-0000-00002F070000}"/>
    <cellStyle name="20% - Ênfase3 23 2" xfId="2983" xr:uid="{00000000-0005-0000-0000-000030070000}"/>
    <cellStyle name="20% - Ênfase3 23 20" xfId="2984" xr:uid="{00000000-0005-0000-0000-000031070000}"/>
    <cellStyle name="20% - Ênfase3 23 3" xfId="2985" xr:uid="{00000000-0005-0000-0000-000032070000}"/>
    <cellStyle name="20% - Ênfase3 23 4" xfId="2986" xr:uid="{00000000-0005-0000-0000-000033070000}"/>
    <cellStyle name="20% - Ênfase3 23 5" xfId="2987" xr:uid="{00000000-0005-0000-0000-000034070000}"/>
    <cellStyle name="20% - Ênfase3 23 6" xfId="2988" xr:uid="{00000000-0005-0000-0000-000035070000}"/>
    <cellStyle name="20% - Ênfase3 23 7" xfId="2989" xr:uid="{00000000-0005-0000-0000-000036070000}"/>
    <cellStyle name="20% - Ênfase3 23 8" xfId="2990" xr:uid="{00000000-0005-0000-0000-000037070000}"/>
    <cellStyle name="20% - Ênfase3 23 9" xfId="2991" xr:uid="{00000000-0005-0000-0000-000038070000}"/>
    <cellStyle name="20% - Ênfase3 24" xfId="455" xr:uid="{00000000-0005-0000-0000-000039070000}"/>
    <cellStyle name="20% - Ênfase3 24 10" xfId="2992" xr:uid="{00000000-0005-0000-0000-00003A070000}"/>
    <cellStyle name="20% - Ênfase3 24 11" xfId="2993" xr:uid="{00000000-0005-0000-0000-00003B070000}"/>
    <cellStyle name="20% - Ênfase3 24 12" xfId="2994" xr:uid="{00000000-0005-0000-0000-00003C070000}"/>
    <cellStyle name="20% - Ênfase3 24 13" xfId="2995" xr:uid="{00000000-0005-0000-0000-00003D070000}"/>
    <cellStyle name="20% - Ênfase3 24 14" xfId="2996" xr:uid="{00000000-0005-0000-0000-00003E070000}"/>
    <cellStyle name="20% - Ênfase3 24 15" xfId="2997" xr:uid="{00000000-0005-0000-0000-00003F070000}"/>
    <cellStyle name="20% - Ênfase3 24 16" xfId="2998" xr:uid="{00000000-0005-0000-0000-000040070000}"/>
    <cellStyle name="20% - Ênfase3 24 17" xfId="2999" xr:uid="{00000000-0005-0000-0000-000041070000}"/>
    <cellStyle name="20% - Ênfase3 24 18" xfId="3000" xr:uid="{00000000-0005-0000-0000-000042070000}"/>
    <cellStyle name="20% - Ênfase3 24 19" xfId="3001" xr:uid="{00000000-0005-0000-0000-000043070000}"/>
    <cellStyle name="20% - Ênfase3 24 2" xfId="3002" xr:uid="{00000000-0005-0000-0000-000044070000}"/>
    <cellStyle name="20% - Ênfase3 24 20" xfId="3003" xr:uid="{00000000-0005-0000-0000-000045070000}"/>
    <cellStyle name="20% - Ênfase3 24 3" xfId="3004" xr:uid="{00000000-0005-0000-0000-000046070000}"/>
    <cellStyle name="20% - Ênfase3 24 4" xfId="3005" xr:uid="{00000000-0005-0000-0000-000047070000}"/>
    <cellStyle name="20% - Ênfase3 24 5" xfId="3006" xr:uid="{00000000-0005-0000-0000-000048070000}"/>
    <cellStyle name="20% - Ênfase3 24 6" xfId="3007" xr:uid="{00000000-0005-0000-0000-000049070000}"/>
    <cellStyle name="20% - Ênfase3 24 7" xfId="3008" xr:uid="{00000000-0005-0000-0000-00004A070000}"/>
    <cellStyle name="20% - Ênfase3 24 8" xfId="3009" xr:uid="{00000000-0005-0000-0000-00004B070000}"/>
    <cellStyle name="20% - Ênfase3 24 9" xfId="3010" xr:uid="{00000000-0005-0000-0000-00004C070000}"/>
    <cellStyle name="20% - Ênfase3 25" xfId="473" xr:uid="{00000000-0005-0000-0000-00004D070000}"/>
    <cellStyle name="20% - Ênfase3 25 10" xfId="3011" xr:uid="{00000000-0005-0000-0000-00004E070000}"/>
    <cellStyle name="20% - Ênfase3 25 11" xfId="3012" xr:uid="{00000000-0005-0000-0000-00004F070000}"/>
    <cellStyle name="20% - Ênfase3 25 12" xfId="3013" xr:uid="{00000000-0005-0000-0000-000050070000}"/>
    <cellStyle name="20% - Ênfase3 25 13" xfId="3014" xr:uid="{00000000-0005-0000-0000-000051070000}"/>
    <cellStyle name="20% - Ênfase3 25 14" xfId="3015" xr:uid="{00000000-0005-0000-0000-000052070000}"/>
    <cellStyle name="20% - Ênfase3 25 15" xfId="3016" xr:uid="{00000000-0005-0000-0000-000053070000}"/>
    <cellStyle name="20% - Ênfase3 25 16" xfId="3017" xr:uid="{00000000-0005-0000-0000-000054070000}"/>
    <cellStyle name="20% - Ênfase3 25 17" xfId="3018" xr:uid="{00000000-0005-0000-0000-000055070000}"/>
    <cellStyle name="20% - Ênfase3 25 18" xfId="3019" xr:uid="{00000000-0005-0000-0000-000056070000}"/>
    <cellStyle name="20% - Ênfase3 25 19" xfId="3020" xr:uid="{00000000-0005-0000-0000-000057070000}"/>
    <cellStyle name="20% - Ênfase3 25 2" xfId="3021" xr:uid="{00000000-0005-0000-0000-000058070000}"/>
    <cellStyle name="20% - Ênfase3 25 20" xfId="3022" xr:uid="{00000000-0005-0000-0000-000059070000}"/>
    <cellStyle name="20% - Ênfase3 25 3" xfId="3023" xr:uid="{00000000-0005-0000-0000-00005A070000}"/>
    <cellStyle name="20% - Ênfase3 25 4" xfId="3024" xr:uid="{00000000-0005-0000-0000-00005B070000}"/>
    <cellStyle name="20% - Ênfase3 25 5" xfId="3025" xr:uid="{00000000-0005-0000-0000-00005C070000}"/>
    <cellStyle name="20% - Ênfase3 25 6" xfId="3026" xr:uid="{00000000-0005-0000-0000-00005D070000}"/>
    <cellStyle name="20% - Ênfase3 25 7" xfId="3027" xr:uid="{00000000-0005-0000-0000-00005E070000}"/>
    <cellStyle name="20% - Ênfase3 25 8" xfId="3028" xr:uid="{00000000-0005-0000-0000-00005F070000}"/>
    <cellStyle name="20% - Ênfase3 25 9" xfId="3029" xr:uid="{00000000-0005-0000-0000-000060070000}"/>
    <cellStyle name="20% - Ênfase3 26" xfId="491" xr:uid="{00000000-0005-0000-0000-000061070000}"/>
    <cellStyle name="20% - Ênfase3 26 10" xfId="3030" xr:uid="{00000000-0005-0000-0000-000062070000}"/>
    <cellStyle name="20% - Ênfase3 26 11" xfId="3031" xr:uid="{00000000-0005-0000-0000-000063070000}"/>
    <cellStyle name="20% - Ênfase3 26 12" xfId="3032" xr:uid="{00000000-0005-0000-0000-000064070000}"/>
    <cellStyle name="20% - Ênfase3 26 13" xfId="3033" xr:uid="{00000000-0005-0000-0000-000065070000}"/>
    <cellStyle name="20% - Ênfase3 26 14" xfId="3034" xr:uid="{00000000-0005-0000-0000-000066070000}"/>
    <cellStyle name="20% - Ênfase3 26 15" xfId="3035" xr:uid="{00000000-0005-0000-0000-000067070000}"/>
    <cellStyle name="20% - Ênfase3 26 16" xfId="3036" xr:uid="{00000000-0005-0000-0000-000068070000}"/>
    <cellStyle name="20% - Ênfase3 26 17" xfId="3037" xr:uid="{00000000-0005-0000-0000-000069070000}"/>
    <cellStyle name="20% - Ênfase3 26 18" xfId="3038" xr:uid="{00000000-0005-0000-0000-00006A070000}"/>
    <cellStyle name="20% - Ênfase3 26 19" xfId="3039" xr:uid="{00000000-0005-0000-0000-00006B070000}"/>
    <cellStyle name="20% - Ênfase3 26 2" xfId="3040" xr:uid="{00000000-0005-0000-0000-00006C070000}"/>
    <cellStyle name="20% - Ênfase3 26 20" xfId="3041" xr:uid="{00000000-0005-0000-0000-00006D070000}"/>
    <cellStyle name="20% - Ênfase3 26 3" xfId="3042" xr:uid="{00000000-0005-0000-0000-00006E070000}"/>
    <cellStyle name="20% - Ênfase3 26 4" xfId="3043" xr:uid="{00000000-0005-0000-0000-00006F070000}"/>
    <cellStyle name="20% - Ênfase3 26 5" xfId="3044" xr:uid="{00000000-0005-0000-0000-000070070000}"/>
    <cellStyle name="20% - Ênfase3 26 6" xfId="3045" xr:uid="{00000000-0005-0000-0000-000071070000}"/>
    <cellStyle name="20% - Ênfase3 26 7" xfId="3046" xr:uid="{00000000-0005-0000-0000-000072070000}"/>
    <cellStyle name="20% - Ênfase3 26 8" xfId="3047" xr:uid="{00000000-0005-0000-0000-000073070000}"/>
    <cellStyle name="20% - Ênfase3 26 9" xfId="3048" xr:uid="{00000000-0005-0000-0000-000074070000}"/>
    <cellStyle name="20% - Ênfase3 27" xfId="509" xr:uid="{00000000-0005-0000-0000-000075070000}"/>
    <cellStyle name="20% - Ênfase3 27 10" xfId="3049" xr:uid="{00000000-0005-0000-0000-000076070000}"/>
    <cellStyle name="20% - Ênfase3 27 11" xfId="3050" xr:uid="{00000000-0005-0000-0000-000077070000}"/>
    <cellStyle name="20% - Ênfase3 27 12" xfId="3051" xr:uid="{00000000-0005-0000-0000-000078070000}"/>
    <cellStyle name="20% - Ênfase3 27 13" xfId="3052" xr:uid="{00000000-0005-0000-0000-000079070000}"/>
    <cellStyle name="20% - Ênfase3 27 14" xfId="3053" xr:uid="{00000000-0005-0000-0000-00007A070000}"/>
    <cellStyle name="20% - Ênfase3 27 15" xfId="3054" xr:uid="{00000000-0005-0000-0000-00007B070000}"/>
    <cellStyle name="20% - Ênfase3 27 16" xfId="3055" xr:uid="{00000000-0005-0000-0000-00007C070000}"/>
    <cellStyle name="20% - Ênfase3 27 17" xfId="3056" xr:uid="{00000000-0005-0000-0000-00007D070000}"/>
    <cellStyle name="20% - Ênfase3 27 18" xfId="3057" xr:uid="{00000000-0005-0000-0000-00007E070000}"/>
    <cellStyle name="20% - Ênfase3 27 19" xfId="3058" xr:uid="{00000000-0005-0000-0000-00007F070000}"/>
    <cellStyle name="20% - Ênfase3 27 2" xfId="3059" xr:uid="{00000000-0005-0000-0000-000080070000}"/>
    <cellStyle name="20% - Ênfase3 27 20" xfId="3060" xr:uid="{00000000-0005-0000-0000-000081070000}"/>
    <cellStyle name="20% - Ênfase3 27 3" xfId="3061" xr:uid="{00000000-0005-0000-0000-000082070000}"/>
    <cellStyle name="20% - Ênfase3 27 4" xfId="3062" xr:uid="{00000000-0005-0000-0000-000083070000}"/>
    <cellStyle name="20% - Ênfase3 27 5" xfId="3063" xr:uid="{00000000-0005-0000-0000-000084070000}"/>
    <cellStyle name="20% - Ênfase3 27 6" xfId="3064" xr:uid="{00000000-0005-0000-0000-000085070000}"/>
    <cellStyle name="20% - Ênfase3 27 7" xfId="3065" xr:uid="{00000000-0005-0000-0000-000086070000}"/>
    <cellStyle name="20% - Ênfase3 27 8" xfId="3066" xr:uid="{00000000-0005-0000-0000-000087070000}"/>
    <cellStyle name="20% - Ênfase3 27 9" xfId="3067" xr:uid="{00000000-0005-0000-0000-000088070000}"/>
    <cellStyle name="20% - Ênfase3 28" xfId="527" xr:uid="{00000000-0005-0000-0000-000089070000}"/>
    <cellStyle name="20% - Ênfase3 28 10" xfId="3068" xr:uid="{00000000-0005-0000-0000-00008A070000}"/>
    <cellStyle name="20% - Ênfase3 28 11" xfId="3069" xr:uid="{00000000-0005-0000-0000-00008B070000}"/>
    <cellStyle name="20% - Ênfase3 28 12" xfId="3070" xr:uid="{00000000-0005-0000-0000-00008C070000}"/>
    <cellStyle name="20% - Ênfase3 28 13" xfId="3071" xr:uid="{00000000-0005-0000-0000-00008D070000}"/>
    <cellStyle name="20% - Ênfase3 28 14" xfId="3072" xr:uid="{00000000-0005-0000-0000-00008E070000}"/>
    <cellStyle name="20% - Ênfase3 28 15" xfId="3073" xr:uid="{00000000-0005-0000-0000-00008F070000}"/>
    <cellStyle name="20% - Ênfase3 28 16" xfId="3074" xr:uid="{00000000-0005-0000-0000-000090070000}"/>
    <cellStyle name="20% - Ênfase3 28 17" xfId="3075" xr:uid="{00000000-0005-0000-0000-000091070000}"/>
    <cellStyle name="20% - Ênfase3 28 18" xfId="3076" xr:uid="{00000000-0005-0000-0000-000092070000}"/>
    <cellStyle name="20% - Ênfase3 28 19" xfId="3077" xr:uid="{00000000-0005-0000-0000-000093070000}"/>
    <cellStyle name="20% - Ênfase3 28 2" xfId="3078" xr:uid="{00000000-0005-0000-0000-000094070000}"/>
    <cellStyle name="20% - Ênfase3 28 20" xfId="3079" xr:uid="{00000000-0005-0000-0000-000095070000}"/>
    <cellStyle name="20% - Ênfase3 28 3" xfId="3080" xr:uid="{00000000-0005-0000-0000-000096070000}"/>
    <cellStyle name="20% - Ênfase3 28 4" xfId="3081" xr:uid="{00000000-0005-0000-0000-000097070000}"/>
    <cellStyle name="20% - Ênfase3 28 5" xfId="3082" xr:uid="{00000000-0005-0000-0000-000098070000}"/>
    <cellStyle name="20% - Ênfase3 28 6" xfId="3083" xr:uid="{00000000-0005-0000-0000-000099070000}"/>
    <cellStyle name="20% - Ênfase3 28 7" xfId="3084" xr:uid="{00000000-0005-0000-0000-00009A070000}"/>
    <cellStyle name="20% - Ênfase3 28 8" xfId="3085" xr:uid="{00000000-0005-0000-0000-00009B070000}"/>
    <cellStyle name="20% - Ênfase3 28 9" xfId="3086" xr:uid="{00000000-0005-0000-0000-00009C070000}"/>
    <cellStyle name="20% - Ênfase3 29" xfId="545" xr:uid="{00000000-0005-0000-0000-00009D070000}"/>
    <cellStyle name="20% - Ênfase3 29 10" xfId="3087" xr:uid="{00000000-0005-0000-0000-00009E070000}"/>
    <cellStyle name="20% - Ênfase3 29 11" xfId="3088" xr:uid="{00000000-0005-0000-0000-00009F070000}"/>
    <cellStyle name="20% - Ênfase3 29 12" xfId="3089" xr:uid="{00000000-0005-0000-0000-0000A0070000}"/>
    <cellStyle name="20% - Ênfase3 29 13" xfId="3090" xr:uid="{00000000-0005-0000-0000-0000A1070000}"/>
    <cellStyle name="20% - Ênfase3 29 14" xfId="3091" xr:uid="{00000000-0005-0000-0000-0000A2070000}"/>
    <cellStyle name="20% - Ênfase3 29 15" xfId="3092" xr:uid="{00000000-0005-0000-0000-0000A3070000}"/>
    <cellStyle name="20% - Ênfase3 29 16" xfId="3093" xr:uid="{00000000-0005-0000-0000-0000A4070000}"/>
    <cellStyle name="20% - Ênfase3 29 17" xfId="3094" xr:uid="{00000000-0005-0000-0000-0000A5070000}"/>
    <cellStyle name="20% - Ênfase3 29 18" xfId="3095" xr:uid="{00000000-0005-0000-0000-0000A6070000}"/>
    <cellStyle name="20% - Ênfase3 29 19" xfId="3096" xr:uid="{00000000-0005-0000-0000-0000A7070000}"/>
    <cellStyle name="20% - Ênfase3 29 2" xfId="3097" xr:uid="{00000000-0005-0000-0000-0000A8070000}"/>
    <cellStyle name="20% - Ênfase3 29 20" xfId="3098" xr:uid="{00000000-0005-0000-0000-0000A9070000}"/>
    <cellStyle name="20% - Ênfase3 29 3" xfId="3099" xr:uid="{00000000-0005-0000-0000-0000AA070000}"/>
    <cellStyle name="20% - Ênfase3 29 4" xfId="3100" xr:uid="{00000000-0005-0000-0000-0000AB070000}"/>
    <cellStyle name="20% - Ênfase3 29 5" xfId="3101" xr:uid="{00000000-0005-0000-0000-0000AC070000}"/>
    <cellStyle name="20% - Ênfase3 29 6" xfId="3102" xr:uid="{00000000-0005-0000-0000-0000AD070000}"/>
    <cellStyle name="20% - Ênfase3 29 7" xfId="3103" xr:uid="{00000000-0005-0000-0000-0000AE070000}"/>
    <cellStyle name="20% - Ênfase3 29 8" xfId="3104" xr:uid="{00000000-0005-0000-0000-0000AF070000}"/>
    <cellStyle name="20% - Ênfase3 29 9" xfId="3105" xr:uid="{00000000-0005-0000-0000-0000B0070000}"/>
    <cellStyle name="20% - Ênfase3 3" xfId="90" xr:uid="{00000000-0005-0000-0000-0000B1070000}"/>
    <cellStyle name="20% - Ênfase3 3 10" xfId="3106" xr:uid="{00000000-0005-0000-0000-0000B2070000}"/>
    <cellStyle name="20% - Ênfase3 3 11" xfId="3107" xr:uid="{00000000-0005-0000-0000-0000B3070000}"/>
    <cellStyle name="20% - Ênfase3 3 12" xfId="3108" xr:uid="{00000000-0005-0000-0000-0000B4070000}"/>
    <cellStyle name="20% - Ênfase3 3 13" xfId="3109" xr:uid="{00000000-0005-0000-0000-0000B5070000}"/>
    <cellStyle name="20% - Ênfase3 3 14" xfId="3110" xr:uid="{00000000-0005-0000-0000-0000B6070000}"/>
    <cellStyle name="20% - Ênfase3 3 15" xfId="3111" xr:uid="{00000000-0005-0000-0000-0000B7070000}"/>
    <cellStyle name="20% - Ênfase3 3 16" xfId="3112" xr:uid="{00000000-0005-0000-0000-0000B8070000}"/>
    <cellStyle name="20% - Ênfase3 3 17" xfId="3113" xr:uid="{00000000-0005-0000-0000-0000B9070000}"/>
    <cellStyle name="20% - Ênfase3 3 18" xfId="3114" xr:uid="{00000000-0005-0000-0000-0000BA070000}"/>
    <cellStyle name="20% - Ênfase3 3 19" xfId="3115" xr:uid="{00000000-0005-0000-0000-0000BB070000}"/>
    <cellStyle name="20% - Ênfase3 3 2" xfId="3116" xr:uid="{00000000-0005-0000-0000-0000BC070000}"/>
    <cellStyle name="20% - Ênfase3 3 20" xfId="3117" xr:uid="{00000000-0005-0000-0000-0000BD070000}"/>
    <cellStyle name="20% - Ênfase3 3 3" xfId="3118" xr:uid="{00000000-0005-0000-0000-0000BE070000}"/>
    <cellStyle name="20% - Ênfase3 3 4" xfId="3119" xr:uid="{00000000-0005-0000-0000-0000BF070000}"/>
    <cellStyle name="20% - Ênfase3 3 5" xfId="3120" xr:uid="{00000000-0005-0000-0000-0000C0070000}"/>
    <cellStyle name="20% - Ênfase3 3 6" xfId="3121" xr:uid="{00000000-0005-0000-0000-0000C1070000}"/>
    <cellStyle name="20% - Ênfase3 3 7" xfId="3122" xr:uid="{00000000-0005-0000-0000-0000C2070000}"/>
    <cellStyle name="20% - Ênfase3 3 8" xfId="3123" xr:uid="{00000000-0005-0000-0000-0000C3070000}"/>
    <cellStyle name="20% - Ênfase3 3 9" xfId="3124" xr:uid="{00000000-0005-0000-0000-0000C4070000}"/>
    <cellStyle name="20% - Ênfase3 30" xfId="563" xr:uid="{00000000-0005-0000-0000-0000C5070000}"/>
    <cellStyle name="20% - Ênfase3 30 10" xfId="3125" xr:uid="{00000000-0005-0000-0000-0000C6070000}"/>
    <cellStyle name="20% - Ênfase3 30 11" xfId="3126" xr:uid="{00000000-0005-0000-0000-0000C7070000}"/>
    <cellStyle name="20% - Ênfase3 30 12" xfId="3127" xr:uid="{00000000-0005-0000-0000-0000C8070000}"/>
    <cellStyle name="20% - Ênfase3 30 13" xfId="3128" xr:uid="{00000000-0005-0000-0000-0000C9070000}"/>
    <cellStyle name="20% - Ênfase3 30 14" xfId="3129" xr:uid="{00000000-0005-0000-0000-0000CA070000}"/>
    <cellStyle name="20% - Ênfase3 30 15" xfId="3130" xr:uid="{00000000-0005-0000-0000-0000CB070000}"/>
    <cellStyle name="20% - Ênfase3 30 16" xfId="3131" xr:uid="{00000000-0005-0000-0000-0000CC070000}"/>
    <cellStyle name="20% - Ênfase3 30 17" xfId="3132" xr:uid="{00000000-0005-0000-0000-0000CD070000}"/>
    <cellStyle name="20% - Ênfase3 30 18" xfId="3133" xr:uid="{00000000-0005-0000-0000-0000CE070000}"/>
    <cellStyle name="20% - Ênfase3 30 19" xfId="3134" xr:uid="{00000000-0005-0000-0000-0000CF070000}"/>
    <cellStyle name="20% - Ênfase3 30 2" xfId="3135" xr:uid="{00000000-0005-0000-0000-0000D0070000}"/>
    <cellStyle name="20% - Ênfase3 30 20" xfId="3136" xr:uid="{00000000-0005-0000-0000-0000D1070000}"/>
    <cellStyle name="20% - Ênfase3 30 3" xfId="3137" xr:uid="{00000000-0005-0000-0000-0000D2070000}"/>
    <cellStyle name="20% - Ênfase3 30 4" xfId="3138" xr:uid="{00000000-0005-0000-0000-0000D3070000}"/>
    <cellStyle name="20% - Ênfase3 30 5" xfId="3139" xr:uid="{00000000-0005-0000-0000-0000D4070000}"/>
    <cellStyle name="20% - Ênfase3 30 6" xfId="3140" xr:uid="{00000000-0005-0000-0000-0000D5070000}"/>
    <cellStyle name="20% - Ênfase3 30 7" xfId="3141" xr:uid="{00000000-0005-0000-0000-0000D6070000}"/>
    <cellStyle name="20% - Ênfase3 30 8" xfId="3142" xr:uid="{00000000-0005-0000-0000-0000D7070000}"/>
    <cellStyle name="20% - Ênfase3 30 9" xfId="3143" xr:uid="{00000000-0005-0000-0000-0000D8070000}"/>
    <cellStyle name="20% - Ênfase3 31" xfId="581" xr:uid="{00000000-0005-0000-0000-0000D9070000}"/>
    <cellStyle name="20% - Ênfase3 31 10" xfId="3144" xr:uid="{00000000-0005-0000-0000-0000DA070000}"/>
    <cellStyle name="20% - Ênfase3 31 11" xfId="3145" xr:uid="{00000000-0005-0000-0000-0000DB070000}"/>
    <cellStyle name="20% - Ênfase3 31 12" xfId="3146" xr:uid="{00000000-0005-0000-0000-0000DC070000}"/>
    <cellStyle name="20% - Ênfase3 31 13" xfId="3147" xr:uid="{00000000-0005-0000-0000-0000DD070000}"/>
    <cellStyle name="20% - Ênfase3 31 14" xfId="3148" xr:uid="{00000000-0005-0000-0000-0000DE070000}"/>
    <cellStyle name="20% - Ênfase3 31 15" xfId="3149" xr:uid="{00000000-0005-0000-0000-0000DF070000}"/>
    <cellStyle name="20% - Ênfase3 31 16" xfId="3150" xr:uid="{00000000-0005-0000-0000-0000E0070000}"/>
    <cellStyle name="20% - Ênfase3 31 17" xfId="3151" xr:uid="{00000000-0005-0000-0000-0000E1070000}"/>
    <cellStyle name="20% - Ênfase3 31 18" xfId="3152" xr:uid="{00000000-0005-0000-0000-0000E2070000}"/>
    <cellStyle name="20% - Ênfase3 31 19" xfId="3153" xr:uid="{00000000-0005-0000-0000-0000E3070000}"/>
    <cellStyle name="20% - Ênfase3 31 2" xfId="3154" xr:uid="{00000000-0005-0000-0000-0000E4070000}"/>
    <cellStyle name="20% - Ênfase3 31 20" xfId="3155" xr:uid="{00000000-0005-0000-0000-0000E5070000}"/>
    <cellStyle name="20% - Ênfase3 31 3" xfId="3156" xr:uid="{00000000-0005-0000-0000-0000E6070000}"/>
    <cellStyle name="20% - Ênfase3 31 4" xfId="3157" xr:uid="{00000000-0005-0000-0000-0000E7070000}"/>
    <cellStyle name="20% - Ênfase3 31 5" xfId="3158" xr:uid="{00000000-0005-0000-0000-0000E8070000}"/>
    <cellStyle name="20% - Ênfase3 31 6" xfId="3159" xr:uid="{00000000-0005-0000-0000-0000E9070000}"/>
    <cellStyle name="20% - Ênfase3 31 7" xfId="3160" xr:uid="{00000000-0005-0000-0000-0000EA070000}"/>
    <cellStyle name="20% - Ênfase3 31 8" xfId="3161" xr:uid="{00000000-0005-0000-0000-0000EB070000}"/>
    <cellStyle name="20% - Ênfase3 31 9" xfId="3162" xr:uid="{00000000-0005-0000-0000-0000EC070000}"/>
    <cellStyle name="20% - Ênfase3 32" xfId="599" xr:uid="{00000000-0005-0000-0000-0000ED070000}"/>
    <cellStyle name="20% - Ênfase3 32 10" xfId="3163" xr:uid="{00000000-0005-0000-0000-0000EE070000}"/>
    <cellStyle name="20% - Ênfase3 32 11" xfId="3164" xr:uid="{00000000-0005-0000-0000-0000EF070000}"/>
    <cellStyle name="20% - Ênfase3 32 12" xfId="3165" xr:uid="{00000000-0005-0000-0000-0000F0070000}"/>
    <cellStyle name="20% - Ênfase3 32 13" xfId="3166" xr:uid="{00000000-0005-0000-0000-0000F1070000}"/>
    <cellStyle name="20% - Ênfase3 32 14" xfId="3167" xr:uid="{00000000-0005-0000-0000-0000F2070000}"/>
    <cellStyle name="20% - Ênfase3 32 15" xfId="3168" xr:uid="{00000000-0005-0000-0000-0000F3070000}"/>
    <cellStyle name="20% - Ênfase3 32 16" xfId="3169" xr:uid="{00000000-0005-0000-0000-0000F4070000}"/>
    <cellStyle name="20% - Ênfase3 32 17" xfId="3170" xr:uid="{00000000-0005-0000-0000-0000F5070000}"/>
    <cellStyle name="20% - Ênfase3 32 18" xfId="3171" xr:uid="{00000000-0005-0000-0000-0000F6070000}"/>
    <cellStyle name="20% - Ênfase3 32 19" xfId="3172" xr:uid="{00000000-0005-0000-0000-0000F7070000}"/>
    <cellStyle name="20% - Ênfase3 32 2" xfId="3173" xr:uid="{00000000-0005-0000-0000-0000F8070000}"/>
    <cellStyle name="20% - Ênfase3 32 20" xfId="3174" xr:uid="{00000000-0005-0000-0000-0000F9070000}"/>
    <cellStyle name="20% - Ênfase3 32 3" xfId="3175" xr:uid="{00000000-0005-0000-0000-0000FA070000}"/>
    <cellStyle name="20% - Ênfase3 32 4" xfId="3176" xr:uid="{00000000-0005-0000-0000-0000FB070000}"/>
    <cellStyle name="20% - Ênfase3 32 5" xfId="3177" xr:uid="{00000000-0005-0000-0000-0000FC070000}"/>
    <cellStyle name="20% - Ênfase3 32 6" xfId="3178" xr:uid="{00000000-0005-0000-0000-0000FD070000}"/>
    <cellStyle name="20% - Ênfase3 32 7" xfId="3179" xr:uid="{00000000-0005-0000-0000-0000FE070000}"/>
    <cellStyle name="20% - Ênfase3 32 8" xfId="3180" xr:uid="{00000000-0005-0000-0000-0000FF070000}"/>
    <cellStyle name="20% - Ênfase3 32 9" xfId="3181" xr:uid="{00000000-0005-0000-0000-000000080000}"/>
    <cellStyle name="20% - Ênfase3 33" xfId="617" xr:uid="{00000000-0005-0000-0000-000001080000}"/>
    <cellStyle name="20% - Ênfase3 33 10" xfId="3182" xr:uid="{00000000-0005-0000-0000-000002080000}"/>
    <cellStyle name="20% - Ênfase3 33 11" xfId="3183" xr:uid="{00000000-0005-0000-0000-000003080000}"/>
    <cellStyle name="20% - Ênfase3 33 12" xfId="3184" xr:uid="{00000000-0005-0000-0000-000004080000}"/>
    <cellStyle name="20% - Ênfase3 33 13" xfId="3185" xr:uid="{00000000-0005-0000-0000-000005080000}"/>
    <cellStyle name="20% - Ênfase3 33 14" xfId="3186" xr:uid="{00000000-0005-0000-0000-000006080000}"/>
    <cellStyle name="20% - Ênfase3 33 15" xfId="3187" xr:uid="{00000000-0005-0000-0000-000007080000}"/>
    <cellStyle name="20% - Ênfase3 33 16" xfId="3188" xr:uid="{00000000-0005-0000-0000-000008080000}"/>
    <cellStyle name="20% - Ênfase3 33 17" xfId="3189" xr:uid="{00000000-0005-0000-0000-000009080000}"/>
    <cellStyle name="20% - Ênfase3 33 18" xfId="3190" xr:uid="{00000000-0005-0000-0000-00000A080000}"/>
    <cellStyle name="20% - Ênfase3 33 19" xfId="3191" xr:uid="{00000000-0005-0000-0000-00000B080000}"/>
    <cellStyle name="20% - Ênfase3 33 2" xfId="3192" xr:uid="{00000000-0005-0000-0000-00000C080000}"/>
    <cellStyle name="20% - Ênfase3 33 20" xfId="3193" xr:uid="{00000000-0005-0000-0000-00000D080000}"/>
    <cellStyle name="20% - Ênfase3 33 3" xfId="3194" xr:uid="{00000000-0005-0000-0000-00000E080000}"/>
    <cellStyle name="20% - Ênfase3 33 4" xfId="3195" xr:uid="{00000000-0005-0000-0000-00000F080000}"/>
    <cellStyle name="20% - Ênfase3 33 5" xfId="3196" xr:uid="{00000000-0005-0000-0000-000010080000}"/>
    <cellStyle name="20% - Ênfase3 33 6" xfId="3197" xr:uid="{00000000-0005-0000-0000-000011080000}"/>
    <cellStyle name="20% - Ênfase3 33 7" xfId="3198" xr:uid="{00000000-0005-0000-0000-000012080000}"/>
    <cellStyle name="20% - Ênfase3 33 8" xfId="3199" xr:uid="{00000000-0005-0000-0000-000013080000}"/>
    <cellStyle name="20% - Ênfase3 33 9" xfId="3200" xr:uid="{00000000-0005-0000-0000-000014080000}"/>
    <cellStyle name="20% - Ênfase3 34" xfId="635" xr:uid="{00000000-0005-0000-0000-000015080000}"/>
    <cellStyle name="20% - Ênfase3 34 10" xfId="3201" xr:uid="{00000000-0005-0000-0000-000016080000}"/>
    <cellStyle name="20% - Ênfase3 34 11" xfId="3202" xr:uid="{00000000-0005-0000-0000-000017080000}"/>
    <cellStyle name="20% - Ênfase3 34 12" xfId="3203" xr:uid="{00000000-0005-0000-0000-000018080000}"/>
    <cellStyle name="20% - Ênfase3 34 13" xfId="3204" xr:uid="{00000000-0005-0000-0000-000019080000}"/>
    <cellStyle name="20% - Ênfase3 34 14" xfId="3205" xr:uid="{00000000-0005-0000-0000-00001A080000}"/>
    <cellStyle name="20% - Ênfase3 34 15" xfId="3206" xr:uid="{00000000-0005-0000-0000-00001B080000}"/>
    <cellStyle name="20% - Ênfase3 34 16" xfId="3207" xr:uid="{00000000-0005-0000-0000-00001C080000}"/>
    <cellStyle name="20% - Ênfase3 34 17" xfId="3208" xr:uid="{00000000-0005-0000-0000-00001D080000}"/>
    <cellStyle name="20% - Ênfase3 34 18" xfId="3209" xr:uid="{00000000-0005-0000-0000-00001E080000}"/>
    <cellStyle name="20% - Ênfase3 34 19" xfId="3210" xr:uid="{00000000-0005-0000-0000-00001F080000}"/>
    <cellStyle name="20% - Ênfase3 34 2" xfId="3211" xr:uid="{00000000-0005-0000-0000-000020080000}"/>
    <cellStyle name="20% - Ênfase3 34 20" xfId="3212" xr:uid="{00000000-0005-0000-0000-000021080000}"/>
    <cellStyle name="20% - Ênfase3 34 3" xfId="3213" xr:uid="{00000000-0005-0000-0000-000022080000}"/>
    <cellStyle name="20% - Ênfase3 34 4" xfId="3214" xr:uid="{00000000-0005-0000-0000-000023080000}"/>
    <cellStyle name="20% - Ênfase3 34 5" xfId="3215" xr:uid="{00000000-0005-0000-0000-000024080000}"/>
    <cellStyle name="20% - Ênfase3 34 6" xfId="3216" xr:uid="{00000000-0005-0000-0000-000025080000}"/>
    <cellStyle name="20% - Ênfase3 34 7" xfId="3217" xr:uid="{00000000-0005-0000-0000-000026080000}"/>
    <cellStyle name="20% - Ênfase3 34 8" xfId="3218" xr:uid="{00000000-0005-0000-0000-000027080000}"/>
    <cellStyle name="20% - Ênfase3 34 9" xfId="3219" xr:uid="{00000000-0005-0000-0000-000028080000}"/>
    <cellStyle name="20% - Ênfase3 35" xfId="653" xr:uid="{00000000-0005-0000-0000-000029080000}"/>
    <cellStyle name="20% - Ênfase3 35 10" xfId="3220" xr:uid="{00000000-0005-0000-0000-00002A080000}"/>
    <cellStyle name="20% - Ênfase3 35 11" xfId="3221" xr:uid="{00000000-0005-0000-0000-00002B080000}"/>
    <cellStyle name="20% - Ênfase3 35 12" xfId="3222" xr:uid="{00000000-0005-0000-0000-00002C080000}"/>
    <cellStyle name="20% - Ênfase3 35 13" xfId="3223" xr:uid="{00000000-0005-0000-0000-00002D080000}"/>
    <cellStyle name="20% - Ênfase3 35 14" xfId="3224" xr:uid="{00000000-0005-0000-0000-00002E080000}"/>
    <cellStyle name="20% - Ênfase3 35 15" xfId="3225" xr:uid="{00000000-0005-0000-0000-00002F080000}"/>
    <cellStyle name="20% - Ênfase3 35 16" xfId="3226" xr:uid="{00000000-0005-0000-0000-000030080000}"/>
    <cellStyle name="20% - Ênfase3 35 17" xfId="3227" xr:uid="{00000000-0005-0000-0000-000031080000}"/>
    <cellStyle name="20% - Ênfase3 35 18" xfId="3228" xr:uid="{00000000-0005-0000-0000-000032080000}"/>
    <cellStyle name="20% - Ênfase3 35 19" xfId="3229" xr:uid="{00000000-0005-0000-0000-000033080000}"/>
    <cellStyle name="20% - Ênfase3 35 2" xfId="3230" xr:uid="{00000000-0005-0000-0000-000034080000}"/>
    <cellStyle name="20% - Ênfase3 35 20" xfId="3231" xr:uid="{00000000-0005-0000-0000-000035080000}"/>
    <cellStyle name="20% - Ênfase3 35 3" xfId="3232" xr:uid="{00000000-0005-0000-0000-000036080000}"/>
    <cellStyle name="20% - Ênfase3 35 4" xfId="3233" xr:uid="{00000000-0005-0000-0000-000037080000}"/>
    <cellStyle name="20% - Ênfase3 35 5" xfId="3234" xr:uid="{00000000-0005-0000-0000-000038080000}"/>
    <cellStyle name="20% - Ênfase3 35 6" xfId="3235" xr:uid="{00000000-0005-0000-0000-000039080000}"/>
    <cellStyle name="20% - Ênfase3 35 7" xfId="3236" xr:uid="{00000000-0005-0000-0000-00003A080000}"/>
    <cellStyle name="20% - Ênfase3 35 8" xfId="3237" xr:uid="{00000000-0005-0000-0000-00003B080000}"/>
    <cellStyle name="20% - Ênfase3 35 9" xfId="3238" xr:uid="{00000000-0005-0000-0000-00003C080000}"/>
    <cellStyle name="20% - Ênfase3 36" xfId="671" xr:uid="{00000000-0005-0000-0000-00003D080000}"/>
    <cellStyle name="20% - Ênfase3 36 10" xfId="3239" xr:uid="{00000000-0005-0000-0000-00003E080000}"/>
    <cellStyle name="20% - Ênfase3 36 11" xfId="3240" xr:uid="{00000000-0005-0000-0000-00003F080000}"/>
    <cellStyle name="20% - Ênfase3 36 12" xfId="3241" xr:uid="{00000000-0005-0000-0000-000040080000}"/>
    <cellStyle name="20% - Ênfase3 36 13" xfId="3242" xr:uid="{00000000-0005-0000-0000-000041080000}"/>
    <cellStyle name="20% - Ênfase3 36 14" xfId="3243" xr:uid="{00000000-0005-0000-0000-000042080000}"/>
    <cellStyle name="20% - Ênfase3 36 15" xfId="3244" xr:uid="{00000000-0005-0000-0000-000043080000}"/>
    <cellStyle name="20% - Ênfase3 36 16" xfId="3245" xr:uid="{00000000-0005-0000-0000-000044080000}"/>
    <cellStyle name="20% - Ênfase3 36 17" xfId="3246" xr:uid="{00000000-0005-0000-0000-000045080000}"/>
    <cellStyle name="20% - Ênfase3 36 18" xfId="3247" xr:uid="{00000000-0005-0000-0000-000046080000}"/>
    <cellStyle name="20% - Ênfase3 36 19" xfId="3248" xr:uid="{00000000-0005-0000-0000-000047080000}"/>
    <cellStyle name="20% - Ênfase3 36 2" xfId="3249" xr:uid="{00000000-0005-0000-0000-000048080000}"/>
    <cellStyle name="20% - Ênfase3 36 20" xfId="3250" xr:uid="{00000000-0005-0000-0000-000049080000}"/>
    <cellStyle name="20% - Ênfase3 36 3" xfId="3251" xr:uid="{00000000-0005-0000-0000-00004A080000}"/>
    <cellStyle name="20% - Ênfase3 36 4" xfId="3252" xr:uid="{00000000-0005-0000-0000-00004B080000}"/>
    <cellStyle name="20% - Ênfase3 36 5" xfId="3253" xr:uid="{00000000-0005-0000-0000-00004C080000}"/>
    <cellStyle name="20% - Ênfase3 36 6" xfId="3254" xr:uid="{00000000-0005-0000-0000-00004D080000}"/>
    <cellStyle name="20% - Ênfase3 36 7" xfId="3255" xr:uid="{00000000-0005-0000-0000-00004E080000}"/>
    <cellStyle name="20% - Ênfase3 36 8" xfId="3256" xr:uid="{00000000-0005-0000-0000-00004F080000}"/>
    <cellStyle name="20% - Ênfase3 36 9" xfId="3257" xr:uid="{00000000-0005-0000-0000-000050080000}"/>
    <cellStyle name="20% - Ênfase3 37" xfId="689" xr:uid="{00000000-0005-0000-0000-000051080000}"/>
    <cellStyle name="20% - Ênfase3 37 10" xfId="3258" xr:uid="{00000000-0005-0000-0000-000052080000}"/>
    <cellStyle name="20% - Ênfase3 37 11" xfId="3259" xr:uid="{00000000-0005-0000-0000-000053080000}"/>
    <cellStyle name="20% - Ênfase3 37 12" xfId="3260" xr:uid="{00000000-0005-0000-0000-000054080000}"/>
    <cellStyle name="20% - Ênfase3 37 13" xfId="3261" xr:uid="{00000000-0005-0000-0000-000055080000}"/>
    <cellStyle name="20% - Ênfase3 37 14" xfId="3262" xr:uid="{00000000-0005-0000-0000-000056080000}"/>
    <cellStyle name="20% - Ênfase3 37 15" xfId="3263" xr:uid="{00000000-0005-0000-0000-000057080000}"/>
    <cellStyle name="20% - Ênfase3 37 16" xfId="3264" xr:uid="{00000000-0005-0000-0000-000058080000}"/>
    <cellStyle name="20% - Ênfase3 37 17" xfId="3265" xr:uid="{00000000-0005-0000-0000-000059080000}"/>
    <cellStyle name="20% - Ênfase3 37 18" xfId="3266" xr:uid="{00000000-0005-0000-0000-00005A080000}"/>
    <cellStyle name="20% - Ênfase3 37 19" xfId="3267" xr:uid="{00000000-0005-0000-0000-00005B080000}"/>
    <cellStyle name="20% - Ênfase3 37 2" xfId="3268" xr:uid="{00000000-0005-0000-0000-00005C080000}"/>
    <cellStyle name="20% - Ênfase3 37 20" xfId="3269" xr:uid="{00000000-0005-0000-0000-00005D080000}"/>
    <cellStyle name="20% - Ênfase3 37 3" xfId="3270" xr:uid="{00000000-0005-0000-0000-00005E080000}"/>
    <cellStyle name="20% - Ênfase3 37 4" xfId="3271" xr:uid="{00000000-0005-0000-0000-00005F080000}"/>
    <cellStyle name="20% - Ênfase3 37 5" xfId="3272" xr:uid="{00000000-0005-0000-0000-000060080000}"/>
    <cellStyle name="20% - Ênfase3 37 6" xfId="3273" xr:uid="{00000000-0005-0000-0000-000061080000}"/>
    <cellStyle name="20% - Ênfase3 37 7" xfId="3274" xr:uid="{00000000-0005-0000-0000-000062080000}"/>
    <cellStyle name="20% - Ênfase3 37 8" xfId="3275" xr:uid="{00000000-0005-0000-0000-000063080000}"/>
    <cellStyle name="20% - Ênfase3 37 9" xfId="3276" xr:uid="{00000000-0005-0000-0000-000064080000}"/>
    <cellStyle name="20% - Ênfase3 38" xfId="707" xr:uid="{00000000-0005-0000-0000-000065080000}"/>
    <cellStyle name="20% - Ênfase3 39" xfId="723" xr:uid="{00000000-0005-0000-0000-000066080000}"/>
    <cellStyle name="20% - Ênfase3 4" xfId="107" xr:uid="{00000000-0005-0000-0000-000067080000}"/>
    <cellStyle name="20% - Ênfase3 4 10" xfId="3277" xr:uid="{00000000-0005-0000-0000-000068080000}"/>
    <cellStyle name="20% - Ênfase3 4 11" xfId="3278" xr:uid="{00000000-0005-0000-0000-000069080000}"/>
    <cellStyle name="20% - Ênfase3 4 12" xfId="3279" xr:uid="{00000000-0005-0000-0000-00006A080000}"/>
    <cellStyle name="20% - Ênfase3 4 13" xfId="3280" xr:uid="{00000000-0005-0000-0000-00006B080000}"/>
    <cellStyle name="20% - Ênfase3 4 14" xfId="3281" xr:uid="{00000000-0005-0000-0000-00006C080000}"/>
    <cellStyle name="20% - Ênfase3 4 15" xfId="3282" xr:uid="{00000000-0005-0000-0000-00006D080000}"/>
    <cellStyle name="20% - Ênfase3 4 16" xfId="3283" xr:uid="{00000000-0005-0000-0000-00006E080000}"/>
    <cellStyle name="20% - Ênfase3 4 17" xfId="3284" xr:uid="{00000000-0005-0000-0000-00006F080000}"/>
    <cellStyle name="20% - Ênfase3 4 18" xfId="3285" xr:uid="{00000000-0005-0000-0000-000070080000}"/>
    <cellStyle name="20% - Ênfase3 4 19" xfId="3286" xr:uid="{00000000-0005-0000-0000-000071080000}"/>
    <cellStyle name="20% - Ênfase3 4 2" xfId="3287" xr:uid="{00000000-0005-0000-0000-000072080000}"/>
    <cellStyle name="20% - Ênfase3 4 20" xfId="3288" xr:uid="{00000000-0005-0000-0000-000073080000}"/>
    <cellStyle name="20% - Ênfase3 4 3" xfId="3289" xr:uid="{00000000-0005-0000-0000-000074080000}"/>
    <cellStyle name="20% - Ênfase3 4 4" xfId="3290" xr:uid="{00000000-0005-0000-0000-000075080000}"/>
    <cellStyle name="20% - Ênfase3 4 5" xfId="3291" xr:uid="{00000000-0005-0000-0000-000076080000}"/>
    <cellStyle name="20% - Ênfase3 4 6" xfId="3292" xr:uid="{00000000-0005-0000-0000-000077080000}"/>
    <cellStyle name="20% - Ênfase3 4 7" xfId="3293" xr:uid="{00000000-0005-0000-0000-000078080000}"/>
    <cellStyle name="20% - Ênfase3 4 8" xfId="3294" xr:uid="{00000000-0005-0000-0000-000079080000}"/>
    <cellStyle name="20% - Ênfase3 4 9" xfId="3295" xr:uid="{00000000-0005-0000-0000-00007A080000}"/>
    <cellStyle name="20% - Ênfase3 40" xfId="692" xr:uid="{00000000-0005-0000-0000-00007B080000}"/>
    <cellStyle name="20% - Ênfase3 41" xfId="761" xr:uid="{00000000-0005-0000-0000-00007C080000}"/>
    <cellStyle name="20% - Ênfase3 42" xfId="779" xr:uid="{00000000-0005-0000-0000-00007D080000}"/>
    <cellStyle name="20% - Ênfase3 43" xfId="797" xr:uid="{00000000-0005-0000-0000-00007E080000}"/>
    <cellStyle name="20% - Ênfase3 44" xfId="815" xr:uid="{00000000-0005-0000-0000-00007F080000}"/>
    <cellStyle name="20% - Ênfase3 45" xfId="833" xr:uid="{00000000-0005-0000-0000-000080080000}"/>
    <cellStyle name="20% - Ênfase3 46" xfId="851" xr:uid="{00000000-0005-0000-0000-000081080000}"/>
    <cellStyle name="20% - Ênfase3 47" xfId="869" xr:uid="{00000000-0005-0000-0000-000082080000}"/>
    <cellStyle name="20% - Ênfase3 48" xfId="887" xr:uid="{00000000-0005-0000-0000-000083080000}"/>
    <cellStyle name="20% - Ênfase3 49" xfId="904" xr:uid="{00000000-0005-0000-0000-000084080000}"/>
    <cellStyle name="20% - Ênfase3 5" xfId="124" xr:uid="{00000000-0005-0000-0000-000085080000}"/>
    <cellStyle name="20% - Ênfase3 5 10" xfId="3296" xr:uid="{00000000-0005-0000-0000-000086080000}"/>
    <cellStyle name="20% - Ênfase3 5 11" xfId="3297" xr:uid="{00000000-0005-0000-0000-000087080000}"/>
    <cellStyle name="20% - Ênfase3 5 12" xfId="3298" xr:uid="{00000000-0005-0000-0000-000088080000}"/>
    <cellStyle name="20% - Ênfase3 5 13" xfId="3299" xr:uid="{00000000-0005-0000-0000-000089080000}"/>
    <cellStyle name="20% - Ênfase3 5 14" xfId="3300" xr:uid="{00000000-0005-0000-0000-00008A080000}"/>
    <cellStyle name="20% - Ênfase3 5 15" xfId="3301" xr:uid="{00000000-0005-0000-0000-00008B080000}"/>
    <cellStyle name="20% - Ênfase3 5 16" xfId="3302" xr:uid="{00000000-0005-0000-0000-00008C080000}"/>
    <cellStyle name="20% - Ênfase3 5 17" xfId="3303" xr:uid="{00000000-0005-0000-0000-00008D080000}"/>
    <cellStyle name="20% - Ênfase3 5 18" xfId="3304" xr:uid="{00000000-0005-0000-0000-00008E080000}"/>
    <cellStyle name="20% - Ênfase3 5 19" xfId="3305" xr:uid="{00000000-0005-0000-0000-00008F080000}"/>
    <cellStyle name="20% - Ênfase3 5 2" xfId="3306" xr:uid="{00000000-0005-0000-0000-000090080000}"/>
    <cellStyle name="20% - Ênfase3 5 20" xfId="3307" xr:uid="{00000000-0005-0000-0000-000091080000}"/>
    <cellStyle name="20% - Ênfase3 5 3" xfId="3308" xr:uid="{00000000-0005-0000-0000-000092080000}"/>
    <cellStyle name="20% - Ênfase3 5 4" xfId="3309" xr:uid="{00000000-0005-0000-0000-000093080000}"/>
    <cellStyle name="20% - Ênfase3 5 5" xfId="3310" xr:uid="{00000000-0005-0000-0000-000094080000}"/>
    <cellStyle name="20% - Ênfase3 5 6" xfId="3311" xr:uid="{00000000-0005-0000-0000-000095080000}"/>
    <cellStyle name="20% - Ênfase3 5 7" xfId="3312" xr:uid="{00000000-0005-0000-0000-000096080000}"/>
    <cellStyle name="20% - Ênfase3 5 8" xfId="3313" xr:uid="{00000000-0005-0000-0000-000097080000}"/>
    <cellStyle name="20% - Ênfase3 5 9" xfId="3314" xr:uid="{00000000-0005-0000-0000-000098080000}"/>
    <cellStyle name="20% - Ênfase3 50" xfId="918" xr:uid="{00000000-0005-0000-0000-000099080000}"/>
    <cellStyle name="20% - Ênfase3 51" xfId="941" xr:uid="{00000000-0005-0000-0000-00009A080000}"/>
    <cellStyle name="20% - Ênfase3 52" xfId="959" xr:uid="{00000000-0005-0000-0000-00009B080000}"/>
    <cellStyle name="20% - Ênfase3 53" xfId="977" xr:uid="{00000000-0005-0000-0000-00009C080000}"/>
    <cellStyle name="20% - Ênfase3 54" xfId="995" xr:uid="{00000000-0005-0000-0000-00009D080000}"/>
    <cellStyle name="20% - Ênfase3 55" xfId="1013" xr:uid="{00000000-0005-0000-0000-00009E080000}"/>
    <cellStyle name="20% - Ênfase3 56" xfId="1029" xr:uid="{00000000-0005-0000-0000-00009F080000}"/>
    <cellStyle name="20% - Ênfase3 57" xfId="1043" xr:uid="{00000000-0005-0000-0000-0000A0080000}"/>
    <cellStyle name="20% - Ênfase3 58" xfId="1065" xr:uid="{00000000-0005-0000-0000-0000A1080000}"/>
    <cellStyle name="20% - Ênfase3 59" xfId="1079" xr:uid="{00000000-0005-0000-0000-0000A2080000}"/>
    <cellStyle name="20% - Ênfase3 6" xfId="141" xr:uid="{00000000-0005-0000-0000-0000A3080000}"/>
    <cellStyle name="20% - Ênfase3 6 10" xfId="3315" xr:uid="{00000000-0005-0000-0000-0000A4080000}"/>
    <cellStyle name="20% - Ênfase3 6 11" xfId="3316" xr:uid="{00000000-0005-0000-0000-0000A5080000}"/>
    <cellStyle name="20% - Ênfase3 6 12" xfId="3317" xr:uid="{00000000-0005-0000-0000-0000A6080000}"/>
    <cellStyle name="20% - Ênfase3 6 13" xfId="3318" xr:uid="{00000000-0005-0000-0000-0000A7080000}"/>
    <cellStyle name="20% - Ênfase3 6 14" xfId="3319" xr:uid="{00000000-0005-0000-0000-0000A8080000}"/>
    <cellStyle name="20% - Ênfase3 6 15" xfId="3320" xr:uid="{00000000-0005-0000-0000-0000A9080000}"/>
    <cellStyle name="20% - Ênfase3 6 16" xfId="3321" xr:uid="{00000000-0005-0000-0000-0000AA080000}"/>
    <cellStyle name="20% - Ênfase3 6 17" xfId="3322" xr:uid="{00000000-0005-0000-0000-0000AB080000}"/>
    <cellStyle name="20% - Ênfase3 6 18" xfId="3323" xr:uid="{00000000-0005-0000-0000-0000AC080000}"/>
    <cellStyle name="20% - Ênfase3 6 19" xfId="3324" xr:uid="{00000000-0005-0000-0000-0000AD080000}"/>
    <cellStyle name="20% - Ênfase3 6 2" xfId="3325" xr:uid="{00000000-0005-0000-0000-0000AE080000}"/>
    <cellStyle name="20% - Ênfase3 6 20" xfId="3326" xr:uid="{00000000-0005-0000-0000-0000AF080000}"/>
    <cellStyle name="20% - Ênfase3 6 3" xfId="3327" xr:uid="{00000000-0005-0000-0000-0000B0080000}"/>
    <cellStyle name="20% - Ênfase3 6 4" xfId="3328" xr:uid="{00000000-0005-0000-0000-0000B1080000}"/>
    <cellStyle name="20% - Ênfase3 6 5" xfId="3329" xr:uid="{00000000-0005-0000-0000-0000B2080000}"/>
    <cellStyle name="20% - Ênfase3 6 6" xfId="3330" xr:uid="{00000000-0005-0000-0000-0000B3080000}"/>
    <cellStyle name="20% - Ênfase3 6 7" xfId="3331" xr:uid="{00000000-0005-0000-0000-0000B4080000}"/>
    <cellStyle name="20% - Ênfase3 6 8" xfId="3332" xr:uid="{00000000-0005-0000-0000-0000B5080000}"/>
    <cellStyle name="20% - Ênfase3 6 9" xfId="3333" xr:uid="{00000000-0005-0000-0000-0000B6080000}"/>
    <cellStyle name="20% - Ênfase3 60" xfId="1102" xr:uid="{00000000-0005-0000-0000-0000B7080000}"/>
    <cellStyle name="20% - Ênfase3 61" xfId="1120" xr:uid="{00000000-0005-0000-0000-0000B8080000}"/>
    <cellStyle name="20% - Ênfase3 62" xfId="1138" xr:uid="{00000000-0005-0000-0000-0000B9080000}"/>
    <cellStyle name="20% - Ênfase3 63" xfId="1154" xr:uid="{00000000-0005-0000-0000-0000BA080000}"/>
    <cellStyle name="20% - Ênfase3 64" xfId="1168" xr:uid="{00000000-0005-0000-0000-0000BB080000}"/>
    <cellStyle name="20% - Ênfase3 65" xfId="1191" xr:uid="{00000000-0005-0000-0000-0000BC080000}"/>
    <cellStyle name="20% - Ênfase3 66" xfId="1209" xr:uid="{00000000-0005-0000-0000-0000BD080000}"/>
    <cellStyle name="20% - Ênfase3 67" xfId="1225" xr:uid="{00000000-0005-0000-0000-0000BE080000}"/>
    <cellStyle name="20% - Ênfase3 68" xfId="1241" xr:uid="{00000000-0005-0000-0000-0000BF080000}"/>
    <cellStyle name="20% - Ênfase3 69" xfId="1234" xr:uid="{00000000-0005-0000-0000-0000C0080000}"/>
    <cellStyle name="20% - Ênfase3 7" xfId="158" xr:uid="{00000000-0005-0000-0000-0000C1080000}"/>
    <cellStyle name="20% - Ênfase3 7 10" xfId="3334" xr:uid="{00000000-0005-0000-0000-0000C2080000}"/>
    <cellStyle name="20% - Ênfase3 7 11" xfId="3335" xr:uid="{00000000-0005-0000-0000-0000C3080000}"/>
    <cellStyle name="20% - Ênfase3 7 12" xfId="3336" xr:uid="{00000000-0005-0000-0000-0000C4080000}"/>
    <cellStyle name="20% - Ênfase3 7 13" xfId="3337" xr:uid="{00000000-0005-0000-0000-0000C5080000}"/>
    <cellStyle name="20% - Ênfase3 7 14" xfId="3338" xr:uid="{00000000-0005-0000-0000-0000C6080000}"/>
    <cellStyle name="20% - Ênfase3 7 15" xfId="3339" xr:uid="{00000000-0005-0000-0000-0000C7080000}"/>
    <cellStyle name="20% - Ênfase3 7 16" xfId="3340" xr:uid="{00000000-0005-0000-0000-0000C8080000}"/>
    <cellStyle name="20% - Ênfase3 7 17" xfId="3341" xr:uid="{00000000-0005-0000-0000-0000C9080000}"/>
    <cellStyle name="20% - Ênfase3 7 18" xfId="3342" xr:uid="{00000000-0005-0000-0000-0000CA080000}"/>
    <cellStyle name="20% - Ênfase3 7 19" xfId="3343" xr:uid="{00000000-0005-0000-0000-0000CB080000}"/>
    <cellStyle name="20% - Ênfase3 7 2" xfId="3344" xr:uid="{00000000-0005-0000-0000-0000CC080000}"/>
    <cellStyle name="20% - Ênfase3 7 20" xfId="3345" xr:uid="{00000000-0005-0000-0000-0000CD080000}"/>
    <cellStyle name="20% - Ênfase3 7 3" xfId="3346" xr:uid="{00000000-0005-0000-0000-0000CE080000}"/>
    <cellStyle name="20% - Ênfase3 7 4" xfId="3347" xr:uid="{00000000-0005-0000-0000-0000CF080000}"/>
    <cellStyle name="20% - Ênfase3 7 5" xfId="3348" xr:uid="{00000000-0005-0000-0000-0000D0080000}"/>
    <cellStyle name="20% - Ênfase3 7 6" xfId="3349" xr:uid="{00000000-0005-0000-0000-0000D1080000}"/>
    <cellStyle name="20% - Ênfase3 7 7" xfId="3350" xr:uid="{00000000-0005-0000-0000-0000D2080000}"/>
    <cellStyle name="20% - Ênfase3 7 8" xfId="3351" xr:uid="{00000000-0005-0000-0000-0000D3080000}"/>
    <cellStyle name="20% - Ênfase3 7 9" xfId="3352" xr:uid="{00000000-0005-0000-0000-0000D4080000}"/>
    <cellStyle name="20% - Ênfase3 70" xfId="1274" xr:uid="{00000000-0005-0000-0000-0000D5080000}"/>
    <cellStyle name="20% - Ênfase3 71" xfId="1285" xr:uid="{00000000-0005-0000-0000-0000D6080000}"/>
    <cellStyle name="20% - Ênfase3 72" xfId="3353" xr:uid="{00000000-0005-0000-0000-0000D7080000}"/>
    <cellStyle name="20% - Ênfase3 73" xfId="3354" xr:uid="{00000000-0005-0000-0000-0000D8080000}"/>
    <cellStyle name="20% - Ênfase3 74" xfId="3355" xr:uid="{00000000-0005-0000-0000-0000D9080000}"/>
    <cellStyle name="20% - Ênfase3 75" xfId="3356" xr:uid="{00000000-0005-0000-0000-0000DA080000}"/>
    <cellStyle name="20% - Ênfase3 76" xfId="3357" xr:uid="{00000000-0005-0000-0000-0000DB080000}"/>
    <cellStyle name="20% - Ênfase3 77" xfId="3358" xr:uid="{00000000-0005-0000-0000-0000DC080000}"/>
    <cellStyle name="20% - Ênfase3 78" xfId="3359" xr:uid="{00000000-0005-0000-0000-0000DD080000}"/>
    <cellStyle name="20% - Ênfase3 79" xfId="3360" xr:uid="{00000000-0005-0000-0000-0000DE080000}"/>
    <cellStyle name="20% - Ênfase3 8" xfId="175" xr:uid="{00000000-0005-0000-0000-0000DF080000}"/>
    <cellStyle name="20% - Ênfase3 8 10" xfId="3361" xr:uid="{00000000-0005-0000-0000-0000E0080000}"/>
    <cellStyle name="20% - Ênfase3 8 11" xfId="3362" xr:uid="{00000000-0005-0000-0000-0000E1080000}"/>
    <cellStyle name="20% - Ênfase3 8 12" xfId="3363" xr:uid="{00000000-0005-0000-0000-0000E2080000}"/>
    <cellStyle name="20% - Ênfase3 8 13" xfId="3364" xr:uid="{00000000-0005-0000-0000-0000E3080000}"/>
    <cellStyle name="20% - Ênfase3 8 14" xfId="3365" xr:uid="{00000000-0005-0000-0000-0000E4080000}"/>
    <cellStyle name="20% - Ênfase3 8 15" xfId="3366" xr:uid="{00000000-0005-0000-0000-0000E5080000}"/>
    <cellStyle name="20% - Ênfase3 8 16" xfId="3367" xr:uid="{00000000-0005-0000-0000-0000E6080000}"/>
    <cellStyle name="20% - Ênfase3 8 17" xfId="3368" xr:uid="{00000000-0005-0000-0000-0000E7080000}"/>
    <cellStyle name="20% - Ênfase3 8 18" xfId="3369" xr:uid="{00000000-0005-0000-0000-0000E8080000}"/>
    <cellStyle name="20% - Ênfase3 8 19" xfId="3370" xr:uid="{00000000-0005-0000-0000-0000E9080000}"/>
    <cellStyle name="20% - Ênfase3 8 2" xfId="3371" xr:uid="{00000000-0005-0000-0000-0000EA080000}"/>
    <cellStyle name="20% - Ênfase3 8 20" xfId="3372" xr:uid="{00000000-0005-0000-0000-0000EB080000}"/>
    <cellStyle name="20% - Ênfase3 8 3" xfId="3373" xr:uid="{00000000-0005-0000-0000-0000EC080000}"/>
    <cellStyle name="20% - Ênfase3 8 4" xfId="3374" xr:uid="{00000000-0005-0000-0000-0000ED080000}"/>
    <cellStyle name="20% - Ênfase3 8 5" xfId="3375" xr:uid="{00000000-0005-0000-0000-0000EE080000}"/>
    <cellStyle name="20% - Ênfase3 8 6" xfId="3376" xr:uid="{00000000-0005-0000-0000-0000EF080000}"/>
    <cellStyle name="20% - Ênfase3 8 7" xfId="3377" xr:uid="{00000000-0005-0000-0000-0000F0080000}"/>
    <cellStyle name="20% - Ênfase3 8 8" xfId="3378" xr:uid="{00000000-0005-0000-0000-0000F1080000}"/>
    <cellStyle name="20% - Ênfase3 8 9" xfId="3379" xr:uid="{00000000-0005-0000-0000-0000F2080000}"/>
    <cellStyle name="20% - Ênfase3 80" xfId="3380" xr:uid="{00000000-0005-0000-0000-0000F3080000}"/>
    <cellStyle name="20% - Ênfase3 81" xfId="3381" xr:uid="{00000000-0005-0000-0000-0000F4080000}"/>
    <cellStyle name="20% - Ênfase3 82" xfId="3382" xr:uid="{00000000-0005-0000-0000-0000F5080000}"/>
    <cellStyle name="20% - Ênfase3 83" xfId="3383" xr:uid="{00000000-0005-0000-0000-0000F6080000}"/>
    <cellStyle name="20% - Ênfase3 84" xfId="3384" xr:uid="{00000000-0005-0000-0000-0000F7080000}"/>
    <cellStyle name="20% - Ênfase3 85" xfId="3385" xr:uid="{00000000-0005-0000-0000-0000F8080000}"/>
    <cellStyle name="20% - Ênfase3 86" xfId="3386" xr:uid="{00000000-0005-0000-0000-0000F9080000}"/>
    <cellStyle name="20% - Ênfase3 87" xfId="3387" xr:uid="{00000000-0005-0000-0000-0000FA080000}"/>
    <cellStyle name="20% - Ênfase3 88" xfId="3388" xr:uid="{00000000-0005-0000-0000-0000FB080000}"/>
    <cellStyle name="20% - Ênfase3 89" xfId="3389" xr:uid="{00000000-0005-0000-0000-0000FC080000}"/>
    <cellStyle name="20% - Ênfase3 9" xfId="192" xr:uid="{00000000-0005-0000-0000-0000FD080000}"/>
    <cellStyle name="20% - Ênfase3 9 10" xfId="3390" xr:uid="{00000000-0005-0000-0000-0000FE080000}"/>
    <cellStyle name="20% - Ênfase3 9 11" xfId="3391" xr:uid="{00000000-0005-0000-0000-0000FF080000}"/>
    <cellStyle name="20% - Ênfase3 9 12" xfId="3392" xr:uid="{00000000-0005-0000-0000-000000090000}"/>
    <cellStyle name="20% - Ênfase3 9 13" xfId="3393" xr:uid="{00000000-0005-0000-0000-000001090000}"/>
    <cellStyle name="20% - Ênfase3 9 14" xfId="3394" xr:uid="{00000000-0005-0000-0000-000002090000}"/>
    <cellStyle name="20% - Ênfase3 9 15" xfId="3395" xr:uid="{00000000-0005-0000-0000-000003090000}"/>
    <cellStyle name="20% - Ênfase3 9 16" xfId="3396" xr:uid="{00000000-0005-0000-0000-000004090000}"/>
    <cellStyle name="20% - Ênfase3 9 17" xfId="3397" xr:uid="{00000000-0005-0000-0000-000005090000}"/>
    <cellStyle name="20% - Ênfase3 9 18" xfId="3398" xr:uid="{00000000-0005-0000-0000-000006090000}"/>
    <cellStyle name="20% - Ênfase3 9 19" xfId="3399" xr:uid="{00000000-0005-0000-0000-000007090000}"/>
    <cellStyle name="20% - Ênfase3 9 2" xfId="3400" xr:uid="{00000000-0005-0000-0000-000008090000}"/>
    <cellStyle name="20% - Ênfase3 9 20" xfId="3401" xr:uid="{00000000-0005-0000-0000-000009090000}"/>
    <cellStyle name="20% - Ênfase3 9 3" xfId="3402" xr:uid="{00000000-0005-0000-0000-00000A090000}"/>
    <cellStyle name="20% - Ênfase3 9 4" xfId="3403" xr:uid="{00000000-0005-0000-0000-00000B090000}"/>
    <cellStyle name="20% - Ênfase3 9 5" xfId="3404" xr:uid="{00000000-0005-0000-0000-00000C090000}"/>
    <cellStyle name="20% - Ênfase3 9 6" xfId="3405" xr:uid="{00000000-0005-0000-0000-00000D090000}"/>
    <cellStyle name="20% - Ênfase3 9 7" xfId="3406" xr:uid="{00000000-0005-0000-0000-00000E090000}"/>
    <cellStyle name="20% - Ênfase3 9 8" xfId="3407" xr:uid="{00000000-0005-0000-0000-00000F090000}"/>
    <cellStyle name="20% - Ênfase3 9 9" xfId="3408" xr:uid="{00000000-0005-0000-0000-000010090000}"/>
    <cellStyle name="20% - Ênfase3 90" xfId="3409" xr:uid="{00000000-0005-0000-0000-000011090000}"/>
    <cellStyle name="20% - Ênfase4" xfId="31" builtinId="42" customBuiltin="1"/>
    <cellStyle name="20% - Ênfase4 10" xfId="161" xr:uid="{00000000-0005-0000-0000-000013090000}"/>
    <cellStyle name="20% - Ênfase4 10 10" xfId="3410" xr:uid="{00000000-0005-0000-0000-000014090000}"/>
    <cellStyle name="20% - Ênfase4 10 11" xfId="3411" xr:uid="{00000000-0005-0000-0000-000015090000}"/>
    <cellStyle name="20% - Ênfase4 10 12" xfId="3412" xr:uid="{00000000-0005-0000-0000-000016090000}"/>
    <cellStyle name="20% - Ênfase4 10 13" xfId="3413" xr:uid="{00000000-0005-0000-0000-000017090000}"/>
    <cellStyle name="20% - Ênfase4 10 14" xfId="3414" xr:uid="{00000000-0005-0000-0000-000018090000}"/>
    <cellStyle name="20% - Ênfase4 10 15" xfId="3415" xr:uid="{00000000-0005-0000-0000-000019090000}"/>
    <cellStyle name="20% - Ênfase4 10 16" xfId="3416" xr:uid="{00000000-0005-0000-0000-00001A090000}"/>
    <cellStyle name="20% - Ênfase4 10 17" xfId="3417" xr:uid="{00000000-0005-0000-0000-00001B090000}"/>
    <cellStyle name="20% - Ênfase4 10 18" xfId="3418" xr:uid="{00000000-0005-0000-0000-00001C090000}"/>
    <cellStyle name="20% - Ênfase4 10 19" xfId="3419" xr:uid="{00000000-0005-0000-0000-00001D090000}"/>
    <cellStyle name="20% - Ênfase4 10 2" xfId="3420" xr:uid="{00000000-0005-0000-0000-00001E090000}"/>
    <cellStyle name="20% - Ênfase4 10 20" xfId="3421" xr:uid="{00000000-0005-0000-0000-00001F090000}"/>
    <cellStyle name="20% - Ênfase4 10 3" xfId="3422" xr:uid="{00000000-0005-0000-0000-000020090000}"/>
    <cellStyle name="20% - Ênfase4 10 4" xfId="3423" xr:uid="{00000000-0005-0000-0000-000021090000}"/>
    <cellStyle name="20% - Ênfase4 10 5" xfId="3424" xr:uid="{00000000-0005-0000-0000-000022090000}"/>
    <cellStyle name="20% - Ênfase4 10 6" xfId="3425" xr:uid="{00000000-0005-0000-0000-000023090000}"/>
    <cellStyle name="20% - Ênfase4 10 7" xfId="3426" xr:uid="{00000000-0005-0000-0000-000024090000}"/>
    <cellStyle name="20% - Ênfase4 10 8" xfId="3427" xr:uid="{00000000-0005-0000-0000-000025090000}"/>
    <cellStyle name="20% - Ênfase4 10 9" xfId="3428" xr:uid="{00000000-0005-0000-0000-000026090000}"/>
    <cellStyle name="20% - Ênfase4 11" xfId="178" xr:uid="{00000000-0005-0000-0000-000027090000}"/>
    <cellStyle name="20% - Ênfase4 11 10" xfId="3429" xr:uid="{00000000-0005-0000-0000-000028090000}"/>
    <cellStyle name="20% - Ênfase4 11 11" xfId="3430" xr:uid="{00000000-0005-0000-0000-000029090000}"/>
    <cellStyle name="20% - Ênfase4 11 12" xfId="3431" xr:uid="{00000000-0005-0000-0000-00002A090000}"/>
    <cellStyle name="20% - Ênfase4 11 13" xfId="3432" xr:uid="{00000000-0005-0000-0000-00002B090000}"/>
    <cellStyle name="20% - Ênfase4 11 14" xfId="3433" xr:uid="{00000000-0005-0000-0000-00002C090000}"/>
    <cellStyle name="20% - Ênfase4 11 15" xfId="3434" xr:uid="{00000000-0005-0000-0000-00002D090000}"/>
    <cellStyle name="20% - Ênfase4 11 16" xfId="3435" xr:uid="{00000000-0005-0000-0000-00002E090000}"/>
    <cellStyle name="20% - Ênfase4 11 17" xfId="3436" xr:uid="{00000000-0005-0000-0000-00002F090000}"/>
    <cellStyle name="20% - Ênfase4 11 18" xfId="3437" xr:uid="{00000000-0005-0000-0000-000030090000}"/>
    <cellStyle name="20% - Ênfase4 11 19" xfId="3438" xr:uid="{00000000-0005-0000-0000-000031090000}"/>
    <cellStyle name="20% - Ênfase4 11 2" xfId="3439" xr:uid="{00000000-0005-0000-0000-000032090000}"/>
    <cellStyle name="20% - Ênfase4 11 20" xfId="3440" xr:uid="{00000000-0005-0000-0000-000033090000}"/>
    <cellStyle name="20% - Ênfase4 11 3" xfId="3441" xr:uid="{00000000-0005-0000-0000-000034090000}"/>
    <cellStyle name="20% - Ênfase4 11 4" xfId="3442" xr:uid="{00000000-0005-0000-0000-000035090000}"/>
    <cellStyle name="20% - Ênfase4 11 5" xfId="3443" xr:uid="{00000000-0005-0000-0000-000036090000}"/>
    <cellStyle name="20% - Ênfase4 11 6" xfId="3444" xr:uid="{00000000-0005-0000-0000-000037090000}"/>
    <cellStyle name="20% - Ênfase4 11 7" xfId="3445" xr:uid="{00000000-0005-0000-0000-000038090000}"/>
    <cellStyle name="20% - Ênfase4 11 8" xfId="3446" xr:uid="{00000000-0005-0000-0000-000039090000}"/>
    <cellStyle name="20% - Ênfase4 11 9" xfId="3447" xr:uid="{00000000-0005-0000-0000-00003A090000}"/>
    <cellStyle name="20% - Ênfase4 12" xfId="195" xr:uid="{00000000-0005-0000-0000-00003B090000}"/>
    <cellStyle name="20% - Ênfase4 12 10" xfId="3448" xr:uid="{00000000-0005-0000-0000-00003C090000}"/>
    <cellStyle name="20% - Ênfase4 12 11" xfId="3449" xr:uid="{00000000-0005-0000-0000-00003D090000}"/>
    <cellStyle name="20% - Ênfase4 12 12" xfId="3450" xr:uid="{00000000-0005-0000-0000-00003E090000}"/>
    <cellStyle name="20% - Ênfase4 12 13" xfId="3451" xr:uid="{00000000-0005-0000-0000-00003F090000}"/>
    <cellStyle name="20% - Ênfase4 12 14" xfId="3452" xr:uid="{00000000-0005-0000-0000-000040090000}"/>
    <cellStyle name="20% - Ênfase4 12 15" xfId="3453" xr:uid="{00000000-0005-0000-0000-000041090000}"/>
    <cellStyle name="20% - Ênfase4 12 16" xfId="3454" xr:uid="{00000000-0005-0000-0000-000042090000}"/>
    <cellStyle name="20% - Ênfase4 12 17" xfId="3455" xr:uid="{00000000-0005-0000-0000-000043090000}"/>
    <cellStyle name="20% - Ênfase4 12 18" xfId="3456" xr:uid="{00000000-0005-0000-0000-000044090000}"/>
    <cellStyle name="20% - Ênfase4 12 19" xfId="3457" xr:uid="{00000000-0005-0000-0000-000045090000}"/>
    <cellStyle name="20% - Ênfase4 12 2" xfId="3458" xr:uid="{00000000-0005-0000-0000-000046090000}"/>
    <cellStyle name="20% - Ênfase4 12 20" xfId="3459" xr:uid="{00000000-0005-0000-0000-000047090000}"/>
    <cellStyle name="20% - Ênfase4 12 3" xfId="3460" xr:uid="{00000000-0005-0000-0000-000048090000}"/>
    <cellStyle name="20% - Ênfase4 12 4" xfId="3461" xr:uid="{00000000-0005-0000-0000-000049090000}"/>
    <cellStyle name="20% - Ênfase4 12 5" xfId="3462" xr:uid="{00000000-0005-0000-0000-00004A090000}"/>
    <cellStyle name="20% - Ênfase4 12 6" xfId="3463" xr:uid="{00000000-0005-0000-0000-00004B090000}"/>
    <cellStyle name="20% - Ênfase4 12 7" xfId="3464" xr:uid="{00000000-0005-0000-0000-00004C090000}"/>
    <cellStyle name="20% - Ênfase4 12 8" xfId="3465" xr:uid="{00000000-0005-0000-0000-00004D090000}"/>
    <cellStyle name="20% - Ênfase4 12 9" xfId="3466" xr:uid="{00000000-0005-0000-0000-00004E090000}"/>
    <cellStyle name="20% - Ênfase4 13" xfId="212" xr:uid="{00000000-0005-0000-0000-00004F090000}"/>
    <cellStyle name="20% - Ênfase4 13 10" xfId="3467" xr:uid="{00000000-0005-0000-0000-000050090000}"/>
    <cellStyle name="20% - Ênfase4 13 11" xfId="3468" xr:uid="{00000000-0005-0000-0000-000051090000}"/>
    <cellStyle name="20% - Ênfase4 13 12" xfId="3469" xr:uid="{00000000-0005-0000-0000-000052090000}"/>
    <cellStyle name="20% - Ênfase4 13 13" xfId="3470" xr:uid="{00000000-0005-0000-0000-000053090000}"/>
    <cellStyle name="20% - Ênfase4 13 14" xfId="3471" xr:uid="{00000000-0005-0000-0000-000054090000}"/>
    <cellStyle name="20% - Ênfase4 13 15" xfId="3472" xr:uid="{00000000-0005-0000-0000-000055090000}"/>
    <cellStyle name="20% - Ênfase4 13 16" xfId="3473" xr:uid="{00000000-0005-0000-0000-000056090000}"/>
    <cellStyle name="20% - Ênfase4 13 17" xfId="3474" xr:uid="{00000000-0005-0000-0000-000057090000}"/>
    <cellStyle name="20% - Ênfase4 13 18" xfId="3475" xr:uid="{00000000-0005-0000-0000-000058090000}"/>
    <cellStyle name="20% - Ênfase4 13 19" xfId="3476" xr:uid="{00000000-0005-0000-0000-000059090000}"/>
    <cellStyle name="20% - Ênfase4 13 2" xfId="3477" xr:uid="{00000000-0005-0000-0000-00005A090000}"/>
    <cellStyle name="20% - Ênfase4 13 20" xfId="3478" xr:uid="{00000000-0005-0000-0000-00005B090000}"/>
    <cellStyle name="20% - Ênfase4 13 3" xfId="3479" xr:uid="{00000000-0005-0000-0000-00005C090000}"/>
    <cellStyle name="20% - Ênfase4 13 4" xfId="3480" xr:uid="{00000000-0005-0000-0000-00005D090000}"/>
    <cellStyle name="20% - Ênfase4 13 5" xfId="3481" xr:uid="{00000000-0005-0000-0000-00005E090000}"/>
    <cellStyle name="20% - Ênfase4 13 6" xfId="3482" xr:uid="{00000000-0005-0000-0000-00005F090000}"/>
    <cellStyle name="20% - Ênfase4 13 7" xfId="3483" xr:uid="{00000000-0005-0000-0000-000060090000}"/>
    <cellStyle name="20% - Ênfase4 13 8" xfId="3484" xr:uid="{00000000-0005-0000-0000-000061090000}"/>
    <cellStyle name="20% - Ênfase4 13 9" xfId="3485" xr:uid="{00000000-0005-0000-0000-000062090000}"/>
    <cellStyle name="20% - Ênfase4 14" xfId="229" xr:uid="{00000000-0005-0000-0000-000063090000}"/>
    <cellStyle name="20% - Ênfase4 14 10" xfId="3486" xr:uid="{00000000-0005-0000-0000-000064090000}"/>
    <cellStyle name="20% - Ênfase4 14 11" xfId="3487" xr:uid="{00000000-0005-0000-0000-000065090000}"/>
    <cellStyle name="20% - Ênfase4 14 12" xfId="3488" xr:uid="{00000000-0005-0000-0000-000066090000}"/>
    <cellStyle name="20% - Ênfase4 14 13" xfId="3489" xr:uid="{00000000-0005-0000-0000-000067090000}"/>
    <cellStyle name="20% - Ênfase4 14 14" xfId="3490" xr:uid="{00000000-0005-0000-0000-000068090000}"/>
    <cellStyle name="20% - Ênfase4 14 15" xfId="3491" xr:uid="{00000000-0005-0000-0000-000069090000}"/>
    <cellStyle name="20% - Ênfase4 14 16" xfId="3492" xr:uid="{00000000-0005-0000-0000-00006A090000}"/>
    <cellStyle name="20% - Ênfase4 14 17" xfId="3493" xr:uid="{00000000-0005-0000-0000-00006B090000}"/>
    <cellStyle name="20% - Ênfase4 14 18" xfId="3494" xr:uid="{00000000-0005-0000-0000-00006C090000}"/>
    <cellStyle name="20% - Ênfase4 14 19" xfId="3495" xr:uid="{00000000-0005-0000-0000-00006D090000}"/>
    <cellStyle name="20% - Ênfase4 14 2" xfId="3496" xr:uid="{00000000-0005-0000-0000-00006E090000}"/>
    <cellStyle name="20% - Ênfase4 14 20" xfId="3497" xr:uid="{00000000-0005-0000-0000-00006F090000}"/>
    <cellStyle name="20% - Ênfase4 14 3" xfId="3498" xr:uid="{00000000-0005-0000-0000-000070090000}"/>
    <cellStyle name="20% - Ênfase4 14 4" xfId="3499" xr:uid="{00000000-0005-0000-0000-000071090000}"/>
    <cellStyle name="20% - Ênfase4 14 5" xfId="3500" xr:uid="{00000000-0005-0000-0000-000072090000}"/>
    <cellStyle name="20% - Ênfase4 14 6" xfId="3501" xr:uid="{00000000-0005-0000-0000-000073090000}"/>
    <cellStyle name="20% - Ênfase4 14 7" xfId="3502" xr:uid="{00000000-0005-0000-0000-000074090000}"/>
    <cellStyle name="20% - Ênfase4 14 8" xfId="3503" xr:uid="{00000000-0005-0000-0000-000075090000}"/>
    <cellStyle name="20% - Ênfase4 14 9" xfId="3504" xr:uid="{00000000-0005-0000-0000-000076090000}"/>
    <cellStyle name="20% - Ênfase4 15" xfId="246" xr:uid="{00000000-0005-0000-0000-000077090000}"/>
    <cellStyle name="20% - Ênfase4 15 10" xfId="3505" xr:uid="{00000000-0005-0000-0000-000078090000}"/>
    <cellStyle name="20% - Ênfase4 15 11" xfId="3506" xr:uid="{00000000-0005-0000-0000-000079090000}"/>
    <cellStyle name="20% - Ênfase4 15 12" xfId="3507" xr:uid="{00000000-0005-0000-0000-00007A090000}"/>
    <cellStyle name="20% - Ênfase4 15 13" xfId="3508" xr:uid="{00000000-0005-0000-0000-00007B090000}"/>
    <cellStyle name="20% - Ênfase4 15 14" xfId="3509" xr:uid="{00000000-0005-0000-0000-00007C090000}"/>
    <cellStyle name="20% - Ênfase4 15 15" xfId="3510" xr:uid="{00000000-0005-0000-0000-00007D090000}"/>
    <cellStyle name="20% - Ênfase4 15 16" xfId="3511" xr:uid="{00000000-0005-0000-0000-00007E090000}"/>
    <cellStyle name="20% - Ênfase4 15 17" xfId="3512" xr:uid="{00000000-0005-0000-0000-00007F090000}"/>
    <cellStyle name="20% - Ênfase4 15 18" xfId="3513" xr:uid="{00000000-0005-0000-0000-000080090000}"/>
    <cellStyle name="20% - Ênfase4 15 19" xfId="3514" xr:uid="{00000000-0005-0000-0000-000081090000}"/>
    <cellStyle name="20% - Ênfase4 15 2" xfId="3515" xr:uid="{00000000-0005-0000-0000-000082090000}"/>
    <cellStyle name="20% - Ênfase4 15 20" xfId="3516" xr:uid="{00000000-0005-0000-0000-000083090000}"/>
    <cellStyle name="20% - Ênfase4 15 3" xfId="3517" xr:uid="{00000000-0005-0000-0000-000084090000}"/>
    <cellStyle name="20% - Ênfase4 15 4" xfId="3518" xr:uid="{00000000-0005-0000-0000-000085090000}"/>
    <cellStyle name="20% - Ênfase4 15 5" xfId="3519" xr:uid="{00000000-0005-0000-0000-000086090000}"/>
    <cellStyle name="20% - Ênfase4 15 6" xfId="3520" xr:uid="{00000000-0005-0000-0000-000087090000}"/>
    <cellStyle name="20% - Ênfase4 15 7" xfId="3521" xr:uid="{00000000-0005-0000-0000-000088090000}"/>
    <cellStyle name="20% - Ênfase4 15 8" xfId="3522" xr:uid="{00000000-0005-0000-0000-000089090000}"/>
    <cellStyle name="20% - Ênfase4 15 9" xfId="3523" xr:uid="{00000000-0005-0000-0000-00008A090000}"/>
    <cellStyle name="20% - Ênfase4 16" xfId="263" xr:uid="{00000000-0005-0000-0000-00008B090000}"/>
    <cellStyle name="20% - Ênfase4 16 10" xfId="3524" xr:uid="{00000000-0005-0000-0000-00008C090000}"/>
    <cellStyle name="20% - Ênfase4 16 11" xfId="3525" xr:uid="{00000000-0005-0000-0000-00008D090000}"/>
    <cellStyle name="20% - Ênfase4 16 12" xfId="3526" xr:uid="{00000000-0005-0000-0000-00008E090000}"/>
    <cellStyle name="20% - Ênfase4 16 13" xfId="3527" xr:uid="{00000000-0005-0000-0000-00008F090000}"/>
    <cellStyle name="20% - Ênfase4 16 14" xfId="3528" xr:uid="{00000000-0005-0000-0000-000090090000}"/>
    <cellStyle name="20% - Ênfase4 16 15" xfId="3529" xr:uid="{00000000-0005-0000-0000-000091090000}"/>
    <cellStyle name="20% - Ênfase4 16 16" xfId="3530" xr:uid="{00000000-0005-0000-0000-000092090000}"/>
    <cellStyle name="20% - Ênfase4 16 17" xfId="3531" xr:uid="{00000000-0005-0000-0000-000093090000}"/>
    <cellStyle name="20% - Ênfase4 16 18" xfId="3532" xr:uid="{00000000-0005-0000-0000-000094090000}"/>
    <cellStyle name="20% - Ênfase4 16 19" xfId="3533" xr:uid="{00000000-0005-0000-0000-000095090000}"/>
    <cellStyle name="20% - Ênfase4 16 2" xfId="3534" xr:uid="{00000000-0005-0000-0000-000096090000}"/>
    <cellStyle name="20% - Ênfase4 16 20" xfId="3535" xr:uid="{00000000-0005-0000-0000-000097090000}"/>
    <cellStyle name="20% - Ênfase4 16 3" xfId="3536" xr:uid="{00000000-0005-0000-0000-000098090000}"/>
    <cellStyle name="20% - Ênfase4 16 4" xfId="3537" xr:uid="{00000000-0005-0000-0000-000099090000}"/>
    <cellStyle name="20% - Ênfase4 16 5" xfId="3538" xr:uid="{00000000-0005-0000-0000-00009A090000}"/>
    <cellStyle name="20% - Ênfase4 16 6" xfId="3539" xr:uid="{00000000-0005-0000-0000-00009B090000}"/>
    <cellStyle name="20% - Ênfase4 16 7" xfId="3540" xr:uid="{00000000-0005-0000-0000-00009C090000}"/>
    <cellStyle name="20% - Ênfase4 16 8" xfId="3541" xr:uid="{00000000-0005-0000-0000-00009D090000}"/>
    <cellStyle name="20% - Ênfase4 16 9" xfId="3542" xr:uid="{00000000-0005-0000-0000-00009E090000}"/>
    <cellStyle name="20% - Ênfase4 17" xfId="280" xr:uid="{00000000-0005-0000-0000-00009F090000}"/>
    <cellStyle name="20% - Ênfase4 17 10" xfId="3543" xr:uid="{00000000-0005-0000-0000-0000A0090000}"/>
    <cellStyle name="20% - Ênfase4 17 11" xfId="3544" xr:uid="{00000000-0005-0000-0000-0000A1090000}"/>
    <cellStyle name="20% - Ênfase4 17 12" xfId="3545" xr:uid="{00000000-0005-0000-0000-0000A2090000}"/>
    <cellStyle name="20% - Ênfase4 17 13" xfId="3546" xr:uid="{00000000-0005-0000-0000-0000A3090000}"/>
    <cellStyle name="20% - Ênfase4 17 14" xfId="3547" xr:uid="{00000000-0005-0000-0000-0000A4090000}"/>
    <cellStyle name="20% - Ênfase4 17 15" xfId="3548" xr:uid="{00000000-0005-0000-0000-0000A5090000}"/>
    <cellStyle name="20% - Ênfase4 17 16" xfId="3549" xr:uid="{00000000-0005-0000-0000-0000A6090000}"/>
    <cellStyle name="20% - Ênfase4 17 17" xfId="3550" xr:uid="{00000000-0005-0000-0000-0000A7090000}"/>
    <cellStyle name="20% - Ênfase4 17 18" xfId="3551" xr:uid="{00000000-0005-0000-0000-0000A8090000}"/>
    <cellStyle name="20% - Ênfase4 17 19" xfId="3552" xr:uid="{00000000-0005-0000-0000-0000A9090000}"/>
    <cellStyle name="20% - Ênfase4 17 2" xfId="3553" xr:uid="{00000000-0005-0000-0000-0000AA090000}"/>
    <cellStyle name="20% - Ênfase4 17 20" xfId="3554" xr:uid="{00000000-0005-0000-0000-0000AB090000}"/>
    <cellStyle name="20% - Ênfase4 17 3" xfId="3555" xr:uid="{00000000-0005-0000-0000-0000AC090000}"/>
    <cellStyle name="20% - Ênfase4 17 4" xfId="3556" xr:uid="{00000000-0005-0000-0000-0000AD090000}"/>
    <cellStyle name="20% - Ênfase4 17 5" xfId="3557" xr:uid="{00000000-0005-0000-0000-0000AE090000}"/>
    <cellStyle name="20% - Ênfase4 17 6" xfId="3558" xr:uid="{00000000-0005-0000-0000-0000AF090000}"/>
    <cellStyle name="20% - Ênfase4 17 7" xfId="3559" xr:uid="{00000000-0005-0000-0000-0000B0090000}"/>
    <cellStyle name="20% - Ênfase4 17 8" xfId="3560" xr:uid="{00000000-0005-0000-0000-0000B1090000}"/>
    <cellStyle name="20% - Ênfase4 17 9" xfId="3561" xr:uid="{00000000-0005-0000-0000-0000B2090000}"/>
    <cellStyle name="20% - Ênfase4 18" xfId="297" xr:uid="{00000000-0005-0000-0000-0000B3090000}"/>
    <cellStyle name="20% - Ênfase4 18 10" xfId="3562" xr:uid="{00000000-0005-0000-0000-0000B4090000}"/>
    <cellStyle name="20% - Ênfase4 18 11" xfId="3563" xr:uid="{00000000-0005-0000-0000-0000B5090000}"/>
    <cellStyle name="20% - Ênfase4 18 12" xfId="3564" xr:uid="{00000000-0005-0000-0000-0000B6090000}"/>
    <cellStyle name="20% - Ênfase4 18 13" xfId="3565" xr:uid="{00000000-0005-0000-0000-0000B7090000}"/>
    <cellStyle name="20% - Ênfase4 18 14" xfId="3566" xr:uid="{00000000-0005-0000-0000-0000B8090000}"/>
    <cellStyle name="20% - Ênfase4 18 15" xfId="3567" xr:uid="{00000000-0005-0000-0000-0000B9090000}"/>
    <cellStyle name="20% - Ênfase4 18 16" xfId="3568" xr:uid="{00000000-0005-0000-0000-0000BA090000}"/>
    <cellStyle name="20% - Ênfase4 18 17" xfId="3569" xr:uid="{00000000-0005-0000-0000-0000BB090000}"/>
    <cellStyle name="20% - Ênfase4 18 18" xfId="3570" xr:uid="{00000000-0005-0000-0000-0000BC090000}"/>
    <cellStyle name="20% - Ênfase4 18 19" xfId="3571" xr:uid="{00000000-0005-0000-0000-0000BD090000}"/>
    <cellStyle name="20% - Ênfase4 18 2" xfId="3572" xr:uid="{00000000-0005-0000-0000-0000BE090000}"/>
    <cellStyle name="20% - Ênfase4 18 20" xfId="3573" xr:uid="{00000000-0005-0000-0000-0000BF090000}"/>
    <cellStyle name="20% - Ênfase4 18 3" xfId="3574" xr:uid="{00000000-0005-0000-0000-0000C0090000}"/>
    <cellStyle name="20% - Ênfase4 18 4" xfId="3575" xr:uid="{00000000-0005-0000-0000-0000C1090000}"/>
    <cellStyle name="20% - Ênfase4 18 5" xfId="3576" xr:uid="{00000000-0005-0000-0000-0000C2090000}"/>
    <cellStyle name="20% - Ênfase4 18 6" xfId="3577" xr:uid="{00000000-0005-0000-0000-0000C3090000}"/>
    <cellStyle name="20% - Ênfase4 18 7" xfId="3578" xr:uid="{00000000-0005-0000-0000-0000C4090000}"/>
    <cellStyle name="20% - Ênfase4 18 8" xfId="3579" xr:uid="{00000000-0005-0000-0000-0000C5090000}"/>
    <cellStyle name="20% - Ênfase4 18 9" xfId="3580" xr:uid="{00000000-0005-0000-0000-0000C6090000}"/>
    <cellStyle name="20% - Ênfase4 19" xfId="373" xr:uid="{00000000-0005-0000-0000-0000C7090000}"/>
    <cellStyle name="20% - Ênfase4 19 10" xfId="3581" xr:uid="{00000000-0005-0000-0000-0000C8090000}"/>
    <cellStyle name="20% - Ênfase4 19 11" xfId="3582" xr:uid="{00000000-0005-0000-0000-0000C9090000}"/>
    <cellStyle name="20% - Ênfase4 19 12" xfId="3583" xr:uid="{00000000-0005-0000-0000-0000CA090000}"/>
    <cellStyle name="20% - Ênfase4 19 13" xfId="3584" xr:uid="{00000000-0005-0000-0000-0000CB090000}"/>
    <cellStyle name="20% - Ênfase4 19 14" xfId="3585" xr:uid="{00000000-0005-0000-0000-0000CC090000}"/>
    <cellStyle name="20% - Ênfase4 19 15" xfId="3586" xr:uid="{00000000-0005-0000-0000-0000CD090000}"/>
    <cellStyle name="20% - Ênfase4 19 16" xfId="3587" xr:uid="{00000000-0005-0000-0000-0000CE090000}"/>
    <cellStyle name="20% - Ênfase4 19 17" xfId="3588" xr:uid="{00000000-0005-0000-0000-0000CF090000}"/>
    <cellStyle name="20% - Ênfase4 19 18" xfId="3589" xr:uid="{00000000-0005-0000-0000-0000D0090000}"/>
    <cellStyle name="20% - Ênfase4 19 19" xfId="3590" xr:uid="{00000000-0005-0000-0000-0000D1090000}"/>
    <cellStyle name="20% - Ênfase4 19 2" xfId="3591" xr:uid="{00000000-0005-0000-0000-0000D2090000}"/>
    <cellStyle name="20% - Ênfase4 19 20" xfId="3592" xr:uid="{00000000-0005-0000-0000-0000D3090000}"/>
    <cellStyle name="20% - Ênfase4 19 3" xfId="3593" xr:uid="{00000000-0005-0000-0000-0000D4090000}"/>
    <cellStyle name="20% - Ênfase4 19 4" xfId="3594" xr:uid="{00000000-0005-0000-0000-0000D5090000}"/>
    <cellStyle name="20% - Ênfase4 19 5" xfId="3595" xr:uid="{00000000-0005-0000-0000-0000D6090000}"/>
    <cellStyle name="20% - Ênfase4 19 6" xfId="3596" xr:uid="{00000000-0005-0000-0000-0000D7090000}"/>
    <cellStyle name="20% - Ênfase4 19 7" xfId="3597" xr:uid="{00000000-0005-0000-0000-0000D8090000}"/>
    <cellStyle name="20% - Ênfase4 19 8" xfId="3598" xr:uid="{00000000-0005-0000-0000-0000D9090000}"/>
    <cellStyle name="20% - Ênfase4 19 9" xfId="3599" xr:uid="{00000000-0005-0000-0000-0000DA090000}"/>
    <cellStyle name="20% - Ênfase4 2" xfId="80" xr:uid="{00000000-0005-0000-0000-0000DB090000}"/>
    <cellStyle name="20% - Ênfase4 2 10" xfId="3600" xr:uid="{00000000-0005-0000-0000-0000DC090000}"/>
    <cellStyle name="20% - Ênfase4 2 11" xfId="3601" xr:uid="{00000000-0005-0000-0000-0000DD090000}"/>
    <cellStyle name="20% - Ênfase4 2 12" xfId="3602" xr:uid="{00000000-0005-0000-0000-0000DE090000}"/>
    <cellStyle name="20% - Ênfase4 2 13" xfId="3603" xr:uid="{00000000-0005-0000-0000-0000DF090000}"/>
    <cellStyle name="20% - Ênfase4 2 14" xfId="3604" xr:uid="{00000000-0005-0000-0000-0000E0090000}"/>
    <cellStyle name="20% - Ênfase4 2 15" xfId="3605" xr:uid="{00000000-0005-0000-0000-0000E1090000}"/>
    <cellStyle name="20% - Ênfase4 2 16" xfId="3606" xr:uid="{00000000-0005-0000-0000-0000E2090000}"/>
    <cellStyle name="20% - Ênfase4 2 17" xfId="3607" xr:uid="{00000000-0005-0000-0000-0000E3090000}"/>
    <cellStyle name="20% - Ênfase4 2 18" xfId="3608" xr:uid="{00000000-0005-0000-0000-0000E4090000}"/>
    <cellStyle name="20% - Ênfase4 2 19" xfId="3609" xr:uid="{00000000-0005-0000-0000-0000E5090000}"/>
    <cellStyle name="20% - Ênfase4 2 2" xfId="3610" xr:uid="{00000000-0005-0000-0000-0000E6090000}"/>
    <cellStyle name="20% - Ênfase4 2 20" xfId="3611" xr:uid="{00000000-0005-0000-0000-0000E7090000}"/>
    <cellStyle name="20% - Ênfase4 2 3" xfId="3612" xr:uid="{00000000-0005-0000-0000-0000E8090000}"/>
    <cellStyle name="20% - Ênfase4 2 4" xfId="3613" xr:uid="{00000000-0005-0000-0000-0000E9090000}"/>
    <cellStyle name="20% - Ênfase4 2 5" xfId="3614" xr:uid="{00000000-0005-0000-0000-0000EA090000}"/>
    <cellStyle name="20% - Ênfase4 2 6" xfId="3615" xr:uid="{00000000-0005-0000-0000-0000EB090000}"/>
    <cellStyle name="20% - Ênfase4 2 7" xfId="3616" xr:uid="{00000000-0005-0000-0000-0000EC090000}"/>
    <cellStyle name="20% - Ênfase4 2 8" xfId="3617" xr:uid="{00000000-0005-0000-0000-0000ED090000}"/>
    <cellStyle name="20% - Ênfase4 2 9" xfId="3618" xr:uid="{00000000-0005-0000-0000-0000EE090000}"/>
    <cellStyle name="20% - Ênfase4 20" xfId="339" xr:uid="{00000000-0005-0000-0000-0000EF090000}"/>
    <cellStyle name="20% - Ênfase4 20 10" xfId="3619" xr:uid="{00000000-0005-0000-0000-0000F0090000}"/>
    <cellStyle name="20% - Ênfase4 20 11" xfId="3620" xr:uid="{00000000-0005-0000-0000-0000F1090000}"/>
    <cellStyle name="20% - Ênfase4 20 12" xfId="3621" xr:uid="{00000000-0005-0000-0000-0000F2090000}"/>
    <cellStyle name="20% - Ênfase4 20 13" xfId="3622" xr:uid="{00000000-0005-0000-0000-0000F3090000}"/>
    <cellStyle name="20% - Ênfase4 20 14" xfId="3623" xr:uid="{00000000-0005-0000-0000-0000F4090000}"/>
    <cellStyle name="20% - Ênfase4 20 15" xfId="3624" xr:uid="{00000000-0005-0000-0000-0000F5090000}"/>
    <cellStyle name="20% - Ênfase4 20 16" xfId="3625" xr:uid="{00000000-0005-0000-0000-0000F6090000}"/>
    <cellStyle name="20% - Ênfase4 20 17" xfId="3626" xr:uid="{00000000-0005-0000-0000-0000F7090000}"/>
    <cellStyle name="20% - Ênfase4 20 18" xfId="3627" xr:uid="{00000000-0005-0000-0000-0000F8090000}"/>
    <cellStyle name="20% - Ênfase4 20 19" xfId="3628" xr:uid="{00000000-0005-0000-0000-0000F9090000}"/>
    <cellStyle name="20% - Ênfase4 20 2" xfId="3629" xr:uid="{00000000-0005-0000-0000-0000FA090000}"/>
    <cellStyle name="20% - Ênfase4 20 20" xfId="3630" xr:uid="{00000000-0005-0000-0000-0000FB090000}"/>
    <cellStyle name="20% - Ênfase4 20 3" xfId="3631" xr:uid="{00000000-0005-0000-0000-0000FC090000}"/>
    <cellStyle name="20% - Ênfase4 20 4" xfId="3632" xr:uid="{00000000-0005-0000-0000-0000FD090000}"/>
    <cellStyle name="20% - Ênfase4 20 5" xfId="3633" xr:uid="{00000000-0005-0000-0000-0000FE090000}"/>
    <cellStyle name="20% - Ênfase4 20 6" xfId="3634" xr:uid="{00000000-0005-0000-0000-0000FF090000}"/>
    <cellStyle name="20% - Ênfase4 20 7" xfId="3635" xr:uid="{00000000-0005-0000-0000-0000000A0000}"/>
    <cellStyle name="20% - Ênfase4 20 8" xfId="3636" xr:uid="{00000000-0005-0000-0000-0000010A0000}"/>
    <cellStyle name="20% - Ênfase4 20 9" xfId="3637" xr:uid="{00000000-0005-0000-0000-0000020A0000}"/>
    <cellStyle name="20% - Ênfase4 21" xfId="349" xr:uid="{00000000-0005-0000-0000-0000030A0000}"/>
    <cellStyle name="20% - Ênfase4 21 10" xfId="3638" xr:uid="{00000000-0005-0000-0000-0000040A0000}"/>
    <cellStyle name="20% - Ênfase4 21 11" xfId="3639" xr:uid="{00000000-0005-0000-0000-0000050A0000}"/>
    <cellStyle name="20% - Ênfase4 21 12" xfId="3640" xr:uid="{00000000-0005-0000-0000-0000060A0000}"/>
    <cellStyle name="20% - Ênfase4 21 13" xfId="3641" xr:uid="{00000000-0005-0000-0000-0000070A0000}"/>
    <cellStyle name="20% - Ênfase4 21 14" xfId="3642" xr:uid="{00000000-0005-0000-0000-0000080A0000}"/>
    <cellStyle name="20% - Ênfase4 21 15" xfId="3643" xr:uid="{00000000-0005-0000-0000-0000090A0000}"/>
    <cellStyle name="20% - Ênfase4 21 16" xfId="3644" xr:uid="{00000000-0005-0000-0000-00000A0A0000}"/>
    <cellStyle name="20% - Ênfase4 21 17" xfId="3645" xr:uid="{00000000-0005-0000-0000-00000B0A0000}"/>
    <cellStyle name="20% - Ênfase4 21 18" xfId="3646" xr:uid="{00000000-0005-0000-0000-00000C0A0000}"/>
    <cellStyle name="20% - Ênfase4 21 19" xfId="3647" xr:uid="{00000000-0005-0000-0000-00000D0A0000}"/>
    <cellStyle name="20% - Ênfase4 21 2" xfId="3648" xr:uid="{00000000-0005-0000-0000-00000E0A0000}"/>
    <cellStyle name="20% - Ênfase4 21 20" xfId="3649" xr:uid="{00000000-0005-0000-0000-00000F0A0000}"/>
    <cellStyle name="20% - Ênfase4 21 3" xfId="3650" xr:uid="{00000000-0005-0000-0000-0000100A0000}"/>
    <cellStyle name="20% - Ênfase4 21 4" xfId="3651" xr:uid="{00000000-0005-0000-0000-0000110A0000}"/>
    <cellStyle name="20% - Ênfase4 21 5" xfId="3652" xr:uid="{00000000-0005-0000-0000-0000120A0000}"/>
    <cellStyle name="20% - Ênfase4 21 6" xfId="3653" xr:uid="{00000000-0005-0000-0000-0000130A0000}"/>
    <cellStyle name="20% - Ênfase4 21 7" xfId="3654" xr:uid="{00000000-0005-0000-0000-0000140A0000}"/>
    <cellStyle name="20% - Ênfase4 21 8" xfId="3655" xr:uid="{00000000-0005-0000-0000-0000150A0000}"/>
    <cellStyle name="20% - Ênfase4 21 9" xfId="3656" xr:uid="{00000000-0005-0000-0000-0000160A0000}"/>
    <cellStyle name="20% - Ênfase4 22" xfId="334" xr:uid="{00000000-0005-0000-0000-0000170A0000}"/>
    <cellStyle name="20% - Ênfase4 22 10" xfId="3657" xr:uid="{00000000-0005-0000-0000-0000180A0000}"/>
    <cellStyle name="20% - Ênfase4 22 11" xfId="3658" xr:uid="{00000000-0005-0000-0000-0000190A0000}"/>
    <cellStyle name="20% - Ênfase4 22 12" xfId="3659" xr:uid="{00000000-0005-0000-0000-00001A0A0000}"/>
    <cellStyle name="20% - Ênfase4 22 13" xfId="3660" xr:uid="{00000000-0005-0000-0000-00001B0A0000}"/>
    <cellStyle name="20% - Ênfase4 22 14" xfId="3661" xr:uid="{00000000-0005-0000-0000-00001C0A0000}"/>
    <cellStyle name="20% - Ênfase4 22 15" xfId="3662" xr:uid="{00000000-0005-0000-0000-00001D0A0000}"/>
    <cellStyle name="20% - Ênfase4 22 16" xfId="3663" xr:uid="{00000000-0005-0000-0000-00001E0A0000}"/>
    <cellStyle name="20% - Ênfase4 22 17" xfId="3664" xr:uid="{00000000-0005-0000-0000-00001F0A0000}"/>
    <cellStyle name="20% - Ênfase4 22 18" xfId="3665" xr:uid="{00000000-0005-0000-0000-0000200A0000}"/>
    <cellStyle name="20% - Ênfase4 22 19" xfId="3666" xr:uid="{00000000-0005-0000-0000-0000210A0000}"/>
    <cellStyle name="20% - Ênfase4 22 2" xfId="3667" xr:uid="{00000000-0005-0000-0000-0000220A0000}"/>
    <cellStyle name="20% - Ênfase4 22 20" xfId="3668" xr:uid="{00000000-0005-0000-0000-0000230A0000}"/>
    <cellStyle name="20% - Ênfase4 22 3" xfId="3669" xr:uid="{00000000-0005-0000-0000-0000240A0000}"/>
    <cellStyle name="20% - Ênfase4 22 4" xfId="3670" xr:uid="{00000000-0005-0000-0000-0000250A0000}"/>
    <cellStyle name="20% - Ênfase4 22 5" xfId="3671" xr:uid="{00000000-0005-0000-0000-0000260A0000}"/>
    <cellStyle name="20% - Ênfase4 22 6" xfId="3672" xr:uid="{00000000-0005-0000-0000-0000270A0000}"/>
    <cellStyle name="20% - Ênfase4 22 7" xfId="3673" xr:uid="{00000000-0005-0000-0000-0000280A0000}"/>
    <cellStyle name="20% - Ênfase4 22 8" xfId="3674" xr:uid="{00000000-0005-0000-0000-0000290A0000}"/>
    <cellStyle name="20% - Ênfase4 22 9" xfId="3675" xr:uid="{00000000-0005-0000-0000-00002A0A0000}"/>
    <cellStyle name="20% - Ênfase4 23" xfId="386" xr:uid="{00000000-0005-0000-0000-00002B0A0000}"/>
    <cellStyle name="20% - Ênfase4 23 10" xfId="3676" xr:uid="{00000000-0005-0000-0000-00002C0A0000}"/>
    <cellStyle name="20% - Ênfase4 23 11" xfId="3677" xr:uid="{00000000-0005-0000-0000-00002D0A0000}"/>
    <cellStyle name="20% - Ênfase4 23 12" xfId="3678" xr:uid="{00000000-0005-0000-0000-00002E0A0000}"/>
    <cellStyle name="20% - Ênfase4 23 13" xfId="3679" xr:uid="{00000000-0005-0000-0000-00002F0A0000}"/>
    <cellStyle name="20% - Ênfase4 23 14" xfId="3680" xr:uid="{00000000-0005-0000-0000-0000300A0000}"/>
    <cellStyle name="20% - Ênfase4 23 15" xfId="3681" xr:uid="{00000000-0005-0000-0000-0000310A0000}"/>
    <cellStyle name="20% - Ênfase4 23 16" xfId="3682" xr:uid="{00000000-0005-0000-0000-0000320A0000}"/>
    <cellStyle name="20% - Ênfase4 23 17" xfId="3683" xr:uid="{00000000-0005-0000-0000-0000330A0000}"/>
    <cellStyle name="20% - Ênfase4 23 18" xfId="3684" xr:uid="{00000000-0005-0000-0000-0000340A0000}"/>
    <cellStyle name="20% - Ênfase4 23 19" xfId="3685" xr:uid="{00000000-0005-0000-0000-0000350A0000}"/>
    <cellStyle name="20% - Ênfase4 23 2" xfId="3686" xr:uid="{00000000-0005-0000-0000-0000360A0000}"/>
    <cellStyle name="20% - Ênfase4 23 20" xfId="3687" xr:uid="{00000000-0005-0000-0000-0000370A0000}"/>
    <cellStyle name="20% - Ênfase4 23 3" xfId="3688" xr:uid="{00000000-0005-0000-0000-0000380A0000}"/>
    <cellStyle name="20% - Ênfase4 23 4" xfId="3689" xr:uid="{00000000-0005-0000-0000-0000390A0000}"/>
    <cellStyle name="20% - Ênfase4 23 5" xfId="3690" xr:uid="{00000000-0005-0000-0000-00003A0A0000}"/>
    <cellStyle name="20% - Ênfase4 23 6" xfId="3691" xr:uid="{00000000-0005-0000-0000-00003B0A0000}"/>
    <cellStyle name="20% - Ênfase4 23 7" xfId="3692" xr:uid="{00000000-0005-0000-0000-00003C0A0000}"/>
    <cellStyle name="20% - Ênfase4 23 8" xfId="3693" xr:uid="{00000000-0005-0000-0000-00003D0A0000}"/>
    <cellStyle name="20% - Ênfase4 23 9" xfId="3694" xr:uid="{00000000-0005-0000-0000-00003E0A0000}"/>
    <cellStyle name="20% - Ênfase4 24" xfId="404" xr:uid="{00000000-0005-0000-0000-00003F0A0000}"/>
    <cellStyle name="20% - Ênfase4 24 10" xfId="3695" xr:uid="{00000000-0005-0000-0000-0000400A0000}"/>
    <cellStyle name="20% - Ênfase4 24 11" xfId="3696" xr:uid="{00000000-0005-0000-0000-0000410A0000}"/>
    <cellStyle name="20% - Ênfase4 24 12" xfId="3697" xr:uid="{00000000-0005-0000-0000-0000420A0000}"/>
    <cellStyle name="20% - Ênfase4 24 13" xfId="3698" xr:uid="{00000000-0005-0000-0000-0000430A0000}"/>
    <cellStyle name="20% - Ênfase4 24 14" xfId="3699" xr:uid="{00000000-0005-0000-0000-0000440A0000}"/>
    <cellStyle name="20% - Ênfase4 24 15" xfId="3700" xr:uid="{00000000-0005-0000-0000-0000450A0000}"/>
    <cellStyle name="20% - Ênfase4 24 16" xfId="3701" xr:uid="{00000000-0005-0000-0000-0000460A0000}"/>
    <cellStyle name="20% - Ênfase4 24 17" xfId="3702" xr:uid="{00000000-0005-0000-0000-0000470A0000}"/>
    <cellStyle name="20% - Ênfase4 24 18" xfId="3703" xr:uid="{00000000-0005-0000-0000-0000480A0000}"/>
    <cellStyle name="20% - Ênfase4 24 19" xfId="3704" xr:uid="{00000000-0005-0000-0000-0000490A0000}"/>
    <cellStyle name="20% - Ênfase4 24 2" xfId="3705" xr:uid="{00000000-0005-0000-0000-00004A0A0000}"/>
    <cellStyle name="20% - Ênfase4 24 20" xfId="3706" xr:uid="{00000000-0005-0000-0000-00004B0A0000}"/>
    <cellStyle name="20% - Ênfase4 24 3" xfId="3707" xr:uid="{00000000-0005-0000-0000-00004C0A0000}"/>
    <cellStyle name="20% - Ênfase4 24 4" xfId="3708" xr:uid="{00000000-0005-0000-0000-00004D0A0000}"/>
    <cellStyle name="20% - Ênfase4 24 5" xfId="3709" xr:uid="{00000000-0005-0000-0000-00004E0A0000}"/>
    <cellStyle name="20% - Ênfase4 24 6" xfId="3710" xr:uid="{00000000-0005-0000-0000-00004F0A0000}"/>
    <cellStyle name="20% - Ênfase4 24 7" xfId="3711" xr:uid="{00000000-0005-0000-0000-0000500A0000}"/>
    <cellStyle name="20% - Ênfase4 24 8" xfId="3712" xr:uid="{00000000-0005-0000-0000-0000510A0000}"/>
    <cellStyle name="20% - Ênfase4 24 9" xfId="3713" xr:uid="{00000000-0005-0000-0000-0000520A0000}"/>
    <cellStyle name="20% - Ênfase4 25" xfId="422" xr:uid="{00000000-0005-0000-0000-0000530A0000}"/>
    <cellStyle name="20% - Ênfase4 25 10" xfId="3714" xr:uid="{00000000-0005-0000-0000-0000540A0000}"/>
    <cellStyle name="20% - Ênfase4 25 11" xfId="3715" xr:uid="{00000000-0005-0000-0000-0000550A0000}"/>
    <cellStyle name="20% - Ênfase4 25 12" xfId="3716" xr:uid="{00000000-0005-0000-0000-0000560A0000}"/>
    <cellStyle name="20% - Ênfase4 25 13" xfId="3717" xr:uid="{00000000-0005-0000-0000-0000570A0000}"/>
    <cellStyle name="20% - Ênfase4 25 14" xfId="3718" xr:uid="{00000000-0005-0000-0000-0000580A0000}"/>
    <cellStyle name="20% - Ênfase4 25 15" xfId="3719" xr:uid="{00000000-0005-0000-0000-0000590A0000}"/>
    <cellStyle name="20% - Ênfase4 25 16" xfId="3720" xr:uid="{00000000-0005-0000-0000-00005A0A0000}"/>
    <cellStyle name="20% - Ênfase4 25 17" xfId="3721" xr:uid="{00000000-0005-0000-0000-00005B0A0000}"/>
    <cellStyle name="20% - Ênfase4 25 18" xfId="3722" xr:uid="{00000000-0005-0000-0000-00005C0A0000}"/>
    <cellStyle name="20% - Ênfase4 25 19" xfId="3723" xr:uid="{00000000-0005-0000-0000-00005D0A0000}"/>
    <cellStyle name="20% - Ênfase4 25 2" xfId="3724" xr:uid="{00000000-0005-0000-0000-00005E0A0000}"/>
    <cellStyle name="20% - Ênfase4 25 20" xfId="3725" xr:uid="{00000000-0005-0000-0000-00005F0A0000}"/>
    <cellStyle name="20% - Ênfase4 25 3" xfId="3726" xr:uid="{00000000-0005-0000-0000-0000600A0000}"/>
    <cellStyle name="20% - Ênfase4 25 4" xfId="3727" xr:uid="{00000000-0005-0000-0000-0000610A0000}"/>
    <cellStyle name="20% - Ênfase4 25 5" xfId="3728" xr:uid="{00000000-0005-0000-0000-0000620A0000}"/>
    <cellStyle name="20% - Ênfase4 25 6" xfId="3729" xr:uid="{00000000-0005-0000-0000-0000630A0000}"/>
    <cellStyle name="20% - Ênfase4 25 7" xfId="3730" xr:uid="{00000000-0005-0000-0000-0000640A0000}"/>
    <cellStyle name="20% - Ênfase4 25 8" xfId="3731" xr:uid="{00000000-0005-0000-0000-0000650A0000}"/>
    <cellStyle name="20% - Ênfase4 25 9" xfId="3732" xr:uid="{00000000-0005-0000-0000-0000660A0000}"/>
    <cellStyle name="20% - Ênfase4 26" xfId="440" xr:uid="{00000000-0005-0000-0000-0000670A0000}"/>
    <cellStyle name="20% - Ênfase4 26 10" xfId="3733" xr:uid="{00000000-0005-0000-0000-0000680A0000}"/>
    <cellStyle name="20% - Ênfase4 26 11" xfId="3734" xr:uid="{00000000-0005-0000-0000-0000690A0000}"/>
    <cellStyle name="20% - Ênfase4 26 12" xfId="3735" xr:uid="{00000000-0005-0000-0000-00006A0A0000}"/>
    <cellStyle name="20% - Ênfase4 26 13" xfId="3736" xr:uid="{00000000-0005-0000-0000-00006B0A0000}"/>
    <cellStyle name="20% - Ênfase4 26 14" xfId="3737" xr:uid="{00000000-0005-0000-0000-00006C0A0000}"/>
    <cellStyle name="20% - Ênfase4 26 15" xfId="3738" xr:uid="{00000000-0005-0000-0000-00006D0A0000}"/>
    <cellStyle name="20% - Ênfase4 26 16" xfId="3739" xr:uid="{00000000-0005-0000-0000-00006E0A0000}"/>
    <cellStyle name="20% - Ênfase4 26 17" xfId="3740" xr:uid="{00000000-0005-0000-0000-00006F0A0000}"/>
    <cellStyle name="20% - Ênfase4 26 18" xfId="3741" xr:uid="{00000000-0005-0000-0000-0000700A0000}"/>
    <cellStyle name="20% - Ênfase4 26 19" xfId="3742" xr:uid="{00000000-0005-0000-0000-0000710A0000}"/>
    <cellStyle name="20% - Ênfase4 26 2" xfId="3743" xr:uid="{00000000-0005-0000-0000-0000720A0000}"/>
    <cellStyle name="20% - Ênfase4 26 20" xfId="3744" xr:uid="{00000000-0005-0000-0000-0000730A0000}"/>
    <cellStyle name="20% - Ênfase4 26 3" xfId="3745" xr:uid="{00000000-0005-0000-0000-0000740A0000}"/>
    <cellStyle name="20% - Ênfase4 26 4" xfId="3746" xr:uid="{00000000-0005-0000-0000-0000750A0000}"/>
    <cellStyle name="20% - Ênfase4 26 5" xfId="3747" xr:uid="{00000000-0005-0000-0000-0000760A0000}"/>
    <cellStyle name="20% - Ênfase4 26 6" xfId="3748" xr:uid="{00000000-0005-0000-0000-0000770A0000}"/>
    <cellStyle name="20% - Ênfase4 26 7" xfId="3749" xr:uid="{00000000-0005-0000-0000-0000780A0000}"/>
    <cellStyle name="20% - Ênfase4 26 8" xfId="3750" xr:uid="{00000000-0005-0000-0000-0000790A0000}"/>
    <cellStyle name="20% - Ênfase4 26 9" xfId="3751" xr:uid="{00000000-0005-0000-0000-00007A0A0000}"/>
    <cellStyle name="20% - Ênfase4 27" xfId="458" xr:uid="{00000000-0005-0000-0000-00007B0A0000}"/>
    <cellStyle name="20% - Ênfase4 27 10" xfId="3752" xr:uid="{00000000-0005-0000-0000-00007C0A0000}"/>
    <cellStyle name="20% - Ênfase4 27 11" xfId="3753" xr:uid="{00000000-0005-0000-0000-00007D0A0000}"/>
    <cellStyle name="20% - Ênfase4 27 12" xfId="3754" xr:uid="{00000000-0005-0000-0000-00007E0A0000}"/>
    <cellStyle name="20% - Ênfase4 27 13" xfId="3755" xr:uid="{00000000-0005-0000-0000-00007F0A0000}"/>
    <cellStyle name="20% - Ênfase4 27 14" xfId="3756" xr:uid="{00000000-0005-0000-0000-0000800A0000}"/>
    <cellStyle name="20% - Ênfase4 27 15" xfId="3757" xr:uid="{00000000-0005-0000-0000-0000810A0000}"/>
    <cellStyle name="20% - Ênfase4 27 16" xfId="3758" xr:uid="{00000000-0005-0000-0000-0000820A0000}"/>
    <cellStyle name="20% - Ênfase4 27 17" xfId="3759" xr:uid="{00000000-0005-0000-0000-0000830A0000}"/>
    <cellStyle name="20% - Ênfase4 27 18" xfId="3760" xr:uid="{00000000-0005-0000-0000-0000840A0000}"/>
    <cellStyle name="20% - Ênfase4 27 19" xfId="3761" xr:uid="{00000000-0005-0000-0000-0000850A0000}"/>
    <cellStyle name="20% - Ênfase4 27 2" xfId="3762" xr:uid="{00000000-0005-0000-0000-0000860A0000}"/>
    <cellStyle name="20% - Ênfase4 27 20" xfId="3763" xr:uid="{00000000-0005-0000-0000-0000870A0000}"/>
    <cellStyle name="20% - Ênfase4 27 3" xfId="3764" xr:uid="{00000000-0005-0000-0000-0000880A0000}"/>
    <cellStyle name="20% - Ênfase4 27 4" xfId="3765" xr:uid="{00000000-0005-0000-0000-0000890A0000}"/>
    <cellStyle name="20% - Ênfase4 27 5" xfId="3766" xr:uid="{00000000-0005-0000-0000-00008A0A0000}"/>
    <cellStyle name="20% - Ênfase4 27 6" xfId="3767" xr:uid="{00000000-0005-0000-0000-00008B0A0000}"/>
    <cellStyle name="20% - Ênfase4 27 7" xfId="3768" xr:uid="{00000000-0005-0000-0000-00008C0A0000}"/>
    <cellStyle name="20% - Ênfase4 27 8" xfId="3769" xr:uid="{00000000-0005-0000-0000-00008D0A0000}"/>
    <cellStyle name="20% - Ênfase4 27 9" xfId="3770" xr:uid="{00000000-0005-0000-0000-00008E0A0000}"/>
    <cellStyle name="20% - Ênfase4 28" xfId="476" xr:uid="{00000000-0005-0000-0000-00008F0A0000}"/>
    <cellStyle name="20% - Ênfase4 28 10" xfId="3771" xr:uid="{00000000-0005-0000-0000-0000900A0000}"/>
    <cellStyle name="20% - Ênfase4 28 11" xfId="3772" xr:uid="{00000000-0005-0000-0000-0000910A0000}"/>
    <cellStyle name="20% - Ênfase4 28 12" xfId="3773" xr:uid="{00000000-0005-0000-0000-0000920A0000}"/>
    <cellStyle name="20% - Ênfase4 28 13" xfId="3774" xr:uid="{00000000-0005-0000-0000-0000930A0000}"/>
    <cellStyle name="20% - Ênfase4 28 14" xfId="3775" xr:uid="{00000000-0005-0000-0000-0000940A0000}"/>
    <cellStyle name="20% - Ênfase4 28 15" xfId="3776" xr:uid="{00000000-0005-0000-0000-0000950A0000}"/>
    <cellStyle name="20% - Ênfase4 28 16" xfId="3777" xr:uid="{00000000-0005-0000-0000-0000960A0000}"/>
    <cellStyle name="20% - Ênfase4 28 17" xfId="3778" xr:uid="{00000000-0005-0000-0000-0000970A0000}"/>
    <cellStyle name="20% - Ênfase4 28 18" xfId="3779" xr:uid="{00000000-0005-0000-0000-0000980A0000}"/>
    <cellStyle name="20% - Ênfase4 28 19" xfId="3780" xr:uid="{00000000-0005-0000-0000-0000990A0000}"/>
    <cellStyle name="20% - Ênfase4 28 2" xfId="3781" xr:uid="{00000000-0005-0000-0000-00009A0A0000}"/>
    <cellStyle name="20% - Ênfase4 28 20" xfId="3782" xr:uid="{00000000-0005-0000-0000-00009B0A0000}"/>
    <cellStyle name="20% - Ênfase4 28 3" xfId="3783" xr:uid="{00000000-0005-0000-0000-00009C0A0000}"/>
    <cellStyle name="20% - Ênfase4 28 4" xfId="3784" xr:uid="{00000000-0005-0000-0000-00009D0A0000}"/>
    <cellStyle name="20% - Ênfase4 28 5" xfId="3785" xr:uid="{00000000-0005-0000-0000-00009E0A0000}"/>
    <cellStyle name="20% - Ênfase4 28 6" xfId="3786" xr:uid="{00000000-0005-0000-0000-00009F0A0000}"/>
    <cellStyle name="20% - Ênfase4 28 7" xfId="3787" xr:uid="{00000000-0005-0000-0000-0000A00A0000}"/>
    <cellStyle name="20% - Ênfase4 28 8" xfId="3788" xr:uid="{00000000-0005-0000-0000-0000A10A0000}"/>
    <cellStyle name="20% - Ênfase4 28 9" xfId="3789" xr:uid="{00000000-0005-0000-0000-0000A20A0000}"/>
    <cellStyle name="20% - Ênfase4 29" xfId="494" xr:uid="{00000000-0005-0000-0000-0000A30A0000}"/>
    <cellStyle name="20% - Ênfase4 29 10" xfId="3790" xr:uid="{00000000-0005-0000-0000-0000A40A0000}"/>
    <cellStyle name="20% - Ênfase4 29 11" xfId="3791" xr:uid="{00000000-0005-0000-0000-0000A50A0000}"/>
    <cellStyle name="20% - Ênfase4 29 12" xfId="3792" xr:uid="{00000000-0005-0000-0000-0000A60A0000}"/>
    <cellStyle name="20% - Ênfase4 29 13" xfId="3793" xr:uid="{00000000-0005-0000-0000-0000A70A0000}"/>
    <cellStyle name="20% - Ênfase4 29 14" xfId="3794" xr:uid="{00000000-0005-0000-0000-0000A80A0000}"/>
    <cellStyle name="20% - Ênfase4 29 15" xfId="3795" xr:uid="{00000000-0005-0000-0000-0000A90A0000}"/>
    <cellStyle name="20% - Ênfase4 29 16" xfId="3796" xr:uid="{00000000-0005-0000-0000-0000AA0A0000}"/>
    <cellStyle name="20% - Ênfase4 29 17" xfId="3797" xr:uid="{00000000-0005-0000-0000-0000AB0A0000}"/>
    <cellStyle name="20% - Ênfase4 29 18" xfId="3798" xr:uid="{00000000-0005-0000-0000-0000AC0A0000}"/>
    <cellStyle name="20% - Ênfase4 29 19" xfId="3799" xr:uid="{00000000-0005-0000-0000-0000AD0A0000}"/>
    <cellStyle name="20% - Ênfase4 29 2" xfId="3800" xr:uid="{00000000-0005-0000-0000-0000AE0A0000}"/>
    <cellStyle name="20% - Ênfase4 29 20" xfId="3801" xr:uid="{00000000-0005-0000-0000-0000AF0A0000}"/>
    <cellStyle name="20% - Ênfase4 29 3" xfId="3802" xr:uid="{00000000-0005-0000-0000-0000B00A0000}"/>
    <cellStyle name="20% - Ênfase4 29 4" xfId="3803" xr:uid="{00000000-0005-0000-0000-0000B10A0000}"/>
    <cellStyle name="20% - Ênfase4 29 5" xfId="3804" xr:uid="{00000000-0005-0000-0000-0000B20A0000}"/>
    <cellStyle name="20% - Ênfase4 29 6" xfId="3805" xr:uid="{00000000-0005-0000-0000-0000B30A0000}"/>
    <cellStyle name="20% - Ênfase4 29 7" xfId="3806" xr:uid="{00000000-0005-0000-0000-0000B40A0000}"/>
    <cellStyle name="20% - Ênfase4 29 8" xfId="3807" xr:uid="{00000000-0005-0000-0000-0000B50A0000}"/>
    <cellStyle name="20% - Ênfase4 29 9" xfId="3808" xr:uid="{00000000-0005-0000-0000-0000B60A0000}"/>
    <cellStyle name="20% - Ênfase4 3" xfId="74" xr:uid="{00000000-0005-0000-0000-0000B70A0000}"/>
    <cellStyle name="20% - Ênfase4 3 10" xfId="3809" xr:uid="{00000000-0005-0000-0000-0000B80A0000}"/>
    <cellStyle name="20% - Ênfase4 3 11" xfId="3810" xr:uid="{00000000-0005-0000-0000-0000B90A0000}"/>
    <cellStyle name="20% - Ênfase4 3 12" xfId="3811" xr:uid="{00000000-0005-0000-0000-0000BA0A0000}"/>
    <cellStyle name="20% - Ênfase4 3 13" xfId="3812" xr:uid="{00000000-0005-0000-0000-0000BB0A0000}"/>
    <cellStyle name="20% - Ênfase4 3 14" xfId="3813" xr:uid="{00000000-0005-0000-0000-0000BC0A0000}"/>
    <cellStyle name="20% - Ênfase4 3 15" xfId="3814" xr:uid="{00000000-0005-0000-0000-0000BD0A0000}"/>
    <cellStyle name="20% - Ênfase4 3 16" xfId="3815" xr:uid="{00000000-0005-0000-0000-0000BE0A0000}"/>
    <cellStyle name="20% - Ênfase4 3 17" xfId="3816" xr:uid="{00000000-0005-0000-0000-0000BF0A0000}"/>
    <cellStyle name="20% - Ênfase4 3 18" xfId="3817" xr:uid="{00000000-0005-0000-0000-0000C00A0000}"/>
    <cellStyle name="20% - Ênfase4 3 19" xfId="3818" xr:uid="{00000000-0005-0000-0000-0000C10A0000}"/>
    <cellStyle name="20% - Ênfase4 3 2" xfId="3819" xr:uid="{00000000-0005-0000-0000-0000C20A0000}"/>
    <cellStyle name="20% - Ênfase4 3 20" xfId="3820" xr:uid="{00000000-0005-0000-0000-0000C30A0000}"/>
    <cellStyle name="20% - Ênfase4 3 3" xfId="3821" xr:uid="{00000000-0005-0000-0000-0000C40A0000}"/>
    <cellStyle name="20% - Ênfase4 3 4" xfId="3822" xr:uid="{00000000-0005-0000-0000-0000C50A0000}"/>
    <cellStyle name="20% - Ênfase4 3 5" xfId="3823" xr:uid="{00000000-0005-0000-0000-0000C60A0000}"/>
    <cellStyle name="20% - Ênfase4 3 6" xfId="3824" xr:uid="{00000000-0005-0000-0000-0000C70A0000}"/>
    <cellStyle name="20% - Ênfase4 3 7" xfId="3825" xr:uid="{00000000-0005-0000-0000-0000C80A0000}"/>
    <cellStyle name="20% - Ênfase4 3 8" xfId="3826" xr:uid="{00000000-0005-0000-0000-0000C90A0000}"/>
    <cellStyle name="20% - Ênfase4 3 9" xfId="3827" xr:uid="{00000000-0005-0000-0000-0000CA0A0000}"/>
    <cellStyle name="20% - Ênfase4 30" xfId="512" xr:uid="{00000000-0005-0000-0000-0000CB0A0000}"/>
    <cellStyle name="20% - Ênfase4 30 10" xfId="3828" xr:uid="{00000000-0005-0000-0000-0000CC0A0000}"/>
    <cellStyle name="20% - Ênfase4 30 11" xfId="3829" xr:uid="{00000000-0005-0000-0000-0000CD0A0000}"/>
    <cellStyle name="20% - Ênfase4 30 12" xfId="3830" xr:uid="{00000000-0005-0000-0000-0000CE0A0000}"/>
    <cellStyle name="20% - Ênfase4 30 13" xfId="3831" xr:uid="{00000000-0005-0000-0000-0000CF0A0000}"/>
    <cellStyle name="20% - Ênfase4 30 14" xfId="3832" xr:uid="{00000000-0005-0000-0000-0000D00A0000}"/>
    <cellStyle name="20% - Ênfase4 30 15" xfId="3833" xr:uid="{00000000-0005-0000-0000-0000D10A0000}"/>
    <cellStyle name="20% - Ênfase4 30 16" xfId="3834" xr:uid="{00000000-0005-0000-0000-0000D20A0000}"/>
    <cellStyle name="20% - Ênfase4 30 17" xfId="3835" xr:uid="{00000000-0005-0000-0000-0000D30A0000}"/>
    <cellStyle name="20% - Ênfase4 30 18" xfId="3836" xr:uid="{00000000-0005-0000-0000-0000D40A0000}"/>
    <cellStyle name="20% - Ênfase4 30 19" xfId="3837" xr:uid="{00000000-0005-0000-0000-0000D50A0000}"/>
    <cellStyle name="20% - Ênfase4 30 2" xfId="3838" xr:uid="{00000000-0005-0000-0000-0000D60A0000}"/>
    <cellStyle name="20% - Ênfase4 30 20" xfId="3839" xr:uid="{00000000-0005-0000-0000-0000D70A0000}"/>
    <cellStyle name="20% - Ênfase4 30 3" xfId="3840" xr:uid="{00000000-0005-0000-0000-0000D80A0000}"/>
    <cellStyle name="20% - Ênfase4 30 4" xfId="3841" xr:uid="{00000000-0005-0000-0000-0000D90A0000}"/>
    <cellStyle name="20% - Ênfase4 30 5" xfId="3842" xr:uid="{00000000-0005-0000-0000-0000DA0A0000}"/>
    <cellStyle name="20% - Ênfase4 30 6" xfId="3843" xr:uid="{00000000-0005-0000-0000-0000DB0A0000}"/>
    <cellStyle name="20% - Ênfase4 30 7" xfId="3844" xr:uid="{00000000-0005-0000-0000-0000DC0A0000}"/>
    <cellStyle name="20% - Ênfase4 30 8" xfId="3845" xr:uid="{00000000-0005-0000-0000-0000DD0A0000}"/>
    <cellStyle name="20% - Ênfase4 30 9" xfId="3846" xr:uid="{00000000-0005-0000-0000-0000DE0A0000}"/>
    <cellStyle name="20% - Ênfase4 31" xfId="530" xr:uid="{00000000-0005-0000-0000-0000DF0A0000}"/>
    <cellStyle name="20% - Ênfase4 31 10" xfId="3847" xr:uid="{00000000-0005-0000-0000-0000E00A0000}"/>
    <cellStyle name="20% - Ênfase4 31 11" xfId="3848" xr:uid="{00000000-0005-0000-0000-0000E10A0000}"/>
    <cellStyle name="20% - Ênfase4 31 12" xfId="3849" xr:uid="{00000000-0005-0000-0000-0000E20A0000}"/>
    <cellStyle name="20% - Ênfase4 31 13" xfId="3850" xr:uid="{00000000-0005-0000-0000-0000E30A0000}"/>
    <cellStyle name="20% - Ênfase4 31 14" xfId="3851" xr:uid="{00000000-0005-0000-0000-0000E40A0000}"/>
    <cellStyle name="20% - Ênfase4 31 15" xfId="3852" xr:uid="{00000000-0005-0000-0000-0000E50A0000}"/>
    <cellStyle name="20% - Ênfase4 31 16" xfId="3853" xr:uid="{00000000-0005-0000-0000-0000E60A0000}"/>
    <cellStyle name="20% - Ênfase4 31 17" xfId="3854" xr:uid="{00000000-0005-0000-0000-0000E70A0000}"/>
    <cellStyle name="20% - Ênfase4 31 18" xfId="3855" xr:uid="{00000000-0005-0000-0000-0000E80A0000}"/>
    <cellStyle name="20% - Ênfase4 31 19" xfId="3856" xr:uid="{00000000-0005-0000-0000-0000E90A0000}"/>
    <cellStyle name="20% - Ênfase4 31 2" xfId="3857" xr:uid="{00000000-0005-0000-0000-0000EA0A0000}"/>
    <cellStyle name="20% - Ênfase4 31 20" xfId="3858" xr:uid="{00000000-0005-0000-0000-0000EB0A0000}"/>
    <cellStyle name="20% - Ênfase4 31 3" xfId="3859" xr:uid="{00000000-0005-0000-0000-0000EC0A0000}"/>
    <cellStyle name="20% - Ênfase4 31 4" xfId="3860" xr:uid="{00000000-0005-0000-0000-0000ED0A0000}"/>
    <cellStyle name="20% - Ênfase4 31 5" xfId="3861" xr:uid="{00000000-0005-0000-0000-0000EE0A0000}"/>
    <cellStyle name="20% - Ênfase4 31 6" xfId="3862" xr:uid="{00000000-0005-0000-0000-0000EF0A0000}"/>
    <cellStyle name="20% - Ênfase4 31 7" xfId="3863" xr:uid="{00000000-0005-0000-0000-0000F00A0000}"/>
    <cellStyle name="20% - Ênfase4 31 8" xfId="3864" xr:uid="{00000000-0005-0000-0000-0000F10A0000}"/>
    <cellStyle name="20% - Ênfase4 31 9" xfId="3865" xr:uid="{00000000-0005-0000-0000-0000F20A0000}"/>
    <cellStyle name="20% - Ênfase4 32" xfId="548" xr:uid="{00000000-0005-0000-0000-0000F30A0000}"/>
    <cellStyle name="20% - Ênfase4 32 10" xfId="3866" xr:uid="{00000000-0005-0000-0000-0000F40A0000}"/>
    <cellStyle name="20% - Ênfase4 32 11" xfId="3867" xr:uid="{00000000-0005-0000-0000-0000F50A0000}"/>
    <cellStyle name="20% - Ênfase4 32 12" xfId="3868" xr:uid="{00000000-0005-0000-0000-0000F60A0000}"/>
    <cellStyle name="20% - Ênfase4 32 13" xfId="3869" xr:uid="{00000000-0005-0000-0000-0000F70A0000}"/>
    <cellStyle name="20% - Ênfase4 32 14" xfId="3870" xr:uid="{00000000-0005-0000-0000-0000F80A0000}"/>
    <cellStyle name="20% - Ênfase4 32 15" xfId="3871" xr:uid="{00000000-0005-0000-0000-0000F90A0000}"/>
    <cellStyle name="20% - Ênfase4 32 16" xfId="3872" xr:uid="{00000000-0005-0000-0000-0000FA0A0000}"/>
    <cellStyle name="20% - Ênfase4 32 17" xfId="3873" xr:uid="{00000000-0005-0000-0000-0000FB0A0000}"/>
    <cellStyle name="20% - Ênfase4 32 18" xfId="3874" xr:uid="{00000000-0005-0000-0000-0000FC0A0000}"/>
    <cellStyle name="20% - Ênfase4 32 19" xfId="3875" xr:uid="{00000000-0005-0000-0000-0000FD0A0000}"/>
    <cellStyle name="20% - Ênfase4 32 2" xfId="3876" xr:uid="{00000000-0005-0000-0000-0000FE0A0000}"/>
    <cellStyle name="20% - Ênfase4 32 20" xfId="3877" xr:uid="{00000000-0005-0000-0000-0000FF0A0000}"/>
    <cellStyle name="20% - Ênfase4 32 3" xfId="3878" xr:uid="{00000000-0005-0000-0000-0000000B0000}"/>
    <cellStyle name="20% - Ênfase4 32 4" xfId="3879" xr:uid="{00000000-0005-0000-0000-0000010B0000}"/>
    <cellStyle name="20% - Ênfase4 32 5" xfId="3880" xr:uid="{00000000-0005-0000-0000-0000020B0000}"/>
    <cellStyle name="20% - Ênfase4 32 6" xfId="3881" xr:uid="{00000000-0005-0000-0000-0000030B0000}"/>
    <cellStyle name="20% - Ênfase4 32 7" xfId="3882" xr:uid="{00000000-0005-0000-0000-0000040B0000}"/>
    <cellStyle name="20% - Ênfase4 32 8" xfId="3883" xr:uid="{00000000-0005-0000-0000-0000050B0000}"/>
    <cellStyle name="20% - Ênfase4 32 9" xfId="3884" xr:uid="{00000000-0005-0000-0000-0000060B0000}"/>
    <cellStyle name="20% - Ênfase4 33" xfId="566" xr:uid="{00000000-0005-0000-0000-0000070B0000}"/>
    <cellStyle name="20% - Ênfase4 33 10" xfId="3885" xr:uid="{00000000-0005-0000-0000-0000080B0000}"/>
    <cellStyle name="20% - Ênfase4 33 11" xfId="3886" xr:uid="{00000000-0005-0000-0000-0000090B0000}"/>
    <cellStyle name="20% - Ênfase4 33 12" xfId="3887" xr:uid="{00000000-0005-0000-0000-00000A0B0000}"/>
    <cellStyle name="20% - Ênfase4 33 13" xfId="3888" xr:uid="{00000000-0005-0000-0000-00000B0B0000}"/>
    <cellStyle name="20% - Ênfase4 33 14" xfId="3889" xr:uid="{00000000-0005-0000-0000-00000C0B0000}"/>
    <cellStyle name="20% - Ênfase4 33 15" xfId="3890" xr:uid="{00000000-0005-0000-0000-00000D0B0000}"/>
    <cellStyle name="20% - Ênfase4 33 16" xfId="3891" xr:uid="{00000000-0005-0000-0000-00000E0B0000}"/>
    <cellStyle name="20% - Ênfase4 33 17" xfId="3892" xr:uid="{00000000-0005-0000-0000-00000F0B0000}"/>
    <cellStyle name="20% - Ênfase4 33 18" xfId="3893" xr:uid="{00000000-0005-0000-0000-0000100B0000}"/>
    <cellStyle name="20% - Ênfase4 33 19" xfId="3894" xr:uid="{00000000-0005-0000-0000-0000110B0000}"/>
    <cellStyle name="20% - Ênfase4 33 2" xfId="3895" xr:uid="{00000000-0005-0000-0000-0000120B0000}"/>
    <cellStyle name="20% - Ênfase4 33 20" xfId="3896" xr:uid="{00000000-0005-0000-0000-0000130B0000}"/>
    <cellStyle name="20% - Ênfase4 33 3" xfId="3897" xr:uid="{00000000-0005-0000-0000-0000140B0000}"/>
    <cellStyle name="20% - Ênfase4 33 4" xfId="3898" xr:uid="{00000000-0005-0000-0000-0000150B0000}"/>
    <cellStyle name="20% - Ênfase4 33 5" xfId="3899" xr:uid="{00000000-0005-0000-0000-0000160B0000}"/>
    <cellStyle name="20% - Ênfase4 33 6" xfId="3900" xr:uid="{00000000-0005-0000-0000-0000170B0000}"/>
    <cellStyle name="20% - Ênfase4 33 7" xfId="3901" xr:uid="{00000000-0005-0000-0000-0000180B0000}"/>
    <cellStyle name="20% - Ênfase4 33 8" xfId="3902" xr:uid="{00000000-0005-0000-0000-0000190B0000}"/>
    <cellStyle name="20% - Ênfase4 33 9" xfId="3903" xr:uid="{00000000-0005-0000-0000-00001A0B0000}"/>
    <cellStyle name="20% - Ênfase4 34" xfId="584" xr:uid="{00000000-0005-0000-0000-00001B0B0000}"/>
    <cellStyle name="20% - Ênfase4 34 10" xfId="3904" xr:uid="{00000000-0005-0000-0000-00001C0B0000}"/>
    <cellStyle name="20% - Ênfase4 34 11" xfId="3905" xr:uid="{00000000-0005-0000-0000-00001D0B0000}"/>
    <cellStyle name="20% - Ênfase4 34 12" xfId="3906" xr:uid="{00000000-0005-0000-0000-00001E0B0000}"/>
    <cellStyle name="20% - Ênfase4 34 13" xfId="3907" xr:uid="{00000000-0005-0000-0000-00001F0B0000}"/>
    <cellStyle name="20% - Ênfase4 34 14" xfId="3908" xr:uid="{00000000-0005-0000-0000-0000200B0000}"/>
    <cellStyle name="20% - Ênfase4 34 15" xfId="3909" xr:uid="{00000000-0005-0000-0000-0000210B0000}"/>
    <cellStyle name="20% - Ênfase4 34 16" xfId="3910" xr:uid="{00000000-0005-0000-0000-0000220B0000}"/>
    <cellStyle name="20% - Ênfase4 34 17" xfId="3911" xr:uid="{00000000-0005-0000-0000-0000230B0000}"/>
    <cellStyle name="20% - Ênfase4 34 18" xfId="3912" xr:uid="{00000000-0005-0000-0000-0000240B0000}"/>
    <cellStyle name="20% - Ênfase4 34 19" xfId="3913" xr:uid="{00000000-0005-0000-0000-0000250B0000}"/>
    <cellStyle name="20% - Ênfase4 34 2" xfId="3914" xr:uid="{00000000-0005-0000-0000-0000260B0000}"/>
    <cellStyle name="20% - Ênfase4 34 20" xfId="3915" xr:uid="{00000000-0005-0000-0000-0000270B0000}"/>
    <cellStyle name="20% - Ênfase4 34 3" xfId="3916" xr:uid="{00000000-0005-0000-0000-0000280B0000}"/>
    <cellStyle name="20% - Ênfase4 34 4" xfId="3917" xr:uid="{00000000-0005-0000-0000-0000290B0000}"/>
    <cellStyle name="20% - Ênfase4 34 5" xfId="3918" xr:uid="{00000000-0005-0000-0000-00002A0B0000}"/>
    <cellStyle name="20% - Ênfase4 34 6" xfId="3919" xr:uid="{00000000-0005-0000-0000-00002B0B0000}"/>
    <cellStyle name="20% - Ênfase4 34 7" xfId="3920" xr:uid="{00000000-0005-0000-0000-00002C0B0000}"/>
    <cellStyle name="20% - Ênfase4 34 8" xfId="3921" xr:uid="{00000000-0005-0000-0000-00002D0B0000}"/>
    <cellStyle name="20% - Ênfase4 34 9" xfId="3922" xr:uid="{00000000-0005-0000-0000-00002E0B0000}"/>
    <cellStyle name="20% - Ênfase4 35" xfId="602" xr:uid="{00000000-0005-0000-0000-00002F0B0000}"/>
    <cellStyle name="20% - Ênfase4 35 10" xfId="3923" xr:uid="{00000000-0005-0000-0000-0000300B0000}"/>
    <cellStyle name="20% - Ênfase4 35 11" xfId="3924" xr:uid="{00000000-0005-0000-0000-0000310B0000}"/>
    <cellStyle name="20% - Ênfase4 35 12" xfId="3925" xr:uid="{00000000-0005-0000-0000-0000320B0000}"/>
    <cellStyle name="20% - Ênfase4 35 13" xfId="3926" xr:uid="{00000000-0005-0000-0000-0000330B0000}"/>
    <cellStyle name="20% - Ênfase4 35 14" xfId="3927" xr:uid="{00000000-0005-0000-0000-0000340B0000}"/>
    <cellStyle name="20% - Ênfase4 35 15" xfId="3928" xr:uid="{00000000-0005-0000-0000-0000350B0000}"/>
    <cellStyle name="20% - Ênfase4 35 16" xfId="3929" xr:uid="{00000000-0005-0000-0000-0000360B0000}"/>
    <cellStyle name="20% - Ênfase4 35 17" xfId="3930" xr:uid="{00000000-0005-0000-0000-0000370B0000}"/>
    <cellStyle name="20% - Ênfase4 35 18" xfId="3931" xr:uid="{00000000-0005-0000-0000-0000380B0000}"/>
    <cellStyle name="20% - Ênfase4 35 19" xfId="3932" xr:uid="{00000000-0005-0000-0000-0000390B0000}"/>
    <cellStyle name="20% - Ênfase4 35 2" xfId="3933" xr:uid="{00000000-0005-0000-0000-00003A0B0000}"/>
    <cellStyle name="20% - Ênfase4 35 20" xfId="3934" xr:uid="{00000000-0005-0000-0000-00003B0B0000}"/>
    <cellStyle name="20% - Ênfase4 35 3" xfId="3935" xr:uid="{00000000-0005-0000-0000-00003C0B0000}"/>
    <cellStyle name="20% - Ênfase4 35 4" xfId="3936" xr:uid="{00000000-0005-0000-0000-00003D0B0000}"/>
    <cellStyle name="20% - Ênfase4 35 5" xfId="3937" xr:uid="{00000000-0005-0000-0000-00003E0B0000}"/>
    <cellStyle name="20% - Ênfase4 35 6" xfId="3938" xr:uid="{00000000-0005-0000-0000-00003F0B0000}"/>
    <cellStyle name="20% - Ênfase4 35 7" xfId="3939" xr:uid="{00000000-0005-0000-0000-0000400B0000}"/>
    <cellStyle name="20% - Ênfase4 35 8" xfId="3940" xr:uid="{00000000-0005-0000-0000-0000410B0000}"/>
    <cellStyle name="20% - Ênfase4 35 9" xfId="3941" xr:uid="{00000000-0005-0000-0000-0000420B0000}"/>
    <cellStyle name="20% - Ênfase4 36" xfId="620" xr:uid="{00000000-0005-0000-0000-0000430B0000}"/>
    <cellStyle name="20% - Ênfase4 36 10" xfId="3942" xr:uid="{00000000-0005-0000-0000-0000440B0000}"/>
    <cellStyle name="20% - Ênfase4 36 11" xfId="3943" xr:uid="{00000000-0005-0000-0000-0000450B0000}"/>
    <cellStyle name="20% - Ênfase4 36 12" xfId="3944" xr:uid="{00000000-0005-0000-0000-0000460B0000}"/>
    <cellStyle name="20% - Ênfase4 36 13" xfId="3945" xr:uid="{00000000-0005-0000-0000-0000470B0000}"/>
    <cellStyle name="20% - Ênfase4 36 14" xfId="3946" xr:uid="{00000000-0005-0000-0000-0000480B0000}"/>
    <cellStyle name="20% - Ênfase4 36 15" xfId="3947" xr:uid="{00000000-0005-0000-0000-0000490B0000}"/>
    <cellStyle name="20% - Ênfase4 36 16" xfId="3948" xr:uid="{00000000-0005-0000-0000-00004A0B0000}"/>
    <cellStyle name="20% - Ênfase4 36 17" xfId="3949" xr:uid="{00000000-0005-0000-0000-00004B0B0000}"/>
    <cellStyle name="20% - Ênfase4 36 18" xfId="3950" xr:uid="{00000000-0005-0000-0000-00004C0B0000}"/>
    <cellStyle name="20% - Ênfase4 36 19" xfId="3951" xr:uid="{00000000-0005-0000-0000-00004D0B0000}"/>
    <cellStyle name="20% - Ênfase4 36 2" xfId="3952" xr:uid="{00000000-0005-0000-0000-00004E0B0000}"/>
    <cellStyle name="20% - Ênfase4 36 20" xfId="3953" xr:uid="{00000000-0005-0000-0000-00004F0B0000}"/>
    <cellStyle name="20% - Ênfase4 36 3" xfId="3954" xr:uid="{00000000-0005-0000-0000-0000500B0000}"/>
    <cellStyle name="20% - Ênfase4 36 4" xfId="3955" xr:uid="{00000000-0005-0000-0000-0000510B0000}"/>
    <cellStyle name="20% - Ênfase4 36 5" xfId="3956" xr:uid="{00000000-0005-0000-0000-0000520B0000}"/>
    <cellStyle name="20% - Ênfase4 36 6" xfId="3957" xr:uid="{00000000-0005-0000-0000-0000530B0000}"/>
    <cellStyle name="20% - Ênfase4 36 7" xfId="3958" xr:uid="{00000000-0005-0000-0000-0000540B0000}"/>
    <cellStyle name="20% - Ênfase4 36 8" xfId="3959" xr:uid="{00000000-0005-0000-0000-0000550B0000}"/>
    <cellStyle name="20% - Ênfase4 36 9" xfId="3960" xr:uid="{00000000-0005-0000-0000-0000560B0000}"/>
    <cellStyle name="20% - Ênfase4 37" xfId="638" xr:uid="{00000000-0005-0000-0000-0000570B0000}"/>
    <cellStyle name="20% - Ênfase4 37 10" xfId="3961" xr:uid="{00000000-0005-0000-0000-0000580B0000}"/>
    <cellStyle name="20% - Ênfase4 37 11" xfId="3962" xr:uid="{00000000-0005-0000-0000-0000590B0000}"/>
    <cellStyle name="20% - Ênfase4 37 12" xfId="3963" xr:uid="{00000000-0005-0000-0000-00005A0B0000}"/>
    <cellStyle name="20% - Ênfase4 37 13" xfId="3964" xr:uid="{00000000-0005-0000-0000-00005B0B0000}"/>
    <cellStyle name="20% - Ênfase4 37 14" xfId="3965" xr:uid="{00000000-0005-0000-0000-00005C0B0000}"/>
    <cellStyle name="20% - Ênfase4 37 15" xfId="3966" xr:uid="{00000000-0005-0000-0000-00005D0B0000}"/>
    <cellStyle name="20% - Ênfase4 37 16" xfId="3967" xr:uid="{00000000-0005-0000-0000-00005E0B0000}"/>
    <cellStyle name="20% - Ênfase4 37 17" xfId="3968" xr:uid="{00000000-0005-0000-0000-00005F0B0000}"/>
    <cellStyle name="20% - Ênfase4 37 18" xfId="3969" xr:uid="{00000000-0005-0000-0000-0000600B0000}"/>
    <cellStyle name="20% - Ênfase4 37 19" xfId="3970" xr:uid="{00000000-0005-0000-0000-0000610B0000}"/>
    <cellStyle name="20% - Ênfase4 37 2" xfId="3971" xr:uid="{00000000-0005-0000-0000-0000620B0000}"/>
    <cellStyle name="20% - Ênfase4 37 20" xfId="3972" xr:uid="{00000000-0005-0000-0000-0000630B0000}"/>
    <cellStyle name="20% - Ênfase4 37 3" xfId="3973" xr:uid="{00000000-0005-0000-0000-0000640B0000}"/>
    <cellStyle name="20% - Ênfase4 37 4" xfId="3974" xr:uid="{00000000-0005-0000-0000-0000650B0000}"/>
    <cellStyle name="20% - Ênfase4 37 5" xfId="3975" xr:uid="{00000000-0005-0000-0000-0000660B0000}"/>
    <cellStyle name="20% - Ênfase4 37 6" xfId="3976" xr:uid="{00000000-0005-0000-0000-0000670B0000}"/>
    <cellStyle name="20% - Ênfase4 37 7" xfId="3977" xr:uid="{00000000-0005-0000-0000-0000680B0000}"/>
    <cellStyle name="20% - Ênfase4 37 8" xfId="3978" xr:uid="{00000000-0005-0000-0000-0000690B0000}"/>
    <cellStyle name="20% - Ênfase4 37 9" xfId="3979" xr:uid="{00000000-0005-0000-0000-00006A0B0000}"/>
    <cellStyle name="20% - Ênfase4 38" xfId="656" xr:uid="{00000000-0005-0000-0000-00006B0B0000}"/>
    <cellStyle name="20% - Ênfase4 39" xfId="674" xr:uid="{00000000-0005-0000-0000-00006C0B0000}"/>
    <cellStyle name="20% - Ênfase4 4" xfId="60" xr:uid="{00000000-0005-0000-0000-00006D0B0000}"/>
    <cellStyle name="20% - Ênfase4 4 10" xfId="3980" xr:uid="{00000000-0005-0000-0000-00006E0B0000}"/>
    <cellStyle name="20% - Ênfase4 4 11" xfId="3981" xr:uid="{00000000-0005-0000-0000-00006F0B0000}"/>
    <cellStyle name="20% - Ênfase4 4 12" xfId="3982" xr:uid="{00000000-0005-0000-0000-0000700B0000}"/>
    <cellStyle name="20% - Ênfase4 4 13" xfId="3983" xr:uid="{00000000-0005-0000-0000-0000710B0000}"/>
    <cellStyle name="20% - Ênfase4 4 14" xfId="3984" xr:uid="{00000000-0005-0000-0000-0000720B0000}"/>
    <cellStyle name="20% - Ênfase4 4 15" xfId="3985" xr:uid="{00000000-0005-0000-0000-0000730B0000}"/>
    <cellStyle name="20% - Ênfase4 4 16" xfId="3986" xr:uid="{00000000-0005-0000-0000-0000740B0000}"/>
    <cellStyle name="20% - Ênfase4 4 17" xfId="3987" xr:uid="{00000000-0005-0000-0000-0000750B0000}"/>
    <cellStyle name="20% - Ênfase4 4 18" xfId="3988" xr:uid="{00000000-0005-0000-0000-0000760B0000}"/>
    <cellStyle name="20% - Ênfase4 4 19" xfId="3989" xr:uid="{00000000-0005-0000-0000-0000770B0000}"/>
    <cellStyle name="20% - Ênfase4 4 2" xfId="3990" xr:uid="{00000000-0005-0000-0000-0000780B0000}"/>
    <cellStyle name="20% - Ênfase4 4 20" xfId="3991" xr:uid="{00000000-0005-0000-0000-0000790B0000}"/>
    <cellStyle name="20% - Ênfase4 4 3" xfId="3992" xr:uid="{00000000-0005-0000-0000-00007A0B0000}"/>
    <cellStyle name="20% - Ênfase4 4 4" xfId="3993" xr:uid="{00000000-0005-0000-0000-00007B0B0000}"/>
    <cellStyle name="20% - Ênfase4 4 5" xfId="3994" xr:uid="{00000000-0005-0000-0000-00007C0B0000}"/>
    <cellStyle name="20% - Ênfase4 4 6" xfId="3995" xr:uid="{00000000-0005-0000-0000-00007D0B0000}"/>
    <cellStyle name="20% - Ênfase4 4 7" xfId="3996" xr:uid="{00000000-0005-0000-0000-00007E0B0000}"/>
    <cellStyle name="20% - Ênfase4 4 8" xfId="3997" xr:uid="{00000000-0005-0000-0000-00007F0B0000}"/>
    <cellStyle name="20% - Ênfase4 4 9" xfId="3998" xr:uid="{00000000-0005-0000-0000-0000800B0000}"/>
    <cellStyle name="20% - Ênfase4 40" xfId="751" xr:uid="{00000000-0005-0000-0000-0000810B0000}"/>
    <cellStyle name="20% - Ênfase4 41" xfId="732" xr:uid="{00000000-0005-0000-0000-0000820B0000}"/>
    <cellStyle name="20% - Ênfase4 42" xfId="711" xr:uid="{00000000-0005-0000-0000-0000830B0000}"/>
    <cellStyle name="20% - Ênfase4 43" xfId="745" xr:uid="{00000000-0005-0000-0000-0000840B0000}"/>
    <cellStyle name="20% - Ênfase4 44" xfId="764" xr:uid="{00000000-0005-0000-0000-0000850B0000}"/>
    <cellStyle name="20% - Ênfase4 45" xfId="782" xr:uid="{00000000-0005-0000-0000-0000860B0000}"/>
    <cellStyle name="20% - Ênfase4 46" xfId="800" xr:uid="{00000000-0005-0000-0000-0000870B0000}"/>
    <cellStyle name="20% - Ênfase4 47" xfId="818" xr:uid="{00000000-0005-0000-0000-0000880B0000}"/>
    <cellStyle name="20% - Ênfase4 48" xfId="836" xr:uid="{00000000-0005-0000-0000-0000890B0000}"/>
    <cellStyle name="20% - Ênfase4 49" xfId="854" xr:uid="{00000000-0005-0000-0000-00008A0B0000}"/>
    <cellStyle name="20% - Ênfase4 5" xfId="59" xr:uid="{00000000-0005-0000-0000-00008B0B0000}"/>
    <cellStyle name="20% - Ênfase4 5 10" xfId="3999" xr:uid="{00000000-0005-0000-0000-00008C0B0000}"/>
    <cellStyle name="20% - Ênfase4 5 11" xfId="4000" xr:uid="{00000000-0005-0000-0000-00008D0B0000}"/>
    <cellStyle name="20% - Ênfase4 5 12" xfId="4001" xr:uid="{00000000-0005-0000-0000-00008E0B0000}"/>
    <cellStyle name="20% - Ênfase4 5 13" xfId="4002" xr:uid="{00000000-0005-0000-0000-00008F0B0000}"/>
    <cellStyle name="20% - Ênfase4 5 14" xfId="4003" xr:uid="{00000000-0005-0000-0000-0000900B0000}"/>
    <cellStyle name="20% - Ênfase4 5 15" xfId="4004" xr:uid="{00000000-0005-0000-0000-0000910B0000}"/>
    <cellStyle name="20% - Ênfase4 5 16" xfId="4005" xr:uid="{00000000-0005-0000-0000-0000920B0000}"/>
    <cellStyle name="20% - Ênfase4 5 17" xfId="4006" xr:uid="{00000000-0005-0000-0000-0000930B0000}"/>
    <cellStyle name="20% - Ênfase4 5 18" xfId="4007" xr:uid="{00000000-0005-0000-0000-0000940B0000}"/>
    <cellStyle name="20% - Ênfase4 5 19" xfId="4008" xr:uid="{00000000-0005-0000-0000-0000950B0000}"/>
    <cellStyle name="20% - Ênfase4 5 2" xfId="4009" xr:uid="{00000000-0005-0000-0000-0000960B0000}"/>
    <cellStyle name="20% - Ênfase4 5 20" xfId="4010" xr:uid="{00000000-0005-0000-0000-0000970B0000}"/>
    <cellStyle name="20% - Ênfase4 5 3" xfId="4011" xr:uid="{00000000-0005-0000-0000-0000980B0000}"/>
    <cellStyle name="20% - Ênfase4 5 4" xfId="4012" xr:uid="{00000000-0005-0000-0000-0000990B0000}"/>
    <cellStyle name="20% - Ênfase4 5 5" xfId="4013" xr:uid="{00000000-0005-0000-0000-00009A0B0000}"/>
    <cellStyle name="20% - Ênfase4 5 6" xfId="4014" xr:uid="{00000000-0005-0000-0000-00009B0B0000}"/>
    <cellStyle name="20% - Ênfase4 5 7" xfId="4015" xr:uid="{00000000-0005-0000-0000-00009C0B0000}"/>
    <cellStyle name="20% - Ênfase4 5 8" xfId="4016" xr:uid="{00000000-0005-0000-0000-00009D0B0000}"/>
    <cellStyle name="20% - Ênfase4 5 9" xfId="4017" xr:uid="{00000000-0005-0000-0000-00009E0B0000}"/>
    <cellStyle name="20% - Ênfase4 50" xfId="862" xr:uid="{00000000-0005-0000-0000-00009F0B0000}"/>
    <cellStyle name="20% - Ênfase4 51" xfId="873" xr:uid="{00000000-0005-0000-0000-0000A00B0000}"/>
    <cellStyle name="20% - Ênfase4 52" xfId="929" xr:uid="{00000000-0005-0000-0000-0000A10B0000}"/>
    <cellStyle name="20% - Ênfase4 53" xfId="907" xr:uid="{00000000-0005-0000-0000-0000A20B0000}"/>
    <cellStyle name="20% - Ênfase4 54" xfId="944" xr:uid="{00000000-0005-0000-0000-0000A30B0000}"/>
    <cellStyle name="20% - Ênfase4 55" xfId="962" xr:uid="{00000000-0005-0000-0000-0000A40B0000}"/>
    <cellStyle name="20% - Ênfase4 56" xfId="980" xr:uid="{00000000-0005-0000-0000-0000A50B0000}"/>
    <cellStyle name="20% - Ênfase4 57" xfId="988" xr:uid="{00000000-0005-0000-0000-0000A60B0000}"/>
    <cellStyle name="20% - Ênfase4 58" xfId="999" xr:uid="{00000000-0005-0000-0000-0000A70B0000}"/>
    <cellStyle name="20% - Ênfase4 59" xfId="1036" xr:uid="{00000000-0005-0000-0000-0000A80B0000}"/>
    <cellStyle name="20% - Ênfase4 6" xfId="93" xr:uid="{00000000-0005-0000-0000-0000A90B0000}"/>
    <cellStyle name="20% - Ênfase4 6 10" xfId="4018" xr:uid="{00000000-0005-0000-0000-0000AA0B0000}"/>
    <cellStyle name="20% - Ênfase4 6 11" xfId="4019" xr:uid="{00000000-0005-0000-0000-0000AB0B0000}"/>
    <cellStyle name="20% - Ênfase4 6 12" xfId="4020" xr:uid="{00000000-0005-0000-0000-0000AC0B0000}"/>
    <cellStyle name="20% - Ênfase4 6 13" xfId="4021" xr:uid="{00000000-0005-0000-0000-0000AD0B0000}"/>
    <cellStyle name="20% - Ênfase4 6 14" xfId="4022" xr:uid="{00000000-0005-0000-0000-0000AE0B0000}"/>
    <cellStyle name="20% - Ênfase4 6 15" xfId="4023" xr:uid="{00000000-0005-0000-0000-0000AF0B0000}"/>
    <cellStyle name="20% - Ênfase4 6 16" xfId="4024" xr:uid="{00000000-0005-0000-0000-0000B00B0000}"/>
    <cellStyle name="20% - Ênfase4 6 17" xfId="4025" xr:uid="{00000000-0005-0000-0000-0000B10B0000}"/>
    <cellStyle name="20% - Ênfase4 6 18" xfId="4026" xr:uid="{00000000-0005-0000-0000-0000B20B0000}"/>
    <cellStyle name="20% - Ênfase4 6 19" xfId="4027" xr:uid="{00000000-0005-0000-0000-0000B30B0000}"/>
    <cellStyle name="20% - Ênfase4 6 2" xfId="4028" xr:uid="{00000000-0005-0000-0000-0000B40B0000}"/>
    <cellStyle name="20% - Ênfase4 6 20" xfId="4029" xr:uid="{00000000-0005-0000-0000-0000B50B0000}"/>
    <cellStyle name="20% - Ênfase4 6 3" xfId="4030" xr:uid="{00000000-0005-0000-0000-0000B60B0000}"/>
    <cellStyle name="20% - Ênfase4 6 4" xfId="4031" xr:uid="{00000000-0005-0000-0000-0000B70B0000}"/>
    <cellStyle name="20% - Ênfase4 6 5" xfId="4032" xr:uid="{00000000-0005-0000-0000-0000B80B0000}"/>
    <cellStyle name="20% - Ênfase4 6 6" xfId="4033" xr:uid="{00000000-0005-0000-0000-0000B90B0000}"/>
    <cellStyle name="20% - Ênfase4 6 7" xfId="4034" xr:uid="{00000000-0005-0000-0000-0000BA0B0000}"/>
    <cellStyle name="20% - Ênfase4 6 8" xfId="4035" xr:uid="{00000000-0005-0000-0000-0000BB0B0000}"/>
    <cellStyle name="20% - Ênfase4 6 9" xfId="4036" xr:uid="{00000000-0005-0000-0000-0000BC0B0000}"/>
    <cellStyle name="20% - Ênfase4 60" xfId="1044" xr:uid="{00000000-0005-0000-0000-0000BD0B0000}"/>
    <cellStyle name="20% - Ênfase4 61" xfId="1090" xr:uid="{00000000-0005-0000-0000-0000BE0B0000}"/>
    <cellStyle name="20% - Ênfase4 62" xfId="1068" xr:uid="{00000000-0005-0000-0000-0000BF0B0000}"/>
    <cellStyle name="20% - Ênfase4 63" xfId="1105" xr:uid="{00000000-0005-0000-0000-0000C00B0000}"/>
    <cellStyle name="20% - Ênfase4 64" xfId="1113" xr:uid="{00000000-0005-0000-0000-0000C10B0000}"/>
    <cellStyle name="20% - Ênfase4 65" xfId="1124" xr:uid="{00000000-0005-0000-0000-0000C20B0000}"/>
    <cellStyle name="20% - Ênfase4 66" xfId="1179" xr:uid="{00000000-0005-0000-0000-0000C30B0000}"/>
    <cellStyle name="20% - Ênfase4 67" xfId="1157" xr:uid="{00000000-0005-0000-0000-0000C40B0000}"/>
    <cellStyle name="20% - Ênfase4 68" xfId="1194" xr:uid="{00000000-0005-0000-0000-0000C50B0000}"/>
    <cellStyle name="20% - Ênfase4 69" xfId="1266" xr:uid="{00000000-0005-0000-0000-0000C60B0000}"/>
    <cellStyle name="20% - Ênfase4 7" xfId="110" xr:uid="{00000000-0005-0000-0000-0000C70B0000}"/>
    <cellStyle name="20% - Ênfase4 7 10" xfId="4037" xr:uid="{00000000-0005-0000-0000-0000C80B0000}"/>
    <cellStyle name="20% - Ênfase4 7 11" xfId="4038" xr:uid="{00000000-0005-0000-0000-0000C90B0000}"/>
    <cellStyle name="20% - Ênfase4 7 12" xfId="4039" xr:uid="{00000000-0005-0000-0000-0000CA0B0000}"/>
    <cellStyle name="20% - Ênfase4 7 13" xfId="4040" xr:uid="{00000000-0005-0000-0000-0000CB0B0000}"/>
    <cellStyle name="20% - Ênfase4 7 14" xfId="4041" xr:uid="{00000000-0005-0000-0000-0000CC0B0000}"/>
    <cellStyle name="20% - Ênfase4 7 15" xfId="4042" xr:uid="{00000000-0005-0000-0000-0000CD0B0000}"/>
    <cellStyle name="20% - Ênfase4 7 16" xfId="4043" xr:uid="{00000000-0005-0000-0000-0000CE0B0000}"/>
    <cellStyle name="20% - Ênfase4 7 17" xfId="4044" xr:uid="{00000000-0005-0000-0000-0000CF0B0000}"/>
    <cellStyle name="20% - Ênfase4 7 18" xfId="4045" xr:uid="{00000000-0005-0000-0000-0000D00B0000}"/>
    <cellStyle name="20% - Ênfase4 7 19" xfId="4046" xr:uid="{00000000-0005-0000-0000-0000D10B0000}"/>
    <cellStyle name="20% - Ênfase4 7 2" xfId="4047" xr:uid="{00000000-0005-0000-0000-0000D20B0000}"/>
    <cellStyle name="20% - Ênfase4 7 20" xfId="4048" xr:uid="{00000000-0005-0000-0000-0000D30B0000}"/>
    <cellStyle name="20% - Ênfase4 7 3" xfId="4049" xr:uid="{00000000-0005-0000-0000-0000D40B0000}"/>
    <cellStyle name="20% - Ênfase4 7 4" xfId="4050" xr:uid="{00000000-0005-0000-0000-0000D50B0000}"/>
    <cellStyle name="20% - Ênfase4 7 5" xfId="4051" xr:uid="{00000000-0005-0000-0000-0000D60B0000}"/>
    <cellStyle name="20% - Ênfase4 7 6" xfId="4052" xr:uid="{00000000-0005-0000-0000-0000D70B0000}"/>
    <cellStyle name="20% - Ênfase4 7 7" xfId="4053" xr:uid="{00000000-0005-0000-0000-0000D80B0000}"/>
    <cellStyle name="20% - Ênfase4 7 8" xfId="4054" xr:uid="{00000000-0005-0000-0000-0000D90B0000}"/>
    <cellStyle name="20% - Ênfase4 7 9" xfId="4055" xr:uid="{00000000-0005-0000-0000-0000DA0B0000}"/>
    <cellStyle name="20% - Ênfase4 70" xfId="1253" xr:uid="{00000000-0005-0000-0000-0000DB0B0000}"/>
    <cellStyle name="20% - Ênfase4 71" xfId="1262" xr:uid="{00000000-0005-0000-0000-0000DC0B0000}"/>
    <cellStyle name="20% - Ênfase4 72" xfId="4056" xr:uid="{00000000-0005-0000-0000-0000DD0B0000}"/>
    <cellStyle name="20% - Ênfase4 73" xfId="4057" xr:uid="{00000000-0005-0000-0000-0000DE0B0000}"/>
    <cellStyle name="20% - Ênfase4 74" xfId="4058" xr:uid="{00000000-0005-0000-0000-0000DF0B0000}"/>
    <cellStyle name="20% - Ênfase4 75" xfId="4059" xr:uid="{00000000-0005-0000-0000-0000E00B0000}"/>
    <cellStyle name="20% - Ênfase4 76" xfId="4060" xr:uid="{00000000-0005-0000-0000-0000E10B0000}"/>
    <cellStyle name="20% - Ênfase4 77" xfId="4061" xr:uid="{00000000-0005-0000-0000-0000E20B0000}"/>
    <cellStyle name="20% - Ênfase4 78" xfId="4062" xr:uid="{00000000-0005-0000-0000-0000E30B0000}"/>
    <cellStyle name="20% - Ênfase4 79" xfId="4063" xr:uid="{00000000-0005-0000-0000-0000E40B0000}"/>
    <cellStyle name="20% - Ênfase4 8" xfId="127" xr:uid="{00000000-0005-0000-0000-0000E50B0000}"/>
    <cellStyle name="20% - Ênfase4 8 10" xfId="4064" xr:uid="{00000000-0005-0000-0000-0000E60B0000}"/>
    <cellStyle name="20% - Ênfase4 8 11" xfId="4065" xr:uid="{00000000-0005-0000-0000-0000E70B0000}"/>
    <cellStyle name="20% - Ênfase4 8 12" xfId="4066" xr:uid="{00000000-0005-0000-0000-0000E80B0000}"/>
    <cellStyle name="20% - Ênfase4 8 13" xfId="4067" xr:uid="{00000000-0005-0000-0000-0000E90B0000}"/>
    <cellStyle name="20% - Ênfase4 8 14" xfId="4068" xr:uid="{00000000-0005-0000-0000-0000EA0B0000}"/>
    <cellStyle name="20% - Ênfase4 8 15" xfId="4069" xr:uid="{00000000-0005-0000-0000-0000EB0B0000}"/>
    <cellStyle name="20% - Ênfase4 8 16" xfId="4070" xr:uid="{00000000-0005-0000-0000-0000EC0B0000}"/>
    <cellStyle name="20% - Ênfase4 8 17" xfId="4071" xr:uid="{00000000-0005-0000-0000-0000ED0B0000}"/>
    <cellStyle name="20% - Ênfase4 8 18" xfId="4072" xr:uid="{00000000-0005-0000-0000-0000EE0B0000}"/>
    <cellStyle name="20% - Ênfase4 8 19" xfId="4073" xr:uid="{00000000-0005-0000-0000-0000EF0B0000}"/>
    <cellStyle name="20% - Ênfase4 8 2" xfId="4074" xr:uid="{00000000-0005-0000-0000-0000F00B0000}"/>
    <cellStyle name="20% - Ênfase4 8 20" xfId="4075" xr:uid="{00000000-0005-0000-0000-0000F10B0000}"/>
    <cellStyle name="20% - Ênfase4 8 3" xfId="4076" xr:uid="{00000000-0005-0000-0000-0000F20B0000}"/>
    <cellStyle name="20% - Ênfase4 8 4" xfId="4077" xr:uid="{00000000-0005-0000-0000-0000F30B0000}"/>
    <cellStyle name="20% - Ênfase4 8 5" xfId="4078" xr:uid="{00000000-0005-0000-0000-0000F40B0000}"/>
    <cellStyle name="20% - Ênfase4 8 6" xfId="4079" xr:uid="{00000000-0005-0000-0000-0000F50B0000}"/>
    <cellStyle name="20% - Ênfase4 8 7" xfId="4080" xr:uid="{00000000-0005-0000-0000-0000F60B0000}"/>
    <cellStyle name="20% - Ênfase4 8 8" xfId="4081" xr:uid="{00000000-0005-0000-0000-0000F70B0000}"/>
    <cellStyle name="20% - Ênfase4 8 9" xfId="4082" xr:uid="{00000000-0005-0000-0000-0000F80B0000}"/>
    <cellStyle name="20% - Ênfase4 80" xfId="4083" xr:uid="{00000000-0005-0000-0000-0000F90B0000}"/>
    <cellStyle name="20% - Ênfase4 81" xfId="4084" xr:uid="{00000000-0005-0000-0000-0000FA0B0000}"/>
    <cellStyle name="20% - Ênfase4 82" xfId="4085" xr:uid="{00000000-0005-0000-0000-0000FB0B0000}"/>
    <cellStyle name="20% - Ênfase4 83" xfId="4086" xr:uid="{00000000-0005-0000-0000-0000FC0B0000}"/>
    <cellStyle name="20% - Ênfase4 84" xfId="4087" xr:uid="{00000000-0005-0000-0000-0000FD0B0000}"/>
    <cellStyle name="20% - Ênfase4 85" xfId="4088" xr:uid="{00000000-0005-0000-0000-0000FE0B0000}"/>
    <cellStyle name="20% - Ênfase4 86" xfId="4089" xr:uid="{00000000-0005-0000-0000-0000FF0B0000}"/>
    <cellStyle name="20% - Ênfase4 87" xfId="4090" xr:uid="{00000000-0005-0000-0000-0000000C0000}"/>
    <cellStyle name="20% - Ênfase4 88" xfId="4091" xr:uid="{00000000-0005-0000-0000-0000010C0000}"/>
    <cellStyle name="20% - Ênfase4 89" xfId="4092" xr:uid="{00000000-0005-0000-0000-0000020C0000}"/>
    <cellStyle name="20% - Ênfase4 9" xfId="144" xr:uid="{00000000-0005-0000-0000-0000030C0000}"/>
    <cellStyle name="20% - Ênfase4 9 10" xfId="4093" xr:uid="{00000000-0005-0000-0000-0000040C0000}"/>
    <cellStyle name="20% - Ênfase4 9 11" xfId="4094" xr:uid="{00000000-0005-0000-0000-0000050C0000}"/>
    <cellStyle name="20% - Ênfase4 9 12" xfId="4095" xr:uid="{00000000-0005-0000-0000-0000060C0000}"/>
    <cellStyle name="20% - Ênfase4 9 13" xfId="4096" xr:uid="{00000000-0005-0000-0000-0000070C0000}"/>
    <cellStyle name="20% - Ênfase4 9 14" xfId="4097" xr:uid="{00000000-0005-0000-0000-0000080C0000}"/>
    <cellStyle name="20% - Ênfase4 9 15" xfId="4098" xr:uid="{00000000-0005-0000-0000-0000090C0000}"/>
    <cellStyle name="20% - Ênfase4 9 16" xfId="4099" xr:uid="{00000000-0005-0000-0000-00000A0C0000}"/>
    <cellStyle name="20% - Ênfase4 9 17" xfId="4100" xr:uid="{00000000-0005-0000-0000-00000B0C0000}"/>
    <cellStyle name="20% - Ênfase4 9 18" xfId="4101" xr:uid="{00000000-0005-0000-0000-00000C0C0000}"/>
    <cellStyle name="20% - Ênfase4 9 19" xfId="4102" xr:uid="{00000000-0005-0000-0000-00000D0C0000}"/>
    <cellStyle name="20% - Ênfase4 9 2" xfId="4103" xr:uid="{00000000-0005-0000-0000-00000E0C0000}"/>
    <cellStyle name="20% - Ênfase4 9 20" xfId="4104" xr:uid="{00000000-0005-0000-0000-00000F0C0000}"/>
    <cellStyle name="20% - Ênfase4 9 3" xfId="4105" xr:uid="{00000000-0005-0000-0000-0000100C0000}"/>
    <cellStyle name="20% - Ênfase4 9 4" xfId="4106" xr:uid="{00000000-0005-0000-0000-0000110C0000}"/>
    <cellStyle name="20% - Ênfase4 9 5" xfId="4107" xr:uid="{00000000-0005-0000-0000-0000120C0000}"/>
    <cellStyle name="20% - Ênfase4 9 6" xfId="4108" xr:uid="{00000000-0005-0000-0000-0000130C0000}"/>
    <cellStyle name="20% - Ênfase4 9 7" xfId="4109" xr:uid="{00000000-0005-0000-0000-0000140C0000}"/>
    <cellStyle name="20% - Ênfase4 9 8" xfId="4110" xr:uid="{00000000-0005-0000-0000-0000150C0000}"/>
    <cellStyle name="20% - Ênfase4 9 9" xfId="4111" xr:uid="{00000000-0005-0000-0000-0000160C0000}"/>
    <cellStyle name="20% - Ênfase4 90" xfId="4112" xr:uid="{00000000-0005-0000-0000-0000170C0000}"/>
    <cellStyle name="20% - Ênfase5" xfId="35" builtinId="46" customBuiltin="1"/>
    <cellStyle name="20% - Ênfase5 10" xfId="221" xr:uid="{00000000-0005-0000-0000-0000190C0000}"/>
    <cellStyle name="20% - Ênfase5 10 10" xfId="4113" xr:uid="{00000000-0005-0000-0000-00001A0C0000}"/>
    <cellStyle name="20% - Ênfase5 10 11" xfId="4114" xr:uid="{00000000-0005-0000-0000-00001B0C0000}"/>
    <cellStyle name="20% - Ênfase5 10 12" xfId="4115" xr:uid="{00000000-0005-0000-0000-00001C0C0000}"/>
    <cellStyle name="20% - Ênfase5 10 13" xfId="4116" xr:uid="{00000000-0005-0000-0000-00001D0C0000}"/>
    <cellStyle name="20% - Ênfase5 10 14" xfId="4117" xr:uid="{00000000-0005-0000-0000-00001E0C0000}"/>
    <cellStyle name="20% - Ênfase5 10 15" xfId="4118" xr:uid="{00000000-0005-0000-0000-00001F0C0000}"/>
    <cellStyle name="20% - Ênfase5 10 16" xfId="4119" xr:uid="{00000000-0005-0000-0000-0000200C0000}"/>
    <cellStyle name="20% - Ênfase5 10 17" xfId="4120" xr:uid="{00000000-0005-0000-0000-0000210C0000}"/>
    <cellStyle name="20% - Ênfase5 10 18" xfId="4121" xr:uid="{00000000-0005-0000-0000-0000220C0000}"/>
    <cellStyle name="20% - Ênfase5 10 19" xfId="4122" xr:uid="{00000000-0005-0000-0000-0000230C0000}"/>
    <cellStyle name="20% - Ênfase5 10 2" xfId="4123" xr:uid="{00000000-0005-0000-0000-0000240C0000}"/>
    <cellStyle name="20% - Ênfase5 10 20" xfId="4124" xr:uid="{00000000-0005-0000-0000-0000250C0000}"/>
    <cellStyle name="20% - Ênfase5 10 3" xfId="4125" xr:uid="{00000000-0005-0000-0000-0000260C0000}"/>
    <cellStyle name="20% - Ênfase5 10 4" xfId="4126" xr:uid="{00000000-0005-0000-0000-0000270C0000}"/>
    <cellStyle name="20% - Ênfase5 10 5" xfId="4127" xr:uid="{00000000-0005-0000-0000-0000280C0000}"/>
    <cellStyle name="20% - Ênfase5 10 6" xfId="4128" xr:uid="{00000000-0005-0000-0000-0000290C0000}"/>
    <cellStyle name="20% - Ênfase5 10 7" xfId="4129" xr:uid="{00000000-0005-0000-0000-00002A0C0000}"/>
    <cellStyle name="20% - Ênfase5 10 8" xfId="4130" xr:uid="{00000000-0005-0000-0000-00002B0C0000}"/>
    <cellStyle name="20% - Ênfase5 10 9" xfId="4131" xr:uid="{00000000-0005-0000-0000-00002C0C0000}"/>
    <cellStyle name="20% - Ênfase5 11" xfId="238" xr:uid="{00000000-0005-0000-0000-00002D0C0000}"/>
    <cellStyle name="20% - Ênfase5 11 10" xfId="4132" xr:uid="{00000000-0005-0000-0000-00002E0C0000}"/>
    <cellStyle name="20% - Ênfase5 11 11" xfId="4133" xr:uid="{00000000-0005-0000-0000-00002F0C0000}"/>
    <cellStyle name="20% - Ênfase5 11 12" xfId="4134" xr:uid="{00000000-0005-0000-0000-0000300C0000}"/>
    <cellStyle name="20% - Ênfase5 11 13" xfId="4135" xr:uid="{00000000-0005-0000-0000-0000310C0000}"/>
    <cellStyle name="20% - Ênfase5 11 14" xfId="4136" xr:uid="{00000000-0005-0000-0000-0000320C0000}"/>
    <cellStyle name="20% - Ênfase5 11 15" xfId="4137" xr:uid="{00000000-0005-0000-0000-0000330C0000}"/>
    <cellStyle name="20% - Ênfase5 11 16" xfId="4138" xr:uid="{00000000-0005-0000-0000-0000340C0000}"/>
    <cellStyle name="20% - Ênfase5 11 17" xfId="4139" xr:uid="{00000000-0005-0000-0000-0000350C0000}"/>
    <cellStyle name="20% - Ênfase5 11 18" xfId="4140" xr:uid="{00000000-0005-0000-0000-0000360C0000}"/>
    <cellStyle name="20% - Ênfase5 11 19" xfId="4141" xr:uid="{00000000-0005-0000-0000-0000370C0000}"/>
    <cellStyle name="20% - Ênfase5 11 2" xfId="4142" xr:uid="{00000000-0005-0000-0000-0000380C0000}"/>
    <cellStyle name="20% - Ênfase5 11 20" xfId="4143" xr:uid="{00000000-0005-0000-0000-0000390C0000}"/>
    <cellStyle name="20% - Ênfase5 11 3" xfId="4144" xr:uid="{00000000-0005-0000-0000-00003A0C0000}"/>
    <cellStyle name="20% - Ênfase5 11 4" xfId="4145" xr:uid="{00000000-0005-0000-0000-00003B0C0000}"/>
    <cellStyle name="20% - Ênfase5 11 5" xfId="4146" xr:uid="{00000000-0005-0000-0000-00003C0C0000}"/>
    <cellStyle name="20% - Ênfase5 11 6" xfId="4147" xr:uid="{00000000-0005-0000-0000-00003D0C0000}"/>
    <cellStyle name="20% - Ênfase5 11 7" xfId="4148" xr:uid="{00000000-0005-0000-0000-00003E0C0000}"/>
    <cellStyle name="20% - Ênfase5 11 8" xfId="4149" xr:uid="{00000000-0005-0000-0000-00003F0C0000}"/>
    <cellStyle name="20% - Ênfase5 11 9" xfId="4150" xr:uid="{00000000-0005-0000-0000-0000400C0000}"/>
    <cellStyle name="20% - Ênfase5 12" xfId="255" xr:uid="{00000000-0005-0000-0000-0000410C0000}"/>
    <cellStyle name="20% - Ênfase5 12 10" xfId="4151" xr:uid="{00000000-0005-0000-0000-0000420C0000}"/>
    <cellStyle name="20% - Ênfase5 12 11" xfId="4152" xr:uid="{00000000-0005-0000-0000-0000430C0000}"/>
    <cellStyle name="20% - Ênfase5 12 12" xfId="4153" xr:uid="{00000000-0005-0000-0000-0000440C0000}"/>
    <cellStyle name="20% - Ênfase5 12 13" xfId="4154" xr:uid="{00000000-0005-0000-0000-0000450C0000}"/>
    <cellStyle name="20% - Ênfase5 12 14" xfId="4155" xr:uid="{00000000-0005-0000-0000-0000460C0000}"/>
    <cellStyle name="20% - Ênfase5 12 15" xfId="4156" xr:uid="{00000000-0005-0000-0000-0000470C0000}"/>
    <cellStyle name="20% - Ênfase5 12 16" xfId="4157" xr:uid="{00000000-0005-0000-0000-0000480C0000}"/>
    <cellStyle name="20% - Ênfase5 12 17" xfId="4158" xr:uid="{00000000-0005-0000-0000-0000490C0000}"/>
    <cellStyle name="20% - Ênfase5 12 18" xfId="4159" xr:uid="{00000000-0005-0000-0000-00004A0C0000}"/>
    <cellStyle name="20% - Ênfase5 12 19" xfId="4160" xr:uid="{00000000-0005-0000-0000-00004B0C0000}"/>
    <cellStyle name="20% - Ênfase5 12 2" xfId="4161" xr:uid="{00000000-0005-0000-0000-00004C0C0000}"/>
    <cellStyle name="20% - Ênfase5 12 20" xfId="4162" xr:uid="{00000000-0005-0000-0000-00004D0C0000}"/>
    <cellStyle name="20% - Ênfase5 12 3" xfId="4163" xr:uid="{00000000-0005-0000-0000-00004E0C0000}"/>
    <cellStyle name="20% - Ênfase5 12 4" xfId="4164" xr:uid="{00000000-0005-0000-0000-00004F0C0000}"/>
    <cellStyle name="20% - Ênfase5 12 5" xfId="4165" xr:uid="{00000000-0005-0000-0000-0000500C0000}"/>
    <cellStyle name="20% - Ênfase5 12 6" xfId="4166" xr:uid="{00000000-0005-0000-0000-0000510C0000}"/>
    <cellStyle name="20% - Ênfase5 12 7" xfId="4167" xr:uid="{00000000-0005-0000-0000-0000520C0000}"/>
    <cellStyle name="20% - Ênfase5 12 8" xfId="4168" xr:uid="{00000000-0005-0000-0000-0000530C0000}"/>
    <cellStyle name="20% - Ênfase5 12 9" xfId="4169" xr:uid="{00000000-0005-0000-0000-0000540C0000}"/>
    <cellStyle name="20% - Ênfase5 13" xfId="272" xr:uid="{00000000-0005-0000-0000-0000550C0000}"/>
    <cellStyle name="20% - Ênfase5 13 10" xfId="4170" xr:uid="{00000000-0005-0000-0000-0000560C0000}"/>
    <cellStyle name="20% - Ênfase5 13 11" xfId="4171" xr:uid="{00000000-0005-0000-0000-0000570C0000}"/>
    <cellStyle name="20% - Ênfase5 13 12" xfId="4172" xr:uid="{00000000-0005-0000-0000-0000580C0000}"/>
    <cellStyle name="20% - Ênfase5 13 13" xfId="4173" xr:uid="{00000000-0005-0000-0000-0000590C0000}"/>
    <cellStyle name="20% - Ênfase5 13 14" xfId="4174" xr:uid="{00000000-0005-0000-0000-00005A0C0000}"/>
    <cellStyle name="20% - Ênfase5 13 15" xfId="4175" xr:uid="{00000000-0005-0000-0000-00005B0C0000}"/>
    <cellStyle name="20% - Ênfase5 13 16" xfId="4176" xr:uid="{00000000-0005-0000-0000-00005C0C0000}"/>
    <cellStyle name="20% - Ênfase5 13 17" xfId="4177" xr:uid="{00000000-0005-0000-0000-00005D0C0000}"/>
    <cellStyle name="20% - Ênfase5 13 18" xfId="4178" xr:uid="{00000000-0005-0000-0000-00005E0C0000}"/>
    <cellStyle name="20% - Ênfase5 13 19" xfId="4179" xr:uid="{00000000-0005-0000-0000-00005F0C0000}"/>
    <cellStyle name="20% - Ênfase5 13 2" xfId="4180" xr:uid="{00000000-0005-0000-0000-0000600C0000}"/>
    <cellStyle name="20% - Ênfase5 13 20" xfId="4181" xr:uid="{00000000-0005-0000-0000-0000610C0000}"/>
    <cellStyle name="20% - Ênfase5 13 3" xfId="4182" xr:uid="{00000000-0005-0000-0000-0000620C0000}"/>
    <cellStyle name="20% - Ênfase5 13 4" xfId="4183" xr:uid="{00000000-0005-0000-0000-0000630C0000}"/>
    <cellStyle name="20% - Ênfase5 13 5" xfId="4184" xr:uid="{00000000-0005-0000-0000-0000640C0000}"/>
    <cellStyle name="20% - Ênfase5 13 6" xfId="4185" xr:uid="{00000000-0005-0000-0000-0000650C0000}"/>
    <cellStyle name="20% - Ênfase5 13 7" xfId="4186" xr:uid="{00000000-0005-0000-0000-0000660C0000}"/>
    <cellStyle name="20% - Ênfase5 13 8" xfId="4187" xr:uid="{00000000-0005-0000-0000-0000670C0000}"/>
    <cellStyle name="20% - Ênfase5 13 9" xfId="4188" xr:uid="{00000000-0005-0000-0000-0000680C0000}"/>
    <cellStyle name="20% - Ênfase5 14" xfId="289" xr:uid="{00000000-0005-0000-0000-0000690C0000}"/>
    <cellStyle name="20% - Ênfase5 14 10" xfId="4189" xr:uid="{00000000-0005-0000-0000-00006A0C0000}"/>
    <cellStyle name="20% - Ênfase5 14 11" xfId="4190" xr:uid="{00000000-0005-0000-0000-00006B0C0000}"/>
    <cellStyle name="20% - Ênfase5 14 12" xfId="4191" xr:uid="{00000000-0005-0000-0000-00006C0C0000}"/>
    <cellStyle name="20% - Ênfase5 14 13" xfId="4192" xr:uid="{00000000-0005-0000-0000-00006D0C0000}"/>
    <cellStyle name="20% - Ênfase5 14 14" xfId="4193" xr:uid="{00000000-0005-0000-0000-00006E0C0000}"/>
    <cellStyle name="20% - Ênfase5 14 15" xfId="4194" xr:uid="{00000000-0005-0000-0000-00006F0C0000}"/>
    <cellStyle name="20% - Ênfase5 14 16" xfId="4195" xr:uid="{00000000-0005-0000-0000-0000700C0000}"/>
    <cellStyle name="20% - Ênfase5 14 17" xfId="4196" xr:uid="{00000000-0005-0000-0000-0000710C0000}"/>
    <cellStyle name="20% - Ênfase5 14 18" xfId="4197" xr:uid="{00000000-0005-0000-0000-0000720C0000}"/>
    <cellStyle name="20% - Ênfase5 14 19" xfId="4198" xr:uid="{00000000-0005-0000-0000-0000730C0000}"/>
    <cellStyle name="20% - Ênfase5 14 2" xfId="4199" xr:uid="{00000000-0005-0000-0000-0000740C0000}"/>
    <cellStyle name="20% - Ênfase5 14 20" xfId="4200" xr:uid="{00000000-0005-0000-0000-0000750C0000}"/>
    <cellStyle name="20% - Ênfase5 14 3" xfId="4201" xr:uid="{00000000-0005-0000-0000-0000760C0000}"/>
    <cellStyle name="20% - Ênfase5 14 4" xfId="4202" xr:uid="{00000000-0005-0000-0000-0000770C0000}"/>
    <cellStyle name="20% - Ênfase5 14 5" xfId="4203" xr:uid="{00000000-0005-0000-0000-0000780C0000}"/>
    <cellStyle name="20% - Ênfase5 14 6" xfId="4204" xr:uid="{00000000-0005-0000-0000-0000790C0000}"/>
    <cellStyle name="20% - Ênfase5 14 7" xfId="4205" xr:uid="{00000000-0005-0000-0000-00007A0C0000}"/>
    <cellStyle name="20% - Ênfase5 14 8" xfId="4206" xr:uid="{00000000-0005-0000-0000-00007B0C0000}"/>
    <cellStyle name="20% - Ênfase5 14 9" xfId="4207" xr:uid="{00000000-0005-0000-0000-00007C0C0000}"/>
    <cellStyle name="20% - Ênfase5 15" xfId="306" xr:uid="{00000000-0005-0000-0000-00007D0C0000}"/>
    <cellStyle name="20% - Ênfase5 15 10" xfId="4208" xr:uid="{00000000-0005-0000-0000-00007E0C0000}"/>
    <cellStyle name="20% - Ênfase5 15 11" xfId="4209" xr:uid="{00000000-0005-0000-0000-00007F0C0000}"/>
    <cellStyle name="20% - Ênfase5 15 12" xfId="4210" xr:uid="{00000000-0005-0000-0000-0000800C0000}"/>
    <cellStyle name="20% - Ênfase5 15 13" xfId="4211" xr:uid="{00000000-0005-0000-0000-0000810C0000}"/>
    <cellStyle name="20% - Ênfase5 15 14" xfId="4212" xr:uid="{00000000-0005-0000-0000-0000820C0000}"/>
    <cellStyle name="20% - Ênfase5 15 15" xfId="4213" xr:uid="{00000000-0005-0000-0000-0000830C0000}"/>
    <cellStyle name="20% - Ênfase5 15 16" xfId="4214" xr:uid="{00000000-0005-0000-0000-0000840C0000}"/>
    <cellStyle name="20% - Ênfase5 15 17" xfId="4215" xr:uid="{00000000-0005-0000-0000-0000850C0000}"/>
    <cellStyle name="20% - Ênfase5 15 18" xfId="4216" xr:uid="{00000000-0005-0000-0000-0000860C0000}"/>
    <cellStyle name="20% - Ênfase5 15 19" xfId="4217" xr:uid="{00000000-0005-0000-0000-0000870C0000}"/>
    <cellStyle name="20% - Ênfase5 15 2" xfId="4218" xr:uid="{00000000-0005-0000-0000-0000880C0000}"/>
    <cellStyle name="20% - Ênfase5 15 20" xfId="4219" xr:uid="{00000000-0005-0000-0000-0000890C0000}"/>
    <cellStyle name="20% - Ênfase5 15 3" xfId="4220" xr:uid="{00000000-0005-0000-0000-00008A0C0000}"/>
    <cellStyle name="20% - Ênfase5 15 4" xfId="4221" xr:uid="{00000000-0005-0000-0000-00008B0C0000}"/>
    <cellStyle name="20% - Ênfase5 15 5" xfId="4222" xr:uid="{00000000-0005-0000-0000-00008C0C0000}"/>
    <cellStyle name="20% - Ênfase5 15 6" xfId="4223" xr:uid="{00000000-0005-0000-0000-00008D0C0000}"/>
    <cellStyle name="20% - Ênfase5 15 7" xfId="4224" xr:uid="{00000000-0005-0000-0000-00008E0C0000}"/>
    <cellStyle name="20% - Ênfase5 15 8" xfId="4225" xr:uid="{00000000-0005-0000-0000-00008F0C0000}"/>
    <cellStyle name="20% - Ênfase5 15 9" xfId="4226" xr:uid="{00000000-0005-0000-0000-0000900C0000}"/>
    <cellStyle name="20% - Ênfase5 16" xfId="323" xr:uid="{00000000-0005-0000-0000-0000910C0000}"/>
    <cellStyle name="20% - Ênfase5 16 10" xfId="4227" xr:uid="{00000000-0005-0000-0000-0000920C0000}"/>
    <cellStyle name="20% - Ênfase5 16 11" xfId="4228" xr:uid="{00000000-0005-0000-0000-0000930C0000}"/>
    <cellStyle name="20% - Ênfase5 16 12" xfId="4229" xr:uid="{00000000-0005-0000-0000-0000940C0000}"/>
    <cellStyle name="20% - Ênfase5 16 13" xfId="4230" xr:uid="{00000000-0005-0000-0000-0000950C0000}"/>
    <cellStyle name="20% - Ênfase5 16 14" xfId="4231" xr:uid="{00000000-0005-0000-0000-0000960C0000}"/>
    <cellStyle name="20% - Ênfase5 16 15" xfId="4232" xr:uid="{00000000-0005-0000-0000-0000970C0000}"/>
    <cellStyle name="20% - Ênfase5 16 16" xfId="4233" xr:uid="{00000000-0005-0000-0000-0000980C0000}"/>
    <cellStyle name="20% - Ênfase5 16 17" xfId="4234" xr:uid="{00000000-0005-0000-0000-0000990C0000}"/>
    <cellStyle name="20% - Ênfase5 16 18" xfId="4235" xr:uid="{00000000-0005-0000-0000-00009A0C0000}"/>
    <cellStyle name="20% - Ênfase5 16 19" xfId="4236" xr:uid="{00000000-0005-0000-0000-00009B0C0000}"/>
    <cellStyle name="20% - Ênfase5 16 2" xfId="4237" xr:uid="{00000000-0005-0000-0000-00009C0C0000}"/>
    <cellStyle name="20% - Ênfase5 16 20" xfId="4238" xr:uid="{00000000-0005-0000-0000-00009D0C0000}"/>
    <cellStyle name="20% - Ênfase5 16 3" xfId="4239" xr:uid="{00000000-0005-0000-0000-00009E0C0000}"/>
    <cellStyle name="20% - Ênfase5 16 4" xfId="4240" xr:uid="{00000000-0005-0000-0000-00009F0C0000}"/>
    <cellStyle name="20% - Ênfase5 16 5" xfId="4241" xr:uid="{00000000-0005-0000-0000-0000A00C0000}"/>
    <cellStyle name="20% - Ênfase5 16 6" xfId="4242" xr:uid="{00000000-0005-0000-0000-0000A10C0000}"/>
    <cellStyle name="20% - Ênfase5 16 7" xfId="4243" xr:uid="{00000000-0005-0000-0000-0000A20C0000}"/>
    <cellStyle name="20% - Ênfase5 16 8" xfId="4244" xr:uid="{00000000-0005-0000-0000-0000A30C0000}"/>
    <cellStyle name="20% - Ênfase5 16 9" xfId="4245" xr:uid="{00000000-0005-0000-0000-0000A40C0000}"/>
    <cellStyle name="20% - Ênfase5 17" xfId="340" xr:uid="{00000000-0005-0000-0000-0000A50C0000}"/>
    <cellStyle name="20% - Ênfase5 17 10" xfId="4246" xr:uid="{00000000-0005-0000-0000-0000A60C0000}"/>
    <cellStyle name="20% - Ênfase5 17 11" xfId="4247" xr:uid="{00000000-0005-0000-0000-0000A70C0000}"/>
    <cellStyle name="20% - Ênfase5 17 12" xfId="4248" xr:uid="{00000000-0005-0000-0000-0000A80C0000}"/>
    <cellStyle name="20% - Ênfase5 17 13" xfId="4249" xr:uid="{00000000-0005-0000-0000-0000A90C0000}"/>
    <cellStyle name="20% - Ênfase5 17 14" xfId="4250" xr:uid="{00000000-0005-0000-0000-0000AA0C0000}"/>
    <cellStyle name="20% - Ênfase5 17 15" xfId="4251" xr:uid="{00000000-0005-0000-0000-0000AB0C0000}"/>
    <cellStyle name="20% - Ênfase5 17 16" xfId="4252" xr:uid="{00000000-0005-0000-0000-0000AC0C0000}"/>
    <cellStyle name="20% - Ênfase5 17 17" xfId="4253" xr:uid="{00000000-0005-0000-0000-0000AD0C0000}"/>
    <cellStyle name="20% - Ênfase5 17 18" xfId="4254" xr:uid="{00000000-0005-0000-0000-0000AE0C0000}"/>
    <cellStyle name="20% - Ênfase5 17 19" xfId="4255" xr:uid="{00000000-0005-0000-0000-0000AF0C0000}"/>
    <cellStyle name="20% - Ênfase5 17 2" xfId="4256" xr:uid="{00000000-0005-0000-0000-0000B00C0000}"/>
    <cellStyle name="20% - Ênfase5 17 20" xfId="4257" xr:uid="{00000000-0005-0000-0000-0000B10C0000}"/>
    <cellStyle name="20% - Ênfase5 17 3" xfId="4258" xr:uid="{00000000-0005-0000-0000-0000B20C0000}"/>
    <cellStyle name="20% - Ênfase5 17 4" xfId="4259" xr:uid="{00000000-0005-0000-0000-0000B30C0000}"/>
    <cellStyle name="20% - Ênfase5 17 5" xfId="4260" xr:uid="{00000000-0005-0000-0000-0000B40C0000}"/>
    <cellStyle name="20% - Ênfase5 17 6" xfId="4261" xr:uid="{00000000-0005-0000-0000-0000B50C0000}"/>
    <cellStyle name="20% - Ênfase5 17 7" xfId="4262" xr:uid="{00000000-0005-0000-0000-0000B60C0000}"/>
    <cellStyle name="20% - Ênfase5 17 8" xfId="4263" xr:uid="{00000000-0005-0000-0000-0000B70C0000}"/>
    <cellStyle name="20% - Ênfase5 17 9" xfId="4264" xr:uid="{00000000-0005-0000-0000-0000B80C0000}"/>
    <cellStyle name="20% - Ênfase5 18" xfId="357" xr:uid="{00000000-0005-0000-0000-0000B90C0000}"/>
    <cellStyle name="20% - Ênfase5 18 10" xfId="4265" xr:uid="{00000000-0005-0000-0000-0000BA0C0000}"/>
    <cellStyle name="20% - Ênfase5 18 11" xfId="4266" xr:uid="{00000000-0005-0000-0000-0000BB0C0000}"/>
    <cellStyle name="20% - Ênfase5 18 12" xfId="4267" xr:uid="{00000000-0005-0000-0000-0000BC0C0000}"/>
    <cellStyle name="20% - Ênfase5 18 13" xfId="4268" xr:uid="{00000000-0005-0000-0000-0000BD0C0000}"/>
    <cellStyle name="20% - Ênfase5 18 14" xfId="4269" xr:uid="{00000000-0005-0000-0000-0000BE0C0000}"/>
    <cellStyle name="20% - Ênfase5 18 15" xfId="4270" xr:uid="{00000000-0005-0000-0000-0000BF0C0000}"/>
    <cellStyle name="20% - Ênfase5 18 16" xfId="4271" xr:uid="{00000000-0005-0000-0000-0000C00C0000}"/>
    <cellStyle name="20% - Ênfase5 18 17" xfId="4272" xr:uid="{00000000-0005-0000-0000-0000C10C0000}"/>
    <cellStyle name="20% - Ênfase5 18 18" xfId="4273" xr:uid="{00000000-0005-0000-0000-0000C20C0000}"/>
    <cellStyle name="20% - Ênfase5 18 19" xfId="4274" xr:uid="{00000000-0005-0000-0000-0000C30C0000}"/>
    <cellStyle name="20% - Ênfase5 18 2" xfId="4275" xr:uid="{00000000-0005-0000-0000-0000C40C0000}"/>
    <cellStyle name="20% - Ênfase5 18 20" xfId="4276" xr:uid="{00000000-0005-0000-0000-0000C50C0000}"/>
    <cellStyle name="20% - Ênfase5 18 3" xfId="4277" xr:uid="{00000000-0005-0000-0000-0000C60C0000}"/>
    <cellStyle name="20% - Ênfase5 18 4" xfId="4278" xr:uid="{00000000-0005-0000-0000-0000C70C0000}"/>
    <cellStyle name="20% - Ênfase5 18 5" xfId="4279" xr:uid="{00000000-0005-0000-0000-0000C80C0000}"/>
    <cellStyle name="20% - Ênfase5 18 6" xfId="4280" xr:uid="{00000000-0005-0000-0000-0000C90C0000}"/>
    <cellStyle name="20% - Ênfase5 18 7" xfId="4281" xr:uid="{00000000-0005-0000-0000-0000CA0C0000}"/>
    <cellStyle name="20% - Ênfase5 18 8" xfId="4282" xr:uid="{00000000-0005-0000-0000-0000CB0C0000}"/>
    <cellStyle name="20% - Ênfase5 18 9" xfId="4283" xr:uid="{00000000-0005-0000-0000-0000CC0C0000}"/>
    <cellStyle name="20% - Ênfase5 19" xfId="377" xr:uid="{00000000-0005-0000-0000-0000CD0C0000}"/>
    <cellStyle name="20% - Ênfase5 19 10" xfId="4284" xr:uid="{00000000-0005-0000-0000-0000CE0C0000}"/>
    <cellStyle name="20% - Ênfase5 19 11" xfId="4285" xr:uid="{00000000-0005-0000-0000-0000CF0C0000}"/>
    <cellStyle name="20% - Ênfase5 19 12" xfId="4286" xr:uid="{00000000-0005-0000-0000-0000D00C0000}"/>
    <cellStyle name="20% - Ênfase5 19 13" xfId="4287" xr:uid="{00000000-0005-0000-0000-0000D10C0000}"/>
    <cellStyle name="20% - Ênfase5 19 14" xfId="4288" xr:uid="{00000000-0005-0000-0000-0000D20C0000}"/>
    <cellStyle name="20% - Ênfase5 19 15" xfId="4289" xr:uid="{00000000-0005-0000-0000-0000D30C0000}"/>
    <cellStyle name="20% - Ênfase5 19 16" xfId="4290" xr:uid="{00000000-0005-0000-0000-0000D40C0000}"/>
    <cellStyle name="20% - Ênfase5 19 17" xfId="4291" xr:uid="{00000000-0005-0000-0000-0000D50C0000}"/>
    <cellStyle name="20% - Ênfase5 19 18" xfId="4292" xr:uid="{00000000-0005-0000-0000-0000D60C0000}"/>
    <cellStyle name="20% - Ênfase5 19 19" xfId="4293" xr:uid="{00000000-0005-0000-0000-0000D70C0000}"/>
    <cellStyle name="20% - Ênfase5 19 2" xfId="4294" xr:uid="{00000000-0005-0000-0000-0000D80C0000}"/>
    <cellStyle name="20% - Ênfase5 19 20" xfId="4295" xr:uid="{00000000-0005-0000-0000-0000D90C0000}"/>
    <cellStyle name="20% - Ênfase5 19 3" xfId="4296" xr:uid="{00000000-0005-0000-0000-0000DA0C0000}"/>
    <cellStyle name="20% - Ênfase5 19 4" xfId="4297" xr:uid="{00000000-0005-0000-0000-0000DB0C0000}"/>
    <cellStyle name="20% - Ênfase5 19 5" xfId="4298" xr:uid="{00000000-0005-0000-0000-0000DC0C0000}"/>
    <cellStyle name="20% - Ênfase5 19 6" xfId="4299" xr:uid="{00000000-0005-0000-0000-0000DD0C0000}"/>
    <cellStyle name="20% - Ênfase5 19 7" xfId="4300" xr:uid="{00000000-0005-0000-0000-0000DE0C0000}"/>
    <cellStyle name="20% - Ênfase5 19 8" xfId="4301" xr:uid="{00000000-0005-0000-0000-0000DF0C0000}"/>
    <cellStyle name="20% - Ênfase5 19 9" xfId="4302" xr:uid="{00000000-0005-0000-0000-0000E00C0000}"/>
    <cellStyle name="20% - Ênfase5 2" xfId="84" xr:uid="{00000000-0005-0000-0000-0000E10C0000}"/>
    <cellStyle name="20% - Ênfase5 2 10" xfId="4303" xr:uid="{00000000-0005-0000-0000-0000E20C0000}"/>
    <cellStyle name="20% - Ênfase5 2 11" xfId="4304" xr:uid="{00000000-0005-0000-0000-0000E30C0000}"/>
    <cellStyle name="20% - Ênfase5 2 12" xfId="4305" xr:uid="{00000000-0005-0000-0000-0000E40C0000}"/>
    <cellStyle name="20% - Ênfase5 2 13" xfId="4306" xr:uid="{00000000-0005-0000-0000-0000E50C0000}"/>
    <cellStyle name="20% - Ênfase5 2 14" xfId="4307" xr:uid="{00000000-0005-0000-0000-0000E60C0000}"/>
    <cellStyle name="20% - Ênfase5 2 15" xfId="4308" xr:uid="{00000000-0005-0000-0000-0000E70C0000}"/>
    <cellStyle name="20% - Ênfase5 2 16" xfId="4309" xr:uid="{00000000-0005-0000-0000-0000E80C0000}"/>
    <cellStyle name="20% - Ênfase5 2 17" xfId="4310" xr:uid="{00000000-0005-0000-0000-0000E90C0000}"/>
    <cellStyle name="20% - Ênfase5 2 18" xfId="4311" xr:uid="{00000000-0005-0000-0000-0000EA0C0000}"/>
    <cellStyle name="20% - Ênfase5 2 19" xfId="4312" xr:uid="{00000000-0005-0000-0000-0000EB0C0000}"/>
    <cellStyle name="20% - Ênfase5 2 2" xfId="4313" xr:uid="{00000000-0005-0000-0000-0000EC0C0000}"/>
    <cellStyle name="20% - Ênfase5 2 20" xfId="4314" xr:uid="{00000000-0005-0000-0000-0000ED0C0000}"/>
    <cellStyle name="20% - Ênfase5 2 3" xfId="4315" xr:uid="{00000000-0005-0000-0000-0000EE0C0000}"/>
    <cellStyle name="20% - Ênfase5 2 4" xfId="4316" xr:uid="{00000000-0005-0000-0000-0000EF0C0000}"/>
    <cellStyle name="20% - Ênfase5 2 5" xfId="4317" xr:uid="{00000000-0005-0000-0000-0000F00C0000}"/>
    <cellStyle name="20% - Ênfase5 2 6" xfId="4318" xr:uid="{00000000-0005-0000-0000-0000F10C0000}"/>
    <cellStyle name="20% - Ênfase5 2 7" xfId="4319" xr:uid="{00000000-0005-0000-0000-0000F20C0000}"/>
    <cellStyle name="20% - Ênfase5 2 8" xfId="4320" xr:uid="{00000000-0005-0000-0000-0000F30C0000}"/>
    <cellStyle name="20% - Ênfase5 2 9" xfId="4321" xr:uid="{00000000-0005-0000-0000-0000F40C0000}"/>
    <cellStyle name="20% - Ênfase5 20" xfId="395" xr:uid="{00000000-0005-0000-0000-0000F50C0000}"/>
    <cellStyle name="20% - Ênfase5 20 10" xfId="4322" xr:uid="{00000000-0005-0000-0000-0000F60C0000}"/>
    <cellStyle name="20% - Ênfase5 20 11" xfId="4323" xr:uid="{00000000-0005-0000-0000-0000F70C0000}"/>
    <cellStyle name="20% - Ênfase5 20 12" xfId="4324" xr:uid="{00000000-0005-0000-0000-0000F80C0000}"/>
    <cellStyle name="20% - Ênfase5 20 13" xfId="4325" xr:uid="{00000000-0005-0000-0000-0000F90C0000}"/>
    <cellStyle name="20% - Ênfase5 20 14" xfId="4326" xr:uid="{00000000-0005-0000-0000-0000FA0C0000}"/>
    <cellStyle name="20% - Ênfase5 20 15" xfId="4327" xr:uid="{00000000-0005-0000-0000-0000FB0C0000}"/>
    <cellStyle name="20% - Ênfase5 20 16" xfId="4328" xr:uid="{00000000-0005-0000-0000-0000FC0C0000}"/>
    <cellStyle name="20% - Ênfase5 20 17" xfId="4329" xr:uid="{00000000-0005-0000-0000-0000FD0C0000}"/>
    <cellStyle name="20% - Ênfase5 20 18" xfId="4330" xr:uid="{00000000-0005-0000-0000-0000FE0C0000}"/>
    <cellStyle name="20% - Ênfase5 20 19" xfId="4331" xr:uid="{00000000-0005-0000-0000-0000FF0C0000}"/>
    <cellStyle name="20% - Ênfase5 20 2" xfId="4332" xr:uid="{00000000-0005-0000-0000-0000000D0000}"/>
    <cellStyle name="20% - Ênfase5 20 20" xfId="4333" xr:uid="{00000000-0005-0000-0000-0000010D0000}"/>
    <cellStyle name="20% - Ênfase5 20 3" xfId="4334" xr:uid="{00000000-0005-0000-0000-0000020D0000}"/>
    <cellStyle name="20% - Ênfase5 20 4" xfId="4335" xr:uid="{00000000-0005-0000-0000-0000030D0000}"/>
    <cellStyle name="20% - Ênfase5 20 5" xfId="4336" xr:uid="{00000000-0005-0000-0000-0000040D0000}"/>
    <cellStyle name="20% - Ênfase5 20 6" xfId="4337" xr:uid="{00000000-0005-0000-0000-0000050D0000}"/>
    <cellStyle name="20% - Ênfase5 20 7" xfId="4338" xr:uid="{00000000-0005-0000-0000-0000060D0000}"/>
    <cellStyle name="20% - Ênfase5 20 8" xfId="4339" xr:uid="{00000000-0005-0000-0000-0000070D0000}"/>
    <cellStyle name="20% - Ênfase5 20 9" xfId="4340" xr:uid="{00000000-0005-0000-0000-0000080D0000}"/>
    <cellStyle name="20% - Ênfase5 21" xfId="413" xr:uid="{00000000-0005-0000-0000-0000090D0000}"/>
    <cellStyle name="20% - Ênfase5 21 10" xfId="4341" xr:uid="{00000000-0005-0000-0000-00000A0D0000}"/>
    <cellStyle name="20% - Ênfase5 21 11" xfId="4342" xr:uid="{00000000-0005-0000-0000-00000B0D0000}"/>
    <cellStyle name="20% - Ênfase5 21 12" xfId="4343" xr:uid="{00000000-0005-0000-0000-00000C0D0000}"/>
    <cellStyle name="20% - Ênfase5 21 13" xfId="4344" xr:uid="{00000000-0005-0000-0000-00000D0D0000}"/>
    <cellStyle name="20% - Ênfase5 21 14" xfId="4345" xr:uid="{00000000-0005-0000-0000-00000E0D0000}"/>
    <cellStyle name="20% - Ênfase5 21 15" xfId="4346" xr:uid="{00000000-0005-0000-0000-00000F0D0000}"/>
    <cellStyle name="20% - Ênfase5 21 16" xfId="4347" xr:uid="{00000000-0005-0000-0000-0000100D0000}"/>
    <cellStyle name="20% - Ênfase5 21 17" xfId="4348" xr:uid="{00000000-0005-0000-0000-0000110D0000}"/>
    <cellStyle name="20% - Ênfase5 21 18" xfId="4349" xr:uid="{00000000-0005-0000-0000-0000120D0000}"/>
    <cellStyle name="20% - Ênfase5 21 19" xfId="4350" xr:uid="{00000000-0005-0000-0000-0000130D0000}"/>
    <cellStyle name="20% - Ênfase5 21 2" xfId="4351" xr:uid="{00000000-0005-0000-0000-0000140D0000}"/>
    <cellStyle name="20% - Ênfase5 21 20" xfId="4352" xr:uid="{00000000-0005-0000-0000-0000150D0000}"/>
    <cellStyle name="20% - Ênfase5 21 3" xfId="4353" xr:uid="{00000000-0005-0000-0000-0000160D0000}"/>
    <cellStyle name="20% - Ênfase5 21 4" xfId="4354" xr:uid="{00000000-0005-0000-0000-0000170D0000}"/>
    <cellStyle name="20% - Ênfase5 21 5" xfId="4355" xr:uid="{00000000-0005-0000-0000-0000180D0000}"/>
    <cellStyle name="20% - Ênfase5 21 6" xfId="4356" xr:uid="{00000000-0005-0000-0000-0000190D0000}"/>
    <cellStyle name="20% - Ênfase5 21 7" xfId="4357" xr:uid="{00000000-0005-0000-0000-00001A0D0000}"/>
    <cellStyle name="20% - Ênfase5 21 8" xfId="4358" xr:uid="{00000000-0005-0000-0000-00001B0D0000}"/>
    <cellStyle name="20% - Ênfase5 21 9" xfId="4359" xr:uid="{00000000-0005-0000-0000-00001C0D0000}"/>
    <cellStyle name="20% - Ênfase5 22" xfId="431" xr:uid="{00000000-0005-0000-0000-00001D0D0000}"/>
    <cellStyle name="20% - Ênfase5 22 10" xfId="4360" xr:uid="{00000000-0005-0000-0000-00001E0D0000}"/>
    <cellStyle name="20% - Ênfase5 22 11" xfId="4361" xr:uid="{00000000-0005-0000-0000-00001F0D0000}"/>
    <cellStyle name="20% - Ênfase5 22 12" xfId="4362" xr:uid="{00000000-0005-0000-0000-0000200D0000}"/>
    <cellStyle name="20% - Ênfase5 22 13" xfId="4363" xr:uid="{00000000-0005-0000-0000-0000210D0000}"/>
    <cellStyle name="20% - Ênfase5 22 14" xfId="4364" xr:uid="{00000000-0005-0000-0000-0000220D0000}"/>
    <cellStyle name="20% - Ênfase5 22 15" xfId="4365" xr:uid="{00000000-0005-0000-0000-0000230D0000}"/>
    <cellStyle name="20% - Ênfase5 22 16" xfId="4366" xr:uid="{00000000-0005-0000-0000-0000240D0000}"/>
    <cellStyle name="20% - Ênfase5 22 17" xfId="4367" xr:uid="{00000000-0005-0000-0000-0000250D0000}"/>
    <cellStyle name="20% - Ênfase5 22 18" xfId="4368" xr:uid="{00000000-0005-0000-0000-0000260D0000}"/>
    <cellStyle name="20% - Ênfase5 22 19" xfId="4369" xr:uid="{00000000-0005-0000-0000-0000270D0000}"/>
    <cellStyle name="20% - Ênfase5 22 2" xfId="4370" xr:uid="{00000000-0005-0000-0000-0000280D0000}"/>
    <cellStyle name="20% - Ênfase5 22 20" xfId="4371" xr:uid="{00000000-0005-0000-0000-0000290D0000}"/>
    <cellStyle name="20% - Ênfase5 22 3" xfId="4372" xr:uid="{00000000-0005-0000-0000-00002A0D0000}"/>
    <cellStyle name="20% - Ênfase5 22 4" xfId="4373" xr:uid="{00000000-0005-0000-0000-00002B0D0000}"/>
    <cellStyle name="20% - Ênfase5 22 5" xfId="4374" xr:uid="{00000000-0005-0000-0000-00002C0D0000}"/>
    <cellStyle name="20% - Ênfase5 22 6" xfId="4375" xr:uid="{00000000-0005-0000-0000-00002D0D0000}"/>
    <cellStyle name="20% - Ênfase5 22 7" xfId="4376" xr:uid="{00000000-0005-0000-0000-00002E0D0000}"/>
    <cellStyle name="20% - Ênfase5 22 8" xfId="4377" xr:uid="{00000000-0005-0000-0000-00002F0D0000}"/>
    <cellStyle name="20% - Ênfase5 22 9" xfId="4378" xr:uid="{00000000-0005-0000-0000-0000300D0000}"/>
    <cellStyle name="20% - Ênfase5 23" xfId="449" xr:uid="{00000000-0005-0000-0000-0000310D0000}"/>
    <cellStyle name="20% - Ênfase5 23 10" xfId="4379" xr:uid="{00000000-0005-0000-0000-0000320D0000}"/>
    <cellStyle name="20% - Ênfase5 23 11" xfId="4380" xr:uid="{00000000-0005-0000-0000-0000330D0000}"/>
    <cellStyle name="20% - Ênfase5 23 12" xfId="4381" xr:uid="{00000000-0005-0000-0000-0000340D0000}"/>
    <cellStyle name="20% - Ênfase5 23 13" xfId="4382" xr:uid="{00000000-0005-0000-0000-0000350D0000}"/>
    <cellStyle name="20% - Ênfase5 23 14" xfId="4383" xr:uid="{00000000-0005-0000-0000-0000360D0000}"/>
    <cellStyle name="20% - Ênfase5 23 15" xfId="4384" xr:uid="{00000000-0005-0000-0000-0000370D0000}"/>
    <cellStyle name="20% - Ênfase5 23 16" xfId="4385" xr:uid="{00000000-0005-0000-0000-0000380D0000}"/>
    <cellStyle name="20% - Ênfase5 23 17" xfId="4386" xr:uid="{00000000-0005-0000-0000-0000390D0000}"/>
    <cellStyle name="20% - Ênfase5 23 18" xfId="4387" xr:uid="{00000000-0005-0000-0000-00003A0D0000}"/>
    <cellStyle name="20% - Ênfase5 23 19" xfId="4388" xr:uid="{00000000-0005-0000-0000-00003B0D0000}"/>
    <cellStyle name="20% - Ênfase5 23 2" xfId="4389" xr:uid="{00000000-0005-0000-0000-00003C0D0000}"/>
    <cellStyle name="20% - Ênfase5 23 20" xfId="4390" xr:uid="{00000000-0005-0000-0000-00003D0D0000}"/>
    <cellStyle name="20% - Ênfase5 23 3" xfId="4391" xr:uid="{00000000-0005-0000-0000-00003E0D0000}"/>
    <cellStyle name="20% - Ênfase5 23 4" xfId="4392" xr:uid="{00000000-0005-0000-0000-00003F0D0000}"/>
    <cellStyle name="20% - Ênfase5 23 5" xfId="4393" xr:uid="{00000000-0005-0000-0000-0000400D0000}"/>
    <cellStyle name="20% - Ênfase5 23 6" xfId="4394" xr:uid="{00000000-0005-0000-0000-0000410D0000}"/>
    <cellStyle name="20% - Ênfase5 23 7" xfId="4395" xr:uid="{00000000-0005-0000-0000-0000420D0000}"/>
    <cellStyle name="20% - Ênfase5 23 8" xfId="4396" xr:uid="{00000000-0005-0000-0000-0000430D0000}"/>
    <cellStyle name="20% - Ênfase5 23 9" xfId="4397" xr:uid="{00000000-0005-0000-0000-0000440D0000}"/>
    <cellStyle name="20% - Ênfase5 24" xfId="467" xr:uid="{00000000-0005-0000-0000-0000450D0000}"/>
    <cellStyle name="20% - Ênfase5 24 10" xfId="4398" xr:uid="{00000000-0005-0000-0000-0000460D0000}"/>
    <cellStyle name="20% - Ênfase5 24 11" xfId="4399" xr:uid="{00000000-0005-0000-0000-0000470D0000}"/>
    <cellStyle name="20% - Ênfase5 24 12" xfId="4400" xr:uid="{00000000-0005-0000-0000-0000480D0000}"/>
    <cellStyle name="20% - Ênfase5 24 13" xfId="4401" xr:uid="{00000000-0005-0000-0000-0000490D0000}"/>
    <cellStyle name="20% - Ênfase5 24 14" xfId="4402" xr:uid="{00000000-0005-0000-0000-00004A0D0000}"/>
    <cellStyle name="20% - Ênfase5 24 15" xfId="4403" xr:uid="{00000000-0005-0000-0000-00004B0D0000}"/>
    <cellStyle name="20% - Ênfase5 24 16" xfId="4404" xr:uid="{00000000-0005-0000-0000-00004C0D0000}"/>
    <cellStyle name="20% - Ênfase5 24 17" xfId="4405" xr:uid="{00000000-0005-0000-0000-00004D0D0000}"/>
    <cellStyle name="20% - Ênfase5 24 18" xfId="4406" xr:uid="{00000000-0005-0000-0000-00004E0D0000}"/>
    <cellStyle name="20% - Ênfase5 24 19" xfId="4407" xr:uid="{00000000-0005-0000-0000-00004F0D0000}"/>
    <cellStyle name="20% - Ênfase5 24 2" xfId="4408" xr:uid="{00000000-0005-0000-0000-0000500D0000}"/>
    <cellStyle name="20% - Ênfase5 24 20" xfId="4409" xr:uid="{00000000-0005-0000-0000-0000510D0000}"/>
    <cellStyle name="20% - Ênfase5 24 3" xfId="4410" xr:uid="{00000000-0005-0000-0000-0000520D0000}"/>
    <cellStyle name="20% - Ênfase5 24 4" xfId="4411" xr:uid="{00000000-0005-0000-0000-0000530D0000}"/>
    <cellStyle name="20% - Ênfase5 24 5" xfId="4412" xr:uid="{00000000-0005-0000-0000-0000540D0000}"/>
    <cellStyle name="20% - Ênfase5 24 6" xfId="4413" xr:uid="{00000000-0005-0000-0000-0000550D0000}"/>
    <cellStyle name="20% - Ênfase5 24 7" xfId="4414" xr:uid="{00000000-0005-0000-0000-0000560D0000}"/>
    <cellStyle name="20% - Ênfase5 24 8" xfId="4415" xr:uid="{00000000-0005-0000-0000-0000570D0000}"/>
    <cellStyle name="20% - Ênfase5 24 9" xfId="4416" xr:uid="{00000000-0005-0000-0000-0000580D0000}"/>
    <cellStyle name="20% - Ênfase5 25" xfId="485" xr:uid="{00000000-0005-0000-0000-0000590D0000}"/>
    <cellStyle name="20% - Ênfase5 25 10" xfId="4417" xr:uid="{00000000-0005-0000-0000-00005A0D0000}"/>
    <cellStyle name="20% - Ênfase5 25 11" xfId="4418" xr:uid="{00000000-0005-0000-0000-00005B0D0000}"/>
    <cellStyle name="20% - Ênfase5 25 12" xfId="4419" xr:uid="{00000000-0005-0000-0000-00005C0D0000}"/>
    <cellStyle name="20% - Ênfase5 25 13" xfId="4420" xr:uid="{00000000-0005-0000-0000-00005D0D0000}"/>
    <cellStyle name="20% - Ênfase5 25 14" xfId="4421" xr:uid="{00000000-0005-0000-0000-00005E0D0000}"/>
    <cellStyle name="20% - Ênfase5 25 15" xfId="4422" xr:uid="{00000000-0005-0000-0000-00005F0D0000}"/>
    <cellStyle name="20% - Ênfase5 25 16" xfId="4423" xr:uid="{00000000-0005-0000-0000-0000600D0000}"/>
    <cellStyle name="20% - Ênfase5 25 17" xfId="4424" xr:uid="{00000000-0005-0000-0000-0000610D0000}"/>
    <cellStyle name="20% - Ênfase5 25 18" xfId="4425" xr:uid="{00000000-0005-0000-0000-0000620D0000}"/>
    <cellStyle name="20% - Ênfase5 25 19" xfId="4426" xr:uid="{00000000-0005-0000-0000-0000630D0000}"/>
    <cellStyle name="20% - Ênfase5 25 2" xfId="4427" xr:uid="{00000000-0005-0000-0000-0000640D0000}"/>
    <cellStyle name="20% - Ênfase5 25 20" xfId="4428" xr:uid="{00000000-0005-0000-0000-0000650D0000}"/>
    <cellStyle name="20% - Ênfase5 25 3" xfId="4429" xr:uid="{00000000-0005-0000-0000-0000660D0000}"/>
    <cellStyle name="20% - Ênfase5 25 4" xfId="4430" xr:uid="{00000000-0005-0000-0000-0000670D0000}"/>
    <cellStyle name="20% - Ênfase5 25 5" xfId="4431" xr:uid="{00000000-0005-0000-0000-0000680D0000}"/>
    <cellStyle name="20% - Ênfase5 25 6" xfId="4432" xr:uid="{00000000-0005-0000-0000-0000690D0000}"/>
    <cellStyle name="20% - Ênfase5 25 7" xfId="4433" xr:uid="{00000000-0005-0000-0000-00006A0D0000}"/>
    <cellStyle name="20% - Ênfase5 25 8" xfId="4434" xr:uid="{00000000-0005-0000-0000-00006B0D0000}"/>
    <cellStyle name="20% - Ênfase5 25 9" xfId="4435" xr:uid="{00000000-0005-0000-0000-00006C0D0000}"/>
    <cellStyle name="20% - Ênfase5 26" xfId="503" xr:uid="{00000000-0005-0000-0000-00006D0D0000}"/>
    <cellStyle name="20% - Ênfase5 26 10" xfId="4436" xr:uid="{00000000-0005-0000-0000-00006E0D0000}"/>
    <cellStyle name="20% - Ênfase5 26 11" xfId="4437" xr:uid="{00000000-0005-0000-0000-00006F0D0000}"/>
    <cellStyle name="20% - Ênfase5 26 12" xfId="4438" xr:uid="{00000000-0005-0000-0000-0000700D0000}"/>
    <cellStyle name="20% - Ênfase5 26 13" xfId="4439" xr:uid="{00000000-0005-0000-0000-0000710D0000}"/>
    <cellStyle name="20% - Ênfase5 26 14" xfId="4440" xr:uid="{00000000-0005-0000-0000-0000720D0000}"/>
    <cellStyle name="20% - Ênfase5 26 15" xfId="4441" xr:uid="{00000000-0005-0000-0000-0000730D0000}"/>
    <cellStyle name="20% - Ênfase5 26 16" xfId="4442" xr:uid="{00000000-0005-0000-0000-0000740D0000}"/>
    <cellStyle name="20% - Ênfase5 26 17" xfId="4443" xr:uid="{00000000-0005-0000-0000-0000750D0000}"/>
    <cellStyle name="20% - Ênfase5 26 18" xfId="4444" xr:uid="{00000000-0005-0000-0000-0000760D0000}"/>
    <cellStyle name="20% - Ênfase5 26 19" xfId="4445" xr:uid="{00000000-0005-0000-0000-0000770D0000}"/>
    <cellStyle name="20% - Ênfase5 26 2" xfId="4446" xr:uid="{00000000-0005-0000-0000-0000780D0000}"/>
    <cellStyle name="20% - Ênfase5 26 20" xfId="4447" xr:uid="{00000000-0005-0000-0000-0000790D0000}"/>
    <cellStyle name="20% - Ênfase5 26 3" xfId="4448" xr:uid="{00000000-0005-0000-0000-00007A0D0000}"/>
    <cellStyle name="20% - Ênfase5 26 4" xfId="4449" xr:uid="{00000000-0005-0000-0000-00007B0D0000}"/>
    <cellStyle name="20% - Ênfase5 26 5" xfId="4450" xr:uid="{00000000-0005-0000-0000-00007C0D0000}"/>
    <cellStyle name="20% - Ênfase5 26 6" xfId="4451" xr:uid="{00000000-0005-0000-0000-00007D0D0000}"/>
    <cellStyle name="20% - Ênfase5 26 7" xfId="4452" xr:uid="{00000000-0005-0000-0000-00007E0D0000}"/>
    <cellStyle name="20% - Ênfase5 26 8" xfId="4453" xr:uid="{00000000-0005-0000-0000-00007F0D0000}"/>
    <cellStyle name="20% - Ênfase5 26 9" xfId="4454" xr:uid="{00000000-0005-0000-0000-0000800D0000}"/>
    <cellStyle name="20% - Ênfase5 27" xfId="521" xr:uid="{00000000-0005-0000-0000-0000810D0000}"/>
    <cellStyle name="20% - Ênfase5 27 10" xfId="4455" xr:uid="{00000000-0005-0000-0000-0000820D0000}"/>
    <cellStyle name="20% - Ênfase5 27 11" xfId="4456" xr:uid="{00000000-0005-0000-0000-0000830D0000}"/>
    <cellStyle name="20% - Ênfase5 27 12" xfId="4457" xr:uid="{00000000-0005-0000-0000-0000840D0000}"/>
    <cellStyle name="20% - Ênfase5 27 13" xfId="4458" xr:uid="{00000000-0005-0000-0000-0000850D0000}"/>
    <cellStyle name="20% - Ênfase5 27 14" xfId="4459" xr:uid="{00000000-0005-0000-0000-0000860D0000}"/>
    <cellStyle name="20% - Ênfase5 27 15" xfId="4460" xr:uid="{00000000-0005-0000-0000-0000870D0000}"/>
    <cellStyle name="20% - Ênfase5 27 16" xfId="4461" xr:uid="{00000000-0005-0000-0000-0000880D0000}"/>
    <cellStyle name="20% - Ênfase5 27 17" xfId="4462" xr:uid="{00000000-0005-0000-0000-0000890D0000}"/>
    <cellStyle name="20% - Ênfase5 27 18" xfId="4463" xr:uid="{00000000-0005-0000-0000-00008A0D0000}"/>
    <cellStyle name="20% - Ênfase5 27 19" xfId="4464" xr:uid="{00000000-0005-0000-0000-00008B0D0000}"/>
    <cellStyle name="20% - Ênfase5 27 2" xfId="4465" xr:uid="{00000000-0005-0000-0000-00008C0D0000}"/>
    <cellStyle name="20% - Ênfase5 27 20" xfId="4466" xr:uid="{00000000-0005-0000-0000-00008D0D0000}"/>
    <cellStyle name="20% - Ênfase5 27 3" xfId="4467" xr:uid="{00000000-0005-0000-0000-00008E0D0000}"/>
    <cellStyle name="20% - Ênfase5 27 4" xfId="4468" xr:uid="{00000000-0005-0000-0000-00008F0D0000}"/>
    <cellStyle name="20% - Ênfase5 27 5" xfId="4469" xr:uid="{00000000-0005-0000-0000-0000900D0000}"/>
    <cellStyle name="20% - Ênfase5 27 6" xfId="4470" xr:uid="{00000000-0005-0000-0000-0000910D0000}"/>
    <cellStyle name="20% - Ênfase5 27 7" xfId="4471" xr:uid="{00000000-0005-0000-0000-0000920D0000}"/>
    <cellStyle name="20% - Ênfase5 27 8" xfId="4472" xr:uid="{00000000-0005-0000-0000-0000930D0000}"/>
    <cellStyle name="20% - Ênfase5 27 9" xfId="4473" xr:uid="{00000000-0005-0000-0000-0000940D0000}"/>
    <cellStyle name="20% - Ênfase5 28" xfId="539" xr:uid="{00000000-0005-0000-0000-0000950D0000}"/>
    <cellStyle name="20% - Ênfase5 28 10" xfId="4474" xr:uid="{00000000-0005-0000-0000-0000960D0000}"/>
    <cellStyle name="20% - Ênfase5 28 11" xfId="4475" xr:uid="{00000000-0005-0000-0000-0000970D0000}"/>
    <cellStyle name="20% - Ênfase5 28 12" xfId="4476" xr:uid="{00000000-0005-0000-0000-0000980D0000}"/>
    <cellStyle name="20% - Ênfase5 28 13" xfId="4477" xr:uid="{00000000-0005-0000-0000-0000990D0000}"/>
    <cellStyle name="20% - Ênfase5 28 14" xfId="4478" xr:uid="{00000000-0005-0000-0000-00009A0D0000}"/>
    <cellStyle name="20% - Ênfase5 28 15" xfId="4479" xr:uid="{00000000-0005-0000-0000-00009B0D0000}"/>
    <cellStyle name="20% - Ênfase5 28 16" xfId="4480" xr:uid="{00000000-0005-0000-0000-00009C0D0000}"/>
    <cellStyle name="20% - Ênfase5 28 17" xfId="4481" xr:uid="{00000000-0005-0000-0000-00009D0D0000}"/>
    <cellStyle name="20% - Ênfase5 28 18" xfId="4482" xr:uid="{00000000-0005-0000-0000-00009E0D0000}"/>
    <cellStyle name="20% - Ênfase5 28 19" xfId="4483" xr:uid="{00000000-0005-0000-0000-00009F0D0000}"/>
    <cellStyle name="20% - Ênfase5 28 2" xfId="4484" xr:uid="{00000000-0005-0000-0000-0000A00D0000}"/>
    <cellStyle name="20% - Ênfase5 28 20" xfId="4485" xr:uid="{00000000-0005-0000-0000-0000A10D0000}"/>
    <cellStyle name="20% - Ênfase5 28 3" xfId="4486" xr:uid="{00000000-0005-0000-0000-0000A20D0000}"/>
    <cellStyle name="20% - Ênfase5 28 4" xfId="4487" xr:uid="{00000000-0005-0000-0000-0000A30D0000}"/>
    <cellStyle name="20% - Ênfase5 28 5" xfId="4488" xr:uid="{00000000-0005-0000-0000-0000A40D0000}"/>
    <cellStyle name="20% - Ênfase5 28 6" xfId="4489" xr:uid="{00000000-0005-0000-0000-0000A50D0000}"/>
    <cellStyle name="20% - Ênfase5 28 7" xfId="4490" xr:uid="{00000000-0005-0000-0000-0000A60D0000}"/>
    <cellStyle name="20% - Ênfase5 28 8" xfId="4491" xr:uid="{00000000-0005-0000-0000-0000A70D0000}"/>
    <cellStyle name="20% - Ênfase5 28 9" xfId="4492" xr:uid="{00000000-0005-0000-0000-0000A80D0000}"/>
    <cellStyle name="20% - Ênfase5 29" xfId="557" xr:uid="{00000000-0005-0000-0000-0000A90D0000}"/>
    <cellStyle name="20% - Ênfase5 29 10" xfId="4493" xr:uid="{00000000-0005-0000-0000-0000AA0D0000}"/>
    <cellStyle name="20% - Ênfase5 29 11" xfId="4494" xr:uid="{00000000-0005-0000-0000-0000AB0D0000}"/>
    <cellStyle name="20% - Ênfase5 29 12" xfId="4495" xr:uid="{00000000-0005-0000-0000-0000AC0D0000}"/>
    <cellStyle name="20% - Ênfase5 29 13" xfId="4496" xr:uid="{00000000-0005-0000-0000-0000AD0D0000}"/>
    <cellStyle name="20% - Ênfase5 29 14" xfId="4497" xr:uid="{00000000-0005-0000-0000-0000AE0D0000}"/>
    <cellStyle name="20% - Ênfase5 29 15" xfId="4498" xr:uid="{00000000-0005-0000-0000-0000AF0D0000}"/>
    <cellStyle name="20% - Ênfase5 29 16" xfId="4499" xr:uid="{00000000-0005-0000-0000-0000B00D0000}"/>
    <cellStyle name="20% - Ênfase5 29 17" xfId="4500" xr:uid="{00000000-0005-0000-0000-0000B10D0000}"/>
    <cellStyle name="20% - Ênfase5 29 18" xfId="4501" xr:uid="{00000000-0005-0000-0000-0000B20D0000}"/>
    <cellStyle name="20% - Ênfase5 29 19" xfId="4502" xr:uid="{00000000-0005-0000-0000-0000B30D0000}"/>
    <cellStyle name="20% - Ênfase5 29 2" xfId="4503" xr:uid="{00000000-0005-0000-0000-0000B40D0000}"/>
    <cellStyle name="20% - Ênfase5 29 20" xfId="4504" xr:uid="{00000000-0005-0000-0000-0000B50D0000}"/>
    <cellStyle name="20% - Ênfase5 29 3" xfId="4505" xr:uid="{00000000-0005-0000-0000-0000B60D0000}"/>
    <cellStyle name="20% - Ênfase5 29 4" xfId="4506" xr:uid="{00000000-0005-0000-0000-0000B70D0000}"/>
    <cellStyle name="20% - Ênfase5 29 5" xfId="4507" xr:uid="{00000000-0005-0000-0000-0000B80D0000}"/>
    <cellStyle name="20% - Ênfase5 29 6" xfId="4508" xr:uid="{00000000-0005-0000-0000-0000B90D0000}"/>
    <cellStyle name="20% - Ênfase5 29 7" xfId="4509" xr:uid="{00000000-0005-0000-0000-0000BA0D0000}"/>
    <cellStyle name="20% - Ênfase5 29 8" xfId="4510" xr:uid="{00000000-0005-0000-0000-0000BB0D0000}"/>
    <cellStyle name="20% - Ênfase5 29 9" xfId="4511" xr:uid="{00000000-0005-0000-0000-0000BC0D0000}"/>
    <cellStyle name="20% - Ênfase5 3" xfId="102" xr:uid="{00000000-0005-0000-0000-0000BD0D0000}"/>
    <cellStyle name="20% - Ênfase5 3 10" xfId="4512" xr:uid="{00000000-0005-0000-0000-0000BE0D0000}"/>
    <cellStyle name="20% - Ênfase5 3 11" xfId="4513" xr:uid="{00000000-0005-0000-0000-0000BF0D0000}"/>
    <cellStyle name="20% - Ênfase5 3 12" xfId="4514" xr:uid="{00000000-0005-0000-0000-0000C00D0000}"/>
    <cellStyle name="20% - Ênfase5 3 13" xfId="4515" xr:uid="{00000000-0005-0000-0000-0000C10D0000}"/>
    <cellStyle name="20% - Ênfase5 3 14" xfId="4516" xr:uid="{00000000-0005-0000-0000-0000C20D0000}"/>
    <cellStyle name="20% - Ênfase5 3 15" xfId="4517" xr:uid="{00000000-0005-0000-0000-0000C30D0000}"/>
    <cellStyle name="20% - Ênfase5 3 16" xfId="4518" xr:uid="{00000000-0005-0000-0000-0000C40D0000}"/>
    <cellStyle name="20% - Ênfase5 3 17" xfId="4519" xr:uid="{00000000-0005-0000-0000-0000C50D0000}"/>
    <cellStyle name="20% - Ênfase5 3 18" xfId="4520" xr:uid="{00000000-0005-0000-0000-0000C60D0000}"/>
    <cellStyle name="20% - Ênfase5 3 19" xfId="4521" xr:uid="{00000000-0005-0000-0000-0000C70D0000}"/>
    <cellStyle name="20% - Ênfase5 3 2" xfId="4522" xr:uid="{00000000-0005-0000-0000-0000C80D0000}"/>
    <cellStyle name="20% - Ênfase5 3 20" xfId="4523" xr:uid="{00000000-0005-0000-0000-0000C90D0000}"/>
    <cellStyle name="20% - Ênfase5 3 3" xfId="4524" xr:uid="{00000000-0005-0000-0000-0000CA0D0000}"/>
    <cellStyle name="20% - Ênfase5 3 4" xfId="4525" xr:uid="{00000000-0005-0000-0000-0000CB0D0000}"/>
    <cellStyle name="20% - Ênfase5 3 5" xfId="4526" xr:uid="{00000000-0005-0000-0000-0000CC0D0000}"/>
    <cellStyle name="20% - Ênfase5 3 6" xfId="4527" xr:uid="{00000000-0005-0000-0000-0000CD0D0000}"/>
    <cellStyle name="20% - Ênfase5 3 7" xfId="4528" xr:uid="{00000000-0005-0000-0000-0000CE0D0000}"/>
    <cellStyle name="20% - Ênfase5 3 8" xfId="4529" xr:uid="{00000000-0005-0000-0000-0000CF0D0000}"/>
    <cellStyle name="20% - Ênfase5 3 9" xfId="4530" xr:uid="{00000000-0005-0000-0000-0000D00D0000}"/>
    <cellStyle name="20% - Ênfase5 30" xfId="575" xr:uid="{00000000-0005-0000-0000-0000D10D0000}"/>
    <cellStyle name="20% - Ênfase5 30 10" xfId="4531" xr:uid="{00000000-0005-0000-0000-0000D20D0000}"/>
    <cellStyle name="20% - Ênfase5 30 11" xfId="4532" xr:uid="{00000000-0005-0000-0000-0000D30D0000}"/>
    <cellStyle name="20% - Ênfase5 30 12" xfId="4533" xr:uid="{00000000-0005-0000-0000-0000D40D0000}"/>
    <cellStyle name="20% - Ênfase5 30 13" xfId="4534" xr:uid="{00000000-0005-0000-0000-0000D50D0000}"/>
    <cellStyle name="20% - Ênfase5 30 14" xfId="4535" xr:uid="{00000000-0005-0000-0000-0000D60D0000}"/>
    <cellStyle name="20% - Ênfase5 30 15" xfId="4536" xr:uid="{00000000-0005-0000-0000-0000D70D0000}"/>
    <cellStyle name="20% - Ênfase5 30 16" xfId="4537" xr:uid="{00000000-0005-0000-0000-0000D80D0000}"/>
    <cellStyle name="20% - Ênfase5 30 17" xfId="4538" xr:uid="{00000000-0005-0000-0000-0000D90D0000}"/>
    <cellStyle name="20% - Ênfase5 30 18" xfId="4539" xr:uid="{00000000-0005-0000-0000-0000DA0D0000}"/>
    <cellStyle name="20% - Ênfase5 30 19" xfId="4540" xr:uid="{00000000-0005-0000-0000-0000DB0D0000}"/>
    <cellStyle name="20% - Ênfase5 30 2" xfId="4541" xr:uid="{00000000-0005-0000-0000-0000DC0D0000}"/>
    <cellStyle name="20% - Ênfase5 30 20" xfId="4542" xr:uid="{00000000-0005-0000-0000-0000DD0D0000}"/>
    <cellStyle name="20% - Ênfase5 30 3" xfId="4543" xr:uid="{00000000-0005-0000-0000-0000DE0D0000}"/>
    <cellStyle name="20% - Ênfase5 30 4" xfId="4544" xr:uid="{00000000-0005-0000-0000-0000DF0D0000}"/>
    <cellStyle name="20% - Ênfase5 30 5" xfId="4545" xr:uid="{00000000-0005-0000-0000-0000E00D0000}"/>
    <cellStyle name="20% - Ênfase5 30 6" xfId="4546" xr:uid="{00000000-0005-0000-0000-0000E10D0000}"/>
    <cellStyle name="20% - Ênfase5 30 7" xfId="4547" xr:uid="{00000000-0005-0000-0000-0000E20D0000}"/>
    <cellStyle name="20% - Ênfase5 30 8" xfId="4548" xr:uid="{00000000-0005-0000-0000-0000E30D0000}"/>
    <cellStyle name="20% - Ênfase5 30 9" xfId="4549" xr:uid="{00000000-0005-0000-0000-0000E40D0000}"/>
    <cellStyle name="20% - Ênfase5 31" xfId="593" xr:uid="{00000000-0005-0000-0000-0000E50D0000}"/>
    <cellStyle name="20% - Ênfase5 31 10" xfId="4550" xr:uid="{00000000-0005-0000-0000-0000E60D0000}"/>
    <cellStyle name="20% - Ênfase5 31 11" xfId="4551" xr:uid="{00000000-0005-0000-0000-0000E70D0000}"/>
    <cellStyle name="20% - Ênfase5 31 12" xfId="4552" xr:uid="{00000000-0005-0000-0000-0000E80D0000}"/>
    <cellStyle name="20% - Ênfase5 31 13" xfId="4553" xr:uid="{00000000-0005-0000-0000-0000E90D0000}"/>
    <cellStyle name="20% - Ênfase5 31 14" xfId="4554" xr:uid="{00000000-0005-0000-0000-0000EA0D0000}"/>
    <cellStyle name="20% - Ênfase5 31 15" xfId="4555" xr:uid="{00000000-0005-0000-0000-0000EB0D0000}"/>
    <cellStyle name="20% - Ênfase5 31 16" xfId="4556" xr:uid="{00000000-0005-0000-0000-0000EC0D0000}"/>
    <cellStyle name="20% - Ênfase5 31 17" xfId="4557" xr:uid="{00000000-0005-0000-0000-0000ED0D0000}"/>
    <cellStyle name="20% - Ênfase5 31 18" xfId="4558" xr:uid="{00000000-0005-0000-0000-0000EE0D0000}"/>
    <cellStyle name="20% - Ênfase5 31 19" xfId="4559" xr:uid="{00000000-0005-0000-0000-0000EF0D0000}"/>
    <cellStyle name="20% - Ênfase5 31 2" xfId="4560" xr:uid="{00000000-0005-0000-0000-0000F00D0000}"/>
    <cellStyle name="20% - Ênfase5 31 20" xfId="4561" xr:uid="{00000000-0005-0000-0000-0000F10D0000}"/>
    <cellStyle name="20% - Ênfase5 31 3" xfId="4562" xr:uid="{00000000-0005-0000-0000-0000F20D0000}"/>
    <cellStyle name="20% - Ênfase5 31 4" xfId="4563" xr:uid="{00000000-0005-0000-0000-0000F30D0000}"/>
    <cellStyle name="20% - Ênfase5 31 5" xfId="4564" xr:uid="{00000000-0005-0000-0000-0000F40D0000}"/>
    <cellStyle name="20% - Ênfase5 31 6" xfId="4565" xr:uid="{00000000-0005-0000-0000-0000F50D0000}"/>
    <cellStyle name="20% - Ênfase5 31 7" xfId="4566" xr:uid="{00000000-0005-0000-0000-0000F60D0000}"/>
    <cellStyle name="20% - Ênfase5 31 8" xfId="4567" xr:uid="{00000000-0005-0000-0000-0000F70D0000}"/>
    <cellStyle name="20% - Ênfase5 31 9" xfId="4568" xr:uid="{00000000-0005-0000-0000-0000F80D0000}"/>
    <cellStyle name="20% - Ênfase5 32" xfId="611" xr:uid="{00000000-0005-0000-0000-0000F90D0000}"/>
    <cellStyle name="20% - Ênfase5 32 10" xfId="4569" xr:uid="{00000000-0005-0000-0000-0000FA0D0000}"/>
    <cellStyle name="20% - Ênfase5 32 11" xfId="4570" xr:uid="{00000000-0005-0000-0000-0000FB0D0000}"/>
    <cellStyle name="20% - Ênfase5 32 12" xfId="4571" xr:uid="{00000000-0005-0000-0000-0000FC0D0000}"/>
    <cellStyle name="20% - Ênfase5 32 13" xfId="4572" xr:uid="{00000000-0005-0000-0000-0000FD0D0000}"/>
    <cellStyle name="20% - Ênfase5 32 14" xfId="4573" xr:uid="{00000000-0005-0000-0000-0000FE0D0000}"/>
    <cellStyle name="20% - Ênfase5 32 15" xfId="4574" xr:uid="{00000000-0005-0000-0000-0000FF0D0000}"/>
    <cellStyle name="20% - Ênfase5 32 16" xfId="4575" xr:uid="{00000000-0005-0000-0000-0000000E0000}"/>
    <cellStyle name="20% - Ênfase5 32 17" xfId="4576" xr:uid="{00000000-0005-0000-0000-0000010E0000}"/>
    <cellStyle name="20% - Ênfase5 32 18" xfId="4577" xr:uid="{00000000-0005-0000-0000-0000020E0000}"/>
    <cellStyle name="20% - Ênfase5 32 19" xfId="4578" xr:uid="{00000000-0005-0000-0000-0000030E0000}"/>
    <cellStyle name="20% - Ênfase5 32 2" xfId="4579" xr:uid="{00000000-0005-0000-0000-0000040E0000}"/>
    <cellStyle name="20% - Ênfase5 32 20" xfId="4580" xr:uid="{00000000-0005-0000-0000-0000050E0000}"/>
    <cellStyle name="20% - Ênfase5 32 3" xfId="4581" xr:uid="{00000000-0005-0000-0000-0000060E0000}"/>
    <cellStyle name="20% - Ênfase5 32 4" xfId="4582" xr:uid="{00000000-0005-0000-0000-0000070E0000}"/>
    <cellStyle name="20% - Ênfase5 32 5" xfId="4583" xr:uid="{00000000-0005-0000-0000-0000080E0000}"/>
    <cellStyle name="20% - Ênfase5 32 6" xfId="4584" xr:uid="{00000000-0005-0000-0000-0000090E0000}"/>
    <cellStyle name="20% - Ênfase5 32 7" xfId="4585" xr:uid="{00000000-0005-0000-0000-00000A0E0000}"/>
    <cellStyle name="20% - Ênfase5 32 8" xfId="4586" xr:uid="{00000000-0005-0000-0000-00000B0E0000}"/>
    <cellStyle name="20% - Ênfase5 32 9" xfId="4587" xr:uid="{00000000-0005-0000-0000-00000C0E0000}"/>
    <cellStyle name="20% - Ênfase5 33" xfId="629" xr:uid="{00000000-0005-0000-0000-00000D0E0000}"/>
    <cellStyle name="20% - Ênfase5 33 10" xfId="4588" xr:uid="{00000000-0005-0000-0000-00000E0E0000}"/>
    <cellStyle name="20% - Ênfase5 33 11" xfId="4589" xr:uid="{00000000-0005-0000-0000-00000F0E0000}"/>
    <cellStyle name="20% - Ênfase5 33 12" xfId="4590" xr:uid="{00000000-0005-0000-0000-0000100E0000}"/>
    <cellStyle name="20% - Ênfase5 33 13" xfId="4591" xr:uid="{00000000-0005-0000-0000-0000110E0000}"/>
    <cellStyle name="20% - Ênfase5 33 14" xfId="4592" xr:uid="{00000000-0005-0000-0000-0000120E0000}"/>
    <cellStyle name="20% - Ênfase5 33 15" xfId="4593" xr:uid="{00000000-0005-0000-0000-0000130E0000}"/>
    <cellStyle name="20% - Ênfase5 33 16" xfId="4594" xr:uid="{00000000-0005-0000-0000-0000140E0000}"/>
    <cellStyle name="20% - Ênfase5 33 17" xfId="4595" xr:uid="{00000000-0005-0000-0000-0000150E0000}"/>
    <cellStyle name="20% - Ênfase5 33 18" xfId="4596" xr:uid="{00000000-0005-0000-0000-0000160E0000}"/>
    <cellStyle name="20% - Ênfase5 33 19" xfId="4597" xr:uid="{00000000-0005-0000-0000-0000170E0000}"/>
    <cellStyle name="20% - Ênfase5 33 2" xfId="4598" xr:uid="{00000000-0005-0000-0000-0000180E0000}"/>
    <cellStyle name="20% - Ênfase5 33 20" xfId="4599" xr:uid="{00000000-0005-0000-0000-0000190E0000}"/>
    <cellStyle name="20% - Ênfase5 33 3" xfId="4600" xr:uid="{00000000-0005-0000-0000-00001A0E0000}"/>
    <cellStyle name="20% - Ênfase5 33 4" xfId="4601" xr:uid="{00000000-0005-0000-0000-00001B0E0000}"/>
    <cellStyle name="20% - Ênfase5 33 5" xfId="4602" xr:uid="{00000000-0005-0000-0000-00001C0E0000}"/>
    <cellStyle name="20% - Ênfase5 33 6" xfId="4603" xr:uid="{00000000-0005-0000-0000-00001D0E0000}"/>
    <cellStyle name="20% - Ênfase5 33 7" xfId="4604" xr:uid="{00000000-0005-0000-0000-00001E0E0000}"/>
    <cellStyle name="20% - Ênfase5 33 8" xfId="4605" xr:uid="{00000000-0005-0000-0000-00001F0E0000}"/>
    <cellStyle name="20% - Ênfase5 33 9" xfId="4606" xr:uid="{00000000-0005-0000-0000-0000200E0000}"/>
    <cellStyle name="20% - Ênfase5 34" xfId="647" xr:uid="{00000000-0005-0000-0000-0000210E0000}"/>
    <cellStyle name="20% - Ênfase5 34 10" xfId="4607" xr:uid="{00000000-0005-0000-0000-0000220E0000}"/>
    <cellStyle name="20% - Ênfase5 34 11" xfId="4608" xr:uid="{00000000-0005-0000-0000-0000230E0000}"/>
    <cellStyle name="20% - Ênfase5 34 12" xfId="4609" xr:uid="{00000000-0005-0000-0000-0000240E0000}"/>
    <cellStyle name="20% - Ênfase5 34 13" xfId="4610" xr:uid="{00000000-0005-0000-0000-0000250E0000}"/>
    <cellStyle name="20% - Ênfase5 34 14" xfId="4611" xr:uid="{00000000-0005-0000-0000-0000260E0000}"/>
    <cellStyle name="20% - Ênfase5 34 15" xfId="4612" xr:uid="{00000000-0005-0000-0000-0000270E0000}"/>
    <cellStyle name="20% - Ênfase5 34 16" xfId="4613" xr:uid="{00000000-0005-0000-0000-0000280E0000}"/>
    <cellStyle name="20% - Ênfase5 34 17" xfId="4614" xr:uid="{00000000-0005-0000-0000-0000290E0000}"/>
    <cellStyle name="20% - Ênfase5 34 18" xfId="4615" xr:uid="{00000000-0005-0000-0000-00002A0E0000}"/>
    <cellStyle name="20% - Ênfase5 34 19" xfId="4616" xr:uid="{00000000-0005-0000-0000-00002B0E0000}"/>
    <cellStyle name="20% - Ênfase5 34 2" xfId="4617" xr:uid="{00000000-0005-0000-0000-00002C0E0000}"/>
    <cellStyle name="20% - Ênfase5 34 20" xfId="4618" xr:uid="{00000000-0005-0000-0000-00002D0E0000}"/>
    <cellStyle name="20% - Ênfase5 34 3" xfId="4619" xr:uid="{00000000-0005-0000-0000-00002E0E0000}"/>
    <cellStyle name="20% - Ênfase5 34 4" xfId="4620" xr:uid="{00000000-0005-0000-0000-00002F0E0000}"/>
    <cellStyle name="20% - Ênfase5 34 5" xfId="4621" xr:uid="{00000000-0005-0000-0000-0000300E0000}"/>
    <cellStyle name="20% - Ênfase5 34 6" xfId="4622" xr:uid="{00000000-0005-0000-0000-0000310E0000}"/>
    <cellStyle name="20% - Ênfase5 34 7" xfId="4623" xr:uid="{00000000-0005-0000-0000-0000320E0000}"/>
    <cellStyle name="20% - Ênfase5 34 8" xfId="4624" xr:uid="{00000000-0005-0000-0000-0000330E0000}"/>
    <cellStyle name="20% - Ênfase5 34 9" xfId="4625" xr:uid="{00000000-0005-0000-0000-0000340E0000}"/>
    <cellStyle name="20% - Ênfase5 35" xfId="665" xr:uid="{00000000-0005-0000-0000-0000350E0000}"/>
    <cellStyle name="20% - Ênfase5 35 10" xfId="4626" xr:uid="{00000000-0005-0000-0000-0000360E0000}"/>
    <cellStyle name="20% - Ênfase5 35 11" xfId="4627" xr:uid="{00000000-0005-0000-0000-0000370E0000}"/>
    <cellStyle name="20% - Ênfase5 35 12" xfId="4628" xr:uid="{00000000-0005-0000-0000-0000380E0000}"/>
    <cellStyle name="20% - Ênfase5 35 13" xfId="4629" xr:uid="{00000000-0005-0000-0000-0000390E0000}"/>
    <cellStyle name="20% - Ênfase5 35 14" xfId="4630" xr:uid="{00000000-0005-0000-0000-00003A0E0000}"/>
    <cellStyle name="20% - Ênfase5 35 15" xfId="4631" xr:uid="{00000000-0005-0000-0000-00003B0E0000}"/>
    <cellStyle name="20% - Ênfase5 35 16" xfId="4632" xr:uid="{00000000-0005-0000-0000-00003C0E0000}"/>
    <cellStyle name="20% - Ênfase5 35 17" xfId="4633" xr:uid="{00000000-0005-0000-0000-00003D0E0000}"/>
    <cellStyle name="20% - Ênfase5 35 18" xfId="4634" xr:uid="{00000000-0005-0000-0000-00003E0E0000}"/>
    <cellStyle name="20% - Ênfase5 35 19" xfId="4635" xr:uid="{00000000-0005-0000-0000-00003F0E0000}"/>
    <cellStyle name="20% - Ênfase5 35 2" xfId="4636" xr:uid="{00000000-0005-0000-0000-0000400E0000}"/>
    <cellStyle name="20% - Ênfase5 35 20" xfId="4637" xr:uid="{00000000-0005-0000-0000-0000410E0000}"/>
    <cellStyle name="20% - Ênfase5 35 3" xfId="4638" xr:uid="{00000000-0005-0000-0000-0000420E0000}"/>
    <cellStyle name="20% - Ênfase5 35 4" xfId="4639" xr:uid="{00000000-0005-0000-0000-0000430E0000}"/>
    <cellStyle name="20% - Ênfase5 35 5" xfId="4640" xr:uid="{00000000-0005-0000-0000-0000440E0000}"/>
    <cellStyle name="20% - Ênfase5 35 6" xfId="4641" xr:uid="{00000000-0005-0000-0000-0000450E0000}"/>
    <cellStyle name="20% - Ênfase5 35 7" xfId="4642" xr:uid="{00000000-0005-0000-0000-0000460E0000}"/>
    <cellStyle name="20% - Ênfase5 35 8" xfId="4643" xr:uid="{00000000-0005-0000-0000-0000470E0000}"/>
    <cellStyle name="20% - Ênfase5 35 9" xfId="4644" xr:uid="{00000000-0005-0000-0000-0000480E0000}"/>
    <cellStyle name="20% - Ênfase5 36" xfId="683" xr:uid="{00000000-0005-0000-0000-0000490E0000}"/>
    <cellStyle name="20% - Ênfase5 36 10" xfId="4645" xr:uid="{00000000-0005-0000-0000-00004A0E0000}"/>
    <cellStyle name="20% - Ênfase5 36 11" xfId="4646" xr:uid="{00000000-0005-0000-0000-00004B0E0000}"/>
    <cellStyle name="20% - Ênfase5 36 12" xfId="4647" xr:uid="{00000000-0005-0000-0000-00004C0E0000}"/>
    <cellStyle name="20% - Ênfase5 36 13" xfId="4648" xr:uid="{00000000-0005-0000-0000-00004D0E0000}"/>
    <cellStyle name="20% - Ênfase5 36 14" xfId="4649" xr:uid="{00000000-0005-0000-0000-00004E0E0000}"/>
    <cellStyle name="20% - Ênfase5 36 15" xfId="4650" xr:uid="{00000000-0005-0000-0000-00004F0E0000}"/>
    <cellStyle name="20% - Ênfase5 36 16" xfId="4651" xr:uid="{00000000-0005-0000-0000-0000500E0000}"/>
    <cellStyle name="20% - Ênfase5 36 17" xfId="4652" xr:uid="{00000000-0005-0000-0000-0000510E0000}"/>
    <cellStyle name="20% - Ênfase5 36 18" xfId="4653" xr:uid="{00000000-0005-0000-0000-0000520E0000}"/>
    <cellStyle name="20% - Ênfase5 36 19" xfId="4654" xr:uid="{00000000-0005-0000-0000-0000530E0000}"/>
    <cellStyle name="20% - Ênfase5 36 2" xfId="4655" xr:uid="{00000000-0005-0000-0000-0000540E0000}"/>
    <cellStyle name="20% - Ênfase5 36 20" xfId="4656" xr:uid="{00000000-0005-0000-0000-0000550E0000}"/>
    <cellStyle name="20% - Ênfase5 36 3" xfId="4657" xr:uid="{00000000-0005-0000-0000-0000560E0000}"/>
    <cellStyle name="20% - Ênfase5 36 4" xfId="4658" xr:uid="{00000000-0005-0000-0000-0000570E0000}"/>
    <cellStyle name="20% - Ênfase5 36 5" xfId="4659" xr:uid="{00000000-0005-0000-0000-0000580E0000}"/>
    <cellStyle name="20% - Ênfase5 36 6" xfId="4660" xr:uid="{00000000-0005-0000-0000-0000590E0000}"/>
    <cellStyle name="20% - Ênfase5 36 7" xfId="4661" xr:uid="{00000000-0005-0000-0000-00005A0E0000}"/>
    <cellStyle name="20% - Ênfase5 36 8" xfId="4662" xr:uid="{00000000-0005-0000-0000-00005B0E0000}"/>
    <cellStyle name="20% - Ênfase5 36 9" xfId="4663" xr:uid="{00000000-0005-0000-0000-00005C0E0000}"/>
    <cellStyle name="20% - Ênfase5 37" xfId="701" xr:uid="{00000000-0005-0000-0000-00005D0E0000}"/>
    <cellStyle name="20% - Ênfase5 37 10" xfId="4664" xr:uid="{00000000-0005-0000-0000-00005E0E0000}"/>
    <cellStyle name="20% - Ênfase5 37 11" xfId="4665" xr:uid="{00000000-0005-0000-0000-00005F0E0000}"/>
    <cellStyle name="20% - Ênfase5 37 12" xfId="4666" xr:uid="{00000000-0005-0000-0000-0000600E0000}"/>
    <cellStyle name="20% - Ênfase5 37 13" xfId="4667" xr:uid="{00000000-0005-0000-0000-0000610E0000}"/>
    <cellStyle name="20% - Ênfase5 37 14" xfId="4668" xr:uid="{00000000-0005-0000-0000-0000620E0000}"/>
    <cellStyle name="20% - Ênfase5 37 15" xfId="4669" xr:uid="{00000000-0005-0000-0000-0000630E0000}"/>
    <cellStyle name="20% - Ênfase5 37 16" xfId="4670" xr:uid="{00000000-0005-0000-0000-0000640E0000}"/>
    <cellStyle name="20% - Ênfase5 37 17" xfId="4671" xr:uid="{00000000-0005-0000-0000-0000650E0000}"/>
    <cellStyle name="20% - Ênfase5 37 18" xfId="4672" xr:uid="{00000000-0005-0000-0000-0000660E0000}"/>
    <cellStyle name="20% - Ênfase5 37 19" xfId="4673" xr:uid="{00000000-0005-0000-0000-0000670E0000}"/>
    <cellStyle name="20% - Ênfase5 37 2" xfId="4674" xr:uid="{00000000-0005-0000-0000-0000680E0000}"/>
    <cellStyle name="20% - Ênfase5 37 20" xfId="4675" xr:uid="{00000000-0005-0000-0000-0000690E0000}"/>
    <cellStyle name="20% - Ênfase5 37 3" xfId="4676" xr:uid="{00000000-0005-0000-0000-00006A0E0000}"/>
    <cellStyle name="20% - Ênfase5 37 4" xfId="4677" xr:uid="{00000000-0005-0000-0000-00006B0E0000}"/>
    <cellStyle name="20% - Ênfase5 37 5" xfId="4678" xr:uid="{00000000-0005-0000-0000-00006C0E0000}"/>
    <cellStyle name="20% - Ênfase5 37 6" xfId="4679" xr:uid="{00000000-0005-0000-0000-00006D0E0000}"/>
    <cellStyle name="20% - Ênfase5 37 7" xfId="4680" xr:uid="{00000000-0005-0000-0000-00006E0E0000}"/>
    <cellStyle name="20% - Ênfase5 37 8" xfId="4681" xr:uid="{00000000-0005-0000-0000-00006F0E0000}"/>
    <cellStyle name="20% - Ênfase5 37 9" xfId="4682" xr:uid="{00000000-0005-0000-0000-0000700E0000}"/>
    <cellStyle name="20% - Ênfase5 38" xfId="718" xr:uid="{00000000-0005-0000-0000-0000710E0000}"/>
    <cellStyle name="20% - Ênfase5 39" xfId="734" xr:uid="{00000000-0005-0000-0000-0000720E0000}"/>
    <cellStyle name="20% - Ênfase5 4" xfId="119" xr:uid="{00000000-0005-0000-0000-0000730E0000}"/>
    <cellStyle name="20% - Ênfase5 4 10" xfId="4683" xr:uid="{00000000-0005-0000-0000-0000740E0000}"/>
    <cellStyle name="20% - Ênfase5 4 11" xfId="4684" xr:uid="{00000000-0005-0000-0000-0000750E0000}"/>
    <cellStyle name="20% - Ênfase5 4 12" xfId="4685" xr:uid="{00000000-0005-0000-0000-0000760E0000}"/>
    <cellStyle name="20% - Ênfase5 4 13" xfId="4686" xr:uid="{00000000-0005-0000-0000-0000770E0000}"/>
    <cellStyle name="20% - Ênfase5 4 14" xfId="4687" xr:uid="{00000000-0005-0000-0000-0000780E0000}"/>
    <cellStyle name="20% - Ênfase5 4 15" xfId="4688" xr:uid="{00000000-0005-0000-0000-0000790E0000}"/>
    <cellStyle name="20% - Ênfase5 4 16" xfId="4689" xr:uid="{00000000-0005-0000-0000-00007A0E0000}"/>
    <cellStyle name="20% - Ênfase5 4 17" xfId="4690" xr:uid="{00000000-0005-0000-0000-00007B0E0000}"/>
    <cellStyle name="20% - Ênfase5 4 18" xfId="4691" xr:uid="{00000000-0005-0000-0000-00007C0E0000}"/>
    <cellStyle name="20% - Ênfase5 4 19" xfId="4692" xr:uid="{00000000-0005-0000-0000-00007D0E0000}"/>
    <cellStyle name="20% - Ênfase5 4 2" xfId="4693" xr:uid="{00000000-0005-0000-0000-00007E0E0000}"/>
    <cellStyle name="20% - Ênfase5 4 20" xfId="4694" xr:uid="{00000000-0005-0000-0000-00007F0E0000}"/>
    <cellStyle name="20% - Ênfase5 4 3" xfId="4695" xr:uid="{00000000-0005-0000-0000-0000800E0000}"/>
    <cellStyle name="20% - Ênfase5 4 4" xfId="4696" xr:uid="{00000000-0005-0000-0000-0000810E0000}"/>
    <cellStyle name="20% - Ênfase5 4 5" xfId="4697" xr:uid="{00000000-0005-0000-0000-0000820E0000}"/>
    <cellStyle name="20% - Ênfase5 4 6" xfId="4698" xr:uid="{00000000-0005-0000-0000-0000830E0000}"/>
    <cellStyle name="20% - Ênfase5 4 7" xfId="4699" xr:uid="{00000000-0005-0000-0000-0000840E0000}"/>
    <cellStyle name="20% - Ênfase5 4 8" xfId="4700" xr:uid="{00000000-0005-0000-0000-0000850E0000}"/>
    <cellStyle name="20% - Ênfase5 4 9" xfId="4701" xr:uid="{00000000-0005-0000-0000-0000860E0000}"/>
    <cellStyle name="20% - Ênfase5 40" xfId="755" xr:uid="{00000000-0005-0000-0000-0000870E0000}"/>
    <cellStyle name="20% - Ênfase5 41" xfId="773" xr:uid="{00000000-0005-0000-0000-0000880E0000}"/>
    <cellStyle name="20% - Ênfase5 42" xfId="791" xr:uid="{00000000-0005-0000-0000-0000890E0000}"/>
    <cellStyle name="20% - Ênfase5 43" xfId="809" xr:uid="{00000000-0005-0000-0000-00008A0E0000}"/>
    <cellStyle name="20% - Ênfase5 44" xfId="827" xr:uid="{00000000-0005-0000-0000-00008B0E0000}"/>
    <cellStyle name="20% - Ênfase5 45" xfId="845" xr:uid="{00000000-0005-0000-0000-00008C0E0000}"/>
    <cellStyle name="20% - Ênfase5 46" xfId="863" xr:uid="{00000000-0005-0000-0000-00008D0E0000}"/>
    <cellStyle name="20% - Ênfase5 47" xfId="881" xr:uid="{00000000-0005-0000-0000-00008E0E0000}"/>
    <cellStyle name="20% - Ênfase5 48" xfId="899" xr:uid="{00000000-0005-0000-0000-00008F0E0000}"/>
    <cellStyle name="20% - Ênfase5 49" xfId="916" xr:uid="{00000000-0005-0000-0000-0000900E0000}"/>
    <cellStyle name="20% - Ênfase5 5" xfId="136" xr:uid="{00000000-0005-0000-0000-0000910E0000}"/>
    <cellStyle name="20% - Ênfase5 5 10" xfId="4702" xr:uid="{00000000-0005-0000-0000-0000920E0000}"/>
    <cellStyle name="20% - Ênfase5 5 11" xfId="4703" xr:uid="{00000000-0005-0000-0000-0000930E0000}"/>
    <cellStyle name="20% - Ênfase5 5 12" xfId="4704" xr:uid="{00000000-0005-0000-0000-0000940E0000}"/>
    <cellStyle name="20% - Ênfase5 5 13" xfId="4705" xr:uid="{00000000-0005-0000-0000-0000950E0000}"/>
    <cellStyle name="20% - Ênfase5 5 14" xfId="4706" xr:uid="{00000000-0005-0000-0000-0000960E0000}"/>
    <cellStyle name="20% - Ênfase5 5 15" xfId="4707" xr:uid="{00000000-0005-0000-0000-0000970E0000}"/>
    <cellStyle name="20% - Ênfase5 5 16" xfId="4708" xr:uid="{00000000-0005-0000-0000-0000980E0000}"/>
    <cellStyle name="20% - Ênfase5 5 17" xfId="4709" xr:uid="{00000000-0005-0000-0000-0000990E0000}"/>
    <cellStyle name="20% - Ênfase5 5 18" xfId="4710" xr:uid="{00000000-0005-0000-0000-00009A0E0000}"/>
    <cellStyle name="20% - Ênfase5 5 19" xfId="4711" xr:uid="{00000000-0005-0000-0000-00009B0E0000}"/>
    <cellStyle name="20% - Ênfase5 5 2" xfId="4712" xr:uid="{00000000-0005-0000-0000-00009C0E0000}"/>
    <cellStyle name="20% - Ênfase5 5 20" xfId="4713" xr:uid="{00000000-0005-0000-0000-00009D0E0000}"/>
    <cellStyle name="20% - Ênfase5 5 3" xfId="4714" xr:uid="{00000000-0005-0000-0000-00009E0E0000}"/>
    <cellStyle name="20% - Ênfase5 5 4" xfId="4715" xr:uid="{00000000-0005-0000-0000-00009F0E0000}"/>
    <cellStyle name="20% - Ênfase5 5 5" xfId="4716" xr:uid="{00000000-0005-0000-0000-0000A00E0000}"/>
    <cellStyle name="20% - Ênfase5 5 6" xfId="4717" xr:uid="{00000000-0005-0000-0000-0000A10E0000}"/>
    <cellStyle name="20% - Ênfase5 5 7" xfId="4718" xr:uid="{00000000-0005-0000-0000-0000A20E0000}"/>
    <cellStyle name="20% - Ênfase5 5 8" xfId="4719" xr:uid="{00000000-0005-0000-0000-0000A30E0000}"/>
    <cellStyle name="20% - Ênfase5 5 9" xfId="4720" xr:uid="{00000000-0005-0000-0000-0000A40E0000}"/>
    <cellStyle name="20% - Ênfase5 50" xfId="935" xr:uid="{00000000-0005-0000-0000-0000A50E0000}"/>
    <cellStyle name="20% - Ênfase5 51" xfId="953" xr:uid="{00000000-0005-0000-0000-0000A60E0000}"/>
    <cellStyle name="20% - Ênfase5 52" xfId="971" xr:uid="{00000000-0005-0000-0000-0000A70E0000}"/>
    <cellStyle name="20% - Ênfase5 53" xfId="989" xr:uid="{00000000-0005-0000-0000-0000A80E0000}"/>
    <cellStyle name="20% - Ênfase5 54" xfId="1007" xr:uid="{00000000-0005-0000-0000-0000A90E0000}"/>
    <cellStyle name="20% - Ênfase5 55" xfId="1024" xr:uid="{00000000-0005-0000-0000-0000AA0E0000}"/>
    <cellStyle name="20% - Ênfase5 56" xfId="1041" xr:uid="{00000000-0005-0000-0000-0000AB0E0000}"/>
    <cellStyle name="20% - Ênfase5 57" xfId="1060" xr:uid="{00000000-0005-0000-0000-0000AC0E0000}"/>
    <cellStyle name="20% - Ênfase5 58" xfId="1077" xr:uid="{00000000-0005-0000-0000-0000AD0E0000}"/>
    <cellStyle name="20% - Ênfase5 59" xfId="1096" xr:uid="{00000000-0005-0000-0000-0000AE0E0000}"/>
    <cellStyle name="20% - Ênfase5 6" xfId="153" xr:uid="{00000000-0005-0000-0000-0000AF0E0000}"/>
    <cellStyle name="20% - Ênfase5 6 10" xfId="4721" xr:uid="{00000000-0005-0000-0000-0000B00E0000}"/>
    <cellStyle name="20% - Ênfase5 6 11" xfId="4722" xr:uid="{00000000-0005-0000-0000-0000B10E0000}"/>
    <cellStyle name="20% - Ênfase5 6 12" xfId="4723" xr:uid="{00000000-0005-0000-0000-0000B20E0000}"/>
    <cellStyle name="20% - Ênfase5 6 13" xfId="4724" xr:uid="{00000000-0005-0000-0000-0000B30E0000}"/>
    <cellStyle name="20% - Ênfase5 6 14" xfId="4725" xr:uid="{00000000-0005-0000-0000-0000B40E0000}"/>
    <cellStyle name="20% - Ênfase5 6 15" xfId="4726" xr:uid="{00000000-0005-0000-0000-0000B50E0000}"/>
    <cellStyle name="20% - Ênfase5 6 16" xfId="4727" xr:uid="{00000000-0005-0000-0000-0000B60E0000}"/>
    <cellStyle name="20% - Ênfase5 6 17" xfId="4728" xr:uid="{00000000-0005-0000-0000-0000B70E0000}"/>
    <cellStyle name="20% - Ênfase5 6 18" xfId="4729" xr:uid="{00000000-0005-0000-0000-0000B80E0000}"/>
    <cellStyle name="20% - Ênfase5 6 19" xfId="4730" xr:uid="{00000000-0005-0000-0000-0000B90E0000}"/>
    <cellStyle name="20% - Ênfase5 6 2" xfId="4731" xr:uid="{00000000-0005-0000-0000-0000BA0E0000}"/>
    <cellStyle name="20% - Ênfase5 6 20" xfId="4732" xr:uid="{00000000-0005-0000-0000-0000BB0E0000}"/>
    <cellStyle name="20% - Ênfase5 6 3" xfId="4733" xr:uid="{00000000-0005-0000-0000-0000BC0E0000}"/>
    <cellStyle name="20% - Ênfase5 6 4" xfId="4734" xr:uid="{00000000-0005-0000-0000-0000BD0E0000}"/>
    <cellStyle name="20% - Ênfase5 6 5" xfId="4735" xr:uid="{00000000-0005-0000-0000-0000BE0E0000}"/>
    <cellStyle name="20% - Ênfase5 6 6" xfId="4736" xr:uid="{00000000-0005-0000-0000-0000BF0E0000}"/>
    <cellStyle name="20% - Ênfase5 6 7" xfId="4737" xr:uid="{00000000-0005-0000-0000-0000C00E0000}"/>
    <cellStyle name="20% - Ênfase5 6 8" xfId="4738" xr:uid="{00000000-0005-0000-0000-0000C10E0000}"/>
    <cellStyle name="20% - Ênfase5 6 9" xfId="4739" xr:uid="{00000000-0005-0000-0000-0000C20E0000}"/>
    <cellStyle name="20% - Ênfase5 60" xfId="1114" xr:uid="{00000000-0005-0000-0000-0000C30E0000}"/>
    <cellStyle name="20% - Ênfase5 61" xfId="1132" xr:uid="{00000000-0005-0000-0000-0000C40E0000}"/>
    <cellStyle name="20% - Ênfase5 62" xfId="1149" xr:uid="{00000000-0005-0000-0000-0000C50E0000}"/>
    <cellStyle name="20% - Ênfase5 63" xfId="1166" xr:uid="{00000000-0005-0000-0000-0000C60E0000}"/>
    <cellStyle name="20% - Ênfase5 64" xfId="1185" xr:uid="{00000000-0005-0000-0000-0000C70E0000}"/>
    <cellStyle name="20% - Ênfase5 65" xfId="1203" xr:uid="{00000000-0005-0000-0000-0000C80E0000}"/>
    <cellStyle name="20% - Ênfase5 66" xfId="1219" xr:uid="{00000000-0005-0000-0000-0000C90E0000}"/>
    <cellStyle name="20% - Ênfase5 67" xfId="1236" xr:uid="{00000000-0005-0000-0000-0000CA0E0000}"/>
    <cellStyle name="20% - Ênfase5 68" xfId="1251" xr:uid="{00000000-0005-0000-0000-0000CB0E0000}"/>
    <cellStyle name="20% - Ênfase5 69" xfId="1268" xr:uid="{00000000-0005-0000-0000-0000CC0E0000}"/>
    <cellStyle name="20% - Ênfase5 7" xfId="170" xr:uid="{00000000-0005-0000-0000-0000CD0E0000}"/>
    <cellStyle name="20% - Ênfase5 7 10" xfId="4740" xr:uid="{00000000-0005-0000-0000-0000CE0E0000}"/>
    <cellStyle name="20% - Ênfase5 7 11" xfId="4741" xr:uid="{00000000-0005-0000-0000-0000CF0E0000}"/>
    <cellStyle name="20% - Ênfase5 7 12" xfId="4742" xr:uid="{00000000-0005-0000-0000-0000D00E0000}"/>
    <cellStyle name="20% - Ênfase5 7 13" xfId="4743" xr:uid="{00000000-0005-0000-0000-0000D10E0000}"/>
    <cellStyle name="20% - Ênfase5 7 14" xfId="4744" xr:uid="{00000000-0005-0000-0000-0000D20E0000}"/>
    <cellStyle name="20% - Ênfase5 7 15" xfId="4745" xr:uid="{00000000-0005-0000-0000-0000D30E0000}"/>
    <cellStyle name="20% - Ênfase5 7 16" xfId="4746" xr:uid="{00000000-0005-0000-0000-0000D40E0000}"/>
    <cellStyle name="20% - Ênfase5 7 17" xfId="4747" xr:uid="{00000000-0005-0000-0000-0000D50E0000}"/>
    <cellStyle name="20% - Ênfase5 7 18" xfId="4748" xr:uid="{00000000-0005-0000-0000-0000D60E0000}"/>
    <cellStyle name="20% - Ênfase5 7 19" xfId="4749" xr:uid="{00000000-0005-0000-0000-0000D70E0000}"/>
    <cellStyle name="20% - Ênfase5 7 2" xfId="4750" xr:uid="{00000000-0005-0000-0000-0000D80E0000}"/>
    <cellStyle name="20% - Ênfase5 7 20" xfId="4751" xr:uid="{00000000-0005-0000-0000-0000D90E0000}"/>
    <cellStyle name="20% - Ênfase5 7 3" xfId="4752" xr:uid="{00000000-0005-0000-0000-0000DA0E0000}"/>
    <cellStyle name="20% - Ênfase5 7 4" xfId="4753" xr:uid="{00000000-0005-0000-0000-0000DB0E0000}"/>
    <cellStyle name="20% - Ênfase5 7 5" xfId="4754" xr:uid="{00000000-0005-0000-0000-0000DC0E0000}"/>
    <cellStyle name="20% - Ênfase5 7 6" xfId="4755" xr:uid="{00000000-0005-0000-0000-0000DD0E0000}"/>
    <cellStyle name="20% - Ênfase5 7 7" xfId="4756" xr:uid="{00000000-0005-0000-0000-0000DE0E0000}"/>
    <cellStyle name="20% - Ênfase5 7 8" xfId="4757" xr:uid="{00000000-0005-0000-0000-0000DF0E0000}"/>
    <cellStyle name="20% - Ênfase5 7 9" xfId="4758" xr:uid="{00000000-0005-0000-0000-0000E00E0000}"/>
    <cellStyle name="20% - Ênfase5 70" xfId="1280" xr:uid="{00000000-0005-0000-0000-0000E10E0000}"/>
    <cellStyle name="20% - Ênfase5 71" xfId="1290" xr:uid="{00000000-0005-0000-0000-0000E20E0000}"/>
    <cellStyle name="20% - Ênfase5 72" xfId="4759" xr:uid="{00000000-0005-0000-0000-0000E30E0000}"/>
    <cellStyle name="20% - Ênfase5 73" xfId="4760" xr:uid="{00000000-0005-0000-0000-0000E40E0000}"/>
    <cellStyle name="20% - Ênfase5 74" xfId="4761" xr:uid="{00000000-0005-0000-0000-0000E50E0000}"/>
    <cellStyle name="20% - Ênfase5 75" xfId="4762" xr:uid="{00000000-0005-0000-0000-0000E60E0000}"/>
    <cellStyle name="20% - Ênfase5 76" xfId="4763" xr:uid="{00000000-0005-0000-0000-0000E70E0000}"/>
    <cellStyle name="20% - Ênfase5 77" xfId="4764" xr:uid="{00000000-0005-0000-0000-0000E80E0000}"/>
    <cellStyle name="20% - Ênfase5 78" xfId="4765" xr:uid="{00000000-0005-0000-0000-0000E90E0000}"/>
    <cellStyle name="20% - Ênfase5 79" xfId="4766" xr:uid="{00000000-0005-0000-0000-0000EA0E0000}"/>
    <cellStyle name="20% - Ênfase5 8" xfId="187" xr:uid="{00000000-0005-0000-0000-0000EB0E0000}"/>
    <cellStyle name="20% - Ênfase5 8 10" xfId="4767" xr:uid="{00000000-0005-0000-0000-0000EC0E0000}"/>
    <cellStyle name="20% - Ênfase5 8 11" xfId="4768" xr:uid="{00000000-0005-0000-0000-0000ED0E0000}"/>
    <cellStyle name="20% - Ênfase5 8 12" xfId="4769" xr:uid="{00000000-0005-0000-0000-0000EE0E0000}"/>
    <cellStyle name="20% - Ênfase5 8 13" xfId="4770" xr:uid="{00000000-0005-0000-0000-0000EF0E0000}"/>
    <cellStyle name="20% - Ênfase5 8 14" xfId="4771" xr:uid="{00000000-0005-0000-0000-0000F00E0000}"/>
    <cellStyle name="20% - Ênfase5 8 15" xfId="4772" xr:uid="{00000000-0005-0000-0000-0000F10E0000}"/>
    <cellStyle name="20% - Ênfase5 8 16" xfId="4773" xr:uid="{00000000-0005-0000-0000-0000F20E0000}"/>
    <cellStyle name="20% - Ênfase5 8 17" xfId="4774" xr:uid="{00000000-0005-0000-0000-0000F30E0000}"/>
    <cellStyle name="20% - Ênfase5 8 18" xfId="4775" xr:uid="{00000000-0005-0000-0000-0000F40E0000}"/>
    <cellStyle name="20% - Ênfase5 8 19" xfId="4776" xr:uid="{00000000-0005-0000-0000-0000F50E0000}"/>
    <cellStyle name="20% - Ênfase5 8 2" xfId="4777" xr:uid="{00000000-0005-0000-0000-0000F60E0000}"/>
    <cellStyle name="20% - Ênfase5 8 20" xfId="4778" xr:uid="{00000000-0005-0000-0000-0000F70E0000}"/>
    <cellStyle name="20% - Ênfase5 8 3" xfId="4779" xr:uid="{00000000-0005-0000-0000-0000F80E0000}"/>
    <cellStyle name="20% - Ênfase5 8 4" xfId="4780" xr:uid="{00000000-0005-0000-0000-0000F90E0000}"/>
    <cellStyle name="20% - Ênfase5 8 5" xfId="4781" xr:uid="{00000000-0005-0000-0000-0000FA0E0000}"/>
    <cellStyle name="20% - Ênfase5 8 6" xfId="4782" xr:uid="{00000000-0005-0000-0000-0000FB0E0000}"/>
    <cellStyle name="20% - Ênfase5 8 7" xfId="4783" xr:uid="{00000000-0005-0000-0000-0000FC0E0000}"/>
    <cellStyle name="20% - Ênfase5 8 8" xfId="4784" xr:uid="{00000000-0005-0000-0000-0000FD0E0000}"/>
    <cellStyle name="20% - Ênfase5 8 9" xfId="4785" xr:uid="{00000000-0005-0000-0000-0000FE0E0000}"/>
    <cellStyle name="20% - Ênfase5 80" xfId="4786" xr:uid="{00000000-0005-0000-0000-0000FF0E0000}"/>
    <cellStyle name="20% - Ênfase5 81" xfId="4787" xr:uid="{00000000-0005-0000-0000-0000000F0000}"/>
    <cellStyle name="20% - Ênfase5 82" xfId="4788" xr:uid="{00000000-0005-0000-0000-0000010F0000}"/>
    <cellStyle name="20% - Ênfase5 83" xfId="4789" xr:uid="{00000000-0005-0000-0000-0000020F0000}"/>
    <cellStyle name="20% - Ênfase5 84" xfId="4790" xr:uid="{00000000-0005-0000-0000-0000030F0000}"/>
    <cellStyle name="20% - Ênfase5 85" xfId="4791" xr:uid="{00000000-0005-0000-0000-0000040F0000}"/>
    <cellStyle name="20% - Ênfase5 86" xfId="4792" xr:uid="{00000000-0005-0000-0000-0000050F0000}"/>
    <cellStyle name="20% - Ênfase5 87" xfId="4793" xr:uid="{00000000-0005-0000-0000-0000060F0000}"/>
    <cellStyle name="20% - Ênfase5 88" xfId="4794" xr:uid="{00000000-0005-0000-0000-0000070F0000}"/>
    <cellStyle name="20% - Ênfase5 89" xfId="4795" xr:uid="{00000000-0005-0000-0000-0000080F0000}"/>
    <cellStyle name="20% - Ênfase5 9" xfId="204" xr:uid="{00000000-0005-0000-0000-0000090F0000}"/>
    <cellStyle name="20% - Ênfase5 9 10" xfId="4796" xr:uid="{00000000-0005-0000-0000-00000A0F0000}"/>
    <cellStyle name="20% - Ênfase5 9 11" xfId="4797" xr:uid="{00000000-0005-0000-0000-00000B0F0000}"/>
    <cellStyle name="20% - Ênfase5 9 12" xfId="4798" xr:uid="{00000000-0005-0000-0000-00000C0F0000}"/>
    <cellStyle name="20% - Ênfase5 9 13" xfId="4799" xr:uid="{00000000-0005-0000-0000-00000D0F0000}"/>
    <cellStyle name="20% - Ênfase5 9 14" xfId="4800" xr:uid="{00000000-0005-0000-0000-00000E0F0000}"/>
    <cellStyle name="20% - Ênfase5 9 15" xfId="4801" xr:uid="{00000000-0005-0000-0000-00000F0F0000}"/>
    <cellStyle name="20% - Ênfase5 9 16" xfId="4802" xr:uid="{00000000-0005-0000-0000-0000100F0000}"/>
    <cellStyle name="20% - Ênfase5 9 17" xfId="4803" xr:uid="{00000000-0005-0000-0000-0000110F0000}"/>
    <cellStyle name="20% - Ênfase5 9 18" xfId="4804" xr:uid="{00000000-0005-0000-0000-0000120F0000}"/>
    <cellStyle name="20% - Ênfase5 9 19" xfId="4805" xr:uid="{00000000-0005-0000-0000-0000130F0000}"/>
    <cellStyle name="20% - Ênfase5 9 2" xfId="4806" xr:uid="{00000000-0005-0000-0000-0000140F0000}"/>
    <cellStyle name="20% - Ênfase5 9 20" xfId="4807" xr:uid="{00000000-0005-0000-0000-0000150F0000}"/>
    <cellStyle name="20% - Ênfase5 9 3" xfId="4808" xr:uid="{00000000-0005-0000-0000-0000160F0000}"/>
    <cellStyle name="20% - Ênfase5 9 4" xfId="4809" xr:uid="{00000000-0005-0000-0000-0000170F0000}"/>
    <cellStyle name="20% - Ênfase5 9 5" xfId="4810" xr:uid="{00000000-0005-0000-0000-0000180F0000}"/>
    <cellStyle name="20% - Ênfase5 9 6" xfId="4811" xr:uid="{00000000-0005-0000-0000-0000190F0000}"/>
    <cellStyle name="20% - Ênfase5 9 7" xfId="4812" xr:uid="{00000000-0005-0000-0000-00001A0F0000}"/>
    <cellStyle name="20% - Ênfase5 9 8" xfId="4813" xr:uid="{00000000-0005-0000-0000-00001B0F0000}"/>
    <cellStyle name="20% - Ênfase5 9 9" xfId="4814" xr:uid="{00000000-0005-0000-0000-00001C0F0000}"/>
    <cellStyle name="20% - Ênfase5 90" xfId="4815" xr:uid="{00000000-0005-0000-0000-00001D0F0000}"/>
    <cellStyle name="20% - Ênfase6" xfId="39" builtinId="50" customBuiltin="1"/>
    <cellStyle name="20% - Ênfase6 10" xfId="224" xr:uid="{00000000-0005-0000-0000-00001F0F0000}"/>
    <cellStyle name="20% - Ênfase6 10 10" xfId="4816" xr:uid="{00000000-0005-0000-0000-0000200F0000}"/>
    <cellStyle name="20% - Ênfase6 10 11" xfId="4817" xr:uid="{00000000-0005-0000-0000-0000210F0000}"/>
    <cellStyle name="20% - Ênfase6 10 12" xfId="4818" xr:uid="{00000000-0005-0000-0000-0000220F0000}"/>
    <cellStyle name="20% - Ênfase6 10 13" xfId="4819" xr:uid="{00000000-0005-0000-0000-0000230F0000}"/>
    <cellStyle name="20% - Ênfase6 10 14" xfId="4820" xr:uid="{00000000-0005-0000-0000-0000240F0000}"/>
    <cellStyle name="20% - Ênfase6 10 15" xfId="4821" xr:uid="{00000000-0005-0000-0000-0000250F0000}"/>
    <cellStyle name="20% - Ênfase6 10 16" xfId="4822" xr:uid="{00000000-0005-0000-0000-0000260F0000}"/>
    <cellStyle name="20% - Ênfase6 10 17" xfId="4823" xr:uid="{00000000-0005-0000-0000-0000270F0000}"/>
    <cellStyle name="20% - Ênfase6 10 18" xfId="4824" xr:uid="{00000000-0005-0000-0000-0000280F0000}"/>
    <cellStyle name="20% - Ênfase6 10 19" xfId="4825" xr:uid="{00000000-0005-0000-0000-0000290F0000}"/>
    <cellStyle name="20% - Ênfase6 10 2" xfId="4826" xr:uid="{00000000-0005-0000-0000-00002A0F0000}"/>
    <cellStyle name="20% - Ênfase6 10 20" xfId="4827" xr:uid="{00000000-0005-0000-0000-00002B0F0000}"/>
    <cellStyle name="20% - Ênfase6 10 3" xfId="4828" xr:uid="{00000000-0005-0000-0000-00002C0F0000}"/>
    <cellStyle name="20% - Ênfase6 10 4" xfId="4829" xr:uid="{00000000-0005-0000-0000-00002D0F0000}"/>
    <cellStyle name="20% - Ênfase6 10 5" xfId="4830" xr:uid="{00000000-0005-0000-0000-00002E0F0000}"/>
    <cellStyle name="20% - Ênfase6 10 6" xfId="4831" xr:uid="{00000000-0005-0000-0000-00002F0F0000}"/>
    <cellStyle name="20% - Ênfase6 10 7" xfId="4832" xr:uid="{00000000-0005-0000-0000-0000300F0000}"/>
    <cellStyle name="20% - Ênfase6 10 8" xfId="4833" xr:uid="{00000000-0005-0000-0000-0000310F0000}"/>
    <cellStyle name="20% - Ênfase6 10 9" xfId="4834" xr:uid="{00000000-0005-0000-0000-0000320F0000}"/>
    <cellStyle name="20% - Ênfase6 11" xfId="241" xr:uid="{00000000-0005-0000-0000-0000330F0000}"/>
    <cellStyle name="20% - Ênfase6 11 10" xfId="4835" xr:uid="{00000000-0005-0000-0000-0000340F0000}"/>
    <cellStyle name="20% - Ênfase6 11 11" xfId="4836" xr:uid="{00000000-0005-0000-0000-0000350F0000}"/>
    <cellStyle name="20% - Ênfase6 11 12" xfId="4837" xr:uid="{00000000-0005-0000-0000-0000360F0000}"/>
    <cellStyle name="20% - Ênfase6 11 13" xfId="4838" xr:uid="{00000000-0005-0000-0000-0000370F0000}"/>
    <cellStyle name="20% - Ênfase6 11 14" xfId="4839" xr:uid="{00000000-0005-0000-0000-0000380F0000}"/>
    <cellStyle name="20% - Ênfase6 11 15" xfId="4840" xr:uid="{00000000-0005-0000-0000-0000390F0000}"/>
    <cellStyle name="20% - Ênfase6 11 16" xfId="4841" xr:uid="{00000000-0005-0000-0000-00003A0F0000}"/>
    <cellStyle name="20% - Ênfase6 11 17" xfId="4842" xr:uid="{00000000-0005-0000-0000-00003B0F0000}"/>
    <cellStyle name="20% - Ênfase6 11 18" xfId="4843" xr:uid="{00000000-0005-0000-0000-00003C0F0000}"/>
    <cellStyle name="20% - Ênfase6 11 19" xfId="4844" xr:uid="{00000000-0005-0000-0000-00003D0F0000}"/>
    <cellStyle name="20% - Ênfase6 11 2" xfId="4845" xr:uid="{00000000-0005-0000-0000-00003E0F0000}"/>
    <cellStyle name="20% - Ênfase6 11 20" xfId="4846" xr:uid="{00000000-0005-0000-0000-00003F0F0000}"/>
    <cellStyle name="20% - Ênfase6 11 3" xfId="4847" xr:uid="{00000000-0005-0000-0000-0000400F0000}"/>
    <cellStyle name="20% - Ênfase6 11 4" xfId="4848" xr:uid="{00000000-0005-0000-0000-0000410F0000}"/>
    <cellStyle name="20% - Ênfase6 11 5" xfId="4849" xr:uid="{00000000-0005-0000-0000-0000420F0000}"/>
    <cellStyle name="20% - Ênfase6 11 6" xfId="4850" xr:uid="{00000000-0005-0000-0000-0000430F0000}"/>
    <cellStyle name="20% - Ênfase6 11 7" xfId="4851" xr:uid="{00000000-0005-0000-0000-0000440F0000}"/>
    <cellStyle name="20% - Ênfase6 11 8" xfId="4852" xr:uid="{00000000-0005-0000-0000-0000450F0000}"/>
    <cellStyle name="20% - Ênfase6 11 9" xfId="4853" xr:uid="{00000000-0005-0000-0000-0000460F0000}"/>
    <cellStyle name="20% - Ênfase6 12" xfId="258" xr:uid="{00000000-0005-0000-0000-0000470F0000}"/>
    <cellStyle name="20% - Ênfase6 12 10" xfId="4854" xr:uid="{00000000-0005-0000-0000-0000480F0000}"/>
    <cellStyle name="20% - Ênfase6 12 11" xfId="4855" xr:uid="{00000000-0005-0000-0000-0000490F0000}"/>
    <cellStyle name="20% - Ênfase6 12 12" xfId="4856" xr:uid="{00000000-0005-0000-0000-00004A0F0000}"/>
    <cellStyle name="20% - Ênfase6 12 13" xfId="4857" xr:uid="{00000000-0005-0000-0000-00004B0F0000}"/>
    <cellStyle name="20% - Ênfase6 12 14" xfId="4858" xr:uid="{00000000-0005-0000-0000-00004C0F0000}"/>
    <cellStyle name="20% - Ênfase6 12 15" xfId="4859" xr:uid="{00000000-0005-0000-0000-00004D0F0000}"/>
    <cellStyle name="20% - Ênfase6 12 16" xfId="4860" xr:uid="{00000000-0005-0000-0000-00004E0F0000}"/>
    <cellStyle name="20% - Ênfase6 12 17" xfId="4861" xr:uid="{00000000-0005-0000-0000-00004F0F0000}"/>
    <cellStyle name="20% - Ênfase6 12 18" xfId="4862" xr:uid="{00000000-0005-0000-0000-0000500F0000}"/>
    <cellStyle name="20% - Ênfase6 12 19" xfId="4863" xr:uid="{00000000-0005-0000-0000-0000510F0000}"/>
    <cellStyle name="20% - Ênfase6 12 2" xfId="4864" xr:uid="{00000000-0005-0000-0000-0000520F0000}"/>
    <cellStyle name="20% - Ênfase6 12 20" xfId="4865" xr:uid="{00000000-0005-0000-0000-0000530F0000}"/>
    <cellStyle name="20% - Ênfase6 12 3" xfId="4866" xr:uid="{00000000-0005-0000-0000-0000540F0000}"/>
    <cellStyle name="20% - Ênfase6 12 4" xfId="4867" xr:uid="{00000000-0005-0000-0000-0000550F0000}"/>
    <cellStyle name="20% - Ênfase6 12 5" xfId="4868" xr:uid="{00000000-0005-0000-0000-0000560F0000}"/>
    <cellStyle name="20% - Ênfase6 12 6" xfId="4869" xr:uid="{00000000-0005-0000-0000-0000570F0000}"/>
    <cellStyle name="20% - Ênfase6 12 7" xfId="4870" xr:uid="{00000000-0005-0000-0000-0000580F0000}"/>
    <cellStyle name="20% - Ênfase6 12 8" xfId="4871" xr:uid="{00000000-0005-0000-0000-0000590F0000}"/>
    <cellStyle name="20% - Ênfase6 12 9" xfId="4872" xr:uid="{00000000-0005-0000-0000-00005A0F0000}"/>
    <cellStyle name="20% - Ênfase6 13" xfId="275" xr:uid="{00000000-0005-0000-0000-00005B0F0000}"/>
    <cellStyle name="20% - Ênfase6 13 10" xfId="4873" xr:uid="{00000000-0005-0000-0000-00005C0F0000}"/>
    <cellStyle name="20% - Ênfase6 13 11" xfId="4874" xr:uid="{00000000-0005-0000-0000-00005D0F0000}"/>
    <cellStyle name="20% - Ênfase6 13 12" xfId="4875" xr:uid="{00000000-0005-0000-0000-00005E0F0000}"/>
    <cellStyle name="20% - Ênfase6 13 13" xfId="4876" xr:uid="{00000000-0005-0000-0000-00005F0F0000}"/>
    <cellStyle name="20% - Ênfase6 13 14" xfId="4877" xr:uid="{00000000-0005-0000-0000-0000600F0000}"/>
    <cellStyle name="20% - Ênfase6 13 15" xfId="4878" xr:uid="{00000000-0005-0000-0000-0000610F0000}"/>
    <cellStyle name="20% - Ênfase6 13 16" xfId="4879" xr:uid="{00000000-0005-0000-0000-0000620F0000}"/>
    <cellStyle name="20% - Ênfase6 13 17" xfId="4880" xr:uid="{00000000-0005-0000-0000-0000630F0000}"/>
    <cellStyle name="20% - Ênfase6 13 18" xfId="4881" xr:uid="{00000000-0005-0000-0000-0000640F0000}"/>
    <cellStyle name="20% - Ênfase6 13 19" xfId="4882" xr:uid="{00000000-0005-0000-0000-0000650F0000}"/>
    <cellStyle name="20% - Ênfase6 13 2" xfId="4883" xr:uid="{00000000-0005-0000-0000-0000660F0000}"/>
    <cellStyle name="20% - Ênfase6 13 20" xfId="4884" xr:uid="{00000000-0005-0000-0000-0000670F0000}"/>
    <cellStyle name="20% - Ênfase6 13 3" xfId="4885" xr:uid="{00000000-0005-0000-0000-0000680F0000}"/>
    <cellStyle name="20% - Ênfase6 13 4" xfId="4886" xr:uid="{00000000-0005-0000-0000-0000690F0000}"/>
    <cellStyle name="20% - Ênfase6 13 5" xfId="4887" xr:uid="{00000000-0005-0000-0000-00006A0F0000}"/>
    <cellStyle name="20% - Ênfase6 13 6" xfId="4888" xr:uid="{00000000-0005-0000-0000-00006B0F0000}"/>
    <cellStyle name="20% - Ênfase6 13 7" xfId="4889" xr:uid="{00000000-0005-0000-0000-00006C0F0000}"/>
    <cellStyle name="20% - Ênfase6 13 8" xfId="4890" xr:uid="{00000000-0005-0000-0000-00006D0F0000}"/>
    <cellStyle name="20% - Ênfase6 13 9" xfId="4891" xr:uid="{00000000-0005-0000-0000-00006E0F0000}"/>
    <cellStyle name="20% - Ênfase6 14" xfId="292" xr:uid="{00000000-0005-0000-0000-00006F0F0000}"/>
    <cellStyle name="20% - Ênfase6 14 10" xfId="4892" xr:uid="{00000000-0005-0000-0000-0000700F0000}"/>
    <cellStyle name="20% - Ênfase6 14 11" xfId="4893" xr:uid="{00000000-0005-0000-0000-0000710F0000}"/>
    <cellStyle name="20% - Ênfase6 14 12" xfId="4894" xr:uid="{00000000-0005-0000-0000-0000720F0000}"/>
    <cellStyle name="20% - Ênfase6 14 13" xfId="4895" xr:uid="{00000000-0005-0000-0000-0000730F0000}"/>
    <cellStyle name="20% - Ênfase6 14 14" xfId="4896" xr:uid="{00000000-0005-0000-0000-0000740F0000}"/>
    <cellStyle name="20% - Ênfase6 14 15" xfId="4897" xr:uid="{00000000-0005-0000-0000-0000750F0000}"/>
    <cellStyle name="20% - Ênfase6 14 16" xfId="4898" xr:uid="{00000000-0005-0000-0000-0000760F0000}"/>
    <cellStyle name="20% - Ênfase6 14 17" xfId="4899" xr:uid="{00000000-0005-0000-0000-0000770F0000}"/>
    <cellStyle name="20% - Ênfase6 14 18" xfId="4900" xr:uid="{00000000-0005-0000-0000-0000780F0000}"/>
    <cellStyle name="20% - Ênfase6 14 19" xfId="4901" xr:uid="{00000000-0005-0000-0000-0000790F0000}"/>
    <cellStyle name="20% - Ênfase6 14 2" xfId="4902" xr:uid="{00000000-0005-0000-0000-00007A0F0000}"/>
    <cellStyle name="20% - Ênfase6 14 20" xfId="4903" xr:uid="{00000000-0005-0000-0000-00007B0F0000}"/>
    <cellStyle name="20% - Ênfase6 14 3" xfId="4904" xr:uid="{00000000-0005-0000-0000-00007C0F0000}"/>
    <cellStyle name="20% - Ênfase6 14 4" xfId="4905" xr:uid="{00000000-0005-0000-0000-00007D0F0000}"/>
    <cellStyle name="20% - Ênfase6 14 5" xfId="4906" xr:uid="{00000000-0005-0000-0000-00007E0F0000}"/>
    <cellStyle name="20% - Ênfase6 14 6" xfId="4907" xr:uid="{00000000-0005-0000-0000-00007F0F0000}"/>
    <cellStyle name="20% - Ênfase6 14 7" xfId="4908" xr:uid="{00000000-0005-0000-0000-0000800F0000}"/>
    <cellStyle name="20% - Ênfase6 14 8" xfId="4909" xr:uid="{00000000-0005-0000-0000-0000810F0000}"/>
    <cellStyle name="20% - Ênfase6 14 9" xfId="4910" xr:uid="{00000000-0005-0000-0000-0000820F0000}"/>
    <cellStyle name="20% - Ênfase6 15" xfId="309" xr:uid="{00000000-0005-0000-0000-0000830F0000}"/>
    <cellStyle name="20% - Ênfase6 15 10" xfId="4911" xr:uid="{00000000-0005-0000-0000-0000840F0000}"/>
    <cellStyle name="20% - Ênfase6 15 11" xfId="4912" xr:uid="{00000000-0005-0000-0000-0000850F0000}"/>
    <cellStyle name="20% - Ênfase6 15 12" xfId="4913" xr:uid="{00000000-0005-0000-0000-0000860F0000}"/>
    <cellStyle name="20% - Ênfase6 15 13" xfId="4914" xr:uid="{00000000-0005-0000-0000-0000870F0000}"/>
    <cellStyle name="20% - Ênfase6 15 14" xfId="4915" xr:uid="{00000000-0005-0000-0000-0000880F0000}"/>
    <cellStyle name="20% - Ênfase6 15 15" xfId="4916" xr:uid="{00000000-0005-0000-0000-0000890F0000}"/>
    <cellStyle name="20% - Ênfase6 15 16" xfId="4917" xr:uid="{00000000-0005-0000-0000-00008A0F0000}"/>
    <cellStyle name="20% - Ênfase6 15 17" xfId="4918" xr:uid="{00000000-0005-0000-0000-00008B0F0000}"/>
    <cellStyle name="20% - Ênfase6 15 18" xfId="4919" xr:uid="{00000000-0005-0000-0000-00008C0F0000}"/>
    <cellStyle name="20% - Ênfase6 15 19" xfId="4920" xr:uid="{00000000-0005-0000-0000-00008D0F0000}"/>
    <cellStyle name="20% - Ênfase6 15 2" xfId="4921" xr:uid="{00000000-0005-0000-0000-00008E0F0000}"/>
    <cellStyle name="20% - Ênfase6 15 20" xfId="4922" xr:uid="{00000000-0005-0000-0000-00008F0F0000}"/>
    <cellStyle name="20% - Ênfase6 15 3" xfId="4923" xr:uid="{00000000-0005-0000-0000-0000900F0000}"/>
    <cellStyle name="20% - Ênfase6 15 4" xfId="4924" xr:uid="{00000000-0005-0000-0000-0000910F0000}"/>
    <cellStyle name="20% - Ênfase6 15 5" xfId="4925" xr:uid="{00000000-0005-0000-0000-0000920F0000}"/>
    <cellStyle name="20% - Ênfase6 15 6" xfId="4926" xr:uid="{00000000-0005-0000-0000-0000930F0000}"/>
    <cellStyle name="20% - Ênfase6 15 7" xfId="4927" xr:uid="{00000000-0005-0000-0000-0000940F0000}"/>
    <cellStyle name="20% - Ênfase6 15 8" xfId="4928" xr:uid="{00000000-0005-0000-0000-0000950F0000}"/>
    <cellStyle name="20% - Ênfase6 15 9" xfId="4929" xr:uid="{00000000-0005-0000-0000-0000960F0000}"/>
    <cellStyle name="20% - Ênfase6 16" xfId="327" xr:uid="{00000000-0005-0000-0000-0000970F0000}"/>
    <cellStyle name="20% - Ênfase6 16 10" xfId="4930" xr:uid="{00000000-0005-0000-0000-0000980F0000}"/>
    <cellStyle name="20% - Ênfase6 16 11" xfId="4931" xr:uid="{00000000-0005-0000-0000-0000990F0000}"/>
    <cellStyle name="20% - Ênfase6 16 12" xfId="4932" xr:uid="{00000000-0005-0000-0000-00009A0F0000}"/>
    <cellStyle name="20% - Ênfase6 16 13" xfId="4933" xr:uid="{00000000-0005-0000-0000-00009B0F0000}"/>
    <cellStyle name="20% - Ênfase6 16 14" xfId="4934" xr:uid="{00000000-0005-0000-0000-00009C0F0000}"/>
    <cellStyle name="20% - Ênfase6 16 15" xfId="4935" xr:uid="{00000000-0005-0000-0000-00009D0F0000}"/>
    <cellStyle name="20% - Ênfase6 16 16" xfId="4936" xr:uid="{00000000-0005-0000-0000-00009E0F0000}"/>
    <cellStyle name="20% - Ênfase6 16 17" xfId="4937" xr:uid="{00000000-0005-0000-0000-00009F0F0000}"/>
    <cellStyle name="20% - Ênfase6 16 18" xfId="4938" xr:uid="{00000000-0005-0000-0000-0000A00F0000}"/>
    <cellStyle name="20% - Ênfase6 16 19" xfId="4939" xr:uid="{00000000-0005-0000-0000-0000A10F0000}"/>
    <cellStyle name="20% - Ênfase6 16 2" xfId="4940" xr:uid="{00000000-0005-0000-0000-0000A20F0000}"/>
    <cellStyle name="20% - Ênfase6 16 20" xfId="4941" xr:uid="{00000000-0005-0000-0000-0000A30F0000}"/>
    <cellStyle name="20% - Ênfase6 16 3" xfId="4942" xr:uid="{00000000-0005-0000-0000-0000A40F0000}"/>
    <cellStyle name="20% - Ênfase6 16 4" xfId="4943" xr:uid="{00000000-0005-0000-0000-0000A50F0000}"/>
    <cellStyle name="20% - Ênfase6 16 5" xfId="4944" xr:uid="{00000000-0005-0000-0000-0000A60F0000}"/>
    <cellStyle name="20% - Ênfase6 16 6" xfId="4945" xr:uid="{00000000-0005-0000-0000-0000A70F0000}"/>
    <cellStyle name="20% - Ênfase6 16 7" xfId="4946" xr:uid="{00000000-0005-0000-0000-0000A80F0000}"/>
    <cellStyle name="20% - Ênfase6 16 8" xfId="4947" xr:uid="{00000000-0005-0000-0000-0000A90F0000}"/>
    <cellStyle name="20% - Ênfase6 16 9" xfId="4948" xr:uid="{00000000-0005-0000-0000-0000AA0F0000}"/>
    <cellStyle name="20% - Ênfase6 17" xfId="343" xr:uid="{00000000-0005-0000-0000-0000AB0F0000}"/>
    <cellStyle name="20% - Ênfase6 17 10" xfId="4949" xr:uid="{00000000-0005-0000-0000-0000AC0F0000}"/>
    <cellStyle name="20% - Ênfase6 17 11" xfId="4950" xr:uid="{00000000-0005-0000-0000-0000AD0F0000}"/>
    <cellStyle name="20% - Ênfase6 17 12" xfId="4951" xr:uid="{00000000-0005-0000-0000-0000AE0F0000}"/>
    <cellStyle name="20% - Ênfase6 17 13" xfId="4952" xr:uid="{00000000-0005-0000-0000-0000AF0F0000}"/>
    <cellStyle name="20% - Ênfase6 17 14" xfId="4953" xr:uid="{00000000-0005-0000-0000-0000B00F0000}"/>
    <cellStyle name="20% - Ênfase6 17 15" xfId="4954" xr:uid="{00000000-0005-0000-0000-0000B10F0000}"/>
    <cellStyle name="20% - Ênfase6 17 16" xfId="4955" xr:uid="{00000000-0005-0000-0000-0000B20F0000}"/>
    <cellStyle name="20% - Ênfase6 17 17" xfId="4956" xr:uid="{00000000-0005-0000-0000-0000B30F0000}"/>
    <cellStyle name="20% - Ênfase6 17 18" xfId="4957" xr:uid="{00000000-0005-0000-0000-0000B40F0000}"/>
    <cellStyle name="20% - Ênfase6 17 19" xfId="4958" xr:uid="{00000000-0005-0000-0000-0000B50F0000}"/>
    <cellStyle name="20% - Ênfase6 17 2" xfId="4959" xr:uid="{00000000-0005-0000-0000-0000B60F0000}"/>
    <cellStyle name="20% - Ênfase6 17 20" xfId="4960" xr:uid="{00000000-0005-0000-0000-0000B70F0000}"/>
    <cellStyle name="20% - Ênfase6 17 3" xfId="4961" xr:uid="{00000000-0005-0000-0000-0000B80F0000}"/>
    <cellStyle name="20% - Ênfase6 17 4" xfId="4962" xr:uid="{00000000-0005-0000-0000-0000B90F0000}"/>
    <cellStyle name="20% - Ênfase6 17 5" xfId="4963" xr:uid="{00000000-0005-0000-0000-0000BA0F0000}"/>
    <cellStyle name="20% - Ênfase6 17 6" xfId="4964" xr:uid="{00000000-0005-0000-0000-0000BB0F0000}"/>
    <cellStyle name="20% - Ênfase6 17 7" xfId="4965" xr:uid="{00000000-0005-0000-0000-0000BC0F0000}"/>
    <cellStyle name="20% - Ênfase6 17 8" xfId="4966" xr:uid="{00000000-0005-0000-0000-0000BD0F0000}"/>
    <cellStyle name="20% - Ênfase6 17 9" xfId="4967" xr:uid="{00000000-0005-0000-0000-0000BE0F0000}"/>
    <cellStyle name="20% - Ênfase6 18" xfId="361" xr:uid="{00000000-0005-0000-0000-0000BF0F0000}"/>
    <cellStyle name="20% - Ênfase6 18 10" xfId="4968" xr:uid="{00000000-0005-0000-0000-0000C00F0000}"/>
    <cellStyle name="20% - Ênfase6 18 11" xfId="4969" xr:uid="{00000000-0005-0000-0000-0000C10F0000}"/>
    <cellStyle name="20% - Ênfase6 18 12" xfId="4970" xr:uid="{00000000-0005-0000-0000-0000C20F0000}"/>
    <cellStyle name="20% - Ênfase6 18 13" xfId="4971" xr:uid="{00000000-0005-0000-0000-0000C30F0000}"/>
    <cellStyle name="20% - Ênfase6 18 14" xfId="4972" xr:uid="{00000000-0005-0000-0000-0000C40F0000}"/>
    <cellStyle name="20% - Ênfase6 18 15" xfId="4973" xr:uid="{00000000-0005-0000-0000-0000C50F0000}"/>
    <cellStyle name="20% - Ênfase6 18 16" xfId="4974" xr:uid="{00000000-0005-0000-0000-0000C60F0000}"/>
    <cellStyle name="20% - Ênfase6 18 17" xfId="4975" xr:uid="{00000000-0005-0000-0000-0000C70F0000}"/>
    <cellStyle name="20% - Ênfase6 18 18" xfId="4976" xr:uid="{00000000-0005-0000-0000-0000C80F0000}"/>
    <cellStyle name="20% - Ênfase6 18 19" xfId="4977" xr:uid="{00000000-0005-0000-0000-0000C90F0000}"/>
    <cellStyle name="20% - Ênfase6 18 2" xfId="4978" xr:uid="{00000000-0005-0000-0000-0000CA0F0000}"/>
    <cellStyle name="20% - Ênfase6 18 20" xfId="4979" xr:uid="{00000000-0005-0000-0000-0000CB0F0000}"/>
    <cellStyle name="20% - Ênfase6 18 3" xfId="4980" xr:uid="{00000000-0005-0000-0000-0000CC0F0000}"/>
    <cellStyle name="20% - Ênfase6 18 4" xfId="4981" xr:uid="{00000000-0005-0000-0000-0000CD0F0000}"/>
    <cellStyle name="20% - Ênfase6 18 5" xfId="4982" xr:uid="{00000000-0005-0000-0000-0000CE0F0000}"/>
    <cellStyle name="20% - Ênfase6 18 6" xfId="4983" xr:uid="{00000000-0005-0000-0000-0000CF0F0000}"/>
    <cellStyle name="20% - Ênfase6 18 7" xfId="4984" xr:uid="{00000000-0005-0000-0000-0000D00F0000}"/>
    <cellStyle name="20% - Ênfase6 18 8" xfId="4985" xr:uid="{00000000-0005-0000-0000-0000D10F0000}"/>
    <cellStyle name="20% - Ênfase6 18 9" xfId="4986" xr:uid="{00000000-0005-0000-0000-0000D20F0000}"/>
    <cellStyle name="20% - Ênfase6 19" xfId="381" xr:uid="{00000000-0005-0000-0000-0000D30F0000}"/>
    <cellStyle name="20% - Ênfase6 19 10" xfId="4987" xr:uid="{00000000-0005-0000-0000-0000D40F0000}"/>
    <cellStyle name="20% - Ênfase6 19 11" xfId="4988" xr:uid="{00000000-0005-0000-0000-0000D50F0000}"/>
    <cellStyle name="20% - Ênfase6 19 12" xfId="4989" xr:uid="{00000000-0005-0000-0000-0000D60F0000}"/>
    <cellStyle name="20% - Ênfase6 19 13" xfId="4990" xr:uid="{00000000-0005-0000-0000-0000D70F0000}"/>
    <cellStyle name="20% - Ênfase6 19 14" xfId="4991" xr:uid="{00000000-0005-0000-0000-0000D80F0000}"/>
    <cellStyle name="20% - Ênfase6 19 15" xfId="4992" xr:uid="{00000000-0005-0000-0000-0000D90F0000}"/>
    <cellStyle name="20% - Ênfase6 19 16" xfId="4993" xr:uid="{00000000-0005-0000-0000-0000DA0F0000}"/>
    <cellStyle name="20% - Ênfase6 19 17" xfId="4994" xr:uid="{00000000-0005-0000-0000-0000DB0F0000}"/>
    <cellStyle name="20% - Ênfase6 19 18" xfId="4995" xr:uid="{00000000-0005-0000-0000-0000DC0F0000}"/>
    <cellStyle name="20% - Ênfase6 19 19" xfId="4996" xr:uid="{00000000-0005-0000-0000-0000DD0F0000}"/>
    <cellStyle name="20% - Ênfase6 19 2" xfId="4997" xr:uid="{00000000-0005-0000-0000-0000DE0F0000}"/>
    <cellStyle name="20% - Ênfase6 19 20" xfId="4998" xr:uid="{00000000-0005-0000-0000-0000DF0F0000}"/>
    <cellStyle name="20% - Ênfase6 19 3" xfId="4999" xr:uid="{00000000-0005-0000-0000-0000E00F0000}"/>
    <cellStyle name="20% - Ênfase6 19 4" xfId="5000" xr:uid="{00000000-0005-0000-0000-0000E10F0000}"/>
    <cellStyle name="20% - Ênfase6 19 5" xfId="5001" xr:uid="{00000000-0005-0000-0000-0000E20F0000}"/>
    <cellStyle name="20% - Ênfase6 19 6" xfId="5002" xr:uid="{00000000-0005-0000-0000-0000E30F0000}"/>
    <cellStyle name="20% - Ênfase6 19 7" xfId="5003" xr:uid="{00000000-0005-0000-0000-0000E40F0000}"/>
    <cellStyle name="20% - Ênfase6 19 8" xfId="5004" xr:uid="{00000000-0005-0000-0000-0000E50F0000}"/>
    <cellStyle name="20% - Ênfase6 19 9" xfId="5005" xr:uid="{00000000-0005-0000-0000-0000E60F0000}"/>
    <cellStyle name="20% - Ênfase6 2" xfId="88" xr:uid="{00000000-0005-0000-0000-0000E70F0000}"/>
    <cellStyle name="20% - Ênfase6 2 10" xfId="5006" xr:uid="{00000000-0005-0000-0000-0000E80F0000}"/>
    <cellStyle name="20% - Ênfase6 2 11" xfId="5007" xr:uid="{00000000-0005-0000-0000-0000E90F0000}"/>
    <cellStyle name="20% - Ênfase6 2 12" xfId="5008" xr:uid="{00000000-0005-0000-0000-0000EA0F0000}"/>
    <cellStyle name="20% - Ênfase6 2 13" xfId="5009" xr:uid="{00000000-0005-0000-0000-0000EB0F0000}"/>
    <cellStyle name="20% - Ênfase6 2 14" xfId="5010" xr:uid="{00000000-0005-0000-0000-0000EC0F0000}"/>
    <cellStyle name="20% - Ênfase6 2 15" xfId="5011" xr:uid="{00000000-0005-0000-0000-0000ED0F0000}"/>
    <cellStyle name="20% - Ênfase6 2 16" xfId="5012" xr:uid="{00000000-0005-0000-0000-0000EE0F0000}"/>
    <cellStyle name="20% - Ênfase6 2 17" xfId="5013" xr:uid="{00000000-0005-0000-0000-0000EF0F0000}"/>
    <cellStyle name="20% - Ênfase6 2 18" xfId="5014" xr:uid="{00000000-0005-0000-0000-0000F00F0000}"/>
    <cellStyle name="20% - Ênfase6 2 19" xfId="5015" xr:uid="{00000000-0005-0000-0000-0000F10F0000}"/>
    <cellStyle name="20% - Ênfase6 2 2" xfId="5016" xr:uid="{00000000-0005-0000-0000-0000F20F0000}"/>
    <cellStyle name="20% - Ênfase6 2 20" xfId="5017" xr:uid="{00000000-0005-0000-0000-0000F30F0000}"/>
    <cellStyle name="20% - Ênfase6 2 3" xfId="5018" xr:uid="{00000000-0005-0000-0000-0000F40F0000}"/>
    <cellStyle name="20% - Ênfase6 2 4" xfId="5019" xr:uid="{00000000-0005-0000-0000-0000F50F0000}"/>
    <cellStyle name="20% - Ênfase6 2 5" xfId="5020" xr:uid="{00000000-0005-0000-0000-0000F60F0000}"/>
    <cellStyle name="20% - Ênfase6 2 6" xfId="5021" xr:uid="{00000000-0005-0000-0000-0000F70F0000}"/>
    <cellStyle name="20% - Ênfase6 2 7" xfId="5022" xr:uid="{00000000-0005-0000-0000-0000F80F0000}"/>
    <cellStyle name="20% - Ênfase6 2 8" xfId="5023" xr:uid="{00000000-0005-0000-0000-0000F90F0000}"/>
    <cellStyle name="20% - Ênfase6 2 9" xfId="5024" xr:uid="{00000000-0005-0000-0000-0000FA0F0000}"/>
    <cellStyle name="20% - Ênfase6 20" xfId="399" xr:uid="{00000000-0005-0000-0000-0000FB0F0000}"/>
    <cellStyle name="20% - Ênfase6 20 10" xfId="5025" xr:uid="{00000000-0005-0000-0000-0000FC0F0000}"/>
    <cellStyle name="20% - Ênfase6 20 11" xfId="5026" xr:uid="{00000000-0005-0000-0000-0000FD0F0000}"/>
    <cellStyle name="20% - Ênfase6 20 12" xfId="5027" xr:uid="{00000000-0005-0000-0000-0000FE0F0000}"/>
    <cellStyle name="20% - Ênfase6 20 13" xfId="5028" xr:uid="{00000000-0005-0000-0000-0000FF0F0000}"/>
    <cellStyle name="20% - Ênfase6 20 14" xfId="5029" xr:uid="{00000000-0005-0000-0000-000000100000}"/>
    <cellStyle name="20% - Ênfase6 20 15" xfId="5030" xr:uid="{00000000-0005-0000-0000-000001100000}"/>
    <cellStyle name="20% - Ênfase6 20 16" xfId="5031" xr:uid="{00000000-0005-0000-0000-000002100000}"/>
    <cellStyle name="20% - Ênfase6 20 17" xfId="5032" xr:uid="{00000000-0005-0000-0000-000003100000}"/>
    <cellStyle name="20% - Ênfase6 20 18" xfId="5033" xr:uid="{00000000-0005-0000-0000-000004100000}"/>
    <cellStyle name="20% - Ênfase6 20 19" xfId="5034" xr:uid="{00000000-0005-0000-0000-000005100000}"/>
    <cellStyle name="20% - Ênfase6 20 2" xfId="5035" xr:uid="{00000000-0005-0000-0000-000006100000}"/>
    <cellStyle name="20% - Ênfase6 20 20" xfId="5036" xr:uid="{00000000-0005-0000-0000-000007100000}"/>
    <cellStyle name="20% - Ênfase6 20 3" xfId="5037" xr:uid="{00000000-0005-0000-0000-000008100000}"/>
    <cellStyle name="20% - Ênfase6 20 4" xfId="5038" xr:uid="{00000000-0005-0000-0000-000009100000}"/>
    <cellStyle name="20% - Ênfase6 20 5" xfId="5039" xr:uid="{00000000-0005-0000-0000-00000A100000}"/>
    <cellStyle name="20% - Ênfase6 20 6" xfId="5040" xr:uid="{00000000-0005-0000-0000-00000B100000}"/>
    <cellStyle name="20% - Ênfase6 20 7" xfId="5041" xr:uid="{00000000-0005-0000-0000-00000C100000}"/>
    <cellStyle name="20% - Ênfase6 20 8" xfId="5042" xr:uid="{00000000-0005-0000-0000-00000D100000}"/>
    <cellStyle name="20% - Ênfase6 20 9" xfId="5043" xr:uid="{00000000-0005-0000-0000-00000E100000}"/>
    <cellStyle name="20% - Ênfase6 21" xfId="417" xr:uid="{00000000-0005-0000-0000-00000F100000}"/>
    <cellStyle name="20% - Ênfase6 21 10" xfId="5044" xr:uid="{00000000-0005-0000-0000-000010100000}"/>
    <cellStyle name="20% - Ênfase6 21 11" xfId="5045" xr:uid="{00000000-0005-0000-0000-000011100000}"/>
    <cellStyle name="20% - Ênfase6 21 12" xfId="5046" xr:uid="{00000000-0005-0000-0000-000012100000}"/>
    <cellStyle name="20% - Ênfase6 21 13" xfId="5047" xr:uid="{00000000-0005-0000-0000-000013100000}"/>
    <cellStyle name="20% - Ênfase6 21 14" xfId="5048" xr:uid="{00000000-0005-0000-0000-000014100000}"/>
    <cellStyle name="20% - Ênfase6 21 15" xfId="5049" xr:uid="{00000000-0005-0000-0000-000015100000}"/>
    <cellStyle name="20% - Ênfase6 21 16" xfId="5050" xr:uid="{00000000-0005-0000-0000-000016100000}"/>
    <cellStyle name="20% - Ênfase6 21 17" xfId="5051" xr:uid="{00000000-0005-0000-0000-000017100000}"/>
    <cellStyle name="20% - Ênfase6 21 18" xfId="5052" xr:uid="{00000000-0005-0000-0000-000018100000}"/>
    <cellStyle name="20% - Ênfase6 21 19" xfId="5053" xr:uid="{00000000-0005-0000-0000-000019100000}"/>
    <cellStyle name="20% - Ênfase6 21 2" xfId="5054" xr:uid="{00000000-0005-0000-0000-00001A100000}"/>
    <cellStyle name="20% - Ênfase6 21 20" xfId="5055" xr:uid="{00000000-0005-0000-0000-00001B100000}"/>
    <cellStyle name="20% - Ênfase6 21 3" xfId="5056" xr:uid="{00000000-0005-0000-0000-00001C100000}"/>
    <cellStyle name="20% - Ênfase6 21 4" xfId="5057" xr:uid="{00000000-0005-0000-0000-00001D100000}"/>
    <cellStyle name="20% - Ênfase6 21 5" xfId="5058" xr:uid="{00000000-0005-0000-0000-00001E100000}"/>
    <cellStyle name="20% - Ênfase6 21 6" xfId="5059" xr:uid="{00000000-0005-0000-0000-00001F100000}"/>
    <cellStyle name="20% - Ênfase6 21 7" xfId="5060" xr:uid="{00000000-0005-0000-0000-000020100000}"/>
    <cellStyle name="20% - Ênfase6 21 8" xfId="5061" xr:uid="{00000000-0005-0000-0000-000021100000}"/>
    <cellStyle name="20% - Ênfase6 21 9" xfId="5062" xr:uid="{00000000-0005-0000-0000-000022100000}"/>
    <cellStyle name="20% - Ênfase6 22" xfId="435" xr:uid="{00000000-0005-0000-0000-000023100000}"/>
    <cellStyle name="20% - Ênfase6 22 10" xfId="5063" xr:uid="{00000000-0005-0000-0000-000024100000}"/>
    <cellStyle name="20% - Ênfase6 22 11" xfId="5064" xr:uid="{00000000-0005-0000-0000-000025100000}"/>
    <cellStyle name="20% - Ênfase6 22 12" xfId="5065" xr:uid="{00000000-0005-0000-0000-000026100000}"/>
    <cellStyle name="20% - Ênfase6 22 13" xfId="5066" xr:uid="{00000000-0005-0000-0000-000027100000}"/>
    <cellStyle name="20% - Ênfase6 22 14" xfId="5067" xr:uid="{00000000-0005-0000-0000-000028100000}"/>
    <cellStyle name="20% - Ênfase6 22 15" xfId="5068" xr:uid="{00000000-0005-0000-0000-000029100000}"/>
    <cellStyle name="20% - Ênfase6 22 16" xfId="5069" xr:uid="{00000000-0005-0000-0000-00002A100000}"/>
    <cellStyle name="20% - Ênfase6 22 17" xfId="5070" xr:uid="{00000000-0005-0000-0000-00002B100000}"/>
    <cellStyle name="20% - Ênfase6 22 18" xfId="5071" xr:uid="{00000000-0005-0000-0000-00002C100000}"/>
    <cellStyle name="20% - Ênfase6 22 19" xfId="5072" xr:uid="{00000000-0005-0000-0000-00002D100000}"/>
    <cellStyle name="20% - Ênfase6 22 2" xfId="5073" xr:uid="{00000000-0005-0000-0000-00002E100000}"/>
    <cellStyle name="20% - Ênfase6 22 20" xfId="5074" xr:uid="{00000000-0005-0000-0000-00002F100000}"/>
    <cellStyle name="20% - Ênfase6 22 3" xfId="5075" xr:uid="{00000000-0005-0000-0000-000030100000}"/>
    <cellStyle name="20% - Ênfase6 22 4" xfId="5076" xr:uid="{00000000-0005-0000-0000-000031100000}"/>
    <cellStyle name="20% - Ênfase6 22 5" xfId="5077" xr:uid="{00000000-0005-0000-0000-000032100000}"/>
    <cellStyle name="20% - Ênfase6 22 6" xfId="5078" xr:uid="{00000000-0005-0000-0000-000033100000}"/>
    <cellStyle name="20% - Ênfase6 22 7" xfId="5079" xr:uid="{00000000-0005-0000-0000-000034100000}"/>
    <cellStyle name="20% - Ênfase6 22 8" xfId="5080" xr:uid="{00000000-0005-0000-0000-000035100000}"/>
    <cellStyle name="20% - Ênfase6 22 9" xfId="5081" xr:uid="{00000000-0005-0000-0000-000036100000}"/>
    <cellStyle name="20% - Ênfase6 23" xfId="453" xr:uid="{00000000-0005-0000-0000-000037100000}"/>
    <cellStyle name="20% - Ênfase6 23 10" xfId="5082" xr:uid="{00000000-0005-0000-0000-000038100000}"/>
    <cellStyle name="20% - Ênfase6 23 11" xfId="5083" xr:uid="{00000000-0005-0000-0000-000039100000}"/>
    <cellStyle name="20% - Ênfase6 23 12" xfId="5084" xr:uid="{00000000-0005-0000-0000-00003A100000}"/>
    <cellStyle name="20% - Ênfase6 23 13" xfId="5085" xr:uid="{00000000-0005-0000-0000-00003B100000}"/>
    <cellStyle name="20% - Ênfase6 23 14" xfId="5086" xr:uid="{00000000-0005-0000-0000-00003C100000}"/>
    <cellStyle name="20% - Ênfase6 23 15" xfId="5087" xr:uid="{00000000-0005-0000-0000-00003D100000}"/>
    <cellStyle name="20% - Ênfase6 23 16" xfId="5088" xr:uid="{00000000-0005-0000-0000-00003E100000}"/>
    <cellStyle name="20% - Ênfase6 23 17" xfId="5089" xr:uid="{00000000-0005-0000-0000-00003F100000}"/>
    <cellStyle name="20% - Ênfase6 23 18" xfId="5090" xr:uid="{00000000-0005-0000-0000-000040100000}"/>
    <cellStyle name="20% - Ênfase6 23 19" xfId="5091" xr:uid="{00000000-0005-0000-0000-000041100000}"/>
    <cellStyle name="20% - Ênfase6 23 2" xfId="5092" xr:uid="{00000000-0005-0000-0000-000042100000}"/>
    <cellStyle name="20% - Ênfase6 23 20" xfId="5093" xr:uid="{00000000-0005-0000-0000-000043100000}"/>
    <cellStyle name="20% - Ênfase6 23 3" xfId="5094" xr:uid="{00000000-0005-0000-0000-000044100000}"/>
    <cellStyle name="20% - Ênfase6 23 4" xfId="5095" xr:uid="{00000000-0005-0000-0000-000045100000}"/>
    <cellStyle name="20% - Ênfase6 23 5" xfId="5096" xr:uid="{00000000-0005-0000-0000-000046100000}"/>
    <cellStyle name="20% - Ênfase6 23 6" xfId="5097" xr:uid="{00000000-0005-0000-0000-000047100000}"/>
    <cellStyle name="20% - Ênfase6 23 7" xfId="5098" xr:uid="{00000000-0005-0000-0000-000048100000}"/>
    <cellStyle name="20% - Ênfase6 23 8" xfId="5099" xr:uid="{00000000-0005-0000-0000-000049100000}"/>
    <cellStyle name="20% - Ênfase6 23 9" xfId="5100" xr:uid="{00000000-0005-0000-0000-00004A100000}"/>
    <cellStyle name="20% - Ênfase6 24" xfId="471" xr:uid="{00000000-0005-0000-0000-00004B100000}"/>
    <cellStyle name="20% - Ênfase6 24 10" xfId="5101" xr:uid="{00000000-0005-0000-0000-00004C100000}"/>
    <cellStyle name="20% - Ênfase6 24 11" xfId="5102" xr:uid="{00000000-0005-0000-0000-00004D100000}"/>
    <cellStyle name="20% - Ênfase6 24 12" xfId="5103" xr:uid="{00000000-0005-0000-0000-00004E100000}"/>
    <cellStyle name="20% - Ênfase6 24 13" xfId="5104" xr:uid="{00000000-0005-0000-0000-00004F100000}"/>
    <cellStyle name="20% - Ênfase6 24 14" xfId="5105" xr:uid="{00000000-0005-0000-0000-000050100000}"/>
    <cellStyle name="20% - Ênfase6 24 15" xfId="5106" xr:uid="{00000000-0005-0000-0000-000051100000}"/>
    <cellStyle name="20% - Ênfase6 24 16" xfId="5107" xr:uid="{00000000-0005-0000-0000-000052100000}"/>
    <cellStyle name="20% - Ênfase6 24 17" xfId="5108" xr:uid="{00000000-0005-0000-0000-000053100000}"/>
    <cellStyle name="20% - Ênfase6 24 18" xfId="5109" xr:uid="{00000000-0005-0000-0000-000054100000}"/>
    <cellStyle name="20% - Ênfase6 24 19" xfId="5110" xr:uid="{00000000-0005-0000-0000-000055100000}"/>
    <cellStyle name="20% - Ênfase6 24 2" xfId="5111" xr:uid="{00000000-0005-0000-0000-000056100000}"/>
    <cellStyle name="20% - Ênfase6 24 20" xfId="5112" xr:uid="{00000000-0005-0000-0000-000057100000}"/>
    <cellStyle name="20% - Ênfase6 24 3" xfId="5113" xr:uid="{00000000-0005-0000-0000-000058100000}"/>
    <cellStyle name="20% - Ênfase6 24 4" xfId="5114" xr:uid="{00000000-0005-0000-0000-000059100000}"/>
    <cellStyle name="20% - Ênfase6 24 5" xfId="5115" xr:uid="{00000000-0005-0000-0000-00005A100000}"/>
    <cellStyle name="20% - Ênfase6 24 6" xfId="5116" xr:uid="{00000000-0005-0000-0000-00005B100000}"/>
    <cellStyle name="20% - Ênfase6 24 7" xfId="5117" xr:uid="{00000000-0005-0000-0000-00005C100000}"/>
    <cellStyle name="20% - Ênfase6 24 8" xfId="5118" xr:uid="{00000000-0005-0000-0000-00005D100000}"/>
    <cellStyle name="20% - Ênfase6 24 9" xfId="5119" xr:uid="{00000000-0005-0000-0000-00005E100000}"/>
    <cellStyle name="20% - Ênfase6 25" xfId="489" xr:uid="{00000000-0005-0000-0000-00005F100000}"/>
    <cellStyle name="20% - Ênfase6 25 10" xfId="5120" xr:uid="{00000000-0005-0000-0000-000060100000}"/>
    <cellStyle name="20% - Ênfase6 25 11" xfId="5121" xr:uid="{00000000-0005-0000-0000-000061100000}"/>
    <cellStyle name="20% - Ênfase6 25 12" xfId="5122" xr:uid="{00000000-0005-0000-0000-000062100000}"/>
    <cellStyle name="20% - Ênfase6 25 13" xfId="5123" xr:uid="{00000000-0005-0000-0000-000063100000}"/>
    <cellStyle name="20% - Ênfase6 25 14" xfId="5124" xr:uid="{00000000-0005-0000-0000-000064100000}"/>
    <cellStyle name="20% - Ênfase6 25 15" xfId="5125" xr:uid="{00000000-0005-0000-0000-000065100000}"/>
    <cellStyle name="20% - Ênfase6 25 16" xfId="5126" xr:uid="{00000000-0005-0000-0000-000066100000}"/>
    <cellStyle name="20% - Ênfase6 25 17" xfId="5127" xr:uid="{00000000-0005-0000-0000-000067100000}"/>
    <cellStyle name="20% - Ênfase6 25 18" xfId="5128" xr:uid="{00000000-0005-0000-0000-000068100000}"/>
    <cellStyle name="20% - Ênfase6 25 19" xfId="5129" xr:uid="{00000000-0005-0000-0000-000069100000}"/>
    <cellStyle name="20% - Ênfase6 25 2" xfId="5130" xr:uid="{00000000-0005-0000-0000-00006A100000}"/>
    <cellStyle name="20% - Ênfase6 25 20" xfId="5131" xr:uid="{00000000-0005-0000-0000-00006B100000}"/>
    <cellStyle name="20% - Ênfase6 25 3" xfId="5132" xr:uid="{00000000-0005-0000-0000-00006C100000}"/>
    <cellStyle name="20% - Ênfase6 25 4" xfId="5133" xr:uid="{00000000-0005-0000-0000-00006D100000}"/>
    <cellStyle name="20% - Ênfase6 25 5" xfId="5134" xr:uid="{00000000-0005-0000-0000-00006E100000}"/>
    <cellStyle name="20% - Ênfase6 25 6" xfId="5135" xr:uid="{00000000-0005-0000-0000-00006F100000}"/>
    <cellStyle name="20% - Ênfase6 25 7" xfId="5136" xr:uid="{00000000-0005-0000-0000-000070100000}"/>
    <cellStyle name="20% - Ênfase6 25 8" xfId="5137" xr:uid="{00000000-0005-0000-0000-000071100000}"/>
    <cellStyle name="20% - Ênfase6 25 9" xfId="5138" xr:uid="{00000000-0005-0000-0000-000072100000}"/>
    <cellStyle name="20% - Ênfase6 26" xfId="507" xr:uid="{00000000-0005-0000-0000-000073100000}"/>
    <cellStyle name="20% - Ênfase6 26 10" xfId="5139" xr:uid="{00000000-0005-0000-0000-000074100000}"/>
    <cellStyle name="20% - Ênfase6 26 11" xfId="5140" xr:uid="{00000000-0005-0000-0000-000075100000}"/>
    <cellStyle name="20% - Ênfase6 26 12" xfId="5141" xr:uid="{00000000-0005-0000-0000-000076100000}"/>
    <cellStyle name="20% - Ênfase6 26 13" xfId="5142" xr:uid="{00000000-0005-0000-0000-000077100000}"/>
    <cellStyle name="20% - Ênfase6 26 14" xfId="5143" xr:uid="{00000000-0005-0000-0000-000078100000}"/>
    <cellStyle name="20% - Ênfase6 26 15" xfId="5144" xr:uid="{00000000-0005-0000-0000-000079100000}"/>
    <cellStyle name="20% - Ênfase6 26 16" xfId="5145" xr:uid="{00000000-0005-0000-0000-00007A100000}"/>
    <cellStyle name="20% - Ênfase6 26 17" xfId="5146" xr:uid="{00000000-0005-0000-0000-00007B100000}"/>
    <cellStyle name="20% - Ênfase6 26 18" xfId="5147" xr:uid="{00000000-0005-0000-0000-00007C100000}"/>
    <cellStyle name="20% - Ênfase6 26 19" xfId="5148" xr:uid="{00000000-0005-0000-0000-00007D100000}"/>
    <cellStyle name="20% - Ênfase6 26 2" xfId="5149" xr:uid="{00000000-0005-0000-0000-00007E100000}"/>
    <cellStyle name="20% - Ênfase6 26 20" xfId="5150" xr:uid="{00000000-0005-0000-0000-00007F100000}"/>
    <cellStyle name="20% - Ênfase6 26 3" xfId="5151" xr:uid="{00000000-0005-0000-0000-000080100000}"/>
    <cellStyle name="20% - Ênfase6 26 4" xfId="5152" xr:uid="{00000000-0005-0000-0000-000081100000}"/>
    <cellStyle name="20% - Ênfase6 26 5" xfId="5153" xr:uid="{00000000-0005-0000-0000-000082100000}"/>
    <cellStyle name="20% - Ênfase6 26 6" xfId="5154" xr:uid="{00000000-0005-0000-0000-000083100000}"/>
    <cellStyle name="20% - Ênfase6 26 7" xfId="5155" xr:uid="{00000000-0005-0000-0000-000084100000}"/>
    <cellStyle name="20% - Ênfase6 26 8" xfId="5156" xr:uid="{00000000-0005-0000-0000-000085100000}"/>
    <cellStyle name="20% - Ênfase6 26 9" xfId="5157" xr:uid="{00000000-0005-0000-0000-000086100000}"/>
    <cellStyle name="20% - Ênfase6 27" xfId="525" xr:uid="{00000000-0005-0000-0000-000087100000}"/>
    <cellStyle name="20% - Ênfase6 27 10" xfId="5158" xr:uid="{00000000-0005-0000-0000-000088100000}"/>
    <cellStyle name="20% - Ênfase6 27 11" xfId="5159" xr:uid="{00000000-0005-0000-0000-000089100000}"/>
    <cellStyle name="20% - Ênfase6 27 12" xfId="5160" xr:uid="{00000000-0005-0000-0000-00008A100000}"/>
    <cellStyle name="20% - Ênfase6 27 13" xfId="5161" xr:uid="{00000000-0005-0000-0000-00008B100000}"/>
    <cellStyle name="20% - Ênfase6 27 14" xfId="5162" xr:uid="{00000000-0005-0000-0000-00008C100000}"/>
    <cellStyle name="20% - Ênfase6 27 15" xfId="5163" xr:uid="{00000000-0005-0000-0000-00008D100000}"/>
    <cellStyle name="20% - Ênfase6 27 16" xfId="5164" xr:uid="{00000000-0005-0000-0000-00008E100000}"/>
    <cellStyle name="20% - Ênfase6 27 17" xfId="5165" xr:uid="{00000000-0005-0000-0000-00008F100000}"/>
    <cellStyle name="20% - Ênfase6 27 18" xfId="5166" xr:uid="{00000000-0005-0000-0000-000090100000}"/>
    <cellStyle name="20% - Ênfase6 27 19" xfId="5167" xr:uid="{00000000-0005-0000-0000-000091100000}"/>
    <cellStyle name="20% - Ênfase6 27 2" xfId="5168" xr:uid="{00000000-0005-0000-0000-000092100000}"/>
    <cellStyle name="20% - Ênfase6 27 20" xfId="5169" xr:uid="{00000000-0005-0000-0000-000093100000}"/>
    <cellStyle name="20% - Ênfase6 27 3" xfId="5170" xr:uid="{00000000-0005-0000-0000-000094100000}"/>
    <cellStyle name="20% - Ênfase6 27 4" xfId="5171" xr:uid="{00000000-0005-0000-0000-000095100000}"/>
    <cellStyle name="20% - Ênfase6 27 5" xfId="5172" xr:uid="{00000000-0005-0000-0000-000096100000}"/>
    <cellStyle name="20% - Ênfase6 27 6" xfId="5173" xr:uid="{00000000-0005-0000-0000-000097100000}"/>
    <cellStyle name="20% - Ênfase6 27 7" xfId="5174" xr:uid="{00000000-0005-0000-0000-000098100000}"/>
    <cellStyle name="20% - Ênfase6 27 8" xfId="5175" xr:uid="{00000000-0005-0000-0000-000099100000}"/>
    <cellStyle name="20% - Ênfase6 27 9" xfId="5176" xr:uid="{00000000-0005-0000-0000-00009A100000}"/>
    <cellStyle name="20% - Ênfase6 28" xfId="543" xr:uid="{00000000-0005-0000-0000-00009B100000}"/>
    <cellStyle name="20% - Ênfase6 28 10" xfId="5177" xr:uid="{00000000-0005-0000-0000-00009C100000}"/>
    <cellStyle name="20% - Ênfase6 28 11" xfId="5178" xr:uid="{00000000-0005-0000-0000-00009D100000}"/>
    <cellStyle name="20% - Ênfase6 28 12" xfId="5179" xr:uid="{00000000-0005-0000-0000-00009E100000}"/>
    <cellStyle name="20% - Ênfase6 28 13" xfId="5180" xr:uid="{00000000-0005-0000-0000-00009F100000}"/>
    <cellStyle name="20% - Ênfase6 28 14" xfId="5181" xr:uid="{00000000-0005-0000-0000-0000A0100000}"/>
    <cellStyle name="20% - Ênfase6 28 15" xfId="5182" xr:uid="{00000000-0005-0000-0000-0000A1100000}"/>
    <cellStyle name="20% - Ênfase6 28 16" xfId="5183" xr:uid="{00000000-0005-0000-0000-0000A2100000}"/>
    <cellStyle name="20% - Ênfase6 28 17" xfId="5184" xr:uid="{00000000-0005-0000-0000-0000A3100000}"/>
    <cellStyle name="20% - Ênfase6 28 18" xfId="5185" xr:uid="{00000000-0005-0000-0000-0000A4100000}"/>
    <cellStyle name="20% - Ênfase6 28 19" xfId="5186" xr:uid="{00000000-0005-0000-0000-0000A5100000}"/>
    <cellStyle name="20% - Ênfase6 28 2" xfId="5187" xr:uid="{00000000-0005-0000-0000-0000A6100000}"/>
    <cellStyle name="20% - Ênfase6 28 20" xfId="5188" xr:uid="{00000000-0005-0000-0000-0000A7100000}"/>
    <cellStyle name="20% - Ênfase6 28 3" xfId="5189" xr:uid="{00000000-0005-0000-0000-0000A8100000}"/>
    <cellStyle name="20% - Ênfase6 28 4" xfId="5190" xr:uid="{00000000-0005-0000-0000-0000A9100000}"/>
    <cellStyle name="20% - Ênfase6 28 5" xfId="5191" xr:uid="{00000000-0005-0000-0000-0000AA100000}"/>
    <cellStyle name="20% - Ênfase6 28 6" xfId="5192" xr:uid="{00000000-0005-0000-0000-0000AB100000}"/>
    <cellStyle name="20% - Ênfase6 28 7" xfId="5193" xr:uid="{00000000-0005-0000-0000-0000AC100000}"/>
    <cellStyle name="20% - Ênfase6 28 8" xfId="5194" xr:uid="{00000000-0005-0000-0000-0000AD100000}"/>
    <cellStyle name="20% - Ênfase6 28 9" xfId="5195" xr:uid="{00000000-0005-0000-0000-0000AE100000}"/>
    <cellStyle name="20% - Ênfase6 29" xfId="561" xr:uid="{00000000-0005-0000-0000-0000AF100000}"/>
    <cellStyle name="20% - Ênfase6 29 10" xfId="5196" xr:uid="{00000000-0005-0000-0000-0000B0100000}"/>
    <cellStyle name="20% - Ênfase6 29 11" xfId="5197" xr:uid="{00000000-0005-0000-0000-0000B1100000}"/>
    <cellStyle name="20% - Ênfase6 29 12" xfId="5198" xr:uid="{00000000-0005-0000-0000-0000B2100000}"/>
    <cellStyle name="20% - Ênfase6 29 13" xfId="5199" xr:uid="{00000000-0005-0000-0000-0000B3100000}"/>
    <cellStyle name="20% - Ênfase6 29 14" xfId="5200" xr:uid="{00000000-0005-0000-0000-0000B4100000}"/>
    <cellStyle name="20% - Ênfase6 29 15" xfId="5201" xr:uid="{00000000-0005-0000-0000-0000B5100000}"/>
    <cellStyle name="20% - Ênfase6 29 16" xfId="5202" xr:uid="{00000000-0005-0000-0000-0000B6100000}"/>
    <cellStyle name="20% - Ênfase6 29 17" xfId="5203" xr:uid="{00000000-0005-0000-0000-0000B7100000}"/>
    <cellStyle name="20% - Ênfase6 29 18" xfId="5204" xr:uid="{00000000-0005-0000-0000-0000B8100000}"/>
    <cellStyle name="20% - Ênfase6 29 19" xfId="5205" xr:uid="{00000000-0005-0000-0000-0000B9100000}"/>
    <cellStyle name="20% - Ênfase6 29 2" xfId="5206" xr:uid="{00000000-0005-0000-0000-0000BA100000}"/>
    <cellStyle name="20% - Ênfase6 29 20" xfId="5207" xr:uid="{00000000-0005-0000-0000-0000BB100000}"/>
    <cellStyle name="20% - Ênfase6 29 3" xfId="5208" xr:uid="{00000000-0005-0000-0000-0000BC100000}"/>
    <cellStyle name="20% - Ênfase6 29 4" xfId="5209" xr:uid="{00000000-0005-0000-0000-0000BD100000}"/>
    <cellStyle name="20% - Ênfase6 29 5" xfId="5210" xr:uid="{00000000-0005-0000-0000-0000BE100000}"/>
    <cellStyle name="20% - Ênfase6 29 6" xfId="5211" xr:uid="{00000000-0005-0000-0000-0000BF100000}"/>
    <cellStyle name="20% - Ênfase6 29 7" xfId="5212" xr:uid="{00000000-0005-0000-0000-0000C0100000}"/>
    <cellStyle name="20% - Ênfase6 29 8" xfId="5213" xr:uid="{00000000-0005-0000-0000-0000C1100000}"/>
    <cellStyle name="20% - Ênfase6 29 9" xfId="5214" xr:uid="{00000000-0005-0000-0000-0000C2100000}"/>
    <cellStyle name="20% - Ênfase6 3" xfId="105" xr:uid="{00000000-0005-0000-0000-0000C3100000}"/>
    <cellStyle name="20% - Ênfase6 3 10" xfId="5215" xr:uid="{00000000-0005-0000-0000-0000C4100000}"/>
    <cellStyle name="20% - Ênfase6 3 11" xfId="5216" xr:uid="{00000000-0005-0000-0000-0000C5100000}"/>
    <cellStyle name="20% - Ênfase6 3 12" xfId="5217" xr:uid="{00000000-0005-0000-0000-0000C6100000}"/>
    <cellStyle name="20% - Ênfase6 3 13" xfId="5218" xr:uid="{00000000-0005-0000-0000-0000C7100000}"/>
    <cellStyle name="20% - Ênfase6 3 14" xfId="5219" xr:uid="{00000000-0005-0000-0000-0000C8100000}"/>
    <cellStyle name="20% - Ênfase6 3 15" xfId="5220" xr:uid="{00000000-0005-0000-0000-0000C9100000}"/>
    <cellStyle name="20% - Ênfase6 3 16" xfId="5221" xr:uid="{00000000-0005-0000-0000-0000CA100000}"/>
    <cellStyle name="20% - Ênfase6 3 17" xfId="5222" xr:uid="{00000000-0005-0000-0000-0000CB100000}"/>
    <cellStyle name="20% - Ênfase6 3 18" xfId="5223" xr:uid="{00000000-0005-0000-0000-0000CC100000}"/>
    <cellStyle name="20% - Ênfase6 3 19" xfId="5224" xr:uid="{00000000-0005-0000-0000-0000CD100000}"/>
    <cellStyle name="20% - Ênfase6 3 2" xfId="5225" xr:uid="{00000000-0005-0000-0000-0000CE100000}"/>
    <cellStyle name="20% - Ênfase6 3 20" xfId="5226" xr:uid="{00000000-0005-0000-0000-0000CF100000}"/>
    <cellStyle name="20% - Ênfase6 3 3" xfId="5227" xr:uid="{00000000-0005-0000-0000-0000D0100000}"/>
    <cellStyle name="20% - Ênfase6 3 4" xfId="5228" xr:uid="{00000000-0005-0000-0000-0000D1100000}"/>
    <cellStyle name="20% - Ênfase6 3 5" xfId="5229" xr:uid="{00000000-0005-0000-0000-0000D2100000}"/>
    <cellStyle name="20% - Ênfase6 3 6" xfId="5230" xr:uid="{00000000-0005-0000-0000-0000D3100000}"/>
    <cellStyle name="20% - Ênfase6 3 7" xfId="5231" xr:uid="{00000000-0005-0000-0000-0000D4100000}"/>
    <cellStyle name="20% - Ênfase6 3 8" xfId="5232" xr:uid="{00000000-0005-0000-0000-0000D5100000}"/>
    <cellStyle name="20% - Ênfase6 3 9" xfId="5233" xr:uid="{00000000-0005-0000-0000-0000D6100000}"/>
    <cellStyle name="20% - Ênfase6 30" xfId="579" xr:uid="{00000000-0005-0000-0000-0000D7100000}"/>
    <cellStyle name="20% - Ênfase6 30 10" xfId="5234" xr:uid="{00000000-0005-0000-0000-0000D8100000}"/>
    <cellStyle name="20% - Ênfase6 30 11" xfId="5235" xr:uid="{00000000-0005-0000-0000-0000D9100000}"/>
    <cellStyle name="20% - Ênfase6 30 12" xfId="5236" xr:uid="{00000000-0005-0000-0000-0000DA100000}"/>
    <cellStyle name="20% - Ênfase6 30 13" xfId="5237" xr:uid="{00000000-0005-0000-0000-0000DB100000}"/>
    <cellStyle name="20% - Ênfase6 30 14" xfId="5238" xr:uid="{00000000-0005-0000-0000-0000DC100000}"/>
    <cellStyle name="20% - Ênfase6 30 15" xfId="5239" xr:uid="{00000000-0005-0000-0000-0000DD100000}"/>
    <cellStyle name="20% - Ênfase6 30 16" xfId="5240" xr:uid="{00000000-0005-0000-0000-0000DE100000}"/>
    <cellStyle name="20% - Ênfase6 30 17" xfId="5241" xr:uid="{00000000-0005-0000-0000-0000DF100000}"/>
    <cellStyle name="20% - Ênfase6 30 18" xfId="5242" xr:uid="{00000000-0005-0000-0000-0000E0100000}"/>
    <cellStyle name="20% - Ênfase6 30 19" xfId="5243" xr:uid="{00000000-0005-0000-0000-0000E1100000}"/>
    <cellStyle name="20% - Ênfase6 30 2" xfId="5244" xr:uid="{00000000-0005-0000-0000-0000E2100000}"/>
    <cellStyle name="20% - Ênfase6 30 20" xfId="5245" xr:uid="{00000000-0005-0000-0000-0000E3100000}"/>
    <cellStyle name="20% - Ênfase6 30 3" xfId="5246" xr:uid="{00000000-0005-0000-0000-0000E4100000}"/>
    <cellStyle name="20% - Ênfase6 30 4" xfId="5247" xr:uid="{00000000-0005-0000-0000-0000E5100000}"/>
    <cellStyle name="20% - Ênfase6 30 5" xfId="5248" xr:uid="{00000000-0005-0000-0000-0000E6100000}"/>
    <cellStyle name="20% - Ênfase6 30 6" xfId="5249" xr:uid="{00000000-0005-0000-0000-0000E7100000}"/>
    <cellStyle name="20% - Ênfase6 30 7" xfId="5250" xr:uid="{00000000-0005-0000-0000-0000E8100000}"/>
    <cellStyle name="20% - Ênfase6 30 8" xfId="5251" xr:uid="{00000000-0005-0000-0000-0000E9100000}"/>
    <cellStyle name="20% - Ênfase6 30 9" xfId="5252" xr:uid="{00000000-0005-0000-0000-0000EA100000}"/>
    <cellStyle name="20% - Ênfase6 31" xfId="597" xr:uid="{00000000-0005-0000-0000-0000EB100000}"/>
    <cellStyle name="20% - Ênfase6 31 10" xfId="5253" xr:uid="{00000000-0005-0000-0000-0000EC100000}"/>
    <cellStyle name="20% - Ênfase6 31 11" xfId="5254" xr:uid="{00000000-0005-0000-0000-0000ED100000}"/>
    <cellStyle name="20% - Ênfase6 31 12" xfId="5255" xr:uid="{00000000-0005-0000-0000-0000EE100000}"/>
    <cellStyle name="20% - Ênfase6 31 13" xfId="5256" xr:uid="{00000000-0005-0000-0000-0000EF100000}"/>
    <cellStyle name="20% - Ênfase6 31 14" xfId="5257" xr:uid="{00000000-0005-0000-0000-0000F0100000}"/>
    <cellStyle name="20% - Ênfase6 31 15" xfId="5258" xr:uid="{00000000-0005-0000-0000-0000F1100000}"/>
    <cellStyle name="20% - Ênfase6 31 16" xfId="5259" xr:uid="{00000000-0005-0000-0000-0000F2100000}"/>
    <cellStyle name="20% - Ênfase6 31 17" xfId="5260" xr:uid="{00000000-0005-0000-0000-0000F3100000}"/>
    <cellStyle name="20% - Ênfase6 31 18" xfId="5261" xr:uid="{00000000-0005-0000-0000-0000F4100000}"/>
    <cellStyle name="20% - Ênfase6 31 19" xfId="5262" xr:uid="{00000000-0005-0000-0000-0000F5100000}"/>
    <cellStyle name="20% - Ênfase6 31 2" xfId="5263" xr:uid="{00000000-0005-0000-0000-0000F6100000}"/>
    <cellStyle name="20% - Ênfase6 31 20" xfId="5264" xr:uid="{00000000-0005-0000-0000-0000F7100000}"/>
    <cellStyle name="20% - Ênfase6 31 3" xfId="5265" xr:uid="{00000000-0005-0000-0000-0000F8100000}"/>
    <cellStyle name="20% - Ênfase6 31 4" xfId="5266" xr:uid="{00000000-0005-0000-0000-0000F9100000}"/>
    <cellStyle name="20% - Ênfase6 31 5" xfId="5267" xr:uid="{00000000-0005-0000-0000-0000FA100000}"/>
    <cellStyle name="20% - Ênfase6 31 6" xfId="5268" xr:uid="{00000000-0005-0000-0000-0000FB100000}"/>
    <cellStyle name="20% - Ênfase6 31 7" xfId="5269" xr:uid="{00000000-0005-0000-0000-0000FC100000}"/>
    <cellStyle name="20% - Ênfase6 31 8" xfId="5270" xr:uid="{00000000-0005-0000-0000-0000FD100000}"/>
    <cellStyle name="20% - Ênfase6 31 9" xfId="5271" xr:uid="{00000000-0005-0000-0000-0000FE100000}"/>
    <cellStyle name="20% - Ênfase6 32" xfId="615" xr:uid="{00000000-0005-0000-0000-0000FF100000}"/>
    <cellStyle name="20% - Ênfase6 32 10" xfId="5272" xr:uid="{00000000-0005-0000-0000-000000110000}"/>
    <cellStyle name="20% - Ênfase6 32 11" xfId="5273" xr:uid="{00000000-0005-0000-0000-000001110000}"/>
    <cellStyle name="20% - Ênfase6 32 12" xfId="5274" xr:uid="{00000000-0005-0000-0000-000002110000}"/>
    <cellStyle name="20% - Ênfase6 32 13" xfId="5275" xr:uid="{00000000-0005-0000-0000-000003110000}"/>
    <cellStyle name="20% - Ênfase6 32 14" xfId="5276" xr:uid="{00000000-0005-0000-0000-000004110000}"/>
    <cellStyle name="20% - Ênfase6 32 15" xfId="5277" xr:uid="{00000000-0005-0000-0000-000005110000}"/>
    <cellStyle name="20% - Ênfase6 32 16" xfId="5278" xr:uid="{00000000-0005-0000-0000-000006110000}"/>
    <cellStyle name="20% - Ênfase6 32 17" xfId="5279" xr:uid="{00000000-0005-0000-0000-000007110000}"/>
    <cellStyle name="20% - Ênfase6 32 18" xfId="5280" xr:uid="{00000000-0005-0000-0000-000008110000}"/>
    <cellStyle name="20% - Ênfase6 32 19" xfId="5281" xr:uid="{00000000-0005-0000-0000-000009110000}"/>
    <cellStyle name="20% - Ênfase6 32 2" xfId="5282" xr:uid="{00000000-0005-0000-0000-00000A110000}"/>
    <cellStyle name="20% - Ênfase6 32 20" xfId="5283" xr:uid="{00000000-0005-0000-0000-00000B110000}"/>
    <cellStyle name="20% - Ênfase6 32 3" xfId="5284" xr:uid="{00000000-0005-0000-0000-00000C110000}"/>
    <cellStyle name="20% - Ênfase6 32 4" xfId="5285" xr:uid="{00000000-0005-0000-0000-00000D110000}"/>
    <cellStyle name="20% - Ênfase6 32 5" xfId="5286" xr:uid="{00000000-0005-0000-0000-00000E110000}"/>
    <cellStyle name="20% - Ênfase6 32 6" xfId="5287" xr:uid="{00000000-0005-0000-0000-00000F110000}"/>
    <cellStyle name="20% - Ênfase6 32 7" xfId="5288" xr:uid="{00000000-0005-0000-0000-000010110000}"/>
    <cellStyle name="20% - Ênfase6 32 8" xfId="5289" xr:uid="{00000000-0005-0000-0000-000011110000}"/>
    <cellStyle name="20% - Ênfase6 32 9" xfId="5290" xr:uid="{00000000-0005-0000-0000-000012110000}"/>
    <cellStyle name="20% - Ênfase6 33" xfId="633" xr:uid="{00000000-0005-0000-0000-000013110000}"/>
    <cellStyle name="20% - Ênfase6 33 10" xfId="5291" xr:uid="{00000000-0005-0000-0000-000014110000}"/>
    <cellStyle name="20% - Ênfase6 33 11" xfId="5292" xr:uid="{00000000-0005-0000-0000-000015110000}"/>
    <cellStyle name="20% - Ênfase6 33 12" xfId="5293" xr:uid="{00000000-0005-0000-0000-000016110000}"/>
    <cellStyle name="20% - Ênfase6 33 13" xfId="5294" xr:uid="{00000000-0005-0000-0000-000017110000}"/>
    <cellStyle name="20% - Ênfase6 33 14" xfId="5295" xr:uid="{00000000-0005-0000-0000-000018110000}"/>
    <cellStyle name="20% - Ênfase6 33 15" xfId="5296" xr:uid="{00000000-0005-0000-0000-000019110000}"/>
    <cellStyle name="20% - Ênfase6 33 16" xfId="5297" xr:uid="{00000000-0005-0000-0000-00001A110000}"/>
    <cellStyle name="20% - Ênfase6 33 17" xfId="5298" xr:uid="{00000000-0005-0000-0000-00001B110000}"/>
    <cellStyle name="20% - Ênfase6 33 18" xfId="5299" xr:uid="{00000000-0005-0000-0000-00001C110000}"/>
    <cellStyle name="20% - Ênfase6 33 19" xfId="5300" xr:uid="{00000000-0005-0000-0000-00001D110000}"/>
    <cellStyle name="20% - Ênfase6 33 2" xfId="5301" xr:uid="{00000000-0005-0000-0000-00001E110000}"/>
    <cellStyle name="20% - Ênfase6 33 20" xfId="5302" xr:uid="{00000000-0005-0000-0000-00001F110000}"/>
    <cellStyle name="20% - Ênfase6 33 3" xfId="5303" xr:uid="{00000000-0005-0000-0000-000020110000}"/>
    <cellStyle name="20% - Ênfase6 33 4" xfId="5304" xr:uid="{00000000-0005-0000-0000-000021110000}"/>
    <cellStyle name="20% - Ênfase6 33 5" xfId="5305" xr:uid="{00000000-0005-0000-0000-000022110000}"/>
    <cellStyle name="20% - Ênfase6 33 6" xfId="5306" xr:uid="{00000000-0005-0000-0000-000023110000}"/>
    <cellStyle name="20% - Ênfase6 33 7" xfId="5307" xr:uid="{00000000-0005-0000-0000-000024110000}"/>
    <cellStyle name="20% - Ênfase6 33 8" xfId="5308" xr:uid="{00000000-0005-0000-0000-000025110000}"/>
    <cellStyle name="20% - Ênfase6 33 9" xfId="5309" xr:uid="{00000000-0005-0000-0000-000026110000}"/>
    <cellStyle name="20% - Ênfase6 34" xfId="651" xr:uid="{00000000-0005-0000-0000-000027110000}"/>
    <cellStyle name="20% - Ênfase6 34 10" xfId="5310" xr:uid="{00000000-0005-0000-0000-000028110000}"/>
    <cellStyle name="20% - Ênfase6 34 11" xfId="5311" xr:uid="{00000000-0005-0000-0000-000029110000}"/>
    <cellStyle name="20% - Ênfase6 34 12" xfId="5312" xr:uid="{00000000-0005-0000-0000-00002A110000}"/>
    <cellStyle name="20% - Ênfase6 34 13" xfId="5313" xr:uid="{00000000-0005-0000-0000-00002B110000}"/>
    <cellStyle name="20% - Ênfase6 34 14" xfId="5314" xr:uid="{00000000-0005-0000-0000-00002C110000}"/>
    <cellStyle name="20% - Ênfase6 34 15" xfId="5315" xr:uid="{00000000-0005-0000-0000-00002D110000}"/>
    <cellStyle name="20% - Ênfase6 34 16" xfId="5316" xr:uid="{00000000-0005-0000-0000-00002E110000}"/>
    <cellStyle name="20% - Ênfase6 34 17" xfId="5317" xr:uid="{00000000-0005-0000-0000-00002F110000}"/>
    <cellStyle name="20% - Ênfase6 34 18" xfId="5318" xr:uid="{00000000-0005-0000-0000-000030110000}"/>
    <cellStyle name="20% - Ênfase6 34 19" xfId="5319" xr:uid="{00000000-0005-0000-0000-000031110000}"/>
    <cellStyle name="20% - Ênfase6 34 2" xfId="5320" xr:uid="{00000000-0005-0000-0000-000032110000}"/>
    <cellStyle name="20% - Ênfase6 34 20" xfId="5321" xr:uid="{00000000-0005-0000-0000-000033110000}"/>
    <cellStyle name="20% - Ênfase6 34 3" xfId="5322" xr:uid="{00000000-0005-0000-0000-000034110000}"/>
    <cellStyle name="20% - Ênfase6 34 4" xfId="5323" xr:uid="{00000000-0005-0000-0000-000035110000}"/>
    <cellStyle name="20% - Ênfase6 34 5" xfId="5324" xr:uid="{00000000-0005-0000-0000-000036110000}"/>
    <cellStyle name="20% - Ênfase6 34 6" xfId="5325" xr:uid="{00000000-0005-0000-0000-000037110000}"/>
    <cellStyle name="20% - Ênfase6 34 7" xfId="5326" xr:uid="{00000000-0005-0000-0000-000038110000}"/>
    <cellStyle name="20% - Ênfase6 34 8" xfId="5327" xr:uid="{00000000-0005-0000-0000-000039110000}"/>
    <cellStyle name="20% - Ênfase6 34 9" xfId="5328" xr:uid="{00000000-0005-0000-0000-00003A110000}"/>
    <cellStyle name="20% - Ênfase6 35" xfId="669" xr:uid="{00000000-0005-0000-0000-00003B110000}"/>
    <cellStyle name="20% - Ênfase6 35 10" xfId="5329" xr:uid="{00000000-0005-0000-0000-00003C110000}"/>
    <cellStyle name="20% - Ênfase6 35 11" xfId="5330" xr:uid="{00000000-0005-0000-0000-00003D110000}"/>
    <cellStyle name="20% - Ênfase6 35 12" xfId="5331" xr:uid="{00000000-0005-0000-0000-00003E110000}"/>
    <cellStyle name="20% - Ênfase6 35 13" xfId="5332" xr:uid="{00000000-0005-0000-0000-00003F110000}"/>
    <cellStyle name="20% - Ênfase6 35 14" xfId="5333" xr:uid="{00000000-0005-0000-0000-000040110000}"/>
    <cellStyle name="20% - Ênfase6 35 15" xfId="5334" xr:uid="{00000000-0005-0000-0000-000041110000}"/>
    <cellStyle name="20% - Ênfase6 35 16" xfId="5335" xr:uid="{00000000-0005-0000-0000-000042110000}"/>
    <cellStyle name="20% - Ênfase6 35 17" xfId="5336" xr:uid="{00000000-0005-0000-0000-000043110000}"/>
    <cellStyle name="20% - Ênfase6 35 18" xfId="5337" xr:uid="{00000000-0005-0000-0000-000044110000}"/>
    <cellStyle name="20% - Ênfase6 35 19" xfId="5338" xr:uid="{00000000-0005-0000-0000-000045110000}"/>
    <cellStyle name="20% - Ênfase6 35 2" xfId="5339" xr:uid="{00000000-0005-0000-0000-000046110000}"/>
    <cellStyle name="20% - Ênfase6 35 20" xfId="5340" xr:uid="{00000000-0005-0000-0000-000047110000}"/>
    <cellStyle name="20% - Ênfase6 35 3" xfId="5341" xr:uid="{00000000-0005-0000-0000-000048110000}"/>
    <cellStyle name="20% - Ênfase6 35 4" xfId="5342" xr:uid="{00000000-0005-0000-0000-000049110000}"/>
    <cellStyle name="20% - Ênfase6 35 5" xfId="5343" xr:uid="{00000000-0005-0000-0000-00004A110000}"/>
    <cellStyle name="20% - Ênfase6 35 6" xfId="5344" xr:uid="{00000000-0005-0000-0000-00004B110000}"/>
    <cellStyle name="20% - Ênfase6 35 7" xfId="5345" xr:uid="{00000000-0005-0000-0000-00004C110000}"/>
    <cellStyle name="20% - Ênfase6 35 8" xfId="5346" xr:uid="{00000000-0005-0000-0000-00004D110000}"/>
    <cellStyle name="20% - Ênfase6 35 9" xfId="5347" xr:uid="{00000000-0005-0000-0000-00004E110000}"/>
    <cellStyle name="20% - Ênfase6 36" xfId="687" xr:uid="{00000000-0005-0000-0000-00004F110000}"/>
    <cellStyle name="20% - Ênfase6 36 10" xfId="5348" xr:uid="{00000000-0005-0000-0000-000050110000}"/>
    <cellStyle name="20% - Ênfase6 36 11" xfId="5349" xr:uid="{00000000-0005-0000-0000-000051110000}"/>
    <cellStyle name="20% - Ênfase6 36 12" xfId="5350" xr:uid="{00000000-0005-0000-0000-000052110000}"/>
    <cellStyle name="20% - Ênfase6 36 13" xfId="5351" xr:uid="{00000000-0005-0000-0000-000053110000}"/>
    <cellStyle name="20% - Ênfase6 36 14" xfId="5352" xr:uid="{00000000-0005-0000-0000-000054110000}"/>
    <cellStyle name="20% - Ênfase6 36 15" xfId="5353" xr:uid="{00000000-0005-0000-0000-000055110000}"/>
    <cellStyle name="20% - Ênfase6 36 16" xfId="5354" xr:uid="{00000000-0005-0000-0000-000056110000}"/>
    <cellStyle name="20% - Ênfase6 36 17" xfId="5355" xr:uid="{00000000-0005-0000-0000-000057110000}"/>
    <cellStyle name="20% - Ênfase6 36 18" xfId="5356" xr:uid="{00000000-0005-0000-0000-000058110000}"/>
    <cellStyle name="20% - Ênfase6 36 19" xfId="5357" xr:uid="{00000000-0005-0000-0000-000059110000}"/>
    <cellStyle name="20% - Ênfase6 36 2" xfId="5358" xr:uid="{00000000-0005-0000-0000-00005A110000}"/>
    <cellStyle name="20% - Ênfase6 36 20" xfId="5359" xr:uid="{00000000-0005-0000-0000-00005B110000}"/>
    <cellStyle name="20% - Ênfase6 36 3" xfId="5360" xr:uid="{00000000-0005-0000-0000-00005C110000}"/>
    <cellStyle name="20% - Ênfase6 36 4" xfId="5361" xr:uid="{00000000-0005-0000-0000-00005D110000}"/>
    <cellStyle name="20% - Ênfase6 36 5" xfId="5362" xr:uid="{00000000-0005-0000-0000-00005E110000}"/>
    <cellStyle name="20% - Ênfase6 36 6" xfId="5363" xr:uid="{00000000-0005-0000-0000-00005F110000}"/>
    <cellStyle name="20% - Ênfase6 36 7" xfId="5364" xr:uid="{00000000-0005-0000-0000-000060110000}"/>
    <cellStyle name="20% - Ênfase6 36 8" xfId="5365" xr:uid="{00000000-0005-0000-0000-000061110000}"/>
    <cellStyle name="20% - Ênfase6 36 9" xfId="5366" xr:uid="{00000000-0005-0000-0000-000062110000}"/>
    <cellStyle name="20% - Ênfase6 37" xfId="705" xr:uid="{00000000-0005-0000-0000-000063110000}"/>
    <cellStyle name="20% - Ênfase6 37 10" xfId="5367" xr:uid="{00000000-0005-0000-0000-000064110000}"/>
    <cellStyle name="20% - Ênfase6 37 11" xfId="5368" xr:uid="{00000000-0005-0000-0000-000065110000}"/>
    <cellStyle name="20% - Ênfase6 37 12" xfId="5369" xr:uid="{00000000-0005-0000-0000-000066110000}"/>
    <cellStyle name="20% - Ênfase6 37 13" xfId="5370" xr:uid="{00000000-0005-0000-0000-000067110000}"/>
    <cellStyle name="20% - Ênfase6 37 14" xfId="5371" xr:uid="{00000000-0005-0000-0000-000068110000}"/>
    <cellStyle name="20% - Ênfase6 37 15" xfId="5372" xr:uid="{00000000-0005-0000-0000-000069110000}"/>
    <cellStyle name="20% - Ênfase6 37 16" xfId="5373" xr:uid="{00000000-0005-0000-0000-00006A110000}"/>
    <cellStyle name="20% - Ênfase6 37 17" xfId="5374" xr:uid="{00000000-0005-0000-0000-00006B110000}"/>
    <cellStyle name="20% - Ênfase6 37 18" xfId="5375" xr:uid="{00000000-0005-0000-0000-00006C110000}"/>
    <cellStyle name="20% - Ênfase6 37 19" xfId="5376" xr:uid="{00000000-0005-0000-0000-00006D110000}"/>
    <cellStyle name="20% - Ênfase6 37 2" xfId="5377" xr:uid="{00000000-0005-0000-0000-00006E110000}"/>
    <cellStyle name="20% - Ênfase6 37 20" xfId="5378" xr:uid="{00000000-0005-0000-0000-00006F110000}"/>
    <cellStyle name="20% - Ênfase6 37 3" xfId="5379" xr:uid="{00000000-0005-0000-0000-000070110000}"/>
    <cellStyle name="20% - Ênfase6 37 4" xfId="5380" xr:uid="{00000000-0005-0000-0000-000071110000}"/>
    <cellStyle name="20% - Ênfase6 37 5" xfId="5381" xr:uid="{00000000-0005-0000-0000-000072110000}"/>
    <cellStyle name="20% - Ênfase6 37 6" xfId="5382" xr:uid="{00000000-0005-0000-0000-000073110000}"/>
    <cellStyle name="20% - Ênfase6 37 7" xfId="5383" xr:uid="{00000000-0005-0000-0000-000074110000}"/>
    <cellStyle name="20% - Ênfase6 37 8" xfId="5384" xr:uid="{00000000-0005-0000-0000-000075110000}"/>
    <cellStyle name="20% - Ênfase6 37 9" xfId="5385" xr:uid="{00000000-0005-0000-0000-000076110000}"/>
    <cellStyle name="20% - Ênfase6 38" xfId="721" xr:uid="{00000000-0005-0000-0000-000077110000}"/>
    <cellStyle name="20% - Ênfase6 39" xfId="738" xr:uid="{00000000-0005-0000-0000-000078110000}"/>
    <cellStyle name="20% - Ênfase6 4" xfId="122" xr:uid="{00000000-0005-0000-0000-000079110000}"/>
    <cellStyle name="20% - Ênfase6 4 10" xfId="5386" xr:uid="{00000000-0005-0000-0000-00007A110000}"/>
    <cellStyle name="20% - Ênfase6 4 11" xfId="5387" xr:uid="{00000000-0005-0000-0000-00007B110000}"/>
    <cellStyle name="20% - Ênfase6 4 12" xfId="5388" xr:uid="{00000000-0005-0000-0000-00007C110000}"/>
    <cellStyle name="20% - Ênfase6 4 13" xfId="5389" xr:uid="{00000000-0005-0000-0000-00007D110000}"/>
    <cellStyle name="20% - Ênfase6 4 14" xfId="5390" xr:uid="{00000000-0005-0000-0000-00007E110000}"/>
    <cellStyle name="20% - Ênfase6 4 15" xfId="5391" xr:uid="{00000000-0005-0000-0000-00007F110000}"/>
    <cellStyle name="20% - Ênfase6 4 16" xfId="5392" xr:uid="{00000000-0005-0000-0000-000080110000}"/>
    <cellStyle name="20% - Ênfase6 4 17" xfId="5393" xr:uid="{00000000-0005-0000-0000-000081110000}"/>
    <cellStyle name="20% - Ênfase6 4 18" xfId="5394" xr:uid="{00000000-0005-0000-0000-000082110000}"/>
    <cellStyle name="20% - Ênfase6 4 19" xfId="5395" xr:uid="{00000000-0005-0000-0000-000083110000}"/>
    <cellStyle name="20% - Ênfase6 4 2" xfId="5396" xr:uid="{00000000-0005-0000-0000-000084110000}"/>
    <cellStyle name="20% - Ênfase6 4 20" xfId="5397" xr:uid="{00000000-0005-0000-0000-000085110000}"/>
    <cellStyle name="20% - Ênfase6 4 3" xfId="5398" xr:uid="{00000000-0005-0000-0000-000086110000}"/>
    <cellStyle name="20% - Ênfase6 4 4" xfId="5399" xr:uid="{00000000-0005-0000-0000-000087110000}"/>
    <cellStyle name="20% - Ênfase6 4 5" xfId="5400" xr:uid="{00000000-0005-0000-0000-000088110000}"/>
    <cellStyle name="20% - Ênfase6 4 6" xfId="5401" xr:uid="{00000000-0005-0000-0000-000089110000}"/>
    <cellStyle name="20% - Ênfase6 4 7" xfId="5402" xr:uid="{00000000-0005-0000-0000-00008A110000}"/>
    <cellStyle name="20% - Ênfase6 4 8" xfId="5403" xr:uid="{00000000-0005-0000-0000-00008B110000}"/>
    <cellStyle name="20% - Ênfase6 4 9" xfId="5404" xr:uid="{00000000-0005-0000-0000-00008C110000}"/>
    <cellStyle name="20% - Ênfase6 40" xfId="759" xr:uid="{00000000-0005-0000-0000-00008D110000}"/>
    <cellStyle name="20% - Ênfase6 41" xfId="777" xr:uid="{00000000-0005-0000-0000-00008E110000}"/>
    <cellStyle name="20% - Ênfase6 42" xfId="795" xr:uid="{00000000-0005-0000-0000-00008F110000}"/>
    <cellStyle name="20% - Ênfase6 43" xfId="813" xr:uid="{00000000-0005-0000-0000-000090110000}"/>
    <cellStyle name="20% - Ênfase6 44" xfId="831" xr:uid="{00000000-0005-0000-0000-000091110000}"/>
    <cellStyle name="20% - Ênfase6 45" xfId="849" xr:uid="{00000000-0005-0000-0000-000092110000}"/>
    <cellStyle name="20% - Ênfase6 46" xfId="867" xr:uid="{00000000-0005-0000-0000-000093110000}"/>
    <cellStyle name="20% - Ênfase6 47" xfId="885" xr:uid="{00000000-0005-0000-0000-000094110000}"/>
    <cellStyle name="20% - Ênfase6 48" xfId="902" xr:uid="{00000000-0005-0000-0000-000095110000}"/>
    <cellStyle name="20% - Ênfase6 49" xfId="920" xr:uid="{00000000-0005-0000-0000-000096110000}"/>
    <cellStyle name="20% - Ênfase6 5" xfId="139" xr:uid="{00000000-0005-0000-0000-000097110000}"/>
    <cellStyle name="20% - Ênfase6 5 10" xfId="5405" xr:uid="{00000000-0005-0000-0000-000098110000}"/>
    <cellStyle name="20% - Ênfase6 5 11" xfId="5406" xr:uid="{00000000-0005-0000-0000-000099110000}"/>
    <cellStyle name="20% - Ênfase6 5 12" xfId="5407" xr:uid="{00000000-0005-0000-0000-00009A110000}"/>
    <cellStyle name="20% - Ênfase6 5 13" xfId="5408" xr:uid="{00000000-0005-0000-0000-00009B110000}"/>
    <cellStyle name="20% - Ênfase6 5 14" xfId="5409" xr:uid="{00000000-0005-0000-0000-00009C110000}"/>
    <cellStyle name="20% - Ênfase6 5 15" xfId="5410" xr:uid="{00000000-0005-0000-0000-00009D110000}"/>
    <cellStyle name="20% - Ênfase6 5 16" xfId="5411" xr:uid="{00000000-0005-0000-0000-00009E110000}"/>
    <cellStyle name="20% - Ênfase6 5 17" xfId="5412" xr:uid="{00000000-0005-0000-0000-00009F110000}"/>
    <cellStyle name="20% - Ênfase6 5 18" xfId="5413" xr:uid="{00000000-0005-0000-0000-0000A0110000}"/>
    <cellStyle name="20% - Ênfase6 5 19" xfId="5414" xr:uid="{00000000-0005-0000-0000-0000A1110000}"/>
    <cellStyle name="20% - Ênfase6 5 2" xfId="5415" xr:uid="{00000000-0005-0000-0000-0000A2110000}"/>
    <cellStyle name="20% - Ênfase6 5 20" xfId="5416" xr:uid="{00000000-0005-0000-0000-0000A3110000}"/>
    <cellStyle name="20% - Ênfase6 5 3" xfId="5417" xr:uid="{00000000-0005-0000-0000-0000A4110000}"/>
    <cellStyle name="20% - Ênfase6 5 4" xfId="5418" xr:uid="{00000000-0005-0000-0000-0000A5110000}"/>
    <cellStyle name="20% - Ênfase6 5 5" xfId="5419" xr:uid="{00000000-0005-0000-0000-0000A6110000}"/>
    <cellStyle name="20% - Ênfase6 5 6" xfId="5420" xr:uid="{00000000-0005-0000-0000-0000A7110000}"/>
    <cellStyle name="20% - Ênfase6 5 7" xfId="5421" xr:uid="{00000000-0005-0000-0000-0000A8110000}"/>
    <cellStyle name="20% - Ênfase6 5 8" xfId="5422" xr:uid="{00000000-0005-0000-0000-0000A9110000}"/>
    <cellStyle name="20% - Ênfase6 5 9" xfId="5423" xr:uid="{00000000-0005-0000-0000-0000AA110000}"/>
    <cellStyle name="20% - Ênfase6 50" xfId="939" xr:uid="{00000000-0005-0000-0000-0000AB110000}"/>
    <cellStyle name="20% - Ênfase6 51" xfId="957" xr:uid="{00000000-0005-0000-0000-0000AC110000}"/>
    <cellStyle name="20% - Ênfase6 52" xfId="975" xr:uid="{00000000-0005-0000-0000-0000AD110000}"/>
    <cellStyle name="20% - Ênfase6 53" xfId="993" xr:uid="{00000000-0005-0000-0000-0000AE110000}"/>
    <cellStyle name="20% - Ênfase6 54" xfId="1011" xr:uid="{00000000-0005-0000-0000-0000AF110000}"/>
    <cellStyle name="20% - Ênfase6 55" xfId="1027" xr:uid="{00000000-0005-0000-0000-0000B0110000}"/>
    <cellStyle name="20% - Ênfase6 56" xfId="1045" xr:uid="{00000000-0005-0000-0000-0000B1110000}"/>
    <cellStyle name="20% - Ênfase6 57" xfId="1063" xr:uid="{00000000-0005-0000-0000-0000B2110000}"/>
    <cellStyle name="20% - Ênfase6 58" xfId="1081" xr:uid="{00000000-0005-0000-0000-0000B3110000}"/>
    <cellStyle name="20% - Ênfase6 59" xfId="1100" xr:uid="{00000000-0005-0000-0000-0000B4110000}"/>
    <cellStyle name="20% - Ênfase6 6" xfId="156" xr:uid="{00000000-0005-0000-0000-0000B5110000}"/>
    <cellStyle name="20% - Ênfase6 6 10" xfId="5424" xr:uid="{00000000-0005-0000-0000-0000B6110000}"/>
    <cellStyle name="20% - Ênfase6 6 11" xfId="5425" xr:uid="{00000000-0005-0000-0000-0000B7110000}"/>
    <cellStyle name="20% - Ênfase6 6 12" xfId="5426" xr:uid="{00000000-0005-0000-0000-0000B8110000}"/>
    <cellStyle name="20% - Ênfase6 6 13" xfId="5427" xr:uid="{00000000-0005-0000-0000-0000B9110000}"/>
    <cellStyle name="20% - Ênfase6 6 14" xfId="5428" xr:uid="{00000000-0005-0000-0000-0000BA110000}"/>
    <cellStyle name="20% - Ênfase6 6 15" xfId="5429" xr:uid="{00000000-0005-0000-0000-0000BB110000}"/>
    <cellStyle name="20% - Ênfase6 6 16" xfId="5430" xr:uid="{00000000-0005-0000-0000-0000BC110000}"/>
    <cellStyle name="20% - Ênfase6 6 17" xfId="5431" xr:uid="{00000000-0005-0000-0000-0000BD110000}"/>
    <cellStyle name="20% - Ênfase6 6 18" xfId="5432" xr:uid="{00000000-0005-0000-0000-0000BE110000}"/>
    <cellStyle name="20% - Ênfase6 6 19" xfId="5433" xr:uid="{00000000-0005-0000-0000-0000BF110000}"/>
    <cellStyle name="20% - Ênfase6 6 2" xfId="5434" xr:uid="{00000000-0005-0000-0000-0000C0110000}"/>
    <cellStyle name="20% - Ênfase6 6 20" xfId="5435" xr:uid="{00000000-0005-0000-0000-0000C1110000}"/>
    <cellStyle name="20% - Ênfase6 6 3" xfId="5436" xr:uid="{00000000-0005-0000-0000-0000C2110000}"/>
    <cellStyle name="20% - Ênfase6 6 4" xfId="5437" xr:uid="{00000000-0005-0000-0000-0000C3110000}"/>
    <cellStyle name="20% - Ênfase6 6 5" xfId="5438" xr:uid="{00000000-0005-0000-0000-0000C4110000}"/>
    <cellStyle name="20% - Ênfase6 6 6" xfId="5439" xr:uid="{00000000-0005-0000-0000-0000C5110000}"/>
    <cellStyle name="20% - Ênfase6 6 7" xfId="5440" xr:uid="{00000000-0005-0000-0000-0000C6110000}"/>
    <cellStyle name="20% - Ênfase6 6 8" xfId="5441" xr:uid="{00000000-0005-0000-0000-0000C7110000}"/>
    <cellStyle name="20% - Ênfase6 6 9" xfId="5442" xr:uid="{00000000-0005-0000-0000-0000C8110000}"/>
    <cellStyle name="20% - Ênfase6 60" xfId="1118" xr:uid="{00000000-0005-0000-0000-0000C9110000}"/>
    <cellStyle name="20% - Ênfase6 61" xfId="1136" xr:uid="{00000000-0005-0000-0000-0000CA110000}"/>
    <cellStyle name="20% - Ênfase6 62" xfId="1152" xr:uid="{00000000-0005-0000-0000-0000CB110000}"/>
    <cellStyle name="20% - Ênfase6 63" xfId="1170" xr:uid="{00000000-0005-0000-0000-0000CC110000}"/>
    <cellStyle name="20% - Ênfase6 64" xfId="1189" xr:uid="{00000000-0005-0000-0000-0000CD110000}"/>
    <cellStyle name="20% - Ênfase6 65" xfId="1207" xr:uid="{00000000-0005-0000-0000-0000CE110000}"/>
    <cellStyle name="20% - Ênfase6 66" xfId="1223" xr:uid="{00000000-0005-0000-0000-0000CF110000}"/>
    <cellStyle name="20% - Ênfase6 67" xfId="1239" xr:uid="{00000000-0005-0000-0000-0000D0110000}"/>
    <cellStyle name="20% - Ênfase6 68" xfId="1255" xr:uid="{00000000-0005-0000-0000-0000D1110000}"/>
    <cellStyle name="20% - Ênfase6 69" xfId="1272" xr:uid="{00000000-0005-0000-0000-0000D2110000}"/>
    <cellStyle name="20% - Ênfase6 7" xfId="173" xr:uid="{00000000-0005-0000-0000-0000D3110000}"/>
    <cellStyle name="20% - Ênfase6 7 10" xfId="5443" xr:uid="{00000000-0005-0000-0000-0000D4110000}"/>
    <cellStyle name="20% - Ênfase6 7 11" xfId="5444" xr:uid="{00000000-0005-0000-0000-0000D5110000}"/>
    <cellStyle name="20% - Ênfase6 7 12" xfId="5445" xr:uid="{00000000-0005-0000-0000-0000D6110000}"/>
    <cellStyle name="20% - Ênfase6 7 13" xfId="5446" xr:uid="{00000000-0005-0000-0000-0000D7110000}"/>
    <cellStyle name="20% - Ênfase6 7 14" xfId="5447" xr:uid="{00000000-0005-0000-0000-0000D8110000}"/>
    <cellStyle name="20% - Ênfase6 7 15" xfId="5448" xr:uid="{00000000-0005-0000-0000-0000D9110000}"/>
    <cellStyle name="20% - Ênfase6 7 16" xfId="5449" xr:uid="{00000000-0005-0000-0000-0000DA110000}"/>
    <cellStyle name="20% - Ênfase6 7 17" xfId="5450" xr:uid="{00000000-0005-0000-0000-0000DB110000}"/>
    <cellStyle name="20% - Ênfase6 7 18" xfId="5451" xr:uid="{00000000-0005-0000-0000-0000DC110000}"/>
    <cellStyle name="20% - Ênfase6 7 19" xfId="5452" xr:uid="{00000000-0005-0000-0000-0000DD110000}"/>
    <cellStyle name="20% - Ênfase6 7 2" xfId="5453" xr:uid="{00000000-0005-0000-0000-0000DE110000}"/>
    <cellStyle name="20% - Ênfase6 7 20" xfId="5454" xr:uid="{00000000-0005-0000-0000-0000DF110000}"/>
    <cellStyle name="20% - Ênfase6 7 3" xfId="5455" xr:uid="{00000000-0005-0000-0000-0000E0110000}"/>
    <cellStyle name="20% - Ênfase6 7 4" xfId="5456" xr:uid="{00000000-0005-0000-0000-0000E1110000}"/>
    <cellStyle name="20% - Ênfase6 7 5" xfId="5457" xr:uid="{00000000-0005-0000-0000-0000E2110000}"/>
    <cellStyle name="20% - Ênfase6 7 6" xfId="5458" xr:uid="{00000000-0005-0000-0000-0000E3110000}"/>
    <cellStyle name="20% - Ênfase6 7 7" xfId="5459" xr:uid="{00000000-0005-0000-0000-0000E4110000}"/>
    <cellStyle name="20% - Ênfase6 7 8" xfId="5460" xr:uid="{00000000-0005-0000-0000-0000E5110000}"/>
    <cellStyle name="20% - Ênfase6 7 9" xfId="5461" xr:uid="{00000000-0005-0000-0000-0000E6110000}"/>
    <cellStyle name="20% - Ênfase6 70" xfId="1283" xr:uid="{00000000-0005-0000-0000-0000E7110000}"/>
    <cellStyle name="20% - Ênfase6 71" xfId="1292" xr:uid="{00000000-0005-0000-0000-0000E8110000}"/>
    <cellStyle name="20% - Ênfase6 72" xfId="5462" xr:uid="{00000000-0005-0000-0000-0000E9110000}"/>
    <cellStyle name="20% - Ênfase6 73" xfId="5463" xr:uid="{00000000-0005-0000-0000-0000EA110000}"/>
    <cellStyle name="20% - Ênfase6 74" xfId="5464" xr:uid="{00000000-0005-0000-0000-0000EB110000}"/>
    <cellStyle name="20% - Ênfase6 75" xfId="5465" xr:uid="{00000000-0005-0000-0000-0000EC110000}"/>
    <cellStyle name="20% - Ênfase6 76" xfId="5466" xr:uid="{00000000-0005-0000-0000-0000ED110000}"/>
    <cellStyle name="20% - Ênfase6 77" xfId="5467" xr:uid="{00000000-0005-0000-0000-0000EE110000}"/>
    <cellStyle name="20% - Ênfase6 78" xfId="5468" xr:uid="{00000000-0005-0000-0000-0000EF110000}"/>
    <cellStyle name="20% - Ênfase6 79" xfId="5469" xr:uid="{00000000-0005-0000-0000-0000F0110000}"/>
    <cellStyle name="20% - Ênfase6 8" xfId="190" xr:uid="{00000000-0005-0000-0000-0000F1110000}"/>
    <cellStyle name="20% - Ênfase6 8 10" xfId="5470" xr:uid="{00000000-0005-0000-0000-0000F2110000}"/>
    <cellStyle name="20% - Ênfase6 8 11" xfId="5471" xr:uid="{00000000-0005-0000-0000-0000F3110000}"/>
    <cellStyle name="20% - Ênfase6 8 12" xfId="5472" xr:uid="{00000000-0005-0000-0000-0000F4110000}"/>
    <cellStyle name="20% - Ênfase6 8 13" xfId="5473" xr:uid="{00000000-0005-0000-0000-0000F5110000}"/>
    <cellStyle name="20% - Ênfase6 8 14" xfId="5474" xr:uid="{00000000-0005-0000-0000-0000F6110000}"/>
    <cellStyle name="20% - Ênfase6 8 15" xfId="5475" xr:uid="{00000000-0005-0000-0000-0000F7110000}"/>
    <cellStyle name="20% - Ênfase6 8 16" xfId="5476" xr:uid="{00000000-0005-0000-0000-0000F8110000}"/>
    <cellStyle name="20% - Ênfase6 8 17" xfId="5477" xr:uid="{00000000-0005-0000-0000-0000F9110000}"/>
    <cellStyle name="20% - Ênfase6 8 18" xfId="5478" xr:uid="{00000000-0005-0000-0000-0000FA110000}"/>
    <cellStyle name="20% - Ênfase6 8 19" xfId="5479" xr:uid="{00000000-0005-0000-0000-0000FB110000}"/>
    <cellStyle name="20% - Ênfase6 8 2" xfId="5480" xr:uid="{00000000-0005-0000-0000-0000FC110000}"/>
    <cellStyle name="20% - Ênfase6 8 20" xfId="5481" xr:uid="{00000000-0005-0000-0000-0000FD110000}"/>
    <cellStyle name="20% - Ênfase6 8 3" xfId="5482" xr:uid="{00000000-0005-0000-0000-0000FE110000}"/>
    <cellStyle name="20% - Ênfase6 8 4" xfId="5483" xr:uid="{00000000-0005-0000-0000-0000FF110000}"/>
    <cellStyle name="20% - Ênfase6 8 5" xfId="5484" xr:uid="{00000000-0005-0000-0000-000000120000}"/>
    <cellStyle name="20% - Ênfase6 8 6" xfId="5485" xr:uid="{00000000-0005-0000-0000-000001120000}"/>
    <cellStyle name="20% - Ênfase6 8 7" xfId="5486" xr:uid="{00000000-0005-0000-0000-000002120000}"/>
    <cellStyle name="20% - Ênfase6 8 8" xfId="5487" xr:uid="{00000000-0005-0000-0000-000003120000}"/>
    <cellStyle name="20% - Ênfase6 8 9" xfId="5488" xr:uid="{00000000-0005-0000-0000-000004120000}"/>
    <cellStyle name="20% - Ênfase6 80" xfId="5489" xr:uid="{00000000-0005-0000-0000-000005120000}"/>
    <cellStyle name="20% - Ênfase6 81" xfId="5490" xr:uid="{00000000-0005-0000-0000-000006120000}"/>
    <cellStyle name="20% - Ênfase6 82" xfId="5491" xr:uid="{00000000-0005-0000-0000-000007120000}"/>
    <cellStyle name="20% - Ênfase6 83" xfId="5492" xr:uid="{00000000-0005-0000-0000-000008120000}"/>
    <cellStyle name="20% - Ênfase6 84" xfId="5493" xr:uid="{00000000-0005-0000-0000-000009120000}"/>
    <cellStyle name="20% - Ênfase6 85" xfId="5494" xr:uid="{00000000-0005-0000-0000-00000A120000}"/>
    <cellStyle name="20% - Ênfase6 86" xfId="5495" xr:uid="{00000000-0005-0000-0000-00000B120000}"/>
    <cellStyle name="20% - Ênfase6 87" xfId="5496" xr:uid="{00000000-0005-0000-0000-00000C120000}"/>
    <cellStyle name="20% - Ênfase6 88" xfId="5497" xr:uid="{00000000-0005-0000-0000-00000D120000}"/>
    <cellStyle name="20% - Ênfase6 89" xfId="5498" xr:uid="{00000000-0005-0000-0000-00000E120000}"/>
    <cellStyle name="20% - Ênfase6 9" xfId="207" xr:uid="{00000000-0005-0000-0000-00000F120000}"/>
    <cellStyle name="20% - Ênfase6 9 10" xfId="5499" xr:uid="{00000000-0005-0000-0000-000010120000}"/>
    <cellStyle name="20% - Ênfase6 9 11" xfId="5500" xr:uid="{00000000-0005-0000-0000-000011120000}"/>
    <cellStyle name="20% - Ênfase6 9 12" xfId="5501" xr:uid="{00000000-0005-0000-0000-000012120000}"/>
    <cellStyle name="20% - Ênfase6 9 13" xfId="5502" xr:uid="{00000000-0005-0000-0000-000013120000}"/>
    <cellStyle name="20% - Ênfase6 9 14" xfId="5503" xr:uid="{00000000-0005-0000-0000-000014120000}"/>
    <cellStyle name="20% - Ênfase6 9 15" xfId="5504" xr:uid="{00000000-0005-0000-0000-000015120000}"/>
    <cellStyle name="20% - Ênfase6 9 16" xfId="5505" xr:uid="{00000000-0005-0000-0000-000016120000}"/>
    <cellStyle name="20% - Ênfase6 9 17" xfId="5506" xr:uid="{00000000-0005-0000-0000-000017120000}"/>
    <cellStyle name="20% - Ênfase6 9 18" xfId="5507" xr:uid="{00000000-0005-0000-0000-000018120000}"/>
    <cellStyle name="20% - Ênfase6 9 19" xfId="5508" xr:uid="{00000000-0005-0000-0000-000019120000}"/>
    <cellStyle name="20% - Ênfase6 9 2" xfId="5509" xr:uid="{00000000-0005-0000-0000-00001A120000}"/>
    <cellStyle name="20% - Ênfase6 9 20" xfId="5510" xr:uid="{00000000-0005-0000-0000-00001B120000}"/>
    <cellStyle name="20% - Ênfase6 9 3" xfId="5511" xr:uid="{00000000-0005-0000-0000-00001C120000}"/>
    <cellStyle name="20% - Ênfase6 9 4" xfId="5512" xr:uid="{00000000-0005-0000-0000-00001D120000}"/>
    <cellStyle name="20% - Ênfase6 9 5" xfId="5513" xr:uid="{00000000-0005-0000-0000-00001E120000}"/>
    <cellStyle name="20% - Ênfase6 9 6" xfId="5514" xr:uid="{00000000-0005-0000-0000-00001F120000}"/>
    <cellStyle name="20% - Ênfase6 9 7" xfId="5515" xr:uid="{00000000-0005-0000-0000-000020120000}"/>
    <cellStyle name="20% - Ênfase6 9 8" xfId="5516" xr:uid="{00000000-0005-0000-0000-000021120000}"/>
    <cellStyle name="20% - Ênfase6 9 9" xfId="5517" xr:uid="{00000000-0005-0000-0000-000022120000}"/>
    <cellStyle name="20% - Ênfase6 90" xfId="5518" xr:uid="{00000000-0005-0000-0000-000023120000}"/>
    <cellStyle name="40% - Ênfase1" xfId="20" builtinId="31" customBuiltin="1"/>
    <cellStyle name="40% - Ênfase1 10" xfId="145" xr:uid="{00000000-0005-0000-0000-000025120000}"/>
    <cellStyle name="40% - Ênfase1 10 10" xfId="5519" xr:uid="{00000000-0005-0000-0000-000026120000}"/>
    <cellStyle name="40% - Ênfase1 10 11" xfId="5520" xr:uid="{00000000-0005-0000-0000-000027120000}"/>
    <cellStyle name="40% - Ênfase1 10 12" xfId="5521" xr:uid="{00000000-0005-0000-0000-000028120000}"/>
    <cellStyle name="40% - Ênfase1 10 13" xfId="5522" xr:uid="{00000000-0005-0000-0000-000029120000}"/>
    <cellStyle name="40% - Ênfase1 10 14" xfId="5523" xr:uid="{00000000-0005-0000-0000-00002A120000}"/>
    <cellStyle name="40% - Ênfase1 10 15" xfId="5524" xr:uid="{00000000-0005-0000-0000-00002B120000}"/>
    <cellStyle name="40% - Ênfase1 10 16" xfId="5525" xr:uid="{00000000-0005-0000-0000-00002C120000}"/>
    <cellStyle name="40% - Ênfase1 10 17" xfId="5526" xr:uid="{00000000-0005-0000-0000-00002D120000}"/>
    <cellStyle name="40% - Ênfase1 10 18" xfId="5527" xr:uid="{00000000-0005-0000-0000-00002E120000}"/>
    <cellStyle name="40% - Ênfase1 10 19" xfId="5528" xr:uid="{00000000-0005-0000-0000-00002F120000}"/>
    <cellStyle name="40% - Ênfase1 10 2" xfId="5529" xr:uid="{00000000-0005-0000-0000-000030120000}"/>
    <cellStyle name="40% - Ênfase1 10 20" xfId="5530" xr:uid="{00000000-0005-0000-0000-000031120000}"/>
    <cellStyle name="40% - Ênfase1 10 3" xfId="5531" xr:uid="{00000000-0005-0000-0000-000032120000}"/>
    <cellStyle name="40% - Ênfase1 10 4" xfId="5532" xr:uid="{00000000-0005-0000-0000-000033120000}"/>
    <cellStyle name="40% - Ênfase1 10 5" xfId="5533" xr:uid="{00000000-0005-0000-0000-000034120000}"/>
    <cellStyle name="40% - Ênfase1 10 6" xfId="5534" xr:uid="{00000000-0005-0000-0000-000035120000}"/>
    <cellStyle name="40% - Ênfase1 10 7" xfId="5535" xr:uid="{00000000-0005-0000-0000-000036120000}"/>
    <cellStyle name="40% - Ênfase1 10 8" xfId="5536" xr:uid="{00000000-0005-0000-0000-000037120000}"/>
    <cellStyle name="40% - Ênfase1 10 9" xfId="5537" xr:uid="{00000000-0005-0000-0000-000038120000}"/>
    <cellStyle name="40% - Ênfase1 11" xfId="162" xr:uid="{00000000-0005-0000-0000-000039120000}"/>
    <cellStyle name="40% - Ênfase1 11 10" xfId="5538" xr:uid="{00000000-0005-0000-0000-00003A120000}"/>
    <cellStyle name="40% - Ênfase1 11 11" xfId="5539" xr:uid="{00000000-0005-0000-0000-00003B120000}"/>
    <cellStyle name="40% - Ênfase1 11 12" xfId="5540" xr:uid="{00000000-0005-0000-0000-00003C120000}"/>
    <cellStyle name="40% - Ênfase1 11 13" xfId="5541" xr:uid="{00000000-0005-0000-0000-00003D120000}"/>
    <cellStyle name="40% - Ênfase1 11 14" xfId="5542" xr:uid="{00000000-0005-0000-0000-00003E120000}"/>
    <cellStyle name="40% - Ênfase1 11 15" xfId="5543" xr:uid="{00000000-0005-0000-0000-00003F120000}"/>
    <cellStyle name="40% - Ênfase1 11 16" xfId="5544" xr:uid="{00000000-0005-0000-0000-000040120000}"/>
    <cellStyle name="40% - Ênfase1 11 17" xfId="5545" xr:uid="{00000000-0005-0000-0000-000041120000}"/>
    <cellStyle name="40% - Ênfase1 11 18" xfId="5546" xr:uid="{00000000-0005-0000-0000-000042120000}"/>
    <cellStyle name="40% - Ênfase1 11 19" xfId="5547" xr:uid="{00000000-0005-0000-0000-000043120000}"/>
    <cellStyle name="40% - Ênfase1 11 2" xfId="5548" xr:uid="{00000000-0005-0000-0000-000044120000}"/>
    <cellStyle name="40% - Ênfase1 11 20" xfId="5549" xr:uid="{00000000-0005-0000-0000-000045120000}"/>
    <cellStyle name="40% - Ênfase1 11 3" xfId="5550" xr:uid="{00000000-0005-0000-0000-000046120000}"/>
    <cellStyle name="40% - Ênfase1 11 4" xfId="5551" xr:uid="{00000000-0005-0000-0000-000047120000}"/>
    <cellStyle name="40% - Ênfase1 11 5" xfId="5552" xr:uid="{00000000-0005-0000-0000-000048120000}"/>
    <cellStyle name="40% - Ênfase1 11 6" xfId="5553" xr:uid="{00000000-0005-0000-0000-000049120000}"/>
    <cellStyle name="40% - Ênfase1 11 7" xfId="5554" xr:uid="{00000000-0005-0000-0000-00004A120000}"/>
    <cellStyle name="40% - Ênfase1 11 8" xfId="5555" xr:uid="{00000000-0005-0000-0000-00004B120000}"/>
    <cellStyle name="40% - Ênfase1 11 9" xfId="5556" xr:uid="{00000000-0005-0000-0000-00004C120000}"/>
    <cellStyle name="40% - Ênfase1 12" xfId="179" xr:uid="{00000000-0005-0000-0000-00004D120000}"/>
    <cellStyle name="40% - Ênfase1 12 10" xfId="5557" xr:uid="{00000000-0005-0000-0000-00004E120000}"/>
    <cellStyle name="40% - Ênfase1 12 11" xfId="5558" xr:uid="{00000000-0005-0000-0000-00004F120000}"/>
    <cellStyle name="40% - Ênfase1 12 12" xfId="5559" xr:uid="{00000000-0005-0000-0000-000050120000}"/>
    <cellStyle name="40% - Ênfase1 12 13" xfId="5560" xr:uid="{00000000-0005-0000-0000-000051120000}"/>
    <cellStyle name="40% - Ênfase1 12 14" xfId="5561" xr:uid="{00000000-0005-0000-0000-000052120000}"/>
    <cellStyle name="40% - Ênfase1 12 15" xfId="5562" xr:uid="{00000000-0005-0000-0000-000053120000}"/>
    <cellStyle name="40% - Ênfase1 12 16" xfId="5563" xr:uid="{00000000-0005-0000-0000-000054120000}"/>
    <cellStyle name="40% - Ênfase1 12 17" xfId="5564" xr:uid="{00000000-0005-0000-0000-000055120000}"/>
    <cellStyle name="40% - Ênfase1 12 18" xfId="5565" xr:uid="{00000000-0005-0000-0000-000056120000}"/>
    <cellStyle name="40% - Ênfase1 12 19" xfId="5566" xr:uid="{00000000-0005-0000-0000-000057120000}"/>
    <cellStyle name="40% - Ênfase1 12 2" xfId="5567" xr:uid="{00000000-0005-0000-0000-000058120000}"/>
    <cellStyle name="40% - Ênfase1 12 20" xfId="5568" xr:uid="{00000000-0005-0000-0000-000059120000}"/>
    <cellStyle name="40% - Ênfase1 12 3" xfId="5569" xr:uid="{00000000-0005-0000-0000-00005A120000}"/>
    <cellStyle name="40% - Ênfase1 12 4" xfId="5570" xr:uid="{00000000-0005-0000-0000-00005B120000}"/>
    <cellStyle name="40% - Ênfase1 12 5" xfId="5571" xr:uid="{00000000-0005-0000-0000-00005C120000}"/>
    <cellStyle name="40% - Ênfase1 12 6" xfId="5572" xr:uid="{00000000-0005-0000-0000-00005D120000}"/>
    <cellStyle name="40% - Ênfase1 12 7" xfId="5573" xr:uid="{00000000-0005-0000-0000-00005E120000}"/>
    <cellStyle name="40% - Ênfase1 12 8" xfId="5574" xr:uid="{00000000-0005-0000-0000-00005F120000}"/>
    <cellStyle name="40% - Ênfase1 12 9" xfId="5575" xr:uid="{00000000-0005-0000-0000-000060120000}"/>
    <cellStyle name="40% - Ênfase1 13" xfId="196" xr:uid="{00000000-0005-0000-0000-000061120000}"/>
    <cellStyle name="40% - Ênfase1 13 10" xfId="5576" xr:uid="{00000000-0005-0000-0000-000062120000}"/>
    <cellStyle name="40% - Ênfase1 13 11" xfId="5577" xr:uid="{00000000-0005-0000-0000-000063120000}"/>
    <cellStyle name="40% - Ênfase1 13 12" xfId="5578" xr:uid="{00000000-0005-0000-0000-000064120000}"/>
    <cellStyle name="40% - Ênfase1 13 13" xfId="5579" xr:uid="{00000000-0005-0000-0000-000065120000}"/>
    <cellStyle name="40% - Ênfase1 13 14" xfId="5580" xr:uid="{00000000-0005-0000-0000-000066120000}"/>
    <cellStyle name="40% - Ênfase1 13 15" xfId="5581" xr:uid="{00000000-0005-0000-0000-000067120000}"/>
    <cellStyle name="40% - Ênfase1 13 16" xfId="5582" xr:uid="{00000000-0005-0000-0000-000068120000}"/>
    <cellStyle name="40% - Ênfase1 13 17" xfId="5583" xr:uid="{00000000-0005-0000-0000-000069120000}"/>
    <cellStyle name="40% - Ênfase1 13 18" xfId="5584" xr:uid="{00000000-0005-0000-0000-00006A120000}"/>
    <cellStyle name="40% - Ênfase1 13 19" xfId="5585" xr:uid="{00000000-0005-0000-0000-00006B120000}"/>
    <cellStyle name="40% - Ênfase1 13 2" xfId="5586" xr:uid="{00000000-0005-0000-0000-00006C120000}"/>
    <cellStyle name="40% - Ênfase1 13 20" xfId="5587" xr:uid="{00000000-0005-0000-0000-00006D120000}"/>
    <cellStyle name="40% - Ênfase1 13 3" xfId="5588" xr:uid="{00000000-0005-0000-0000-00006E120000}"/>
    <cellStyle name="40% - Ênfase1 13 4" xfId="5589" xr:uid="{00000000-0005-0000-0000-00006F120000}"/>
    <cellStyle name="40% - Ênfase1 13 5" xfId="5590" xr:uid="{00000000-0005-0000-0000-000070120000}"/>
    <cellStyle name="40% - Ênfase1 13 6" xfId="5591" xr:uid="{00000000-0005-0000-0000-000071120000}"/>
    <cellStyle name="40% - Ênfase1 13 7" xfId="5592" xr:uid="{00000000-0005-0000-0000-000072120000}"/>
    <cellStyle name="40% - Ênfase1 13 8" xfId="5593" xr:uid="{00000000-0005-0000-0000-000073120000}"/>
    <cellStyle name="40% - Ênfase1 13 9" xfId="5594" xr:uid="{00000000-0005-0000-0000-000074120000}"/>
    <cellStyle name="40% - Ênfase1 14" xfId="213" xr:uid="{00000000-0005-0000-0000-000075120000}"/>
    <cellStyle name="40% - Ênfase1 14 10" xfId="5595" xr:uid="{00000000-0005-0000-0000-000076120000}"/>
    <cellStyle name="40% - Ênfase1 14 11" xfId="5596" xr:uid="{00000000-0005-0000-0000-000077120000}"/>
    <cellStyle name="40% - Ênfase1 14 12" xfId="5597" xr:uid="{00000000-0005-0000-0000-000078120000}"/>
    <cellStyle name="40% - Ênfase1 14 13" xfId="5598" xr:uid="{00000000-0005-0000-0000-000079120000}"/>
    <cellStyle name="40% - Ênfase1 14 14" xfId="5599" xr:uid="{00000000-0005-0000-0000-00007A120000}"/>
    <cellStyle name="40% - Ênfase1 14 15" xfId="5600" xr:uid="{00000000-0005-0000-0000-00007B120000}"/>
    <cellStyle name="40% - Ênfase1 14 16" xfId="5601" xr:uid="{00000000-0005-0000-0000-00007C120000}"/>
    <cellStyle name="40% - Ênfase1 14 17" xfId="5602" xr:uid="{00000000-0005-0000-0000-00007D120000}"/>
    <cellStyle name="40% - Ênfase1 14 18" xfId="5603" xr:uid="{00000000-0005-0000-0000-00007E120000}"/>
    <cellStyle name="40% - Ênfase1 14 19" xfId="5604" xr:uid="{00000000-0005-0000-0000-00007F120000}"/>
    <cellStyle name="40% - Ênfase1 14 2" xfId="5605" xr:uid="{00000000-0005-0000-0000-000080120000}"/>
    <cellStyle name="40% - Ênfase1 14 20" xfId="5606" xr:uid="{00000000-0005-0000-0000-000081120000}"/>
    <cellStyle name="40% - Ênfase1 14 3" xfId="5607" xr:uid="{00000000-0005-0000-0000-000082120000}"/>
    <cellStyle name="40% - Ênfase1 14 4" xfId="5608" xr:uid="{00000000-0005-0000-0000-000083120000}"/>
    <cellStyle name="40% - Ênfase1 14 5" xfId="5609" xr:uid="{00000000-0005-0000-0000-000084120000}"/>
    <cellStyle name="40% - Ênfase1 14 6" xfId="5610" xr:uid="{00000000-0005-0000-0000-000085120000}"/>
    <cellStyle name="40% - Ênfase1 14 7" xfId="5611" xr:uid="{00000000-0005-0000-0000-000086120000}"/>
    <cellStyle name="40% - Ênfase1 14 8" xfId="5612" xr:uid="{00000000-0005-0000-0000-000087120000}"/>
    <cellStyle name="40% - Ênfase1 14 9" xfId="5613" xr:uid="{00000000-0005-0000-0000-000088120000}"/>
    <cellStyle name="40% - Ênfase1 15" xfId="230" xr:uid="{00000000-0005-0000-0000-000089120000}"/>
    <cellStyle name="40% - Ênfase1 15 10" xfId="5614" xr:uid="{00000000-0005-0000-0000-00008A120000}"/>
    <cellStyle name="40% - Ênfase1 15 11" xfId="5615" xr:uid="{00000000-0005-0000-0000-00008B120000}"/>
    <cellStyle name="40% - Ênfase1 15 12" xfId="5616" xr:uid="{00000000-0005-0000-0000-00008C120000}"/>
    <cellStyle name="40% - Ênfase1 15 13" xfId="5617" xr:uid="{00000000-0005-0000-0000-00008D120000}"/>
    <cellStyle name="40% - Ênfase1 15 14" xfId="5618" xr:uid="{00000000-0005-0000-0000-00008E120000}"/>
    <cellStyle name="40% - Ênfase1 15 15" xfId="5619" xr:uid="{00000000-0005-0000-0000-00008F120000}"/>
    <cellStyle name="40% - Ênfase1 15 16" xfId="5620" xr:uid="{00000000-0005-0000-0000-000090120000}"/>
    <cellStyle name="40% - Ênfase1 15 17" xfId="5621" xr:uid="{00000000-0005-0000-0000-000091120000}"/>
    <cellStyle name="40% - Ênfase1 15 18" xfId="5622" xr:uid="{00000000-0005-0000-0000-000092120000}"/>
    <cellStyle name="40% - Ênfase1 15 19" xfId="5623" xr:uid="{00000000-0005-0000-0000-000093120000}"/>
    <cellStyle name="40% - Ênfase1 15 2" xfId="5624" xr:uid="{00000000-0005-0000-0000-000094120000}"/>
    <cellStyle name="40% - Ênfase1 15 20" xfId="5625" xr:uid="{00000000-0005-0000-0000-000095120000}"/>
    <cellStyle name="40% - Ênfase1 15 3" xfId="5626" xr:uid="{00000000-0005-0000-0000-000096120000}"/>
    <cellStyle name="40% - Ênfase1 15 4" xfId="5627" xr:uid="{00000000-0005-0000-0000-000097120000}"/>
    <cellStyle name="40% - Ênfase1 15 5" xfId="5628" xr:uid="{00000000-0005-0000-0000-000098120000}"/>
    <cellStyle name="40% - Ênfase1 15 6" xfId="5629" xr:uid="{00000000-0005-0000-0000-000099120000}"/>
    <cellStyle name="40% - Ênfase1 15 7" xfId="5630" xr:uid="{00000000-0005-0000-0000-00009A120000}"/>
    <cellStyle name="40% - Ênfase1 15 8" xfId="5631" xr:uid="{00000000-0005-0000-0000-00009B120000}"/>
    <cellStyle name="40% - Ênfase1 15 9" xfId="5632" xr:uid="{00000000-0005-0000-0000-00009C120000}"/>
    <cellStyle name="40% - Ênfase1 16" xfId="247" xr:uid="{00000000-0005-0000-0000-00009D120000}"/>
    <cellStyle name="40% - Ênfase1 16 10" xfId="5633" xr:uid="{00000000-0005-0000-0000-00009E120000}"/>
    <cellStyle name="40% - Ênfase1 16 11" xfId="5634" xr:uid="{00000000-0005-0000-0000-00009F120000}"/>
    <cellStyle name="40% - Ênfase1 16 12" xfId="5635" xr:uid="{00000000-0005-0000-0000-0000A0120000}"/>
    <cellStyle name="40% - Ênfase1 16 13" xfId="5636" xr:uid="{00000000-0005-0000-0000-0000A1120000}"/>
    <cellStyle name="40% - Ênfase1 16 14" xfId="5637" xr:uid="{00000000-0005-0000-0000-0000A2120000}"/>
    <cellStyle name="40% - Ênfase1 16 15" xfId="5638" xr:uid="{00000000-0005-0000-0000-0000A3120000}"/>
    <cellStyle name="40% - Ênfase1 16 16" xfId="5639" xr:uid="{00000000-0005-0000-0000-0000A4120000}"/>
    <cellStyle name="40% - Ênfase1 16 17" xfId="5640" xr:uid="{00000000-0005-0000-0000-0000A5120000}"/>
    <cellStyle name="40% - Ênfase1 16 18" xfId="5641" xr:uid="{00000000-0005-0000-0000-0000A6120000}"/>
    <cellStyle name="40% - Ênfase1 16 19" xfId="5642" xr:uid="{00000000-0005-0000-0000-0000A7120000}"/>
    <cellStyle name="40% - Ênfase1 16 2" xfId="5643" xr:uid="{00000000-0005-0000-0000-0000A8120000}"/>
    <cellStyle name="40% - Ênfase1 16 20" xfId="5644" xr:uid="{00000000-0005-0000-0000-0000A9120000}"/>
    <cellStyle name="40% - Ênfase1 16 3" xfId="5645" xr:uid="{00000000-0005-0000-0000-0000AA120000}"/>
    <cellStyle name="40% - Ênfase1 16 4" xfId="5646" xr:uid="{00000000-0005-0000-0000-0000AB120000}"/>
    <cellStyle name="40% - Ênfase1 16 5" xfId="5647" xr:uid="{00000000-0005-0000-0000-0000AC120000}"/>
    <cellStyle name="40% - Ênfase1 16 6" xfId="5648" xr:uid="{00000000-0005-0000-0000-0000AD120000}"/>
    <cellStyle name="40% - Ênfase1 16 7" xfId="5649" xr:uid="{00000000-0005-0000-0000-0000AE120000}"/>
    <cellStyle name="40% - Ênfase1 16 8" xfId="5650" xr:uid="{00000000-0005-0000-0000-0000AF120000}"/>
    <cellStyle name="40% - Ênfase1 16 9" xfId="5651" xr:uid="{00000000-0005-0000-0000-0000B0120000}"/>
    <cellStyle name="40% - Ênfase1 17" xfId="264" xr:uid="{00000000-0005-0000-0000-0000B1120000}"/>
    <cellStyle name="40% - Ênfase1 17 10" xfId="5652" xr:uid="{00000000-0005-0000-0000-0000B2120000}"/>
    <cellStyle name="40% - Ênfase1 17 11" xfId="5653" xr:uid="{00000000-0005-0000-0000-0000B3120000}"/>
    <cellStyle name="40% - Ênfase1 17 12" xfId="5654" xr:uid="{00000000-0005-0000-0000-0000B4120000}"/>
    <cellStyle name="40% - Ênfase1 17 13" xfId="5655" xr:uid="{00000000-0005-0000-0000-0000B5120000}"/>
    <cellStyle name="40% - Ênfase1 17 14" xfId="5656" xr:uid="{00000000-0005-0000-0000-0000B6120000}"/>
    <cellStyle name="40% - Ênfase1 17 15" xfId="5657" xr:uid="{00000000-0005-0000-0000-0000B7120000}"/>
    <cellStyle name="40% - Ênfase1 17 16" xfId="5658" xr:uid="{00000000-0005-0000-0000-0000B8120000}"/>
    <cellStyle name="40% - Ênfase1 17 17" xfId="5659" xr:uid="{00000000-0005-0000-0000-0000B9120000}"/>
    <cellStyle name="40% - Ênfase1 17 18" xfId="5660" xr:uid="{00000000-0005-0000-0000-0000BA120000}"/>
    <cellStyle name="40% - Ênfase1 17 19" xfId="5661" xr:uid="{00000000-0005-0000-0000-0000BB120000}"/>
    <cellStyle name="40% - Ênfase1 17 2" xfId="5662" xr:uid="{00000000-0005-0000-0000-0000BC120000}"/>
    <cellStyle name="40% - Ênfase1 17 20" xfId="5663" xr:uid="{00000000-0005-0000-0000-0000BD120000}"/>
    <cellStyle name="40% - Ênfase1 17 3" xfId="5664" xr:uid="{00000000-0005-0000-0000-0000BE120000}"/>
    <cellStyle name="40% - Ênfase1 17 4" xfId="5665" xr:uid="{00000000-0005-0000-0000-0000BF120000}"/>
    <cellStyle name="40% - Ênfase1 17 5" xfId="5666" xr:uid="{00000000-0005-0000-0000-0000C0120000}"/>
    <cellStyle name="40% - Ênfase1 17 6" xfId="5667" xr:uid="{00000000-0005-0000-0000-0000C1120000}"/>
    <cellStyle name="40% - Ênfase1 17 7" xfId="5668" xr:uid="{00000000-0005-0000-0000-0000C2120000}"/>
    <cellStyle name="40% - Ênfase1 17 8" xfId="5669" xr:uid="{00000000-0005-0000-0000-0000C3120000}"/>
    <cellStyle name="40% - Ênfase1 17 9" xfId="5670" xr:uid="{00000000-0005-0000-0000-0000C4120000}"/>
    <cellStyle name="40% - Ênfase1 18" xfId="281" xr:uid="{00000000-0005-0000-0000-0000C5120000}"/>
    <cellStyle name="40% - Ênfase1 18 10" xfId="5671" xr:uid="{00000000-0005-0000-0000-0000C6120000}"/>
    <cellStyle name="40% - Ênfase1 18 11" xfId="5672" xr:uid="{00000000-0005-0000-0000-0000C7120000}"/>
    <cellStyle name="40% - Ênfase1 18 12" xfId="5673" xr:uid="{00000000-0005-0000-0000-0000C8120000}"/>
    <cellStyle name="40% - Ênfase1 18 13" xfId="5674" xr:uid="{00000000-0005-0000-0000-0000C9120000}"/>
    <cellStyle name="40% - Ênfase1 18 14" xfId="5675" xr:uid="{00000000-0005-0000-0000-0000CA120000}"/>
    <cellStyle name="40% - Ênfase1 18 15" xfId="5676" xr:uid="{00000000-0005-0000-0000-0000CB120000}"/>
    <cellStyle name="40% - Ênfase1 18 16" xfId="5677" xr:uid="{00000000-0005-0000-0000-0000CC120000}"/>
    <cellStyle name="40% - Ênfase1 18 17" xfId="5678" xr:uid="{00000000-0005-0000-0000-0000CD120000}"/>
    <cellStyle name="40% - Ênfase1 18 18" xfId="5679" xr:uid="{00000000-0005-0000-0000-0000CE120000}"/>
    <cellStyle name="40% - Ênfase1 18 19" xfId="5680" xr:uid="{00000000-0005-0000-0000-0000CF120000}"/>
    <cellStyle name="40% - Ênfase1 18 2" xfId="5681" xr:uid="{00000000-0005-0000-0000-0000D0120000}"/>
    <cellStyle name="40% - Ênfase1 18 20" xfId="5682" xr:uid="{00000000-0005-0000-0000-0000D1120000}"/>
    <cellStyle name="40% - Ênfase1 18 3" xfId="5683" xr:uid="{00000000-0005-0000-0000-0000D2120000}"/>
    <cellStyle name="40% - Ênfase1 18 4" xfId="5684" xr:uid="{00000000-0005-0000-0000-0000D3120000}"/>
    <cellStyle name="40% - Ênfase1 18 5" xfId="5685" xr:uid="{00000000-0005-0000-0000-0000D4120000}"/>
    <cellStyle name="40% - Ênfase1 18 6" xfId="5686" xr:uid="{00000000-0005-0000-0000-0000D5120000}"/>
    <cellStyle name="40% - Ênfase1 18 7" xfId="5687" xr:uid="{00000000-0005-0000-0000-0000D6120000}"/>
    <cellStyle name="40% - Ênfase1 18 8" xfId="5688" xr:uid="{00000000-0005-0000-0000-0000D7120000}"/>
    <cellStyle name="40% - Ênfase1 18 9" xfId="5689" xr:uid="{00000000-0005-0000-0000-0000D8120000}"/>
    <cellStyle name="40% - Ênfase1 19" xfId="332" xr:uid="{00000000-0005-0000-0000-0000D9120000}"/>
    <cellStyle name="40% - Ênfase1 19 10" xfId="5690" xr:uid="{00000000-0005-0000-0000-0000DA120000}"/>
    <cellStyle name="40% - Ênfase1 19 11" xfId="5691" xr:uid="{00000000-0005-0000-0000-0000DB120000}"/>
    <cellStyle name="40% - Ênfase1 19 12" xfId="5692" xr:uid="{00000000-0005-0000-0000-0000DC120000}"/>
    <cellStyle name="40% - Ênfase1 19 13" xfId="5693" xr:uid="{00000000-0005-0000-0000-0000DD120000}"/>
    <cellStyle name="40% - Ênfase1 19 14" xfId="5694" xr:uid="{00000000-0005-0000-0000-0000DE120000}"/>
    <cellStyle name="40% - Ênfase1 19 15" xfId="5695" xr:uid="{00000000-0005-0000-0000-0000DF120000}"/>
    <cellStyle name="40% - Ênfase1 19 16" xfId="5696" xr:uid="{00000000-0005-0000-0000-0000E0120000}"/>
    <cellStyle name="40% - Ênfase1 19 17" xfId="5697" xr:uid="{00000000-0005-0000-0000-0000E1120000}"/>
    <cellStyle name="40% - Ênfase1 19 18" xfId="5698" xr:uid="{00000000-0005-0000-0000-0000E2120000}"/>
    <cellStyle name="40% - Ênfase1 19 19" xfId="5699" xr:uid="{00000000-0005-0000-0000-0000E3120000}"/>
    <cellStyle name="40% - Ênfase1 19 2" xfId="5700" xr:uid="{00000000-0005-0000-0000-0000E4120000}"/>
    <cellStyle name="40% - Ênfase1 19 20" xfId="5701" xr:uid="{00000000-0005-0000-0000-0000E5120000}"/>
    <cellStyle name="40% - Ênfase1 19 3" xfId="5702" xr:uid="{00000000-0005-0000-0000-0000E6120000}"/>
    <cellStyle name="40% - Ênfase1 19 4" xfId="5703" xr:uid="{00000000-0005-0000-0000-0000E7120000}"/>
    <cellStyle name="40% - Ênfase1 19 5" xfId="5704" xr:uid="{00000000-0005-0000-0000-0000E8120000}"/>
    <cellStyle name="40% - Ênfase1 19 6" xfId="5705" xr:uid="{00000000-0005-0000-0000-0000E9120000}"/>
    <cellStyle name="40% - Ênfase1 19 7" xfId="5706" xr:uid="{00000000-0005-0000-0000-0000EA120000}"/>
    <cellStyle name="40% - Ênfase1 19 8" xfId="5707" xr:uid="{00000000-0005-0000-0000-0000EB120000}"/>
    <cellStyle name="40% - Ênfase1 19 9" xfId="5708" xr:uid="{00000000-0005-0000-0000-0000EC120000}"/>
    <cellStyle name="40% - Ênfase1 2" xfId="69" xr:uid="{00000000-0005-0000-0000-0000ED120000}"/>
    <cellStyle name="40% - Ênfase1 2 10" xfId="5709" xr:uid="{00000000-0005-0000-0000-0000EE120000}"/>
    <cellStyle name="40% - Ênfase1 2 11" xfId="5710" xr:uid="{00000000-0005-0000-0000-0000EF120000}"/>
    <cellStyle name="40% - Ênfase1 2 12" xfId="5711" xr:uid="{00000000-0005-0000-0000-0000F0120000}"/>
    <cellStyle name="40% - Ênfase1 2 13" xfId="5712" xr:uid="{00000000-0005-0000-0000-0000F1120000}"/>
    <cellStyle name="40% - Ênfase1 2 14" xfId="5713" xr:uid="{00000000-0005-0000-0000-0000F2120000}"/>
    <cellStyle name="40% - Ênfase1 2 15" xfId="5714" xr:uid="{00000000-0005-0000-0000-0000F3120000}"/>
    <cellStyle name="40% - Ênfase1 2 16" xfId="5715" xr:uid="{00000000-0005-0000-0000-0000F4120000}"/>
    <cellStyle name="40% - Ênfase1 2 17" xfId="5716" xr:uid="{00000000-0005-0000-0000-0000F5120000}"/>
    <cellStyle name="40% - Ênfase1 2 18" xfId="5717" xr:uid="{00000000-0005-0000-0000-0000F6120000}"/>
    <cellStyle name="40% - Ênfase1 2 19" xfId="5718" xr:uid="{00000000-0005-0000-0000-0000F7120000}"/>
    <cellStyle name="40% - Ênfase1 2 2" xfId="5719" xr:uid="{00000000-0005-0000-0000-0000F8120000}"/>
    <cellStyle name="40% - Ênfase1 2 20" xfId="5720" xr:uid="{00000000-0005-0000-0000-0000F9120000}"/>
    <cellStyle name="40% - Ênfase1 2 3" xfId="5721" xr:uid="{00000000-0005-0000-0000-0000FA120000}"/>
    <cellStyle name="40% - Ênfase1 2 4" xfId="5722" xr:uid="{00000000-0005-0000-0000-0000FB120000}"/>
    <cellStyle name="40% - Ênfase1 2 5" xfId="5723" xr:uid="{00000000-0005-0000-0000-0000FC120000}"/>
    <cellStyle name="40% - Ênfase1 2 6" xfId="5724" xr:uid="{00000000-0005-0000-0000-0000FD120000}"/>
    <cellStyle name="40% - Ênfase1 2 7" xfId="5725" xr:uid="{00000000-0005-0000-0000-0000FE120000}"/>
    <cellStyle name="40% - Ênfase1 2 8" xfId="5726" xr:uid="{00000000-0005-0000-0000-0000FF120000}"/>
    <cellStyle name="40% - Ênfase1 2 9" xfId="5727" xr:uid="{00000000-0005-0000-0000-000000130000}"/>
    <cellStyle name="40% - Ênfase1 20" xfId="314" xr:uid="{00000000-0005-0000-0000-000001130000}"/>
    <cellStyle name="40% - Ênfase1 20 10" xfId="5728" xr:uid="{00000000-0005-0000-0000-000002130000}"/>
    <cellStyle name="40% - Ênfase1 20 11" xfId="5729" xr:uid="{00000000-0005-0000-0000-000003130000}"/>
    <cellStyle name="40% - Ênfase1 20 12" xfId="5730" xr:uid="{00000000-0005-0000-0000-000004130000}"/>
    <cellStyle name="40% - Ênfase1 20 13" xfId="5731" xr:uid="{00000000-0005-0000-0000-000005130000}"/>
    <cellStyle name="40% - Ênfase1 20 14" xfId="5732" xr:uid="{00000000-0005-0000-0000-000006130000}"/>
    <cellStyle name="40% - Ênfase1 20 15" xfId="5733" xr:uid="{00000000-0005-0000-0000-000007130000}"/>
    <cellStyle name="40% - Ênfase1 20 16" xfId="5734" xr:uid="{00000000-0005-0000-0000-000008130000}"/>
    <cellStyle name="40% - Ênfase1 20 17" xfId="5735" xr:uid="{00000000-0005-0000-0000-000009130000}"/>
    <cellStyle name="40% - Ênfase1 20 18" xfId="5736" xr:uid="{00000000-0005-0000-0000-00000A130000}"/>
    <cellStyle name="40% - Ênfase1 20 19" xfId="5737" xr:uid="{00000000-0005-0000-0000-00000B130000}"/>
    <cellStyle name="40% - Ênfase1 20 2" xfId="5738" xr:uid="{00000000-0005-0000-0000-00000C130000}"/>
    <cellStyle name="40% - Ênfase1 20 20" xfId="5739" xr:uid="{00000000-0005-0000-0000-00000D130000}"/>
    <cellStyle name="40% - Ênfase1 20 3" xfId="5740" xr:uid="{00000000-0005-0000-0000-00000E130000}"/>
    <cellStyle name="40% - Ênfase1 20 4" xfId="5741" xr:uid="{00000000-0005-0000-0000-00000F130000}"/>
    <cellStyle name="40% - Ênfase1 20 5" xfId="5742" xr:uid="{00000000-0005-0000-0000-000010130000}"/>
    <cellStyle name="40% - Ênfase1 20 6" xfId="5743" xr:uid="{00000000-0005-0000-0000-000011130000}"/>
    <cellStyle name="40% - Ênfase1 20 7" xfId="5744" xr:uid="{00000000-0005-0000-0000-000012130000}"/>
    <cellStyle name="40% - Ênfase1 20 8" xfId="5745" xr:uid="{00000000-0005-0000-0000-000013130000}"/>
    <cellStyle name="40% - Ênfase1 20 9" xfId="5746" xr:uid="{00000000-0005-0000-0000-000014130000}"/>
    <cellStyle name="40% - Ênfase1 21" xfId="348" xr:uid="{00000000-0005-0000-0000-000015130000}"/>
    <cellStyle name="40% - Ênfase1 21 10" xfId="5747" xr:uid="{00000000-0005-0000-0000-000016130000}"/>
    <cellStyle name="40% - Ênfase1 21 11" xfId="5748" xr:uid="{00000000-0005-0000-0000-000017130000}"/>
    <cellStyle name="40% - Ênfase1 21 12" xfId="5749" xr:uid="{00000000-0005-0000-0000-000018130000}"/>
    <cellStyle name="40% - Ênfase1 21 13" xfId="5750" xr:uid="{00000000-0005-0000-0000-000019130000}"/>
    <cellStyle name="40% - Ênfase1 21 14" xfId="5751" xr:uid="{00000000-0005-0000-0000-00001A130000}"/>
    <cellStyle name="40% - Ênfase1 21 15" xfId="5752" xr:uid="{00000000-0005-0000-0000-00001B130000}"/>
    <cellStyle name="40% - Ênfase1 21 16" xfId="5753" xr:uid="{00000000-0005-0000-0000-00001C130000}"/>
    <cellStyle name="40% - Ênfase1 21 17" xfId="5754" xr:uid="{00000000-0005-0000-0000-00001D130000}"/>
    <cellStyle name="40% - Ênfase1 21 18" xfId="5755" xr:uid="{00000000-0005-0000-0000-00001E130000}"/>
    <cellStyle name="40% - Ênfase1 21 19" xfId="5756" xr:uid="{00000000-0005-0000-0000-00001F130000}"/>
    <cellStyle name="40% - Ênfase1 21 2" xfId="5757" xr:uid="{00000000-0005-0000-0000-000020130000}"/>
    <cellStyle name="40% - Ênfase1 21 20" xfId="5758" xr:uid="{00000000-0005-0000-0000-000021130000}"/>
    <cellStyle name="40% - Ênfase1 21 3" xfId="5759" xr:uid="{00000000-0005-0000-0000-000022130000}"/>
    <cellStyle name="40% - Ênfase1 21 4" xfId="5760" xr:uid="{00000000-0005-0000-0000-000023130000}"/>
    <cellStyle name="40% - Ênfase1 21 5" xfId="5761" xr:uid="{00000000-0005-0000-0000-000024130000}"/>
    <cellStyle name="40% - Ênfase1 21 6" xfId="5762" xr:uid="{00000000-0005-0000-0000-000025130000}"/>
    <cellStyle name="40% - Ênfase1 21 7" xfId="5763" xr:uid="{00000000-0005-0000-0000-000026130000}"/>
    <cellStyle name="40% - Ênfase1 21 8" xfId="5764" xr:uid="{00000000-0005-0000-0000-000027130000}"/>
    <cellStyle name="40% - Ênfase1 21 9" xfId="5765" xr:uid="{00000000-0005-0000-0000-000028130000}"/>
    <cellStyle name="40% - Ênfase1 22" xfId="322" xr:uid="{00000000-0005-0000-0000-000029130000}"/>
    <cellStyle name="40% - Ênfase1 22 10" xfId="5766" xr:uid="{00000000-0005-0000-0000-00002A130000}"/>
    <cellStyle name="40% - Ênfase1 22 11" xfId="5767" xr:uid="{00000000-0005-0000-0000-00002B130000}"/>
    <cellStyle name="40% - Ênfase1 22 12" xfId="5768" xr:uid="{00000000-0005-0000-0000-00002C130000}"/>
    <cellStyle name="40% - Ênfase1 22 13" xfId="5769" xr:uid="{00000000-0005-0000-0000-00002D130000}"/>
    <cellStyle name="40% - Ênfase1 22 14" xfId="5770" xr:uid="{00000000-0005-0000-0000-00002E130000}"/>
    <cellStyle name="40% - Ênfase1 22 15" xfId="5771" xr:uid="{00000000-0005-0000-0000-00002F130000}"/>
    <cellStyle name="40% - Ênfase1 22 16" xfId="5772" xr:uid="{00000000-0005-0000-0000-000030130000}"/>
    <cellStyle name="40% - Ênfase1 22 17" xfId="5773" xr:uid="{00000000-0005-0000-0000-000031130000}"/>
    <cellStyle name="40% - Ênfase1 22 18" xfId="5774" xr:uid="{00000000-0005-0000-0000-000032130000}"/>
    <cellStyle name="40% - Ênfase1 22 19" xfId="5775" xr:uid="{00000000-0005-0000-0000-000033130000}"/>
    <cellStyle name="40% - Ênfase1 22 2" xfId="5776" xr:uid="{00000000-0005-0000-0000-000034130000}"/>
    <cellStyle name="40% - Ênfase1 22 20" xfId="5777" xr:uid="{00000000-0005-0000-0000-000035130000}"/>
    <cellStyle name="40% - Ênfase1 22 3" xfId="5778" xr:uid="{00000000-0005-0000-0000-000036130000}"/>
    <cellStyle name="40% - Ênfase1 22 4" xfId="5779" xr:uid="{00000000-0005-0000-0000-000037130000}"/>
    <cellStyle name="40% - Ênfase1 22 5" xfId="5780" xr:uid="{00000000-0005-0000-0000-000038130000}"/>
    <cellStyle name="40% - Ênfase1 22 6" xfId="5781" xr:uid="{00000000-0005-0000-0000-000039130000}"/>
    <cellStyle name="40% - Ênfase1 22 7" xfId="5782" xr:uid="{00000000-0005-0000-0000-00003A130000}"/>
    <cellStyle name="40% - Ênfase1 22 8" xfId="5783" xr:uid="{00000000-0005-0000-0000-00003B130000}"/>
    <cellStyle name="40% - Ênfase1 22 9" xfId="5784" xr:uid="{00000000-0005-0000-0000-00003C130000}"/>
    <cellStyle name="40% - Ênfase1 23" xfId="366" xr:uid="{00000000-0005-0000-0000-00003D130000}"/>
    <cellStyle name="40% - Ênfase1 23 10" xfId="5785" xr:uid="{00000000-0005-0000-0000-00003E130000}"/>
    <cellStyle name="40% - Ênfase1 23 11" xfId="5786" xr:uid="{00000000-0005-0000-0000-00003F130000}"/>
    <cellStyle name="40% - Ênfase1 23 12" xfId="5787" xr:uid="{00000000-0005-0000-0000-000040130000}"/>
    <cellStyle name="40% - Ênfase1 23 13" xfId="5788" xr:uid="{00000000-0005-0000-0000-000041130000}"/>
    <cellStyle name="40% - Ênfase1 23 14" xfId="5789" xr:uid="{00000000-0005-0000-0000-000042130000}"/>
    <cellStyle name="40% - Ênfase1 23 15" xfId="5790" xr:uid="{00000000-0005-0000-0000-000043130000}"/>
    <cellStyle name="40% - Ênfase1 23 16" xfId="5791" xr:uid="{00000000-0005-0000-0000-000044130000}"/>
    <cellStyle name="40% - Ênfase1 23 17" xfId="5792" xr:uid="{00000000-0005-0000-0000-000045130000}"/>
    <cellStyle name="40% - Ênfase1 23 18" xfId="5793" xr:uid="{00000000-0005-0000-0000-000046130000}"/>
    <cellStyle name="40% - Ênfase1 23 19" xfId="5794" xr:uid="{00000000-0005-0000-0000-000047130000}"/>
    <cellStyle name="40% - Ênfase1 23 2" xfId="5795" xr:uid="{00000000-0005-0000-0000-000048130000}"/>
    <cellStyle name="40% - Ênfase1 23 20" xfId="5796" xr:uid="{00000000-0005-0000-0000-000049130000}"/>
    <cellStyle name="40% - Ênfase1 23 3" xfId="5797" xr:uid="{00000000-0005-0000-0000-00004A130000}"/>
    <cellStyle name="40% - Ênfase1 23 4" xfId="5798" xr:uid="{00000000-0005-0000-0000-00004B130000}"/>
    <cellStyle name="40% - Ênfase1 23 5" xfId="5799" xr:uid="{00000000-0005-0000-0000-00004C130000}"/>
    <cellStyle name="40% - Ênfase1 23 6" xfId="5800" xr:uid="{00000000-0005-0000-0000-00004D130000}"/>
    <cellStyle name="40% - Ênfase1 23 7" xfId="5801" xr:uid="{00000000-0005-0000-0000-00004E130000}"/>
    <cellStyle name="40% - Ênfase1 23 8" xfId="5802" xr:uid="{00000000-0005-0000-0000-00004F130000}"/>
    <cellStyle name="40% - Ênfase1 23 9" xfId="5803" xr:uid="{00000000-0005-0000-0000-000050130000}"/>
    <cellStyle name="40% - Ênfase1 24" xfId="387" xr:uid="{00000000-0005-0000-0000-000051130000}"/>
    <cellStyle name="40% - Ênfase1 24 10" xfId="5804" xr:uid="{00000000-0005-0000-0000-000052130000}"/>
    <cellStyle name="40% - Ênfase1 24 11" xfId="5805" xr:uid="{00000000-0005-0000-0000-000053130000}"/>
    <cellStyle name="40% - Ênfase1 24 12" xfId="5806" xr:uid="{00000000-0005-0000-0000-000054130000}"/>
    <cellStyle name="40% - Ênfase1 24 13" xfId="5807" xr:uid="{00000000-0005-0000-0000-000055130000}"/>
    <cellStyle name="40% - Ênfase1 24 14" xfId="5808" xr:uid="{00000000-0005-0000-0000-000056130000}"/>
    <cellStyle name="40% - Ênfase1 24 15" xfId="5809" xr:uid="{00000000-0005-0000-0000-000057130000}"/>
    <cellStyle name="40% - Ênfase1 24 16" xfId="5810" xr:uid="{00000000-0005-0000-0000-000058130000}"/>
    <cellStyle name="40% - Ênfase1 24 17" xfId="5811" xr:uid="{00000000-0005-0000-0000-000059130000}"/>
    <cellStyle name="40% - Ênfase1 24 18" xfId="5812" xr:uid="{00000000-0005-0000-0000-00005A130000}"/>
    <cellStyle name="40% - Ênfase1 24 19" xfId="5813" xr:uid="{00000000-0005-0000-0000-00005B130000}"/>
    <cellStyle name="40% - Ênfase1 24 2" xfId="5814" xr:uid="{00000000-0005-0000-0000-00005C130000}"/>
    <cellStyle name="40% - Ênfase1 24 20" xfId="5815" xr:uid="{00000000-0005-0000-0000-00005D130000}"/>
    <cellStyle name="40% - Ênfase1 24 3" xfId="5816" xr:uid="{00000000-0005-0000-0000-00005E130000}"/>
    <cellStyle name="40% - Ênfase1 24 4" xfId="5817" xr:uid="{00000000-0005-0000-0000-00005F130000}"/>
    <cellStyle name="40% - Ênfase1 24 5" xfId="5818" xr:uid="{00000000-0005-0000-0000-000060130000}"/>
    <cellStyle name="40% - Ênfase1 24 6" xfId="5819" xr:uid="{00000000-0005-0000-0000-000061130000}"/>
    <cellStyle name="40% - Ênfase1 24 7" xfId="5820" xr:uid="{00000000-0005-0000-0000-000062130000}"/>
    <cellStyle name="40% - Ênfase1 24 8" xfId="5821" xr:uid="{00000000-0005-0000-0000-000063130000}"/>
    <cellStyle name="40% - Ênfase1 24 9" xfId="5822" xr:uid="{00000000-0005-0000-0000-000064130000}"/>
    <cellStyle name="40% - Ênfase1 25" xfId="405" xr:uid="{00000000-0005-0000-0000-000065130000}"/>
    <cellStyle name="40% - Ênfase1 25 10" xfId="5823" xr:uid="{00000000-0005-0000-0000-000066130000}"/>
    <cellStyle name="40% - Ênfase1 25 11" xfId="5824" xr:uid="{00000000-0005-0000-0000-000067130000}"/>
    <cellStyle name="40% - Ênfase1 25 12" xfId="5825" xr:uid="{00000000-0005-0000-0000-000068130000}"/>
    <cellStyle name="40% - Ênfase1 25 13" xfId="5826" xr:uid="{00000000-0005-0000-0000-000069130000}"/>
    <cellStyle name="40% - Ênfase1 25 14" xfId="5827" xr:uid="{00000000-0005-0000-0000-00006A130000}"/>
    <cellStyle name="40% - Ênfase1 25 15" xfId="5828" xr:uid="{00000000-0005-0000-0000-00006B130000}"/>
    <cellStyle name="40% - Ênfase1 25 16" xfId="5829" xr:uid="{00000000-0005-0000-0000-00006C130000}"/>
    <cellStyle name="40% - Ênfase1 25 17" xfId="5830" xr:uid="{00000000-0005-0000-0000-00006D130000}"/>
    <cellStyle name="40% - Ênfase1 25 18" xfId="5831" xr:uid="{00000000-0005-0000-0000-00006E130000}"/>
    <cellStyle name="40% - Ênfase1 25 19" xfId="5832" xr:uid="{00000000-0005-0000-0000-00006F130000}"/>
    <cellStyle name="40% - Ênfase1 25 2" xfId="5833" xr:uid="{00000000-0005-0000-0000-000070130000}"/>
    <cellStyle name="40% - Ênfase1 25 20" xfId="5834" xr:uid="{00000000-0005-0000-0000-000071130000}"/>
    <cellStyle name="40% - Ênfase1 25 3" xfId="5835" xr:uid="{00000000-0005-0000-0000-000072130000}"/>
    <cellStyle name="40% - Ênfase1 25 4" xfId="5836" xr:uid="{00000000-0005-0000-0000-000073130000}"/>
    <cellStyle name="40% - Ênfase1 25 5" xfId="5837" xr:uid="{00000000-0005-0000-0000-000074130000}"/>
    <cellStyle name="40% - Ênfase1 25 6" xfId="5838" xr:uid="{00000000-0005-0000-0000-000075130000}"/>
    <cellStyle name="40% - Ênfase1 25 7" xfId="5839" xr:uid="{00000000-0005-0000-0000-000076130000}"/>
    <cellStyle name="40% - Ênfase1 25 8" xfId="5840" xr:uid="{00000000-0005-0000-0000-000077130000}"/>
    <cellStyle name="40% - Ênfase1 25 9" xfId="5841" xr:uid="{00000000-0005-0000-0000-000078130000}"/>
    <cellStyle name="40% - Ênfase1 26" xfId="423" xr:uid="{00000000-0005-0000-0000-000079130000}"/>
    <cellStyle name="40% - Ênfase1 26 10" xfId="5842" xr:uid="{00000000-0005-0000-0000-00007A130000}"/>
    <cellStyle name="40% - Ênfase1 26 11" xfId="5843" xr:uid="{00000000-0005-0000-0000-00007B130000}"/>
    <cellStyle name="40% - Ênfase1 26 12" xfId="5844" xr:uid="{00000000-0005-0000-0000-00007C130000}"/>
    <cellStyle name="40% - Ênfase1 26 13" xfId="5845" xr:uid="{00000000-0005-0000-0000-00007D130000}"/>
    <cellStyle name="40% - Ênfase1 26 14" xfId="5846" xr:uid="{00000000-0005-0000-0000-00007E130000}"/>
    <cellStyle name="40% - Ênfase1 26 15" xfId="5847" xr:uid="{00000000-0005-0000-0000-00007F130000}"/>
    <cellStyle name="40% - Ênfase1 26 16" xfId="5848" xr:uid="{00000000-0005-0000-0000-000080130000}"/>
    <cellStyle name="40% - Ênfase1 26 17" xfId="5849" xr:uid="{00000000-0005-0000-0000-000081130000}"/>
    <cellStyle name="40% - Ênfase1 26 18" xfId="5850" xr:uid="{00000000-0005-0000-0000-000082130000}"/>
    <cellStyle name="40% - Ênfase1 26 19" xfId="5851" xr:uid="{00000000-0005-0000-0000-000083130000}"/>
    <cellStyle name="40% - Ênfase1 26 2" xfId="5852" xr:uid="{00000000-0005-0000-0000-000084130000}"/>
    <cellStyle name="40% - Ênfase1 26 20" xfId="5853" xr:uid="{00000000-0005-0000-0000-000085130000}"/>
    <cellStyle name="40% - Ênfase1 26 3" xfId="5854" xr:uid="{00000000-0005-0000-0000-000086130000}"/>
    <cellStyle name="40% - Ênfase1 26 4" xfId="5855" xr:uid="{00000000-0005-0000-0000-000087130000}"/>
    <cellStyle name="40% - Ênfase1 26 5" xfId="5856" xr:uid="{00000000-0005-0000-0000-000088130000}"/>
    <cellStyle name="40% - Ênfase1 26 6" xfId="5857" xr:uid="{00000000-0005-0000-0000-000089130000}"/>
    <cellStyle name="40% - Ênfase1 26 7" xfId="5858" xr:uid="{00000000-0005-0000-0000-00008A130000}"/>
    <cellStyle name="40% - Ênfase1 26 8" xfId="5859" xr:uid="{00000000-0005-0000-0000-00008B130000}"/>
    <cellStyle name="40% - Ênfase1 26 9" xfId="5860" xr:uid="{00000000-0005-0000-0000-00008C130000}"/>
    <cellStyle name="40% - Ênfase1 27" xfId="441" xr:uid="{00000000-0005-0000-0000-00008D130000}"/>
    <cellStyle name="40% - Ênfase1 27 10" xfId="5861" xr:uid="{00000000-0005-0000-0000-00008E130000}"/>
    <cellStyle name="40% - Ênfase1 27 11" xfId="5862" xr:uid="{00000000-0005-0000-0000-00008F130000}"/>
    <cellStyle name="40% - Ênfase1 27 12" xfId="5863" xr:uid="{00000000-0005-0000-0000-000090130000}"/>
    <cellStyle name="40% - Ênfase1 27 13" xfId="5864" xr:uid="{00000000-0005-0000-0000-000091130000}"/>
    <cellStyle name="40% - Ênfase1 27 14" xfId="5865" xr:uid="{00000000-0005-0000-0000-000092130000}"/>
    <cellStyle name="40% - Ênfase1 27 15" xfId="5866" xr:uid="{00000000-0005-0000-0000-000093130000}"/>
    <cellStyle name="40% - Ênfase1 27 16" xfId="5867" xr:uid="{00000000-0005-0000-0000-000094130000}"/>
    <cellStyle name="40% - Ênfase1 27 17" xfId="5868" xr:uid="{00000000-0005-0000-0000-000095130000}"/>
    <cellStyle name="40% - Ênfase1 27 18" xfId="5869" xr:uid="{00000000-0005-0000-0000-000096130000}"/>
    <cellStyle name="40% - Ênfase1 27 19" xfId="5870" xr:uid="{00000000-0005-0000-0000-000097130000}"/>
    <cellStyle name="40% - Ênfase1 27 2" xfId="5871" xr:uid="{00000000-0005-0000-0000-000098130000}"/>
    <cellStyle name="40% - Ênfase1 27 20" xfId="5872" xr:uid="{00000000-0005-0000-0000-000099130000}"/>
    <cellStyle name="40% - Ênfase1 27 3" xfId="5873" xr:uid="{00000000-0005-0000-0000-00009A130000}"/>
    <cellStyle name="40% - Ênfase1 27 4" xfId="5874" xr:uid="{00000000-0005-0000-0000-00009B130000}"/>
    <cellStyle name="40% - Ênfase1 27 5" xfId="5875" xr:uid="{00000000-0005-0000-0000-00009C130000}"/>
    <cellStyle name="40% - Ênfase1 27 6" xfId="5876" xr:uid="{00000000-0005-0000-0000-00009D130000}"/>
    <cellStyle name="40% - Ênfase1 27 7" xfId="5877" xr:uid="{00000000-0005-0000-0000-00009E130000}"/>
    <cellStyle name="40% - Ênfase1 27 8" xfId="5878" xr:uid="{00000000-0005-0000-0000-00009F130000}"/>
    <cellStyle name="40% - Ênfase1 27 9" xfId="5879" xr:uid="{00000000-0005-0000-0000-0000A0130000}"/>
    <cellStyle name="40% - Ênfase1 28" xfId="459" xr:uid="{00000000-0005-0000-0000-0000A1130000}"/>
    <cellStyle name="40% - Ênfase1 28 10" xfId="5880" xr:uid="{00000000-0005-0000-0000-0000A2130000}"/>
    <cellStyle name="40% - Ênfase1 28 11" xfId="5881" xr:uid="{00000000-0005-0000-0000-0000A3130000}"/>
    <cellStyle name="40% - Ênfase1 28 12" xfId="5882" xr:uid="{00000000-0005-0000-0000-0000A4130000}"/>
    <cellStyle name="40% - Ênfase1 28 13" xfId="5883" xr:uid="{00000000-0005-0000-0000-0000A5130000}"/>
    <cellStyle name="40% - Ênfase1 28 14" xfId="5884" xr:uid="{00000000-0005-0000-0000-0000A6130000}"/>
    <cellStyle name="40% - Ênfase1 28 15" xfId="5885" xr:uid="{00000000-0005-0000-0000-0000A7130000}"/>
    <cellStyle name="40% - Ênfase1 28 16" xfId="5886" xr:uid="{00000000-0005-0000-0000-0000A8130000}"/>
    <cellStyle name="40% - Ênfase1 28 17" xfId="5887" xr:uid="{00000000-0005-0000-0000-0000A9130000}"/>
    <cellStyle name="40% - Ênfase1 28 18" xfId="5888" xr:uid="{00000000-0005-0000-0000-0000AA130000}"/>
    <cellStyle name="40% - Ênfase1 28 19" xfId="5889" xr:uid="{00000000-0005-0000-0000-0000AB130000}"/>
    <cellStyle name="40% - Ênfase1 28 2" xfId="5890" xr:uid="{00000000-0005-0000-0000-0000AC130000}"/>
    <cellStyle name="40% - Ênfase1 28 20" xfId="5891" xr:uid="{00000000-0005-0000-0000-0000AD130000}"/>
    <cellStyle name="40% - Ênfase1 28 3" xfId="5892" xr:uid="{00000000-0005-0000-0000-0000AE130000}"/>
    <cellStyle name="40% - Ênfase1 28 4" xfId="5893" xr:uid="{00000000-0005-0000-0000-0000AF130000}"/>
    <cellStyle name="40% - Ênfase1 28 5" xfId="5894" xr:uid="{00000000-0005-0000-0000-0000B0130000}"/>
    <cellStyle name="40% - Ênfase1 28 6" xfId="5895" xr:uid="{00000000-0005-0000-0000-0000B1130000}"/>
    <cellStyle name="40% - Ênfase1 28 7" xfId="5896" xr:uid="{00000000-0005-0000-0000-0000B2130000}"/>
    <cellStyle name="40% - Ênfase1 28 8" xfId="5897" xr:uid="{00000000-0005-0000-0000-0000B3130000}"/>
    <cellStyle name="40% - Ênfase1 28 9" xfId="5898" xr:uid="{00000000-0005-0000-0000-0000B4130000}"/>
    <cellStyle name="40% - Ênfase1 29" xfId="477" xr:uid="{00000000-0005-0000-0000-0000B5130000}"/>
    <cellStyle name="40% - Ênfase1 29 10" xfId="5899" xr:uid="{00000000-0005-0000-0000-0000B6130000}"/>
    <cellStyle name="40% - Ênfase1 29 11" xfId="5900" xr:uid="{00000000-0005-0000-0000-0000B7130000}"/>
    <cellStyle name="40% - Ênfase1 29 12" xfId="5901" xr:uid="{00000000-0005-0000-0000-0000B8130000}"/>
    <cellStyle name="40% - Ênfase1 29 13" xfId="5902" xr:uid="{00000000-0005-0000-0000-0000B9130000}"/>
    <cellStyle name="40% - Ênfase1 29 14" xfId="5903" xr:uid="{00000000-0005-0000-0000-0000BA130000}"/>
    <cellStyle name="40% - Ênfase1 29 15" xfId="5904" xr:uid="{00000000-0005-0000-0000-0000BB130000}"/>
    <cellStyle name="40% - Ênfase1 29 16" xfId="5905" xr:uid="{00000000-0005-0000-0000-0000BC130000}"/>
    <cellStyle name="40% - Ênfase1 29 17" xfId="5906" xr:uid="{00000000-0005-0000-0000-0000BD130000}"/>
    <cellStyle name="40% - Ênfase1 29 18" xfId="5907" xr:uid="{00000000-0005-0000-0000-0000BE130000}"/>
    <cellStyle name="40% - Ênfase1 29 19" xfId="5908" xr:uid="{00000000-0005-0000-0000-0000BF130000}"/>
    <cellStyle name="40% - Ênfase1 29 2" xfId="5909" xr:uid="{00000000-0005-0000-0000-0000C0130000}"/>
    <cellStyle name="40% - Ênfase1 29 20" xfId="5910" xr:uid="{00000000-0005-0000-0000-0000C1130000}"/>
    <cellStyle name="40% - Ênfase1 29 3" xfId="5911" xr:uid="{00000000-0005-0000-0000-0000C2130000}"/>
    <cellStyle name="40% - Ênfase1 29 4" xfId="5912" xr:uid="{00000000-0005-0000-0000-0000C3130000}"/>
    <cellStyle name="40% - Ênfase1 29 5" xfId="5913" xr:uid="{00000000-0005-0000-0000-0000C4130000}"/>
    <cellStyle name="40% - Ênfase1 29 6" xfId="5914" xr:uid="{00000000-0005-0000-0000-0000C5130000}"/>
    <cellStyle name="40% - Ênfase1 29 7" xfId="5915" xr:uid="{00000000-0005-0000-0000-0000C6130000}"/>
    <cellStyle name="40% - Ênfase1 29 8" xfId="5916" xr:uid="{00000000-0005-0000-0000-0000C7130000}"/>
    <cellStyle name="40% - Ênfase1 29 9" xfId="5917" xr:uid="{00000000-0005-0000-0000-0000C8130000}"/>
    <cellStyle name="40% - Ênfase1 3" xfId="75" xr:uid="{00000000-0005-0000-0000-0000C9130000}"/>
    <cellStyle name="40% - Ênfase1 3 10" xfId="5918" xr:uid="{00000000-0005-0000-0000-0000CA130000}"/>
    <cellStyle name="40% - Ênfase1 3 11" xfId="5919" xr:uid="{00000000-0005-0000-0000-0000CB130000}"/>
    <cellStyle name="40% - Ênfase1 3 12" xfId="5920" xr:uid="{00000000-0005-0000-0000-0000CC130000}"/>
    <cellStyle name="40% - Ênfase1 3 13" xfId="5921" xr:uid="{00000000-0005-0000-0000-0000CD130000}"/>
    <cellStyle name="40% - Ênfase1 3 14" xfId="5922" xr:uid="{00000000-0005-0000-0000-0000CE130000}"/>
    <cellStyle name="40% - Ênfase1 3 15" xfId="5923" xr:uid="{00000000-0005-0000-0000-0000CF130000}"/>
    <cellStyle name="40% - Ênfase1 3 16" xfId="5924" xr:uid="{00000000-0005-0000-0000-0000D0130000}"/>
    <cellStyle name="40% - Ênfase1 3 17" xfId="5925" xr:uid="{00000000-0005-0000-0000-0000D1130000}"/>
    <cellStyle name="40% - Ênfase1 3 18" xfId="5926" xr:uid="{00000000-0005-0000-0000-0000D2130000}"/>
    <cellStyle name="40% - Ênfase1 3 19" xfId="5927" xr:uid="{00000000-0005-0000-0000-0000D3130000}"/>
    <cellStyle name="40% - Ênfase1 3 2" xfId="5928" xr:uid="{00000000-0005-0000-0000-0000D4130000}"/>
    <cellStyle name="40% - Ênfase1 3 20" xfId="5929" xr:uid="{00000000-0005-0000-0000-0000D5130000}"/>
    <cellStyle name="40% - Ênfase1 3 3" xfId="5930" xr:uid="{00000000-0005-0000-0000-0000D6130000}"/>
    <cellStyle name="40% - Ênfase1 3 4" xfId="5931" xr:uid="{00000000-0005-0000-0000-0000D7130000}"/>
    <cellStyle name="40% - Ênfase1 3 5" xfId="5932" xr:uid="{00000000-0005-0000-0000-0000D8130000}"/>
    <cellStyle name="40% - Ênfase1 3 6" xfId="5933" xr:uid="{00000000-0005-0000-0000-0000D9130000}"/>
    <cellStyle name="40% - Ênfase1 3 7" xfId="5934" xr:uid="{00000000-0005-0000-0000-0000DA130000}"/>
    <cellStyle name="40% - Ênfase1 3 8" xfId="5935" xr:uid="{00000000-0005-0000-0000-0000DB130000}"/>
    <cellStyle name="40% - Ênfase1 3 9" xfId="5936" xr:uid="{00000000-0005-0000-0000-0000DC130000}"/>
    <cellStyle name="40% - Ênfase1 30" xfId="495" xr:uid="{00000000-0005-0000-0000-0000DD130000}"/>
    <cellStyle name="40% - Ênfase1 30 10" xfId="5937" xr:uid="{00000000-0005-0000-0000-0000DE130000}"/>
    <cellStyle name="40% - Ênfase1 30 11" xfId="5938" xr:uid="{00000000-0005-0000-0000-0000DF130000}"/>
    <cellStyle name="40% - Ênfase1 30 12" xfId="5939" xr:uid="{00000000-0005-0000-0000-0000E0130000}"/>
    <cellStyle name="40% - Ênfase1 30 13" xfId="5940" xr:uid="{00000000-0005-0000-0000-0000E1130000}"/>
    <cellStyle name="40% - Ênfase1 30 14" xfId="5941" xr:uid="{00000000-0005-0000-0000-0000E2130000}"/>
    <cellStyle name="40% - Ênfase1 30 15" xfId="5942" xr:uid="{00000000-0005-0000-0000-0000E3130000}"/>
    <cellStyle name="40% - Ênfase1 30 16" xfId="5943" xr:uid="{00000000-0005-0000-0000-0000E4130000}"/>
    <cellStyle name="40% - Ênfase1 30 17" xfId="5944" xr:uid="{00000000-0005-0000-0000-0000E5130000}"/>
    <cellStyle name="40% - Ênfase1 30 18" xfId="5945" xr:uid="{00000000-0005-0000-0000-0000E6130000}"/>
    <cellStyle name="40% - Ênfase1 30 19" xfId="5946" xr:uid="{00000000-0005-0000-0000-0000E7130000}"/>
    <cellStyle name="40% - Ênfase1 30 2" xfId="5947" xr:uid="{00000000-0005-0000-0000-0000E8130000}"/>
    <cellStyle name="40% - Ênfase1 30 20" xfId="5948" xr:uid="{00000000-0005-0000-0000-0000E9130000}"/>
    <cellStyle name="40% - Ênfase1 30 3" xfId="5949" xr:uid="{00000000-0005-0000-0000-0000EA130000}"/>
    <cellStyle name="40% - Ênfase1 30 4" xfId="5950" xr:uid="{00000000-0005-0000-0000-0000EB130000}"/>
    <cellStyle name="40% - Ênfase1 30 5" xfId="5951" xr:uid="{00000000-0005-0000-0000-0000EC130000}"/>
    <cellStyle name="40% - Ênfase1 30 6" xfId="5952" xr:uid="{00000000-0005-0000-0000-0000ED130000}"/>
    <cellStyle name="40% - Ênfase1 30 7" xfId="5953" xr:uid="{00000000-0005-0000-0000-0000EE130000}"/>
    <cellStyle name="40% - Ênfase1 30 8" xfId="5954" xr:uid="{00000000-0005-0000-0000-0000EF130000}"/>
    <cellStyle name="40% - Ênfase1 30 9" xfId="5955" xr:uid="{00000000-0005-0000-0000-0000F0130000}"/>
    <cellStyle name="40% - Ênfase1 31" xfId="513" xr:uid="{00000000-0005-0000-0000-0000F1130000}"/>
    <cellStyle name="40% - Ênfase1 31 10" xfId="5956" xr:uid="{00000000-0005-0000-0000-0000F2130000}"/>
    <cellStyle name="40% - Ênfase1 31 11" xfId="5957" xr:uid="{00000000-0005-0000-0000-0000F3130000}"/>
    <cellStyle name="40% - Ênfase1 31 12" xfId="5958" xr:uid="{00000000-0005-0000-0000-0000F4130000}"/>
    <cellStyle name="40% - Ênfase1 31 13" xfId="5959" xr:uid="{00000000-0005-0000-0000-0000F5130000}"/>
    <cellStyle name="40% - Ênfase1 31 14" xfId="5960" xr:uid="{00000000-0005-0000-0000-0000F6130000}"/>
    <cellStyle name="40% - Ênfase1 31 15" xfId="5961" xr:uid="{00000000-0005-0000-0000-0000F7130000}"/>
    <cellStyle name="40% - Ênfase1 31 16" xfId="5962" xr:uid="{00000000-0005-0000-0000-0000F8130000}"/>
    <cellStyle name="40% - Ênfase1 31 17" xfId="5963" xr:uid="{00000000-0005-0000-0000-0000F9130000}"/>
    <cellStyle name="40% - Ênfase1 31 18" xfId="5964" xr:uid="{00000000-0005-0000-0000-0000FA130000}"/>
    <cellStyle name="40% - Ênfase1 31 19" xfId="5965" xr:uid="{00000000-0005-0000-0000-0000FB130000}"/>
    <cellStyle name="40% - Ênfase1 31 2" xfId="5966" xr:uid="{00000000-0005-0000-0000-0000FC130000}"/>
    <cellStyle name="40% - Ênfase1 31 20" xfId="5967" xr:uid="{00000000-0005-0000-0000-0000FD130000}"/>
    <cellStyle name="40% - Ênfase1 31 3" xfId="5968" xr:uid="{00000000-0005-0000-0000-0000FE130000}"/>
    <cellStyle name="40% - Ênfase1 31 4" xfId="5969" xr:uid="{00000000-0005-0000-0000-0000FF130000}"/>
    <cellStyle name="40% - Ênfase1 31 5" xfId="5970" xr:uid="{00000000-0005-0000-0000-000000140000}"/>
    <cellStyle name="40% - Ênfase1 31 6" xfId="5971" xr:uid="{00000000-0005-0000-0000-000001140000}"/>
    <cellStyle name="40% - Ênfase1 31 7" xfId="5972" xr:uid="{00000000-0005-0000-0000-000002140000}"/>
    <cellStyle name="40% - Ênfase1 31 8" xfId="5973" xr:uid="{00000000-0005-0000-0000-000003140000}"/>
    <cellStyle name="40% - Ênfase1 31 9" xfId="5974" xr:uid="{00000000-0005-0000-0000-000004140000}"/>
    <cellStyle name="40% - Ênfase1 32" xfId="531" xr:uid="{00000000-0005-0000-0000-000005140000}"/>
    <cellStyle name="40% - Ênfase1 32 10" xfId="5975" xr:uid="{00000000-0005-0000-0000-000006140000}"/>
    <cellStyle name="40% - Ênfase1 32 11" xfId="5976" xr:uid="{00000000-0005-0000-0000-000007140000}"/>
    <cellStyle name="40% - Ênfase1 32 12" xfId="5977" xr:uid="{00000000-0005-0000-0000-000008140000}"/>
    <cellStyle name="40% - Ênfase1 32 13" xfId="5978" xr:uid="{00000000-0005-0000-0000-000009140000}"/>
    <cellStyle name="40% - Ênfase1 32 14" xfId="5979" xr:uid="{00000000-0005-0000-0000-00000A140000}"/>
    <cellStyle name="40% - Ênfase1 32 15" xfId="5980" xr:uid="{00000000-0005-0000-0000-00000B140000}"/>
    <cellStyle name="40% - Ênfase1 32 16" xfId="5981" xr:uid="{00000000-0005-0000-0000-00000C140000}"/>
    <cellStyle name="40% - Ênfase1 32 17" xfId="5982" xr:uid="{00000000-0005-0000-0000-00000D140000}"/>
    <cellStyle name="40% - Ênfase1 32 18" xfId="5983" xr:uid="{00000000-0005-0000-0000-00000E140000}"/>
    <cellStyle name="40% - Ênfase1 32 19" xfId="5984" xr:uid="{00000000-0005-0000-0000-00000F140000}"/>
    <cellStyle name="40% - Ênfase1 32 2" xfId="5985" xr:uid="{00000000-0005-0000-0000-000010140000}"/>
    <cellStyle name="40% - Ênfase1 32 20" xfId="5986" xr:uid="{00000000-0005-0000-0000-000011140000}"/>
    <cellStyle name="40% - Ênfase1 32 3" xfId="5987" xr:uid="{00000000-0005-0000-0000-000012140000}"/>
    <cellStyle name="40% - Ênfase1 32 4" xfId="5988" xr:uid="{00000000-0005-0000-0000-000013140000}"/>
    <cellStyle name="40% - Ênfase1 32 5" xfId="5989" xr:uid="{00000000-0005-0000-0000-000014140000}"/>
    <cellStyle name="40% - Ênfase1 32 6" xfId="5990" xr:uid="{00000000-0005-0000-0000-000015140000}"/>
    <cellStyle name="40% - Ênfase1 32 7" xfId="5991" xr:uid="{00000000-0005-0000-0000-000016140000}"/>
    <cellStyle name="40% - Ênfase1 32 8" xfId="5992" xr:uid="{00000000-0005-0000-0000-000017140000}"/>
    <cellStyle name="40% - Ênfase1 32 9" xfId="5993" xr:uid="{00000000-0005-0000-0000-000018140000}"/>
    <cellStyle name="40% - Ênfase1 33" xfId="549" xr:uid="{00000000-0005-0000-0000-000019140000}"/>
    <cellStyle name="40% - Ênfase1 33 10" xfId="5994" xr:uid="{00000000-0005-0000-0000-00001A140000}"/>
    <cellStyle name="40% - Ênfase1 33 11" xfId="5995" xr:uid="{00000000-0005-0000-0000-00001B140000}"/>
    <cellStyle name="40% - Ênfase1 33 12" xfId="5996" xr:uid="{00000000-0005-0000-0000-00001C140000}"/>
    <cellStyle name="40% - Ênfase1 33 13" xfId="5997" xr:uid="{00000000-0005-0000-0000-00001D140000}"/>
    <cellStyle name="40% - Ênfase1 33 14" xfId="5998" xr:uid="{00000000-0005-0000-0000-00001E140000}"/>
    <cellStyle name="40% - Ênfase1 33 15" xfId="5999" xr:uid="{00000000-0005-0000-0000-00001F140000}"/>
    <cellStyle name="40% - Ênfase1 33 16" xfId="6000" xr:uid="{00000000-0005-0000-0000-000020140000}"/>
    <cellStyle name="40% - Ênfase1 33 17" xfId="6001" xr:uid="{00000000-0005-0000-0000-000021140000}"/>
    <cellStyle name="40% - Ênfase1 33 18" xfId="6002" xr:uid="{00000000-0005-0000-0000-000022140000}"/>
    <cellStyle name="40% - Ênfase1 33 19" xfId="6003" xr:uid="{00000000-0005-0000-0000-000023140000}"/>
    <cellStyle name="40% - Ênfase1 33 2" xfId="6004" xr:uid="{00000000-0005-0000-0000-000024140000}"/>
    <cellStyle name="40% - Ênfase1 33 20" xfId="6005" xr:uid="{00000000-0005-0000-0000-000025140000}"/>
    <cellStyle name="40% - Ênfase1 33 3" xfId="6006" xr:uid="{00000000-0005-0000-0000-000026140000}"/>
    <cellStyle name="40% - Ênfase1 33 4" xfId="6007" xr:uid="{00000000-0005-0000-0000-000027140000}"/>
    <cellStyle name="40% - Ênfase1 33 5" xfId="6008" xr:uid="{00000000-0005-0000-0000-000028140000}"/>
    <cellStyle name="40% - Ênfase1 33 6" xfId="6009" xr:uid="{00000000-0005-0000-0000-000029140000}"/>
    <cellStyle name="40% - Ênfase1 33 7" xfId="6010" xr:uid="{00000000-0005-0000-0000-00002A140000}"/>
    <cellStyle name="40% - Ênfase1 33 8" xfId="6011" xr:uid="{00000000-0005-0000-0000-00002B140000}"/>
    <cellStyle name="40% - Ênfase1 33 9" xfId="6012" xr:uid="{00000000-0005-0000-0000-00002C140000}"/>
    <cellStyle name="40% - Ênfase1 34" xfId="567" xr:uid="{00000000-0005-0000-0000-00002D140000}"/>
    <cellStyle name="40% - Ênfase1 34 10" xfId="6013" xr:uid="{00000000-0005-0000-0000-00002E140000}"/>
    <cellStyle name="40% - Ênfase1 34 11" xfId="6014" xr:uid="{00000000-0005-0000-0000-00002F140000}"/>
    <cellStyle name="40% - Ênfase1 34 12" xfId="6015" xr:uid="{00000000-0005-0000-0000-000030140000}"/>
    <cellStyle name="40% - Ênfase1 34 13" xfId="6016" xr:uid="{00000000-0005-0000-0000-000031140000}"/>
    <cellStyle name="40% - Ênfase1 34 14" xfId="6017" xr:uid="{00000000-0005-0000-0000-000032140000}"/>
    <cellStyle name="40% - Ênfase1 34 15" xfId="6018" xr:uid="{00000000-0005-0000-0000-000033140000}"/>
    <cellStyle name="40% - Ênfase1 34 16" xfId="6019" xr:uid="{00000000-0005-0000-0000-000034140000}"/>
    <cellStyle name="40% - Ênfase1 34 17" xfId="6020" xr:uid="{00000000-0005-0000-0000-000035140000}"/>
    <cellStyle name="40% - Ênfase1 34 18" xfId="6021" xr:uid="{00000000-0005-0000-0000-000036140000}"/>
    <cellStyle name="40% - Ênfase1 34 19" xfId="6022" xr:uid="{00000000-0005-0000-0000-000037140000}"/>
    <cellStyle name="40% - Ênfase1 34 2" xfId="6023" xr:uid="{00000000-0005-0000-0000-000038140000}"/>
    <cellStyle name="40% - Ênfase1 34 20" xfId="6024" xr:uid="{00000000-0005-0000-0000-000039140000}"/>
    <cellStyle name="40% - Ênfase1 34 3" xfId="6025" xr:uid="{00000000-0005-0000-0000-00003A140000}"/>
    <cellStyle name="40% - Ênfase1 34 4" xfId="6026" xr:uid="{00000000-0005-0000-0000-00003B140000}"/>
    <cellStyle name="40% - Ênfase1 34 5" xfId="6027" xr:uid="{00000000-0005-0000-0000-00003C140000}"/>
    <cellStyle name="40% - Ênfase1 34 6" xfId="6028" xr:uid="{00000000-0005-0000-0000-00003D140000}"/>
    <cellStyle name="40% - Ênfase1 34 7" xfId="6029" xr:uid="{00000000-0005-0000-0000-00003E140000}"/>
    <cellStyle name="40% - Ênfase1 34 8" xfId="6030" xr:uid="{00000000-0005-0000-0000-00003F140000}"/>
    <cellStyle name="40% - Ênfase1 34 9" xfId="6031" xr:uid="{00000000-0005-0000-0000-000040140000}"/>
    <cellStyle name="40% - Ênfase1 35" xfId="585" xr:uid="{00000000-0005-0000-0000-000041140000}"/>
    <cellStyle name="40% - Ênfase1 35 10" xfId="6032" xr:uid="{00000000-0005-0000-0000-000042140000}"/>
    <cellStyle name="40% - Ênfase1 35 11" xfId="6033" xr:uid="{00000000-0005-0000-0000-000043140000}"/>
    <cellStyle name="40% - Ênfase1 35 12" xfId="6034" xr:uid="{00000000-0005-0000-0000-000044140000}"/>
    <cellStyle name="40% - Ênfase1 35 13" xfId="6035" xr:uid="{00000000-0005-0000-0000-000045140000}"/>
    <cellStyle name="40% - Ênfase1 35 14" xfId="6036" xr:uid="{00000000-0005-0000-0000-000046140000}"/>
    <cellStyle name="40% - Ênfase1 35 15" xfId="6037" xr:uid="{00000000-0005-0000-0000-000047140000}"/>
    <cellStyle name="40% - Ênfase1 35 16" xfId="6038" xr:uid="{00000000-0005-0000-0000-000048140000}"/>
    <cellStyle name="40% - Ênfase1 35 17" xfId="6039" xr:uid="{00000000-0005-0000-0000-000049140000}"/>
    <cellStyle name="40% - Ênfase1 35 18" xfId="6040" xr:uid="{00000000-0005-0000-0000-00004A140000}"/>
    <cellStyle name="40% - Ênfase1 35 19" xfId="6041" xr:uid="{00000000-0005-0000-0000-00004B140000}"/>
    <cellStyle name="40% - Ênfase1 35 2" xfId="6042" xr:uid="{00000000-0005-0000-0000-00004C140000}"/>
    <cellStyle name="40% - Ênfase1 35 20" xfId="6043" xr:uid="{00000000-0005-0000-0000-00004D140000}"/>
    <cellStyle name="40% - Ênfase1 35 3" xfId="6044" xr:uid="{00000000-0005-0000-0000-00004E140000}"/>
    <cellStyle name="40% - Ênfase1 35 4" xfId="6045" xr:uid="{00000000-0005-0000-0000-00004F140000}"/>
    <cellStyle name="40% - Ênfase1 35 5" xfId="6046" xr:uid="{00000000-0005-0000-0000-000050140000}"/>
    <cellStyle name="40% - Ênfase1 35 6" xfId="6047" xr:uid="{00000000-0005-0000-0000-000051140000}"/>
    <cellStyle name="40% - Ênfase1 35 7" xfId="6048" xr:uid="{00000000-0005-0000-0000-000052140000}"/>
    <cellStyle name="40% - Ênfase1 35 8" xfId="6049" xr:uid="{00000000-0005-0000-0000-000053140000}"/>
    <cellStyle name="40% - Ênfase1 35 9" xfId="6050" xr:uid="{00000000-0005-0000-0000-000054140000}"/>
    <cellStyle name="40% - Ênfase1 36" xfId="603" xr:uid="{00000000-0005-0000-0000-000055140000}"/>
    <cellStyle name="40% - Ênfase1 36 10" xfId="6051" xr:uid="{00000000-0005-0000-0000-000056140000}"/>
    <cellStyle name="40% - Ênfase1 36 11" xfId="6052" xr:uid="{00000000-0005-0000-0000-000057140000}"/>
    <cellStyle name="40% - Ênfase1 36 12" xfId="6053" xr:uid="{00000000-0005-0000-0000-000058140000}"/>
    <cellStyle name="40% - Ênfase1 36 13" xfId="6054" xr:uid="{00000000-0005-0000-0000-000059140000}"/>
    <cellStyle name="40% - Ênfase1 36 14" xfId="6055" xr:uid="{00000000-0005-0000-0000-00005A140000}"/>
    <cellStyle name="40% - Ênfase1 36 15" xfId="6056" xr:uid="{00000000-0005-0000-0000-00005B140000}"/>
    <cellStyle name="40% - Ênfase1 36 16" xfId="6057" xr:uid="{00000000-0005-0000-0000-00005C140000}"/>
    <cellStyle name="40% - Ênfase1 36 17" xfId="6058" xr:uid="{00000000-0005-0000-0000-00005D140000}"/>
    <cellStyle name="40% - Ênfase1 36 18" xfId="6059" xr:uid="{00000000-0005-0000-0000-00005E140000}"/>
    <cellStyle name="40% - Ênfase1 36 19" xfId="6060" xr:uid="{00000000-0005-0000-0000-00005F140000}"/>
    <cellStyle name="40% - Ênfase1 36 2" xfId="6061" xr:uid="{00000000-0005-0000-0000-000060140000}"/>
    <cellStyle name="40% - Ênfase1 36 20" xfId="6062" xr:uid="{00000000-0005-0000-0000-000061140000}"/>
    <cellStyle name="40% - Ênfase1 36 3" xfId="6063" xr:uid="{00000000-0005-0000-0000-000062140000}"/>
    <cellStyle name="40% - Ênfase1 36 4" xfId="6064" xr:uid="{00000000-0005-0000-0000-000063140000}"/>
    <cellStyle name="40% - Ênfase1 36 5" xfId="6065" xr:uid="{00000000-0005-0000-0000-000064140000}"/>
    <cellStyle name="40% - Ênfase1 36 6" xfId="6066" xr:uid="{00000000-0005-0000-0000-000065140000}"/>
    <cellStyle name="40% - Ênfase1 36 7" xfId="6067" xr:uid="{00000000-0005-0000-0000-000066140000}"/>
    <cellStyle name="40% - Ênfase1 36 8" xfId="6068" xr:uid="{00000000-0005-0000-0000-000067140000}"/>
    <cellStyle name="40% - Ênfase1 36 9" xfId="6069" xr:uid="{00000000-0005-0000-0000-000068140000}"/>
    <cellStyle name="40% - Ênfase1 37" xfId="621" xr:uid="{00000000-0005-0000-0000-000069140000}"/>
    <cellStyle name="40% - Ênfase1 37 10" xfId="6070" xr:uid="{00000000-0005-0000-0000-00006A140000}"/>
    <cellStyle name="40% - Ênfase1 37 11" xfId="6071" xr:uid="{00000000-0005-0000-0000-00006B140000}"/>
    <cellStyle name="40% - Ênfase1 37 12" xfId="6072" xr:uid="{00000000-0005-0000-0000-00006C140000}"/>
    <cellStyle name="40% - Ênfase1 37 13" xfId="6073" xr:uid="{00000000-0005-0000-0000-00006D140000}"/>
    <cellStyle name="40% - Ênfase1 37 14" xfId="6074" xr:uid="{00000000-0005-0000-0000-00006E140000}"/>
    <cellStyle name="40% - Ênfase1 37 15" xfId="6075" xr:uid="{00000000-0005-0000-0000-00006F140000}"/>
    <cellStyle name="40% - Ênfase1 37 16" xfId="6076" xr:uid="{00000000-0005-0000-0000-000070140000}"/>
    <cellStyle name="40% - Ênfase1 37 17" xfId="6077" xr:uid="{00000000-0005-0000-0000-000071140000}"/>
    <cellStyle name="40% - Ênfase1 37 18" xfId="6078" xr:uid="{00000000-0005-0000-0000-000072140000}"/>
    <cellStyle name="40% - Ênfase1 37 19" xfId="6079" xr:uid="{00000000-0005-0000-0000-000073140000}"/>
    <cellStyle name="40% - Ênfase1 37 2" xfId="6080" xr:uid="{00000000-0005-0000-0000-000074140000}"/>
    <cellStyle name="40% - Ênfase1 37 20" xfId="6081" xr:uid="{00000000-0005-0000-0000-000075140000}"/>
    <cellStyle name="40% - Ênfase1 37 3" xfId="6082" xr:uid="{00000000-0005-0000-0000-000076140000}"/>
    <cellStyle name="40% - Ênfase1 37 4" xfId="6083" xr:uid="{00000000-0005-0000-0000-000077140000}"/>
    <cellStyle name="40% - Ênfase1 37 5" xfId="6084" xr:uid="{00000000-0005-0000-0000-000078140000}"/>
    <cellStyle name="40% - Ênfase1 37 6" xfId="6085" xr:uid="{00000000-0005-0000-0000-000079140000}"/>
    <cellStyle name="40% - Ênfase1 37 7" xfId="6086" xr:uid="{00000000-0005-0000-0000-00007A140000}"/>
    <cellStyle name="40% - Ênfase1 37 8" xfId="6087" xr:uid="{00000000-0005-0000-0000-00007B140000}"/>
    <cellStyle name="40% - Ênfase1 37 9" xfId="6088" xr:uid="{00000000-0005-0000-0000-00007C140000}"/>
    <cellStyle name="40% - Ênfase1 38" xfId="639" xr:uid="{00000000-0005-0000-0000-00007D140000}"/>
    <cellStyle name="40% - Ênfase1 39" xfId="657" xr:uid="{00000000-0005-0000-0000-00007E140000}"/>
    <cellStyle name="40% - Ênfase1 4" xfId="55" xr:uid="{00000000-0005-0000-0000-00007F140000}"/>
    <cellStyle name="40% - Ênfase1 4 10" xfId="6089" xr:uid="{00000000-0005-0000-0000-000080140000}"/>
    <cellStyle name="40% - Ênfase1 4 11" xfId="6090" xr:uid="{00000000-0005-0000-0000-000081140000}"/>
    <cellStyle name="40% - Ênfase1 4 12" xfId="6091" xr:uid="{00000000-0005-0000-0000-000082140000}"/>
    <cellStyle name="40% - Ênfase1 4 13" xfId="6092" xr:uid="{00000000-0005-0000-0000-000083140000}"/>
    <cellStyle name="40% - Ênfase1 4 14" xfId="6093" xr:uid="{00000000-0005-0000-0000-000084140000}"/>
    <cellStyle name="40% - Ênfase1 4 15" xfId="6094" xr:uid="{00000000-0005-0000-0000-000085140000}"/>
    <cellStyle name="40% - Ênfase1 4 16" xfId="6095" xr:uid="{00000000-0005-0000-0000-000086140000}"/>
    <cellStyle name="40% - Ênfase1 4 17" xfId="6096" xr:uid="{00000000-0005-0000-0000-000087140000}"/>
    <cellStyle name="40% - Ênfase1 4 18" xfId="6097" xr:uid="{00000000-0005-0000-0000-000088140000}"/>
    <cellStyle name="40% - Ênfase1 4 19" xfId="6098" xr:uid="{00000000-0005-0000-0000-000089140000}"/>
    <cellStyle name="40% - Ênfase1 4 2" xfId="6099" xr:uid="{00000000-0005-0000-0000-00008A140000}"/>
    <cellStyle name="40% - Ênfase1 4 20" xfId="6100" xr:uid="{00000000-0005-0000-0000-00008B140000}"/>
    <cellStyle name="40% - Ênfase1 4 3" xfId="6101" xr:uid="{00000000-0005-0000-0000-00008C140000}"/>
    <cellStyle name="40% - Ênfase1 4 4" xfId="6102" xr:uid="{00000000-0005-0000-0000-00008D140000}"/>
    <cellStyle name="40% - Ênfase1 4 5" xfId="6103" xr:uid="{00000000-0005-0000-0000-00008E140000}"/>
    <cellStyle name="40% - Ênfase1 4 6" xfId="6104" xr:uid="{00000000-0005-0000-0000-00008F140000}"/>
    <cellStyle name="40% - Ênfase1 4 7" xfId="6105" xr:uid="{00000000-0005-0000-0000-000090140000}"/>
    <cellStyle name="40% - Ênfase1 4 8" xfId="6106" xr:uid="{00000000-0005-0000-0000-000091140000}"/>
    <cellStyle name="40% - Ênfase1 4 9" xfId="6107" xr:uid="{00000000-0005-0000-0000-000092140000}"/>
    <cellStyle name="40% - Ênfase1 40" xfId="712" xr:uid="{00000000-0005-0000-0000-000093140000}"/>
    <cellStyle name="40% - Ênfase1 41" xfId="716" xr:uid="{00000000-0005-0000-0000-000094140000}"/>
    <cellStyle name="40% - Ênfase1 42" xfId="743" xr:uid="{00000000-0005-0000-0000-000095140000}"/>
    <cellStyle name="40% - Ênfase1 43" xfId="675" xr:uid="{00000000-0005-0000-0000-000096140000}"/>
    <cellStyle name="40% - Ênfase1 44" xfId="728" xr:uid="{00000000-0005-0000-0000-000097140000}"/>
    <cellStyle name="40% - Ênfase1 45" xfId="765" xr:uid="{00000000-0005-0000-0000-000098140000}"/>
    <cellStyle name="40% - Ênfase1 46" xfId="783" xr:uid="{00000000-0005-0000-0000-000099140000}"/>
    <cellStyle name="40% - Ênfase1 47" xfId="801" xr:uid="{00000000-0005-0000-0000-00009A140000}"/>
    <cellStyle name="40% - Ênfase1 48" xfId="819" xr:uid="{00000000-0005-0000-0000-00009B140000}"/>
    <cellStyle name="40% - Ênfase1 49" xfId="837" xr:uid="{00000000-0005-0000-0000-00009C140000}"/>
    <cellStyle name="40% - Ênfase1 5" xfId="65" xr:uid="{00000000-0005-0000-0000-00009D140000}"/>
    <cellStyle name="40% - Ênfase1 5 10" xfId="6108" xr:uid="{00000000-0005-0000-0000-00009E140000}"/>
    <cellStyle name="40% - Ênfase1 5 11" xfId="6109" xr:uid="{00000000-0005-0000-0000-00009F140000}"/>
    <cellStyle name="40% - Ênfase1 5 12" xfId="6110" xr:uid="{00000000-0005-0000-0000-0000A0140000}"/>
    <cellStyle name="40% - Ênfase1 5 13" xfId="6111" xr:uid="{00000000-0005-0000-0000-0000A1140000}"/>
    <cellStyle name="40% - Ênfase1 5 14" xfId="6112" xr:uid="{00000000-0005-0000-0000-0000A2140000}"/>
    <cellStyle name="40% - Ênfase1 5 15" xfId="6113" xr:uid="{00000000-0005-0000-0000-0000A3140000}"/>
    <cellStyle name="40% - Ênfase1 5 16" xfId="6114" xr:uid="{00000000-0005-0000-0000-0000A4140000}"/>
    <cellStyle name="40% - Ênfase1 5 17" xfId="6115" xr:uid="{00000000-0005-0000-0000-0000A5140000}"/>
    <cellStyle name="40% - Ênfase1 5 18" xfId="6116" xr:uid="{00000000-0005-0000-0000-0000A6140000}"/>
    <cellStyle name="40% - Ênfase1 5 19" xfId="6117" xr:uid="{00000000-0005-0000-0000-0000A7140000}"/>
    <cellStyle name="40% - Ênfase1 5 2" xfId="6118" xr:uid="{00000000-0005-0000-0000-0000A8140000}"/>
    <cellStyle name="40% - Ênfase1 5 20" xfId="6119" xr:uid="{00000000-0005-0000-0000-0000A9140000}"/>
    <cellStyle name="40% - Ênfase1 5 3" xfId="6120" xr:uid="{00000000-0005-0000-0000-0000AA140000}"/>
    <cellStyle name="40% - Ênfase1 5 4" xfId="6121" xr:uid="{00000000-0005-0000-0000-0000AB140000}"/>
    <cellStyle name="40% - Ênfase1 5 5" xfId="6122" xr:uid="{00000000-0005-0000-0000-0000AC140000}"/>
    <cellStyle name="40% - Ênfase1 5 6" xfId="6123" xr:uid="{00000000-0005-0000-0000-0000AD140000}"/>
    <cellStyle name="40% - Ênfase1 5 7" xfId="6124" xr:uid="{00000000-0005-0000-0000-0000AE140000}"/>
    <cellStyle name="40% - Ênfase1 5 8" xfId="6125" xr:uid="{00000000-0005-0000-0000-0000AF140000}"/>
    <cellStyle name="40% - Ênfase1 5 9" xfId="6126" xr:uid="{00000000-0005-0000-0000-0000B0140000}"/>
    <cellStyle name="40% - Ênfase1 50" xfId="880" xr:uid="{00000000-0005-0000-0000-0000B1140000}"/>
    <cellStyle name="40% - Ênfase1 51" xfId="922" xr:uid="{00000000-0005-0000-0000-0000B2140000}"/>
    <cellStyle name="40% - Ênfase1 52" xfId="909" xr:uid="{00000000-0005-0000-0000-0000B3140000}"/>
    <cellStyle name="40% - Ênfase1 53" xfId="919" xr:uid="{00000000-0005-0000-0000-0000B4140000}"/>
    <cellStyle name="40% - Ênfase1 54" xfId="925" xr:uid="{00000000-0005-0000-0000-0000B5140000}"/>
    <cellStyle name="40% - Ênfase1 55" xfId="945" xr:uid="{00000000-0005-0000-0000-0000B6140000}"/>
    <cellStyle name="40% - Ênfase1 56" xfId="963" xr:uid="{00000000-0005-0000-0000-0000B7140000}"/>
    <cellStyle name="40% - Ênfase1 57" xfId="1006" xr:uid="{00000000-0005-0000-0000-0000B8140000}"/>
    <cellStyle name="40% - Ênfase1 58" xfId="1047" xr:uid="{00000000-0005-0000-0000-0000B9140000}"/>
    <cellStyle name="40% - Ênfase1 59" xfId="1005" xr:uid="{00000000-0005-0000-0000-0000BA140000}"/>
    <cellStyle name="40% - Ênfase1 6" xfId="58" xr:uid="{00000000-0005-0000-0000-0000BB140000}"/>
    <cellStyle name="40% - Ênfase1 6 10" xfId="6127" xr:uid="{00000000-0005-0000-0000-0000BC140000}"/>
    <cellStyle name="40% - Ênfase1 6 11" xfId="6128" xr:uid="{00000000-0005-0000-0000-0000BD140000}"/>
    <cellStyle name="40% - Ênfase1 6 12" xfId="6129" xr:uid="{00000000-0005-0000-0000-0000BE140000}"/>
    <cellStyle name="40% - Ênfase1 6 13" xfId="6130" xr:uid="{00000000-0005-0000-0000-0000BF140000}"/>
    <cellStyle name="40% - Ênfase1 6 14" xfId="6131" xr:uid="{00000000-0005-0000-0000-0000C0140000}"/>
    <cellStyle name="40% - Ênfase1 6 15" xfId="6132" xr:uid="{00000000-0005-0000-0000-0000C1140000}"/>
    <cellStyle name="40% - Ênfase1 6 16" xfId="6133" xr:uid="{00000000-0005-0000-0000-0000C2140000}"/>
    <cellStyle name="40% - Ênfase1 6 17" xfId="6134" xr:uid="{00000000-0005-0000-0000-0000C3140000}"/>
    <cellStyle name="40% - Ênfase1 6 18" xfId="6135" xr:uid="{00000000-0005-0000-0000-0000C4140000}"/>
    <cellStyle name="40% - Ênfase1 6 19" xfId="6136" xr:uid="{00000000-0005-0000-0000-0000C5140000}"/>
    <cellStyle name="40% - Ênfase1 6 2" xfId="6137" xr:uid="{00000000-0005-0000-0000-0000C6140000}"/>
    <cellStyle name="40% - Ênfase1 6 20" xfId="6138" xr:uid="{00000000-0005-0000-0000-0000C7140000}"/>
    <cellStyle name="40% - Ênfase1 6 3" xfId="6139" xr:uid="{00000000-0005-0000-0000-0000C8140000}"/>
    <cellStyle name="40% - Ênfase1 6 4" xfId="6140" xr:uid="{00000000-0005-0000-0000-0000C9140000}"/>
    <cellStyle name="40% - Ênfase1 6 5" xfId="6141" xr:uid="{00000000-0005-0000-0000-0000CA140000}"/>
    <cellStyle name="40% - Ênfase1 6 6" xfId="6142" xr:uid="{00000000-0005-0000-0000-0000CB140000}"/>
    <cellStyle name="40% - Ênfase1 6 7" xfId="6143" xr:uid="{00000000-0005-0000-0000-0000CC140000}"/>
    <cellStyle name="40% - Ênfase1 6 8" xfId="6144" xr:uid="{00000000-0005-0000-0000-0000CD140000}"/>
    <cellStyle name="40% - Ênfase1 6 9" xfId="6145" xr:uid="{00000000-0005-0000-0000-0000CE140000}"/>
    <cellStyle name="40% - Ênfase1 60" xfId="1083" xr:uid="{00000000-0005-0000-0000-0000CF140000}"/>
    <cellStyle name="40% - Ênfase1 61" xfId="1070" xr:uid="{00000000-0005-0000-0000-0000D0140000}"/>
    <cellStyle name="40% - Ênfase1 62" xfId="1080" xr:uid="{00000000-0005-0000-0000-0000D1140000}"/>
    <cellStyle name="40% - Ênfase1 63" xfId="1086" xr:uid="{00000000-0005-0000-0000-0000D2140000}"/>
    <cellStyle name="40% - Ênfase1 64" xfId="1131" xr:uid="{00000000-0005-0000-0000-0000D3140000}"/>
    <cellStyle name="40% - Ênfase1 65" xfId="1172" xr:uid="{00000000-0005-0000-0000-0000D4140000}"/>
    <cellStyle name="40% - Ênfase1 66" xfId="1159" xr:uid="{00000000-0005-0000-0000-0000D5140000}"/>
    <cellStyle name="40% - Ênfase1 67" xfId="1169" xr:uid="{00000000-0005-0000-0000-0000D6140000}"/>
    <cellStyle name="40% - Ênfase1 68" xfId="1175" xr:uid="{00000000-0005-0000-0000-0000D7140000}"/>
    <cellStyle name="40% - Ênfase1 69" xfId="1246" xr:uid="{00000000-0005-0000-0000-0000D8140000}"/>
    <cellStyle name="40% - Ênfase1 7" xfId="94" xr:uid="{00000000-0005-0000-0000-0000D9140000}"/>
    <cellStyle name="40% - Ênfase1 7 10" xfId="6146" xr:uid="{00000000-0005-0000-0000-0000DA140000}"/>
    <cellStyle name="40% - Ênfase1 7 11" xfId="6147" xr:uid="{00000000-0005-0000-0000-0000DB140000}"/>
    <cellStyle name="40% - Ênfase1 7 12" xfId="6148" xr:uid="{00000000-0005-0000-0000-0000DC140000}"/>
    <cellStyle name="40% - Ênfase1 7 13" xfId="6149" xr:uid="{00000000-0005-0000-0000-0000DD140000}"/>
    <cellStyle name="40% - Ênfase1 7 14" xfId="6150" xr:uid="{00000000-0005-0000-0000-0000DE140000}"/>
    <cellStyle name="40% - Ênfase1 7 15" xfId="6151" xr:uid="{00000000-0005-0000-0000-0000DF140000}"/>
    <cellStyle name="40% - Ênfase1 7 16" xfId="6152" xr:uid="{00000000-0005-0000-0000-0000E0140000}"/>
    <cellStyle name="40% - Ênfase1 7 17" xfId="6153" xr:uid="{00000000-0005-0000-0000-0000E1140000}"/>
    <cellStyle name="40% - Ênfase1 7 18" xfId="6154" xr:uid="{00000000-0005-0000-0000-0000E2140000}"/>
    <cellStyle name="40% - Ênfase1 7 19" xfId="6155" xr:uid="{00000000-0005-0000-0000-0000E3140000}"/>
    <cellStyle name="40% - Ênfase1 7 2" xfId="6156" xr:uid="{00000000-0005-0000-0000-0000E4140000}"/>
    <cellStyle name="40% - Ênfase1 7 20" xfId="6157" xr:uid="{00000000-0005-0000-0000-0000E5140000}"/>
    <cellStyle name="40% - Ênfase1 7 3" xfId="6158" xr:uid="{00000000-0005-0000-0000-0000E6140000}"/>
    <cellStyle name="40% - Ênfase1 7 4" xfId="6159" xr:uid="{00000000-0005-0000-0000-0000E7140000}"/>
    <cellStyle name="40% - Ênfase1 7 5" xfId="6160" xr:uid="{00000000-0005-0000-0000-0000E8140000}"/>
    <cellStyle name="40% - Ênfase1 7 6" xfId="6161" xr:uid="{00000000-0005-0000-0000-0000E9140000}"/>
    <cellStyle name="40% - Ênfase1 7 7" xfId="6162" xr:uid="{00000000-0005-0000-0000-0000EA140000}"/>
    <cellStyle name="40% - Ênfase1 7 8" xfId="6163" xr:uid="{00000000-0005-0000-0000-0000EB140000}"/>
    <cellStyle name="40% - Ênfase1 7 9" xfId="6164" xr:uid="{00000000-0005-0000-0000-0000EC140000}"/>
    <cellStyle name="40% - Ênfase1 70" xfId="1249" xr:uid="{00000000-0005-0000-0000-0000ED140000}"/>
    <cellStyle name="40% - Ênfase1 71" xfId="1261" xr:uid="{00000000-0005-0000-0000-0000EE140000}"/>
    <cellStyle name="40% - Ênfase1 72" xfId="6165" xr:uid="{00000000-0005-0000-0000-0000EF140000}"/>
    <cellStyle name="40% - Ênfase1 73" xfId="6166" xr:uid="{00000000-0005-0000-0000-0000F0140000}"/>
    <cellStyle name="40% - Ênfase1 74" xfId="6167" xr:uid="{00000000-0005-0000-0000-0000F1140000}"/>
    <cellStyle name="40% - Ênfase1 75" xfId="6168" xr:uid="{00000000-0005-0000-0000-0000F2140000}"/>
    <cellStyle name="40% - Ênfase1 76" xfId="6169" xr:uid="{00000000-0005-0000-0000-0000F3140000}"/>
    <cellStyle name="40% - Ênfase1 77" xfId="6170" xr:uid="{00000000-0005-0000-0000-0000F4140000}"/>
    <cellStyle name="40% - Ênfase1 78" xfId="6171" xr:uid="{00000000-0005-0000-0000-0000F5140000}"/>
    <cellStyle name="40% - Ênfase1 79" xfId="6172" xr:uid="{00000000-0005-0000-0000-0000F6140000}"/>
    <cellStyle name="40% - Ênfase1 8" xfId="111" xr:uid="{00000000-0005-0000-0000-0000F7140000}"/>
    <cellStyle name="40% - Ênfase1 8 10" xfId="6173" xr:uid="{00000000-0005-0000-0000-0000F8140000}"/>
    <cellStyle name="40% - Ênfase1 8 11" xfId="6174" xr:uid="{00000000-0005-0000-0000-0000F9140000}"/>
    <cellStyle name="40% - Ênfase1 8 12" xfId="6175" xr:uid="{00000000-0005-0000-0000-0000FA140000}"/>
    <cellStyle name="40% - Ênfase1 8 13" xfId="6176" xr:uid="{00000000-0005-0000-0000-0000FB140000}"/>
    <cellStyle name="40% - Ênfase1 8 14" xfId="6177" xr:uid="{00000000-0005-0000-0000-0000FC140000}"/>
    <cellStyle name="40% - Ênfase1 8 15" xfId="6178" xr:uid="{00000000-0005-0000-0000-0000FD140000}"/>
    <cellStyle name="40% - Ênfase1 8 16" xfId="6179" xr:uid="{00000000-0005-0000-0000-0000FE140000}"/>
    <cellStyle name="40% - Ênfase1 8 17" xfId="6180" xr:uid="{00000000-0005-0000-0000-0000FF140000}"/>
    <cellStyle name="40% - Ênfase1 8 18" xfId="6181" xr:uid="{00000000-0005-0000-0000-000000150000}"/>
    <cellStyle name="40% - Ênfase1 8 19" xfId="6182" xr:uid="{00000000-0005-0000-0000-000001150000}"/>
    <cellStyle name="40% - Ênfase1 8 2" xfId="6183" xr:uid="{00000000-0005-0000-0000-000002150000}"/>
    <cellStyle name="40% - Ênfase1 8 20" xfId="6184" xr:uid="{00000000-0005-0000-0000-000003150000}"/>
    <cellStyle name="40% - Ênfase1 8 3" xfId="6185" xr:uid="{00000000-0005-0000-0000-000004150000}"/>
    <cellStyle name="40% - Ênfase1 8 4" xfId="6186" xr:uid="{00000000-0005-0000-0000-000005150000}"/>
    <cellStyle name="40% - Ênfase1 8 5" xfId="6187" xr:uid="{00000000-0005-0000-0000-000006150000}"/>
    <cellStyle name="40% - Ênfase1 8 6" xfId="6188" xr:uid="{00000000-0005-0000-0000-000007150000}"/>
    <cellStyle name="40% - Ênfase1 8 7" xfId="6189" xr:uid="{00000000-0005-0000-0000-000008150000}"/>
    <cellStyle name="40% - Ênfase1 8 8" xfId="6190" xr:uid="{00000000-0005-0000-0000-000009150000}"/>
    <cellStyle name="40% - Ênfase1 8 9" xfId="6191" xr:uid="{00000000-0005-0000-0000-00000A150000}"/>
    <cellStyle name="40% - Ênfase1 80" xfId="6192" xr:uid="{00000000-0005-0000-0000-00000B150000}"/>
    <cellStyle name="40% - Ênfase1 81" xfId="6193" xr:uid="{00000000-0005-0000-0000-00000C150000}"/>
    <cellStyle name="40% - Ênfase1 82" xfId="6194" xr:uid="{00000000-0005-0000-0000-00000D150000}"/>
    <cellStyle name="40% - Ênfase1 83" xfId="6195" xr:uid="{00000000-0005-0000-0000-00000E150000}"/>
    <cellStyle name="40% - Ênfase1 84" xfId="6196" xr:uid="{00000000-0005-0000-0000-00000F150000}"/>
    <cellStyle name="40% - Ênfase1 85" xfId="6197" xr:uid="{00000000-0005-0000-0000-000010150000}"/>
    <cellStyle name="40% - Ênfase1 86" xfId="6198" xr:uid="{00000000-0005-0000-0000-000011150000}"/>
    <cellStyle name="40% - Ênfase1 87" xfId="6199" xr:uid="{00000000-0005-0000-0000-000012150000}"/>
    <cellStyle name="40% - Ênfase1 88" xfId="6200" xr:uid="{00000000-0005-0000-0000-000013150000}"/>
    <cellStyle name="40% - Ênfase1 89" xfId="6201" xr:uid="{00000000-0005-0000-0000-000014150000}"/>
    <cellStyle name="40% - Ênfase1 9" xfId="128" xr:uid="{00000000-0005-0000-0000-000015150000}"/>
    <cellStyle name="40% - Ênfase1 9 10" xfId="6202" xr:uid="{00000000-0005-0000-0000-000016150000}"/>
    <cellStyle name="40% - Ênfase1 9 11" xfId="6203" xr:uid="{00000000-0005-0000-0000-000017150000}"/>
    <cellStyle name="40% - Ênfase1 9 12" xfId="6204" xr:uid="{00000000-0005-0000-0000-000018150000}"/>
    <cellStyle name="40% - Ênfase1 9 13" xfId="6205" xr:uid="{00000000-0005-0000-0000-000019150000}"/>
    <cellStyle name="40% - Ênfase1 9 14" xfId="6206" xr:uid="{00000000-0005-0000-0000-00001A150000}"/>
    <cellStyle name="40% - Ênfase1 9 15" xfId="6207" xr:uid="{00000000-0005-0000-0000-00001B150000}"/>
    <cellStyle name="40% - Ênfase1 9 16" xfId="6208" xr:uid="{00000000-0005-0000-0000-00001C150000}"/>
    <cellStyle name="40% - Ênfase1 9 17" xfId="6209" xr:uid="{00000000-0005-0000-0000-00001D150000}"/>
    <cellStyle name="40% - Ênfase1 9 18" xfId="6210" xr:uid="{00000000-0005-0000-0000-00001E150000}"/>
    <cellStyle name="40% - Ênfase1 9 19" xfId="6211" xr:uid="{00000000-0005-0000-0000-00001F150000}"/>
    <cellStyle name="40% - Ênfase1 9 2" xfId="6212" xr:uid="{00000000-0005-0000-0000-000020150000}"/>
    <cellStyle name="40% - Ênfase1 9 20" xfId="6213" xr:uid="{00000000-0005-0000-0000-000021150000}"/>
    <cellStyle name="40% - Ênfase1 9 3" xfId="6214" xr:uid="{00000000-0005-0000-0000-000022150000}"/>
    <cellStyle name="40% - Ênfase1 9 4" xfId="6215" xr:uid="{00000000-0005-0000-0000-000023150000}"/>
    <cellStyle name="40% - Ênfase1 9 5" xfId="6216" xr:uid="{00000000-0005-0000-0000-000024150000}"/>
    <cellStyle name="40% - Ênfase1 9 6" xfId="6217" xr:uid="{00000000-0005-0000-0000-000025150000}"/>
    <cellStyle name="40% - Ênfase1 9 7" xfId="6218" xr:uid="{00000000-0005-0000-0000-000026150000}"/>
    <cellStyle name="40% - Ênfase1 9 8" xfId="6219" xr:uid="{00000000-0005-0000-0000-000027150000}"/>
    <cellStyle name="40% - Ênfase1 9 9" xfId="6220" xr:uid="{00000000-0005-0000-0000-000028150000}"/>
    <cellStyle name="40% - Ênfase1 90" xfId="6221" xr:uid="{00000000-0005-0000-0000-000029150000}"/>
    <cellStyle name="40% - Ênfase2" xfId="24" builtinId="35" customBuiltin="1"/>
    <cellStyle name="40% - Ênfase2 10" xfId="181" xr:uid="{00000000-0005-0000-0000-00002B150000}"/>
    <cellStyle name="40% - Ênfase2 10 10" xfId="6222" xr:uid="{00000000-0005-0000-0000-00002C150000}"/>
    <cellStyle name="40% - Ênfase2 10 11" xfId="6223" xr:uid="{00000000-0005-0000-0000-00002D150000}"/>
    <cellStyle name="40% - Ênfase2 10 12" xfId="6224" xr:uid="{00000000-0005-0000-0000-00002E150000}"/>
    <cellStyle name="40% - Ênfase2 10 13" xfId="6225" xr:uid="{00000000-0005-0000-0000-00002F150000}"/>
    <cellStyle name="40% - Ênfase2 10 14" xfId="6226" xr:uid="{00000000-0005-0000-0000-000030150000}"/>
    <cellStyle name="40% - Ênfase2 10 15" xfId="6227" xr:uid="{00000000-0005-0000-0000-000031150000}"/>
    <cellStyle name="40% - Ênfase2 10 16" xfId="6228" xr:uid="{00000000-0005-0000-0000-000032150000}"/>
    <cellStyle name="40% - Ênfase2 10 17" xfId="6229" xr:uid="{00000000-0005-0000-0000-000033150000}"/>
    <cellStyle name="40% - Ênfase2 10 18" xfId="6230" xr:uid="{00000000-0005-0000-0000-000034150000}"/>
    <cellStyle name="40% - Ênfase2 10 19" xfId="6231" xr:uid="{00000000-0005-0000-0000-000035150000}"/>
    <cellStyle name="40% - Ênfase2 10 2" xfId="6232" xr:uid="{00000000-0005-0000-0000-000036150000}"/>
    <cellStyle name="40% - Ênfase2 10 20" xfId="6233" xr:uid="{00000000-0005-0000-0000-000037150000}"/>
    <cellStyle name="40% - Ênfase2 10 3" xfId="6234" xr:uid="{00000000-0005-0000-0000-000038150000}"/>
    <cellStyle name="40% - Ênfase2 10 4" xfId="6235" xr:uid="{00000000-0005-0000-0000-000039150000}"/>
    <cellStyle name="40% - Ênfase2 10 5" xfId="6236" xr:uid="{00000000-0005-0000-0000-00003A150000}"/>
    <cellStyle name="40% - Ênfase2 10 6" xfId="6237" xr:uid="{00000000-0005-0000-0000-00003B150000}"/>
    <cellStyle name="40% - Ênfase2 10 7" xfId="6238" xr:uid="{00000000-0005-0000-0000-00003C150000}"/>
    <cellStyle name="40% - Ênfase2 10 8" xfId="6239" xr:uid="{00000000-0005-0000-0000-00003D150000}"/>
    <cellStyle name="40% - Ênfase2 10 9" xfId="6240" xr:uid="{00000000-0005-0000-0000-00003E150000}"/>
    <cellStyle name="40% - Ênfase2 11" xfId="198" xr:uid="{00000000-0005-0000-0000-00003F150000}"/>
    <cellStyle name="40% - Ênfase2 11 10" xfId="6241" xr:uid="{00000000-0005-0000-0000-000040150000}"/>
    <cellStyle name="40% - Ênfase2 11 11" xfId="6242" xr:uid="{00000000-0005-0000-0000-000041150000}"/>
    <cellStyle name="40% - Ênfase2 11 12" xfId="6243" xr:uid="{00000000-0005-0000-0000-000042150000}"/>
    <cellStyle name="40% - Ênfase2 11 13" xfId="6244" xr:uid="{00000000-0005-0000-0000-000043150000}"/>
    <cellStyle name="40% - Ênfase2 11 14" xfId="6245" xr:uid="{00000000-0005-0000-0000-000044150000}"/>
    <cellStyle name="40% - Ênfase2 11 15" xfId="6246" xr:uid="{00000000-0005-0000-0000-000045150000}"/>
    <cellStyle name="40% - Ênfase2 11 16" xfId="6247" xr:uid="{00000000-0005-0000-0000-000046150000}"/>
    <cellStyle name="40% - Ênfase2 11 17" xfId="6248" xr:uid="{00000000-0005-0000-0000-000047150000}"/>
    <cellStyle name="40% - Ênfase2 11 18" xfId="6249" xr:uid="{00000000-0005-0000-0000-000048150000}"/>
    <cellStyle name="40% - Ênfase2 11 19" xfId="6250" xr:uid="{00000000-0005-0000-0000-000049150000}"/>
    <cellStyle name="40% - Ênfase2 11 2" xfId="6251" xr:uid="{00000000-0005-0000-0000-00004A150000}"/>
    <cellStyle name="40% - Ênfase2 11 20" xfId="6252" xr:uid="{00000000-0005-0000-0000-00004B150000}"/>
    <cellStyle name="40% - Ênfase2 11 3" xfId="6253" xr:uid="{00000000-0005-0000-0000-00004C150000}"/>
    <cellStyle name="40% - Ênfase2 11 4" xfId="6254" xr:uid="{00000000-0005-0000-0000-00004D150000}"/>
    <cellStyle name="40% - Ênfase2 11 5" xfId="6255" xr:uid="{00000000-0005-0000-0000-00004E150000}"/>
    <cellStyle name="40% - Ênfase2 11 6" xfId="6256" xr:uid="{00000000-0005-0000-0000-00004F150000}"/>
    <cellStyle name="40% - Ênfase2 11 7" xfId="6257" xr:uid="{00000000-0005-0000-0000-000050150000}"/>
    <cellStyle name="40% - Ênfase2 11 8" xfId="6258" xr:uid="{00000000-0005-0000-0000-000051150000}"/>
    <cellStyle name="40% - Ênfase2 11 9" xfId="6259" xr:uid="{00000000-0005-0000-0000-000052150000}"/>
    <cellStyle name="40% - Ênfase2 12" xfId="215" xr:uid="{00000000-0005-0000-0000-000053150000}"/>
    <cellStyle name="40% - Ênfase2 12 10" xfId="6260" xr:uid="{00000000-0005-0000-0000-000054150000}"/>
    <cellStyle name="40% - Ênfase2 12 11" xfId="6261" xr:uid="{00000000-0005-0000-0000-000055150000}"/>
    <cellStyle name="40% - Ênfase2 12 12" xfId="6262" xr:uid="{00000000-0005-0000-0000-000056150000}"/>
    <cellStyle name="40% - Ênfase2 12 13" xfId="6263" xr:uid="{00000000-0005-0000-0000-000057150000}"/>
    <cellStyle name="40% - Ênfase2 12 14" xfId="6264" xr:uid="{00000000-0005-0000-0000-000058150000}"/>
    <cellStyle name="40% - Ênfase2 12 15" xfId="6265" xr:uid="{00000000-0005-0000-0000-000059150000}"/>
    <cellStyle name="40% - Ênfase2 12 16" xfId="6266" xr:uid="{00000000-0005-0000-0000-00005A150000}"/>
    <cellStyle name="40% - Ênfase2 12 17" xfId="6267" xr:uid="{00000000-0005-0000-0000-00005B150000}"/>
    <cellStyle name="40% - Ênfase2 12 18" xfId="6268" xr:uid="{00000000-0005-0000-0000-00005C150000}"/>
    <cellStyle name="40% - Ênfase2 12 19" xfId="6269" xr:uid="{00000000-0005-0000-0000-00005D150000}"/>
    <cellStyle name="40% - Ênfase2 12 2" xfId="6270" xr:uid="{00000000-0005-0000-0000-00005E150000}"/>
    <cellStyle name="40% - Ênfase2 12 20" xfId="6271" xr:uid="{00000000-0005-0000-0000-00005F150000}"/>
    <cellStyle name="40% - Ênfase2 12 3" xfId="6272" xr:uid="{00000000-0005-0000-0000-000060150000}"/>
    <cellStyle name="40% - Ênfase2 12 4" xfId="6273" xr:uid="{00000000-0005-0000-0000-000061150000}"/>
    <cellStyle name="40% - Ênfase2 12 5" xfId="6274" xr:uid="{00000000-0005-0000-0000-000062150000}"/>
    <cellStyle name="40% - Ênfase2 12 6" xfId="6275" xr:uid="{00000000-0005-0000-0000-000063150000}"/>
    <cellStyle name="40% - Ênfase2 12 7" xfId="6276" xr:uid="{00000000-0005-0000-0000-000064150000}"/>
    <cellStyle name="40% - Ênfase2 12 8" xfId="6277" xr:uid="{00000000-0005-0000-0000-000065150000}"/>
    <cellStyle name="40% - Ênfase2 12 9" xfId="6278" xr:uid="{00000000-0005-0000-0000-000066150000}"/>
    <cellStyle name="40% - Ênfase2 13" xfId="232" xr:uid="{00000000-0005-0000-0000-000067150000}"/>
    <cellStyle name="40% - Ênfase2 13 10" xfId="6279" xr:uid="{00000000-0005-0000-0000-000068150000}"/>
    <cellStyle name="40% - Ênfase2 13 11" xfId="6280" xr:uid="{00000000-0005-0000-0000-000069150000}"/>
    <cellStyle name="40% - Ênfase2 13 12" xfId="6281" xr:uid="{00000000-0005-0000-0000-00006A150000}"/>
    <cellStyle name="40% - Ênfase2 13 13" xfId="6282" xr:uid="{00000000-0005-0000-0000-00006B150000}"/>
    <cellStyle name="40% - Ênfase2 13 14" xfId="6283" xr:uid="{00000000-0005-0000-0000-00006C150000}"/>
    <cellStyle name="40% - Ênfase2 13 15" xfId="6284" xr:uid="{00000000-0005-0000-0000-00006D150000}"/>
    <cellStyle name="40% - Ênfase2 13 16" xfId="6285" xr:uid="{00000000-0005-0000-0000-00006E150000}"/>
    <cellStyle name="40% - Ênfase2 13 17" xfId="6286" xr:uid="{00000000-0005-0000-0000-00006F150000}"/>
    <cellStyle name="40% - Ênfase2 13 18" xfId="6287" xr:uid="{00000000-0005-0000-0000-000070150000}"/>
    <cellStyle name="40% - Ênfase2 13 19" xfId="6288" xr:uid="{00000000-0005-0000-0000-000071150000}"/>
    <cellStyle name="40% - Ênfase2 13 2" xfId="6289" xr:uid="{00000000-0005-0000-0000-000072150000}"/>
    <cellStyle name="40% - Ênfase2 13 20" xfId="6290" xr:uid="{00000000-0005-0000-0000-000073150000}"/>
    <cellStyle name="40% - Ênfase2 13 3" xfId="6291" xr:uid="{00000000-0005-0000-0000-000074150000}"/>
    <cellStyle name="40% - Ênfase2 13 4" xfId="6292" xr:uid="{00000000-0005-0000-0000-000075150000}"/>
    <cellStyle name="40% - Ênfase2 13 5" xfId="6293" xr:uid="{00000000-0005-0000-0000-000076150000}"/>
    <cellStyle name="40% - Ênfase2 13 6" xfId="6294" xr:uid="{00000000-0005-0000-0000-000077150000}"/>
    <cellStyle name="40% - Ênfase2 13 7" xfId="6295" xr:uid="{00000000-0005-0000-0000-000078150000}"/>
    <cellStyle name="40% - Ênfase2 13 8" xfId="6296" xr:uid="{00000000-0005-0000-0000-000079150000}"/>
    <cellStyle name="40% - Ênfase2 13 9" xfId="6297" xr:uid="{00000000-0005-0000-0000-00007A150000}"/>
    <cellStyle name="40% - Ênfase2 14" xfId="249" xr:uid="{00000000-0005-0000-0000-00007B150000}"/>
    <cellStyle name="40% - Ênfase2 14 10" xfId="6298" xr:uid="{00000000-0005-0000-0000-00007C150000}"/>
    <cellStyle name="40% - Ênfase2 14 11" xfId="6299" xr:uid="{00000000-0005-0000-0000-00007D150000}"/>
    <cellStyle name="40% - Ênfase2 14 12" xfId="6300" xr:uid="{00000000-0005-0000-0000-00007E150000}"/>
    <cellStyle name="40% - Ênfase2 14 13" xfId="6301" xr:uid="{00000000-0005-0000-0000-00007F150000}"/>
    <cellStyle name="40% - Ênfase2 14 14" xfId="6302" xr:uid="{00000000-0005-0000-0000-000080150000}"/>
    <cellStyle name="40% - Ênfase2 14 15" xfId="6303" xr:uid="{00000000-0005-0000-0000-000081150000}"/>
    <cellStyle name="40% - Ênfase2 14 16" xfId="6304" xr:uid="{00000000-0005-0000-0000-000082150000}"/>
    <cellStyle name="40% - Ênfase2 14 17" xfId="6305" xr:uid="{00000000-0005-0000-0000-000083150000}"/>
    <cellStyle name="40% - Ênfase2 14 18" xfId="6306" xr:uid="{00000000-0005-0000-0000-000084150000}"/>
    <cellStyle name="40% - Ênfase2 14 19" xfId="6307" xr:uid="{00000000-0005-0000-0000-000085150000}"/>
    <cellStyle name="40% - Ênfase2 14 2" xfId="6308" xr:uid="{00000000-0005-0000-0000-000086150000}"/>
    <cellStyle name="40% - Ênfase2 14 20" xfId="6309" xr:uid="{00000000-0005-0000-0000-000087150000}"/>
    <cellStyle name="40% - Ênfase2 14 3" xfId="6310" xr:uid="{00000000-0005-0000-0000-000088150000}"/>
    <cellStyle name="40% - Ênfase2 14 4" xfId="6311" xr:uid="{00000000-0005-0000-0000-000089150000}"/>
    <cellStyle name="40% - Ênfase2 14 5" xfId="6312" xr:uid="{00000000-0005-0000-0000-00008A150000}"/>
    <cellStyle name="40% - Ênfase2 14 6" xfId="6313" xr:uid="{00000000-0005-0000-0000-00008B150000}"/>
    <cellStyle name="40% - Ênfase2 14 7" xfId="6314" xr:uid="{00000000-0005-0000-0000-00008C150000}"/>
    <cellStyle name="40% - Ênfase2 14 8" xfId="6315" xr:uid="{00000000-0005-0000-0000-00008D150000}"/>
    <cellStyle name="40% - Ênfase2 14 9" xfId="6316" xr:uid="{00000000-0005-0000-0000-00008E150000}"/>
    <cellStyle name="40% - Ênfase2 15" xfId="266" xr:uid="{00000000-0005-0000-0000-00008F150000}"/>
    <cellStyle name="40% - Ênfase2 15 10" xfId="6317" xr:uid="{00000000-0005-0000-0000-000090150000}"/>
    <cellStyle name="40% - Ênfase2 15 11" xfId="6318" xr:uid="{00000000-0005-0000-0000-000091150000}"/>
    <cellStyle name="40% - Ênfase2 15 12" xfId="6319" xr:uid="{00000000-0005-0000-0000-000092150000}"/>
    <cellStyle name="40% - Ênfase2 15 13" xfId="6320" xr:uid="{00000000-0005-0000-0000-000093150000}"/>
    <cellStyle name="40% - Ênfase2 15 14" xfId="6321" xr:uid="{00000000-0005-0000-0000-000094150000}"/>
    <cellStyle name="40% - Ênfase2 15 15" xfId="6322" xr:uid="{00000000-0005-0000-0000-000095150000}"/>
    <cellStyle name="40% - Ênfase2 15 16" xfId="6323" xr:uid="{00000000-0005-0000-0000-000096150000}"/>
    <cellStyle name="40% - Ênfase2 15 17" xfId="6324" xr:uid="{00000000-0005-0000-0000-000097150000}"/>
    <cellStyle name="40% - Ênfase2 15 18" xfId="6325" xr:uid="{00000000-0005-0000-0000-000098150000}"/>
    <cellStyle name="40% - Ênfase2 15 19" xfId="6326" xr:uid="{00000000-0005-0000-0000-000099150000}"/>
    <cellStyle name="40% - Ênfase2 15 2" xfId="6327" xr:uid="{00000000-0005-0000-0000-00009A150000}"/>
    <cellStyle name="40% - Ênfase2 15 20" xfId="6328" xr:uid="{00000000-0005-0000-0000-00009B150000}"/>
    <cellStyle name="40% - Ênfase2 15 3" xfId="6329" xr:uid="{00000000-0005-0000-0000-00009C150000}"/>
    <cellStyle name="40% - Ênfase2 15 4" xfId="6330" xr:uid="{00000000-0005-0000-0000-00009D150000}"/>
    <cellStyle name="40% - Ênfase2 15 5" xfId="6331" xr:uid="{00000000-0005-0000-0000-00009E150000}"/>
    <cellStyle name="40% - Ênfase2 15 6" xfId="6332" xr:uid="{00000000-0005-0000-0000-00009F150000}"/>
    <cellStyle name="40% - Ênfase2 15 7" xfId="6333" xr:uid="{00000000-0005-0000-0000-0000A0150000}"/>
    <cellStyle name="40% - Ênfase2 15 8" xfId="6334" xr:uid="{00000000-0005-0000-0000-0000A1150000}"/>
    <cellStyle name="40% - Ênfase2 15 9" xfId="6335" xr:uid="{00000000-0005-0000-0000-0000A2150000}"/>
    <cellStyle name="40% - Ênfase2 16" xfId="283" xr:uid="{00000000-0005-0000-0000-0000A3150000}"/>
    <cellStyle name="40% - Ênfase2 16 10" xfId="6336" xr:uid="{00000000-0005-0000-0000-0000A4150000}"/>
    <cellStyle name="40% - Ênfase2 16 11" xfId="6337" xr:uid="{00000000-0005-0000-0000-0000A5150000}"/>
    <cellStyle name="40% - Ênfase2 16 12" xfId="6338" xr:uid="{00000000-0005-0000-0000-0000A6150000}"/>
    <cellStyle name="40% - Ênfase2 16 13" xfId="6339" xr:uid="{00000000-0005-0000-0000-0000A7150000}"/>
    <cellStyle name="40% - Ênfase2 16 14" xfId="6340" xr:uid="{00000000-0005-0000-0000-0000A8150000}"/>
    <cellStyle name="40% - Ênfase2 16 15" xfId="6341" xr:uid="{00000000-0005-0000-0000-0000A9150000}"/>
    <cellStyle name="40% - Ênfase2 16 16" xfId="6342" xr:uid="{00000000-0005-0000-0000-0000AA150000}"/>
    <cellStyle name="40% - Ênfase2 16 17" xfId="6343" xr:uid="{00000000-0005-0000-0000-0000AB150000}"/>
    <cellStyle name="40% - Ênfase2 16 18" xfId="6344" xr:uid="{00000000-0005-0000-0000-0000AC150000}"/>
    <cellStyle name="40% - Ênfase2 16 19" xfId="6345" xr:uid="{00000000-0005-0000-0000-0000AD150000}"/>
    <cellStyle name="40% - Ênfase2 16 2" xfId="6346" xr:uid="{00000000-0005-0000-0000-0000AE150000}"/>
    <cellStyle name="40% - Ênfase2 16 20" xfId="6347" xr:uid="{00000000-0005-0000-0000-0000AF150000}"/>
    <cellStyle name="40% - Ênfase2 16 3" xfId="6348" xr:uid="{00000000-0005-0000-0000-0000B0150000}"/>
    <cellStyle name="40% - Ênfase2 16 4" xfId="6349" xr:uid="{00000000-0005-0000-0000-0000B1150000}"/>
    <cellStyle name="40% - Ênfase2 16 5" xfId="6350" xr:uid="{00000000-0005-0000-0000-0000B2150000}"/>
    <cellStyle name="40% - Ênfase2 16 6" xfId="6351" xr:uid="{00000000-0005-0000-0000-0000B3150000}"/>
    <cellStyle name="40% - Ênfase2 16 7" xfId="6352" xr:uid="{00000000-0005-0000-0000-0000B4150000}"/>
    <cellStyle name="40% - Ênfase2 16 8" xfId="6353" xr:uid="{00000000-0005-0000-0000-0000B5150000}"/>
    <cellStyle name="40% - Ênfase2 16 9" xfId="6354" xr:uid="{00000000-0005-0000-0000-0000B6150000}"/>
    <cellStyle name="40% - Ênfase2 17" xfId="300" xr:uid="{00000000-0005-0000-0000-0000B7150000}"/>
    <cellStyle name="40% - Ênfase2 17 10" xfId="6355" xr:uid="{00000000-0005-0000-0000-0000B8150000}"/>
    <cellStyle name="40% - Ênfase2 17 11" xfId="6356" xr:uid="{00000000-0005-0000-0000-0000B9150000}"/>
    <cellStyle name="40% - Ênfase2 17 12" xfId="6357" xr:uid="{00000000-0005-0000-0000-0000BA150000}"/>
    <cellStyle name="40% - Ênfase2 17 13" xfId="6358" xr:uid="{00000000-0005-0000-0000-0000BB150000}"/>
    <cellStyle name="40% - Ênfase2 17 14" xfId="6359" xr:uid="{00000000-0005-0000-0000-0000BC150000}"/>
    <cellStyle name="40% - Ênfase2 17 15" xfId="6360" xr:uid="{00000000-0005-0000-0000-0000BD150000}"/>
    <cellStyle name="40% - Ênfase2 17 16" xfId="6361" xr:uid="{00000000-0005-0000-0000-0000BE150000}"/>
    <cellStyle name="40% - Ênfase2 17 17" xfId="6362" xr:uid="{00000000-0005-0000-0000-0000BF150000}"/>
    <cellStyle name="40% - Ênfase2 17 18" xfId="6363" xr:uid="{00000000-0005-0000-0000-0000C0150000}"/>
    <cellStyle name="40% - Ênfase2 17 19" xfId="6364" xr:uid="{00000000-0005-0000-0000-0000C1150000}"/>
    <cellStyle name="40% - Ênfase2 17 2" xfId="6365" xr:uid="{00000000-0005-0000-0000-0000C2150000}"/>
    <cellStyle name="40% - Ênfase2 17 20" xfId="6366" xr:uid="{00000000-0005-0000-0000-0000C3150000}"/>
    <cellStyle name="40% - Ênfase2 17 3" xfId="6367" xr:uid="{00000000-0005-0000-0000-0000C4150000}"/>
    <cellStyle name="40% - Ênfase2 17 4" xfId="6368" xr:uid="{00000000-0005-0000-0000-0000C5150000}"/>
    <cellStyle name="40% - Ênfase2 17 5" xfId="6369" xr:uid="{00000000-0005-0000-0000-0000C6150000}"/>
    <cellStyle name="40% - Ênfase2 17 6" xfId="6370" xr:uid="{00000000-0005-0000-0000-0000C7150000}"/>
    <cellStyle name="40% - Ênfase2 17 7" xfId="6371" xr:uid="{00000000-0005-0000-0000-0000C8150000}"/>
    <cellStyle name="40% - Ênfase2 17 8" xfId="6372" xr:uid="{00000000-0005-0000-0000-0000C9150000}"/>
    <cellStyle name="40% - Ênfase2 17 9" xfId="6373" xr:uid="{00000000-0005-0000-0000-0000CA150000}"/>
    <cellStyle name="40% - Ênfase2 18" xfId="317" xr:uid="{00000000-0005-0000-0000-0000CB150000}"/>
    <cellStyle name="40% - Ênfase2 18 10" xfId="6374" xr:uid="{00000000-0005-0000-0000-0000CC150000}"/>
    <cellStyle name="40% - Ênfase2 18 11" xfId="6375" xr:uid="{00000000-0005-0000-0000-0000CD150000}"/>
    <cellStyle name="40% - Ênfase2 18 12" xfId="6376" xr:uid="{00000000-0005-0000-0000-0000CE150000}"/>
    <cellStyle name="40% - Ênfase2 18 13" xfId="6377" xr:uid="{00000000-0005-0000-0000-0000CF150000}"/>
    <cellStyle name="40% - Ênfase2 18 14" xfId="6378" xr:uid="{00000000-0005-0000-0000-0000D0150000}"/>
    <cellStyle name="40% - Ênfase2 18 15" xfId="6379" xr:uid="{00000000-0005-0000-0000-0000D1150000}"/>
    <cellStyle name="40% - Ênfase2 18 16" xfId="6380" xr:uid="{00000000-0005-0000-0000-0000D2150000}"/>
    <cellStyle name="40% - Ênfase2 18 17" xfId="6381" xr:uid="{00000000-0005-0000-0000-0000D3150000}"/>
    <cellStyle name="40% - Ênfase2 18 18" xfId="6382" xr:uid="{00000000-0005-0000-0000-0000D4150000}"/>
    <cellStyle name="40% - Ênfase2 18 19" xfId="6383" xr:uid="{00000000-0005-0000-0000-0000D5150000}"/>
    <cellStyle name="40% - Ênfase2 18 2" xfId="6384" xr:uid="{00000000-0005-0000-0000-0000D6150000}"/>
    <cellStyle name="40% - Ênfase2 18 20" xfId="6385" xr:uid="{00000000-0005-0000-0000-0000D7150000}"/>
    <cellStyle name="40% - Ênfase2 18 3" xfId="6386" xr:uid="{00000000-0005-0000-0000-0000D8150000}"/>
    <cellStyle name="40% - Ênfase2 18 4" xfId="6387" xr:uid="{00000000-0005-0000-0000-0000D9150000}"/>
    <cellStyle name="40% - Ênfase2 18 5" xfId="6388" xr:uid="{00000000-0005-0000-0000-0000DA150000}"/>
    <cellStyle name="40% - Ênfase2 18 6" xfId="6389" xr:uid="{00000000-0005-0000-0000-0000DB150000}"/>
    <cellStyle name="40% - Ênfase2 18 7" xfId="6390" xr:uid="{00000000-0005-0000-0000-0000DC150000}"/>
    <cellStyle name="40% - Ênfase2 18 8" xfId="6391" xr:uid="{00000000-0005-0000-0000-0000DD150000}"/>
    <cellStyle name="40% - Ênfase2 18 9" xfId="6392" xr:uid="{00000000-0005-0000-0000-0000DE150000}"/>
    <cellStyle name="40% - Ênfase2 19" xfId="355" xr:uid="{00000000-0005-0000-0000-0000DF150000}"/>
    <cellStyle name="40% - Ênfase2 19 10" xfId="6393" xr:uid="{00000000-0005-0000-0000-0000E0150000}"/>
    <cellStyle name="40% - Ênfase2 19 11" xfId="6394" xr:uid="{00000000-0005-0000-0000-0000E1150000}"/>
    <cellStyle name="40% - Ênfase2 19 12" xfId="6395" xr:uid="{00000000-0005-0000-0000-0000E2150000}"/>
    <cellStyle name="40% - Ênfase2 19 13" xfId="6396" xr:uid="{00000000-0005-0000-0000-0000E3150000}"/>
    <cellStyle name="40% - Ênfase2 19 14" xfId="6397" xr:uid="{00000000-0005-0000-0000-0000E4150000}"/>
    <cellStyle name="40% - Ênfase2 19 15" xfId="6398" xr:uid="{00000000-0005-0000-0000-0000E5150000}"/>
    <cellStyle name="40% - Ênfase2 19 16" xfId="6399" xr:uid="{00000000-0005-0000-0000-0000E6150000}"/>
    <cellStyle name="40% - Ênfase2 19 17" xfId="6400" xr:uid="{00000000-0005-0000-0000-0000E7150000}"/>
    <cellStyle name="40% - Ênfase2 19 18" xfId="6401" xr:uid="{00000000-0005-0000-0000-0000E8150000}"/>
    <cellStyle name="40% - Ênfase2 19 19" xfId="6402" xr:uid="{00000000-0005-0000-0000-0000E9150000}"/>
    <cellStyle name="40% - Ênfase2 19 2" xfId="6403" xr:uid="{00000000-0005-0000-0000-0000EA150000}"/>
    <cellStyle name="40% - Ênfase2 19 20" xfId="6404" xr:uid="{00000000-0005-0000-0000-0000EB150000}"/>
    <cellStyle name="40% - Ênfase2 19 3" xfId="6405" xr:uid="{00000000-0005-0000-0000-0000EC150000}"/>
    <cellStyle name="40% - Ênfase2 19 4" xfId="6406" xr:uid="{00000000-0005-0000-0000-0000ED150000}"/>
    <cellStyle name="40% - Ênfase2 19 5" xfId="6407" xr:uid="{00000000-0005-0000-0000-0000EE150000}"/>
    <cellStyle name="40% - Ênfase2 19 6" xfId="6408" xr:uid="{00000000-0005-0000-0000-0000EF150000}"/>
    <cellStyle name="40% - Ênfase2 19 7" xfId="6409" xr:uid="{00000000-0005-0000-0000-0000F0150000}"/>
    <cellStyle name="40% - Ênfase2 19 8" xfId="6410" xr:uid="{00000000-0005-0000-0000-0000F1150000}"/>
    <cellStyle name="40% - Ênfase2 19 9" xfId="6411" xr:uid="{00000000-0005-0000-0000-0000F2150000}"/>
    <cellStyle name="40% - Ênfase2 2" xfId="73" xr:uid="{00000000-0005-0000-0000-0000F3150000}"/>
    <cellStyle name="40% - Ênfase2 2 10" xfId="6412" xr:uid="{00000000-0005-0000-0000-0000F4150000}"/>
    <cellStyle name="40% - Ênfase2 2 11" xfId="6413" xr:uid="{00000000-0005-0000-0000-0000F5150000}"/>
    <cellStyle name="40% - Ênfase2 2 12" xfId="6414" xr:uid="{00000000-0005-0000-0000-0000F6150000}"/>
    <cellStyle name="40% - Ênfase2 2 13" xfId="6415" xr:uid="{00000000-0005-0000-0000-0000F7150000}"/>
    <cellStyle name="40% - Ênfase2 2 14" xfId="6416" xr:uid="{00000000-0005-0000-0000-0000F8150000}"/>
    <cellStyle name="40% - Ênfase2 2 15" xfId="6417" xr:uid="{00000000-0005-0000-0000-0000F9150000}"/>
    <cellStyle name="40% - Ênfase2 2 16" xfId="6418" xr:uid="{00000000-0005-0000-0000-0000FA150000}"/>
    <cellStyle name="40% - Ênfase2 2 17" xfId="6419" xr:uid="{00000000-0005-0000-0000-0000FB150000}"/>
    <cellStyle name="40% - Ênfase2 2 18" xfId="6420" xr:uid="{00000000-0005-0000-0000-0000FC150000}"/>
    <cellStyle name="40% - Ênfase2 2 19" xfId="6421" xr:uid="{00000000-0005-0000-0000-0000FD150000}"/>
    <cellStyle name="40% - Ênfase2 2 2" xfId="6422" xr:uid="{00000000-0005-0000-0000-0000FE150000}"/>
    <cellStyle name="40% - Ênfase2 2 20" xfId="6423" xr:uid="{00000000-0005-0000-0000-0000FF150000}"/>
    <cellStyle name="40% - Ênfase2 2 3" xfId="6424" xr:uid="{00000000-0005-0000-0000-000000160000}"/>
    <cellStyle name="40% - Ênfase2 2 4" xfId="6425" xr:uid="{00000000-0005-0000-0000-000001160000}"/>
    <cellStyle name="40% - Ênfase2 2 5" xfId="6426" xr:uid="{00000000-0005-0000-0000-000002160000}"/>
    <cellStyle name="40% - Ênfase2 2 6" xfId="6427" xr:uid="{00000000-0005-0000-0000-000003160000}"/>
    <cellStyle name="40% - Ênfase2 2 7" xfId="6428" xr:uid="{00000000-0005-0000-0000-000004160000}"/>
    <cellStyle name="40% - Ênfase2 2 8" xfId="6429" xr:uid="{00000000-0005-0000-0000-000005160000}"/>
    <cellStyle name="40% - Ênfase2 2 9" xfId="6430" xr:uid="{00000000-0005-0000-0000-000006160000}"/>
    <cellStyle name="40% - Ênfase2 20" xfId="356" xr:uid="{00000000-0005-0000-0000-000007160000}"/>
    <cellStyle name="40% - Ênfase2 20 10" xfId="6431" xr:uid="{00000000-0005-0000-0000-000008160000}"/>
    <cellStyle name="40% - Ênfase2 20 11" xfId="6432" xr:uid="{00000000-0005-0000-0000-000009160000}"/>
    <cellStyle name="40% - Ênfase2 20 12" xfId="6433" xr:uid="{00000000-0005-0000-0000-00000A160000}"/>
    <cellStyle name="40% - Ênfase2 20 13" xfId="6434" xr:uid="{00000000-0005-0000-0000-00000B160000}"/>
    <cellStyle name="40% - Ênfase2 20 14" xfId="6435" xr:uid="{00000000-0005-0000-0000-00000C160000}"/>
    <cellStyle name="40% - Ênfase2 20 15" xfId="6436" xr:uid="{00000000-0005-0000-0000-00000D160000}"/>
    <cellStyle name="40% - Ênfase2 20 16" xfId="6437" xr:uid="{00000000-0005-0000-0000-00000E160000}"/>
    <cellStyle name="40% - Ênfase2 20 17" xfId="6438" xr:uid="{00000000-0005-0000-0000-00000F160000}"/>
    <cellStyle name="40% - Ênfase2 20 18" xfId="6439" xr:uid="{00000000-0005-0000-0000-000010160000}"/>
    <cellStyle name="40% - Ênfase2 20 19" xfId="6440" xr:uid="{00000000-0005-0000-0000-000011160000}"/>
    <cellStyle name="40% - Ênfase2 20 2" xfId="6441" xr:uid="{00000000-0005-0000-0000-000012160000}"/>
    <cellStyle name="40% - Ênfase2 20 20" xfId="6442" xr:uid="{00000000-0005-0000-0000-000013160000}"/>
    <cellStyle name="40% - Ênfase2 20 3" xfId="6443" xr:uid="{00000000-0005-0000-0000-000014160000}"/>
    <cellStyle name="40% - Ênfase2 20 4" xfId="6444" xr:uid="{00000000-0005-0000-0000-000015160000}"/>
    <cellStyle name="40% - Ênfase2 20 5" xfId="6445" xr:uid="{00000000-0005-0000-0000-000016160000}"/>
    <cellStyle name="40% - Ênfase2 20 6" xfId="6446" xr:uid="{00000000-0005-0000-0000-000017160000}"/>
    <cellStyle name="40% - Ênfase2 20 7" xfId="6447" xr:uid="{00000000-0005-0000-0000-000018160000}"/>
    <cellStyle name="40% - Ênfase2 20 8" xfId="6448" xr:uid="{00000000-0005-0000-0000-000019160000}"/>
    <cellStyle name="40% - Ênfase2 20 9" xfId="6449" xr:uid="{00000000-0005-0000-0000-00001A160000}"/>
    <cellStyle name="40% - Ênfase2 21" xfId="351" xr:uid="{00000000-0005-0000-0000-00001B160000}"/>
    <cellStyle name="40% - Ênfase2 21 10" xfId="6450" xr:uid="{00000000-0005-0000-0000-00001C160000}"/>
    <cellStyle name="40% - Ênfase2 21 11" xfId="6451" xr:uid="{00000000-0005-0000-0000-00001D160000}"/>
    <cellStyle name="40% - Ênfase2 21 12" xfId="6452" xr:uid="{00000000-0005-0000-0000-00001E160000}"/>
    <cellStyle name="40% - Ênfase2 21 13" xfId="6453" xr:uid="{00000000-0005-0000-0000-00001F160000}"/>
    <cellStyle name="40% - Ênfase2 21 14" xfId="6454" xr:uid="{00000000-0005-0000-0000-000020160000}"/>
    <cellStyle name="40% - Ênfase2 21 15" xfId="6455" xr:uid="{00000000-0005-0000-0000-000021160000}"/>
    <cellStyle name="40% - Ênfase2 21 16" xfId="6456" xr:uid="{00000000-0005-0000-0000-000022160000}"/>
    <cellStyle name="40% - Ênfase2 21 17" xfId="6457" xr:uid="{00000000-0005-0000-0000-000023160000}"/>
    <cellStyle name="40% - Ênfase2 21 18" xfId="6458" xr:uid="{00000000-0005-0000-0000-000024160000}"/>
    <cellStyle name="40% - Ênfase2 21 19" xfId="6459" xr:uid="{00000000-0005-0000-0000-000025160000}"/>
    <cellStyle name="40% - Ênfase2 21 2" xfId="6460" xr:uid="{00000000-0005-0000-0000-000026160000}"/>
    <cellStyle name="40% - Ênfase2 21 20" xfId="6461" xr:uid="{00000000-0005-0000-0000-000027160000}"/>
    <cellStyle name="40% - Ênfase2 21 3" xfId="6462" xr:uid="{00000000-0005-0000-0000-000028160000}"/>
    <cellStyle name="40% - Ênfase2 21 4" xfId="6463" xr:uid="{00000000-0005-0000-0000-000029160000}"/>
    <cellStyle name="40% - Ênfase2 21 5" xfId="6464" xr:uid="{00000000-0005-0000-0000-00002A160000}"/>
    <cellStyle name="40% - Ênfase2 21 6" xfId="6465" xr:uid="{00000000-0005-0000-0000-00002B160000}"/>
    <cellStyle name="40% - Ênfase2 21 7" xfId="6466" xr:uid="{00000000-0005-0000-0000-00002C160000}"/>
    <cellStyle name="40% - Ênfase2 21 8" xfId="6467" xr:uid="{00000000-0005-0000-0000-00002D160000}"/>
    <cellStyle name="40% - Ênfase2 21 9" xfId="6468" xr:uid="{00000000-0005-0000-0000-00002E160000}"/>
    <cellStyle name="40% - Ênfase2 22" xfId="389" xr:uid="{00000000-0005-0000-0000-00002F160000}"/>
    <cellStyle name="40% - Ênfase2 22 10" xfId="6469" xr:uid="{00000000-0005-0000-0000-000030160000}"/>
    <cellStyle name="40% - Ênfase2 22 11" xfId="6470" xr:uid="{00000000-0005-0000-0000-000031160000}"/>
    <cellStyle name="40% - Ênfase2 22 12" xfId="6471" xr:uid="{00000000-0005-0000-0000-000032160000}"/>
    <cellStyle name="40% - Ênfase2 22 13" xfId="6472" xr:uid="{00000000-0005-0000-0000-000033160000}"/>
    <cellStyle name="40% - Ênfase2 22 14" xfId="6473" xr:uid="{00000000-0005-0000-0000-000034160000}"/>
    <cellStyle name="40% - Ênfase2 22 15" xfId="6474" xr:uid="{00000000-0005-0000-0000-000035160000}"/>
    <cellStyle name="40% - Ênfase2 22 16" xfId="6475" xr:uid="{00000000-0005-0000-0000-000036160000}"/>
    <cellStyle name="40% - Ênfase2 22 17" xfId="6476" xr:uid="{00000000-0005-0000-0000-000037160000}"/>
    <cellStyle name="40% - Ênfase2 22 18" xfId="6477" xr:uid="{00000000-0005-0000-0000-000038160000}"/>
    <cellStyle name="40% - Ênfase2 22 19" xfId="6478" xr:uid="{00000000-0005-0000-0000-000039160000}"/>
    <cellStyle name="40% - Ênfase2 22 2" xfId="6479" xr:uid="{00000000-0005-0000-0000-00003A160000}"/>
    <cellStyle name="40% - Ênfase2 22 20" xfId="6480" xr:uid="{00000000-0005-0000-0000-00003B160000}"/>
    <cellStyle name="40% - Ênfase2 22 3" xfId="6481" xr:uid="{00000000-0005-0000-0000-00003C160000}"/>
    <cellStyle name="40% - Ênfase2 22 4" xfId="6482" xr:uid="{00000000-0005-0000-0000-00003D160000}"/>
    <cellStyle name="40% - Ênfase2 22 5" xfId="6483" xr:uid="{00000000-0005-0000-0000-00003E160000}"/>
    <cellStyle name="40% - Ênfase2 22 6" xfId="6484" xr:uid="{00000000-0005-0000-0000-00003F160000}"/>
    <cellStyle name="40% - Ênfase2 22 7" xfId="6485" xr:uid="{00000000-0005-0000-0000-000040160000}"/>
    <cellStyle name="40% - Ênfase2 22 8" xfId="6486" xr:uid="{00000000-0005-0000-0000-000041160000}"/>
    <cellStyle name="40% - Ênfase2 22 9" xfId="6487" xr:uid="{00000000-0005-0000-0000-000042160000}"/>
    <cellStyle name="40% - Ênfase2 23" xfId="407" xr:uid="{00000000-0005-0000-0000-000043160000}"/>
    <cellStyle name="40% - Ênfase2 23 10" xfId="6488" xr:uid="{00000000-0005-0000-0000-000044160000}"/>
    <cellStyle name="40% - Ênfase2 23 11" xfId="6489" xr:uid="{00000000-0005-0000-0000-000045160000}"/>
    <cellStyle name="40% - Ênfase2 23 12" xfId="6490" xr:uid="{00000000-0005-0000-0000-000046160000}"/>
    <cellStyle name="40% - Ênfase2 23 13" xfId="6491" xr:uid="{00000000-0005-0000-0000-000047160000}"/>
    <cellStyle name="40% - Ênfase2 23 14" xfId="6492" xr:uid="{00000000-0005-0000-0000-000048160000}"/>
    <cellStyle name="40% - Ênfase2 23 15" xfId="6493" xr:uid="{00000000-0005-0000-0000-000049160000}"/>
    <cellStyle name="40% - Ênfase2 23 16" xfId="6494" xr:uid="{00000000-0005-0000-0000-00004A160000}"/>
    <cellStyle name="40% - Ênfase2 23 17" xfId="6495" xr:uid="{00000000-0005-0000-0000-00004B160000}"/>
    <cellStyle name="40% - Ênfase2 23 18" xfId="6496" xr:uid="{00000000-0005-0000-0000-00004C160000}"/>
    <cellStyle name="40% - Ênfase2 23 19" xfId="6497" xr:uid="{00000000-0005-0000-0000-00004D160000}"/>
    <cellStyle name="40% - Ênfase2 23 2" xfId="6498" xr:uid="{00000000-0005-0000-0000-00004E160000}"/>
    <cellStyle name="40% - Ênfase2 23 20" xfId="6499" xr:uid="{00000000-0005-0000-0000-00004F160000}"/>
    <cellStyle name="40% - Ênfase2 23 3" xfId="6500" xr:uid="{00000000-0005-0000-0000-000050160000}"/>
    <cellStyle name="40% - Ênfase2 23 4" xfId="6501" xr:uid="{00000000-0005-0000-0000-000051160000}"/>
    <cellStyle name="40% - Ênfase2 23 5" xfId="6502" xr:uid="{00000000-0005-0000-0000-000052160000}"/>
    <cellStyle name="40% - Ênfase2 23 6" xfId="6503" xr:uid="{00000000-0005-0000-0000-000053160000}"/>
    <cellStyle name="40% - Ênfase2 23 7" xfId="6504" xr:uid="{00000000-0005-0000-0000-000054160000}"/>
    <cellStyle name="40% - Ênfase2 23 8" xfId="6505" xr:uid="{00000000-0005-0000-0000-000055160000}"/>
    <cellStyle name="40% - Ênfase2 23 9" xfId="6506" xr:uid="{00000000-0005-0000-0000-000056160000}"/>
    <cellStyle name="40% - Ênfase2 24" xfId="425" xr:uid="{00000000-0005-0000-0000-000057160000}"/>
    <cellStyle name="40% - Ênfase2 24 10" xfId="6507" xr:uid="{00000000-0005-0000-0000-000058160000}"/>
    <cellStyle name="40% - Ênfase2 24 11" xfId="6508" xr:uid="{00000000-0005-0000-0000-000059160000}"/>
    <cellStyle name="40% - Ênfase2 24 12" xfId="6509" xr:uid="{00000000-0005-0000-0000-00005A160000}"/>
    <cellStyle name="40% - Ênfase2 24 13" xfId="6510" xr:uid="{00000000-0005-0000-0000-00005B160000}"/>
    <cellStyle name="40% - Ênfase2 24 14" xfId="6511" xr:uid="{00000000-0005-0000-0000-00005C160000}"/>
    <cellStyle name="40% - Ênfase2 24 15" xfId="6512" xr:uid="{00000000-0005-0000-0000-00005D160000}"/>
    <cellStyle name="40% - Ênfase2 24 16" xfId="6513" xr:uid="{00000000-0005-0000-0000-00005E160000}"/>
    <cellStyle name="40% - Ênfase2 24 17" xfId="6514" xr:uid="{00000000-0005-0000-0000-00005F160000}"/>
    <cellStyle name="40% - Ênfase2 24 18" xfId="6515" xr:uid="{00000000-0005-0000-0000-000060160000}"/>
    <cellStyle name="40% - Ênfase2 24 19" xfId="6516" xr:uid="{00000000-0005-0000-0000-000061160000}"/>
    <cellStyle name="40% - Ênfase2 24 2" xfId="6517" xr:uid="{00000000-0005-0000-0000-000062160000}"/>
    <cellStyle name="40% - Ênfase2 24 20" xfId="6518" xr:uid="{00000000-0005-0000-0000-000063160000}"/>
    <cellStyle name="40% - Ênfase2 24 3" xfId="6519" xr:uid="{00000000-0005-0000-0000-000064160000}"/>
    <cellStyle name="40% - Ênfase2 24 4" xfId="6520" xr:uid="{00000000-0005-0000-0000-000065160000}"/>
    <cellStyle name="40% - Ênfase2 24 5" xfId="6521" xr:uid="{00000000-0005-0000-0000-000066160000}"/>
    <cellStyle name="40% - Ênfase2 24 6" xfId="6522" xr:uid="{00000000-0005-0000-0000-000067160000}"/>
    <cellStyle name="40% - Ênfase2 24 7" xfId="6523" xr:uid="{00000000-0005-0000-0000-000068160000}"/>
    <cellStyle name="40% - Ênfase2 24 8" xfId="6524" xr:uid="{00000000-0005-0000-0000-000069160000}"/>
    <cellStyle name="40% - Ênfase2 24 9" xfId="6525" xr:uid="{00000000-0005-0000-0000-00006A160000}"/>
    <cellStyle name="40% - Ênfase2 25" xfId="443" xr:uid="{00000000-0005-0000-0000-00006B160000}"/>
    <cellStyle name="40% - Ênfase2 25 10" xfId="6526" xr:uid="{00000000-0005-0000-0000-00006C160000}"/>
    <cellStyle name="40% - Ênfase2 25 11" xfId="6527" xr:uid="{00000000-0005-0000-0000-00006D160000}"/>
    <cellStyle name="40% - Ênfase2 25 12" xfId="6528" xr:uid="{00000000-0005-0000-0000-00006E160000}"/>
    <cellStyle name="40% - Ênfase2 25 13" xfId="6529" xr:uid="{00000000-0005-0000-0000-00006F160000}"/>
    <cellStyle name="40% - Ênfase2 25 14" xfId="6530" xr:uid="{00000000-0005-0000-0000-000070160000}"/>
    <cellStyle name="40% - Ênfase2 25 15" xfId="6531" xr:uid="{00000000-0005-0000-0000-000071160000}"/>
    <cellStyle name="40% - Ênfase2 25 16" xfId="6532" xr:uid="{00000000-0005-0000-0000-000072160000}"/>
    <cellStyle name="40% - Ênfase2 25 17" xfId="6533" xr:uid="{00000000-0005-0000-0000-000073160000}"/>
    <cellStyle name="40% - Ênfase2 25 18" xfId="6534" xr:uid="{00000000-0005-0000-0000-000074160000}"/>
    <cellStyle name="40% - Ênfase2 25 19" xfId="6535" xr:uid="{00000000-0005-0000-0000-000075160000}"/>
    <cellStyle name="40% - Ênfase2 25 2" xfId="6536" xr:uid="{00000000-0005-0000-0000-000076160000}"/>
    <cellStyle name="40% - Ênfase2 25 20" xfId="6537" xr:uid="{00000000-0005-0000-0000-000077160000}"/>
    <cellStyle name="40% - Ênfase2 25 3" xfId="6538" xr:uid="{00000000-0005-0000-0000-000078160000}"/>
    <cellStyle name="40% - Ênfase2 25 4" xfId="6539" xr:uid="{00000000-0005-0000-0000-000079160000}"/>
    <cellStyle name="40% - Ênfase2 25 5" xfId="6540" xr:uid="{00000000-0005-0000-0000-00007A160000}"/>
    <cellStyle name="40% - Ênfase2 25 6" xfId="6541" xr:uid="{00000000-0005-0000-0000-00007B160000}"/>
    <cellStyle name="40% - Ênfase2 25 7" xfId="6542" xr:uid="{00000000-0005-0000-0000-00007C160000}"/>
    <cellStyle name="40% - Ênfase2 25 8" xfId="6543" xr:uid="{00000000-0005-0000-0000-00007D160000}"/>
    <cellStyle name="40% - Ênfase2 25 9" xfId="6544" xr:uid="{00000000-0005-0000-0000-00007E160000}"/>
    <cellStyle name="40% - Ênfase2 26" xfId="461" xr:uid="{00000000-0005-0000-0000-00007F160000}"/>
    <cellStyle name="40% - Ênfase2 26 10" xfId="6545" xr:uid="{00000000-0005-0000-0000-000080160000}"/>
    <cellStyle name="40% - Ênfase2 26 11" xfId="6546" xr:uid="{00000000-0005-0000-0000-000081160000}"/>
    <cellStyle name="40% - Ênfase2 26 12" xfId="6547" xr:uid="{00000000-0005-0000-0000-000082160000}"/>
    <cellStyle name="40% - Ênfase2 26 13" xfId="6548" xr:uid="{00000000-0005-0000-0000-000083160000}"/>
    <cellStyle name="40% - Ênfase2 26 14" xfId="6549" xr:uid="{00000000-0005-0000-0000-000084160000}"/>
    <cellStyle name="40% - Ênfase2 26 15" xfId="6550" xr:uid="{00000000-0005-0000-0000-000085160000}"/>
    <cellStyle name="40% - Ênfase2 26 16" xfId="6551" xr:uid="{00000000-0005-0000-0000-000086160000}"/>
    <cellStyle name="40% - Ênfase2 26 17" xfId="6552" xr:uid="{00000000-0005-0000-0000-000087160000}"/>
    <cellStyle name="40% - Ênfase2 26 18" xfId="6553" xr:uid="{00000000-0005-0000-0000-000088160000}"/>
    <cellStyle name="40% - Ênfase2 26 19" xfId="6554" xr:uid="{00000000-0005-0000-0000-000089160000}"/>
    <cellStyle name="40% - Ênfase2 26 2" xfId="6555" xr:uid="{00000000-0005-0000-0000-00008A160000}"/>
    <cellStyle name="40% - Ênfase2 26 20" xfId="6556" xr:uid="{00000000-0005-0000-0000-00008B160000}"/>
    <cellStyle name="40% - Ênfase2 26 3" xfId="6557" xr:uid="{00000000-0005-0000-0000-00008C160000}"/>
    <cellStyle name="40% - Ênfase2 26 4" xfId="6558" xr:uid="{00000000-0005-0000-0000-00008D160000}"/>
    <cellStyle name="40% - Ênfase2 26 5" xfId="6559" xr:uid="{00000000-0005-0000-0000-00008E160000}"/>
    <cellStyle name="40% - Ênfase2 26 6" xfId="6560" xr:uid="{00000000-0005-0000-0000-00008F160000}"/>
    <cellStyle name="40% - Ênfase2 26 7" xfId="6561" xr:uid="{00000000-0005-0000-0000-000090160000}"/>
    <cellStyle name="40% - Ênfase2 26 8" xfId="6562" xr:uid="{00000000-0005-0000-0000-000091160000}"/>
    <cellStyle name="40% - Ênfase2 26 9" xfId="6563" xr:uid="{00000000-0005-0000-0000-000092160000}"/>
    <cellStyle name="40% - Ênfase2 27" xfId="479" xr:uid="{00000000-0005-0000-0000-000093160000}"/>
    <cellStyle name="40% - Ênfase2 27 10" xfId="6564" xr:uid="{00000000-0005-0000-0000-000094160000}"/>
    <cellStyle name="40% - Ênfase2 27 11" xfId="6565" xr:uid="{00000000-0005-0000-0000-000095160000}"/>
    <cellStyle name="40% - Ênfase2 27 12" xfId="6566" xr:uid="{00000000-0005-0000-0000-000096160000}"/>
    <cellStyle name="40% - Ênfase2 27 13" xfId="6567" xr:uid="{00000000-0005-0000-0000-000097160000}"/>
    <cellStyle name="40% - Ênfase2 27 14" xfId="6568" xr:uid="{00000000-0005-0000-0000-000098160000}"/>
    <cellStyle name="40% - Ênfase2 27 15" xfId="6569" xr:uid="{00000000-0005-0000-0000-000099160000}"/>
    <cellStyle name="40% - Ênfase2 27 16" xfId="6570" xr:uid="{00000000-0005-0000-0000-00009A160000}"/>
    <cellStyle name="40% - Ênfase2 27 17" xfId="6571" xr:uid="{00000000-0005-0000-0000-00009B160000}"/>
    <cellStyle name="40% - Ênfase2 27 18" xfId="6572" xr:uid="{00000000-0005-0000-0000-00009C160000}"/>
    <cellStyle name="40% - Ênfase2 27 19" xfId="6573" xr:uid="{00000000-0005-0000-0000-00009D160000}"/>
    <cellStyle name="40% - Ênfase2 27 2" xfId="6574" xr:uid="{00000000-0005-0000-0000-00009E160000}"/>
    <cellStyle name="40% - Ênfase2 27 20" xfId="6575" xr:uid="{00000000-0005-0000-0000-00009F160000}"/>
    <cellStyle name="40% - Ênfase2 27 3" xfId="6576" xr:uid="{00000000-0005-0000-0000-0000A0160000}"/>
    <cellStyle name="40% - Ênfase2 27 4" xfId="6577" xr:uid="{00000000-0005-0000-0000-0000A1160000}"/>
    <cellStyle name="40% - Ênfase2 27 5" xfId="6578" xr:uid="{00000000-0005-0000-0000-0000A2160000}"/>
    <cellStyle name="40% - Ênfase2 27 6" xfId="6579" xr:uid="{00000000-0005-0000-0000-0000A3160000}"/>
    <cellStyle name="40% - Ênfase2 27 7" xfId="6580" xr:uid="{00000000-0005-0000-0000-0000A4160000}"/>
    <cellStyle name="40% - Ênfase2 27 8" xfId="6581" xr:uid="{00000000-0005-0000-0000-0000A5160000}"/>
    <cellStyle name="40% - Ênfase2 27 9" xfId="6582" xr:uid="{00000000-0005-0000-0000-0000A6160000}"/>
    <cellStyle name="40% - Ênfase2 28" xfId="497" xr:uid="{00000000-0005-0000-0000-0000A7160000}"/>
    <cellStyle name="40% - Ênfase2 28 10" xfId="6583" xr:uid="{00000000-0005-0000-0000-0000A8160000}"/>
    <cellStyle name="40% - Ênfase2 28 11" xfId="6584" xr:uid="{00000000-0005-0000-0000-0000A9160000}"/>
    <cellStyle name="40% - Ênfase2 28 12" xfId="6585" xr:uid="{00000000-0005-0000-0000-0000AA160000}"/>
    <cellStyle name="40% - Ênfase2 28 13" xfId="6586" xr:uid="{00000000-0005-0000-0000-0000AB160000}"/>
    <cellStyle name="40% - Ênfase2 28 14" xfId="6587" xr:uid="{00000000-0005-0000-0000-0000AC160000}"/>
    <cellStyle name="40% - Ênfase2 28 15" xfId="6588" xr:uid="{00000000-0005-0000-0000-0000AD160000}"/>
    <cellStyle name="40% - Ênfase2 28 16" xfId="6589" xr:uid="{00000000-0005-0000-0000-0000AE160000}"/>
    <cellStyle name="40% - Ênfase2 28 17" xfId="6590" xr:uid="{00000000-0005-0000-0000-0000AF160000}"/>
    <cellStyle name="40% - Ênfase2 28 18" xfId="6591" xr:uid="{00000000-0005-0000-0000-0000B0160000}"/>
    <cellStyle name="40% - Ênfase2 28 19" xfId="6592" xr:uid="{00000000-0005-0000-0000-0000B1160000}"/>
    <cellStyle name="40% - Ênfase2 28 2" xfId="6593" xr:uid="{00000000-0005-0000-0000-0000B2160000}"/>
    <cellStyle name="40% - Ênfase2 28 20" xfId="6594" xr:uid="{00000000-0005-0000-0000-0000B3160000}"/>
    <cellStyle name="40% - Ênfase2 28 3" xfId="6595" xr:uid="{00000000-0005-0000-0000-0000B4160000}"/>
    <cellStyle name="40% - Ênfase2 28 4" xfId="6596" xr:uid="{00000000-0005-0000-0000-0000B5160000}"/>
    <cellStyle name="40% - Ênfase2 28 5" xfId="6597" xr:uid="{00000000-0005-0000-0000-0000B6160000}"/>
    <cellStyle name="40% - Ênfase2 28 6" xfId="6598" xr:uid="{00000000-0005-0000-0000-0000B7160000}"/>
    <cellStyle name="40% - Ênfase2 28 7" xfId="6599" xr:uid="{00000000-0005-0000-0000-0000B8160000}"/>
    <cellStyle name="40% - Ênfase2 28 8" xfId="6600" xr:uid="{00000000-0005-0000-0000-0000B9160000}"/>
    <cellStyle name="40% - Ênfase2 28 9" xfId="6601" xr:uid="{00000000-0005-0000-0000-0000BA160000}"/>
    <cellStyle name="40% - Ênfase2 29" xfId="515" xr:uid="{00000000-0005-0000-0000-0000BB160000}"/>
    <cellStyle name="40% - Ênfase2 29 10" xfId="6602" xr:uid="{00000000-0005-0000-0000-0000BC160000}"/>
    <cellStyle name="40% - Ênfase2 29 11" xfId="6603" xr:uid="{00000000-0005-0000-0000-0000BD160000}"/>
    <cellStyle name="40% - Ênfase2 29 12" xfId="6604" xr:uid="{00000000-0005-0000-0000-0000BE160000}"/>
    <cellStyle name="40% - Ênfase2 29 13" xfId="6605" xr:uid="{00000000-0005-0000-0000-0000BF160000}"/>
    <cellStyle name="40% - Ênfase2 29 14" xfId="6606" xr:uid="{00000000-0005-0000-0000-0000C0160000}"/>
    <cellStyle name="40% - Ênfase2 29 15" xfId="6607" xr:uid="{00000000-0005-0000-0000-0000C1160000}"/>
    <cellStyle name="40% - Ênfase2 29 16" xfId="6608" xr:uid="{00000000-0005-0000-0000-0000C2160000}"/>
    <cellStyle name="40% - Ênfase2 29 17" xfId="6609" xr:uid="{00000000-0005-0000-0000-0000C3160000}"/>
    <cellStyle name="40% - Ênfase2 29 18" xfId="6610" xr:uid="{00000000-0005-0000-0000-0000C4160000}"/>
    <cellStyle name="40% - Ênfase2 29 19" xfId="6611" xr:uid="{00000000-0005-0000-0000-0000C5160000}"/>
    <cellStyle name="40% - Ênfase2 29 2" xfId="6612" xr:uid="{00000000-0005-0000-0000-0000C6160000}"/>
    <cellStyle name="40% - Ênfase2 29 20" xfId="6613" xr:uid="{00000000-0005-0000-0000-0000C7160000}"/>
    <cellStyle name="40% - Ênfase2 29 3" xfId="6614" xr:uid="{00000000-0005-0000-0000-0000C8160000}"/>
    <cellStyle name="40% - Ênfase2 29 4" xfId="6615" xr:uid="{00000000-0005-0000-0000-0000C9160000}"/>
    <cellStyle name="40% - Ênfase2 29 5" xfId="6616" xr:uid="{00000000-0005-0000-0000-0000CA160000}"/>
    <cellStyle name="40% - Ênfase2 29 6" xfId="6617" xr:uid="{00000000-0005-0000-0000-0000CB160000}"/>
    <cellStyle name="40% - Ênfase2 29 7" xfId="6618" xr:uid="{00000000-0005-0000-0000-0000CC160000}"/>
    <cellStyle name="40% - Ênfase2 29 8" xfId="6619" xr:uid="{00000000-0005-0000-0000-0000CD160000}"/>
    <cellStyle name="40% - Ênfase2 29 9" xfId="6620" xr:uid="{00000000-0005-0000-0000-0000CE160000}"/>
    <cellStyle name="40% - Ênfase2 3" xfId="62" xr:uid="{00000000-0005-0000-0000-0000CF160000}"/>
    <cellStyle name="40% - Ênfase2 3 10" xfId="6621" xr:uid="{00000000-0005-0000-0000-0000D0160000}"/>
    <cellStyle name="40% - Ênfase2 3 11" xfId="6622" xr:uid="{00000000-0005-0000-0000-0000D1160000}"/>
    <cellStyle name="40% - Ênfase2 3 12" xfId="6623" xr:uid="{00000000-0005-0000-0000-0000D2160000}"/>
    <cellStyle name="40% - Ênfase2 3 13" xfId="6624" xr:uid="{00000000-0005-0000-0000-0000D3160000}"/>
    <cellStyle name="40% - Ênfase2 3 14" xfId="6625" xr:uid="{00000000-0005-0000-0000-0000D4160000}"/>
    <cellStyle name="40% - Ênfase2 3 15" xfId="6626" xr:uid="{00000000-0005-0000-0000-0000D5160000}"/>
    <cellStyle name="40% - Ênfase2 3 16" xfId="6627" xr:uid="{00000000-0005-0000-0000-0000D6160000}"/>
    <cellStyle name="40% - Ênfase2 3 17" xfId="6628" xr:uid="{00000000-0005-0000-0000-0000D7160000}"/>
    <cellStyle name="40% - Ênfase2 3 18" xfId="6629" xr:uid="{00000000-0005-0000-0000-0000D8160000}"/>
    <cellStyle name="40% - Ênfase2 3 19" xfId="6630" xr:uid="{00000000-0005-0000-0000-0000D9160000}"/>
    <cellStyle name="40% - Ênfase2 3 2" xfId="6631" xr:uid="{00000000-0005-0000-0000-0000DA160000}"/>
    <cellStyle name="40% - Ênfase2 3 20" xfId="6632" xr:uid="{00000000-0005-0000-0000-0000DB160000}"/>
    <cellStyle name="40% - Ênfase2 3 3" xfId="6633" xr:uid="{00000000-0005-0000-0000-0000DC160000}"/>
    <cellStyle name="40% - Ênfase2 3 4" xfId="6634" xr:uid="{00000000-0005-0000-0000-0000DD160000}"/>
    <cellStyle name="40% - Ênfase2 3 5" xfId="6635" xr:uid="{00000000-0005-0000-0000-0000DE160000}"/>
    <cellStyle name="40% - Ênfase2 3 6" xfId="6636" xr:uid="{00000000-0005-0000-0000-0000DF160000}"/>
    <cellStyle name="40% - Ênfase2 3 7" xfId="6637" xr:uid="{00000000-0005-0000-0000-0000E0160000}"/>
    <cellStyle name="40% - Ênfase2 3 8" xfId="6638" xr:uid="{00000000-0005-0000-0000-0000E1160000}"/>
    <cellStyle name="40% - Ênfase2 3 9" xfId="6639" xr:uid="{00000000-0005-0000-0000-0000E2160000}"/>
    <cellStyle name="40% - Ênfase2 30" xfId="533" xr:uid="{00000000-0005-0000-0000-0000E3160000}"/>
    <cellStyle name="40% - Ênfase2 30 10" xfId="6640" xr:uid="{00000000-0005-0000-0000-0000E4160000}"/>
    <cellStyle name="40% - Ênfase2 30 11" xfId="6641" xr:uid="{00000000-0005-0000-0000-0000E5160000}"/>
    <cellStyle name="40% - Ênfase2 30 12" xfId="6642" xr:uid="{00000000-0005-0000-0000-0000E6160000}"/>
    <cellStyle name="40% - Ênfase2 30 13" xfId="6643" xr:uid="{00000000-0005-0000-0000-0000E7160000}"/>
    <cellStyle name="40% - Ênfase2 30 14" xfId="6644" xr:uid="{00000000-0005-0000-0000-0000E8160000}"/>
    <cellStyle name="40% - Ênfase2 30 15" xfId="6645" xr:uid="{00000000-0005-0000-0000-0000E9160000}"/>
    <cellStyle name="40% - Ênfase2 30 16" xfId="6646" xr:uid="{00000000-0005-0000-0000-0000EA160000}"/>
    <cellStyle name="40% - Ênfase2 30 17" xfId="6647" xr:uid="{00000000-0005-0000-0000-0000EB160000}"/>
    <cellStyle name="40% - Ênfase2 30 18" xfId="6648" xr:uid="{00000000-0005-0000-0000-0000EC160000}"/>
    <cellStyle name="40% - Ênfase2 30 19" xfId="6649" xr:uid="{00000000-0005-0000-0000-0000ED160000}"/>
    <cellStyle name="40% - Ênfase2 30 2" xfId="6650" xr:uid="{00000000-0005-0000-0000-0000EE160000}"/>
    <cellStyle name="40% - Ênfase2 30 20" xfId="6651" xr:uid="{00000000-0005-0000-0000-0000EF160000}"/>
    <cellStyle name="40% - Ênfase2 30 3" xfId="6652" xr:uid="{00000000-0005-0000-0000-0000F0160000}"/>
    <cellStyle name="40% - Ênfase2 30 4" xfId="6653" xr:uid="{00000000-0005-0000-0000-0000F1160000}"/>
    <cellStyle name="40% - Ênfase2 30 5" xfId="6654" xr:uid="{00000000-0005-0000-0000-0000F2160000}"/>
    <cellStyle name="40% - Ênfase2 30 6" xfId="6655" xr:uid="{00000000-0005-0000-0000-0000F3160000}"/>
    <cellStyle name="40% - Ênfase2 30 7" xfId="6656" xr:uid="{00000000-0005-0000-0000-0000F4160000}"/>
    <cellStyle name="40% - Ênfase2 30 8" xfId="6657" xr:uid="{00000000-0005-0000-0000-0000F5160000}"/>
    <cellStyle name="40% - Ênfase2 30 9" xfId="6658" xr:uid="{00000000-0005-0000-0000-0000F6160000}"/>
    <cellStyle name="40% - Ênfase2 31" xfId="551" xr:uid="{00000000-0005-0000-0000-0000F7160000}"/>
    <cellStyle name="40% - Ênfase2 31 10" xfId="6659" xr:uid="{00000000-0005-0000-0000-0000F8160000}"/>
    <cellStyle name="40% - Ênfase2 31 11" xfId="6660" xr:uid="{00000000-0005-0000-0000-0000F9160000}"/>
    <cellStyle name="40% - Ênfase2 31 12" xfId="6661" xr:uid="{00000000-0005-0000-0000-0000FA160000}"/>
    <cellStyle name="40% - Ênfase2 31 13" xfId="6662" xr:uid="{00000000-0005-0000-0000-0000FB160000}"/>
    <cellStyle name="40% - Ênfase2 31 14" xfId="6663" xr:uid="{00000000-0005-0000-0000-0000FC160000}"/>
    <cellStyle name="40% - Ênfase2 31 15" xfId="6664" xr:uid="{00000000-0005-0000-0000-0000FD160000}"/>
    <cellStyle name="40% - Ênfase2 31 16" xfId="6665" xr:uid="{00000000-0005-0000-0000-0000FE160000}"/>
    <cellStyle name="40% - Ênfase2 31 17" xfId="6666" xr:uid="{00000000-0005-0000-0000-0000FF160000}"/>
    <cellStyle name="40% - Ênfase2 31 18" xfId="6667" xr:uid="{00000000-0005-0000-0000-000000170000}"/>
    <cellStyle name="40% - Ênfase2 31 19" xfId="6668" xr:uid="{00000000-0005-0000-0000-000001170000}"/>
    <cellStyle name="40% - Ênfase2 31 2" xfId="6669" xr:uid="{00000000-0005-0000-0000-000002170000}"/>
    <cellStyle name="40% - Ênfase2 31 20" xfId="6670" xr:uid="{00000000-0005-0000-0000-000003170000}"/>
    <cellStyle name="40% - Ênfase2 31 3" xfId="6671" xr:uid="{00000000-0005-0000-0000-000004170000}"/>
    <cellStyle name="40% - Ênfase2 31 4" xfId="6672" xr:uid="{00000000-0005-0000-0000-000005170000}"/>
    <cellStyle name="40% - Ênfase2 31 5" xfId="6673" xr:uid="{00000000-0005-0000-0000-000006170000}"/>
    <cellStyle name="40% - Ênfase2 31 6" xfId="6674" xr:uid="{00000000-0005-0000-0000-000007170000}"/>
    <cellStyle name="40% - Ênfase2 31 7" xfId="6675" xr:uid="{00000000-0005-0000-0000-000008170000}"/>
    <cellStyle name="40% - Ênfase2 31 8" xfId="6676" xr:uid="{00000000-0005-0000-0000-000009170000}"/>
    <cellStyle name="40% - Ênfase2 31 9" xfId="6677" xr:uid="{00000000-0005-0000-0000-00000A170000}"/>
    <cellStyle name="40% - Ênfase2 32" xfId="569" xr:uid="{00000000-0005-0000-0000-00000B170000}"/>
    <cellStyle name="40% - Ênfase2 32 10" xfId="6678" xr:uid="{00000000-0005-0000-0000-00000C170000}"/>
    <cellStyle name="40% - Ênfase2 32 11" xfId="6679" xr:uid="{00000000-0005-0000-0000-00000D170000}"/>
    <cellStyle name="40% - Ênfase2 32 12" xfId="6680" xr:uid="{00000000-0005-0000-0000-00000E170000}"/>
    <cellStyle name="40% - Ênfase2 32 13" xfId="6681" xr:uid="{00000000-0005-0000-0000-00000F170000}"/>
    <cellStyle name="40% - Ênfase2 32 14" xfId="6682" xr:uid="{00000000-0005-0000-0000-000010170000}"/>
    <cellStyle name="40% - Ênfase2 32 15" xfId="6683" xr:uid="{00000000-0005-0000-0000-000011170000}"/>
    <cellStyle name="40% - Ênfase2 32 16" xfId="6684" xr:uid="{00000000-0005-0000-0000-000012170000}"/>
    <cellStyle name="40% - Ênfase2 32 17" xfId="6685" xr:uid="{00000000-0005-0000-0000-000013170000}"/>
    <cellStyle name="40% - Ênfase2 32 18" xfId="6686" xr:uid="{00000000-0005-0000-0000-000014170000}"/>
    <cellStyle name="40% - Ênfase2 32 19" xfId="6687" xr:uid="{00000000-0005-0000-0000-000015170000}"/>
    <cellStyle name="40% - Ênfase2 32 2" xfId="6688" xr:uid="{00000000-0005-0000-0000-000016170000}"/>
    <cellStyle name="40% - Ênfase2 32 20" xfId="6689" xr:uid="{00000000-0005-0000-0000-000017170000}"/>
    <cellStyle name="40% - Ênfase2 32 3" xfId="6690" xr:uid="{00000000-0005-0000-0000-000018170000}"/>
    <cellStyle name="40% - Ênfase2 32 4" xfId="6691" xr:uid="{00000000-0005-0000-0000-000019170000}"/>
    <cellStyle name="40% - Ênfase2 32 5" xfId="6692" xr:uid="{00000000-0005-0000-0000-00001A170000}"/>
    <cellStyle name="40% - Ênfase2 32 6" xfId="6693" xr:uid="{00000000-0005-0000-0000-00001B170000}"/>
    <cellStyle name="40% - Ênfase2 32 7" xfId="6694" xr:uid="{00000000-0005-0000-0000-00001C170000}"/>
    <cellStyle name="40% - Ênfase2 32 8" xfId="6695" xr:uid="{00000000-0005-0000-0000-00001D170000}"/>
    <cellStyle name="40% - Ênfase2 32 9" xfId="6696" xr:uid="{00000000-0005-0000-0000-00001E170000}"/>
    <cellStyle name="40% - Ênfase2 33" xfId="587" xr:uid="{00000000-0005-0000-0000-00001F170000}"/>
    <cellStyle name="40% - Ênfase2 33 10" xfId="6697" xr:uid="{00000000-0005-0000-0000-000020170000}"/>
    <cellStyle name="40% - Ênfase2 33 11" xfId="6698" xr:uid="{00000000-0005-0000-0000-000021170000}"/>
    <cellStyle name="40% - Ênfase2 33 12" xfId="6699" xr:uid="{00000000-0005-0000-0000-000022170000}"/>
    <cellStyle name="40% - Ênfase2 33 13" xfId="6700" xr:uid="{00000000-0005-0000-0000-000023170000}"/>
    <cellStyle name="40% - Ênfase2 33 14" xfId="6701" xr:uid="{00000000-0005-0000-0000-000024170000}"/>
    <cellStyle name="40% - Ênfase2 33 15" xfId="6702" xr:uid="{00000000-0005-0000-0000-000025170000}"/>
    <cellStyle name="40% - Ênfase2 33 16" xfId="6703" xr:uid="{00000000-0005-0000-0000-000026170000}"/>
    <cellStyle name="40% - Ênfase2 33 17" xfId="6704" xr:uid="{00000000-0005-0000-0000-000027170000}"/>
    <cellStyle name="40% - Ênfase2 33 18" xfId="6705" xr:uid="{00000000-0005-0000-0000-000028170000}"/>
    <cellStyle name="40% - Ênfase2 33 19" xfId="6706" xr:uid="{00000000-0005-0000-0000-000029170000}"/>
    <cellStyle name="40% - Ênfase2 33 2" xfId="6707" xr:uid="{00000000-0005-0000-0000-00002A170000}"/>
    <cellStyle name="40% - Ênfase2 33 20" xfId="6708" xr:uid="{00000000-0005-0000-0000-00002B170000}"/>
    <cellStyle name="40% - Ênfase2 33 3" xfId="6709" xr:uid="{00000000-0005-0000-0000-00002C170000}"/>
    <cellStyle name="40% - Ênfase2 33 4" xfId="6710" xr:uid="{00000000-0005-0000-0000-00002D170000}"/>
    <cellStyle name="40% - Ênfase2 33 5" xfId="6711" xr:uid="{00000000-0005-0000-0000-00002E170000}"/>
    <cellStyle name="40% - Ênfase2 33 6" xfId="6712" xr:uid="{00000000-0005-0000-0000-00002F170000}"/>
    <cellStyle name="40% - Ênfase2 33 7" xfId="6713" xr:uid="{00000000-0005-0000-0000-000030170000}"/>
    <cellStyle name="40% - Ênfase2 33 8" xfId="6714" xr:uid="{00000000-0005-0000-0000-000031170000}"/>
    <cellStyle name="40% - Ênfase2 33 9" xfId="6715" xr:uid="{00000000-0005-0000-0000-000032170000}"/>
    <cellStyle name="40% - Ênfase2 34" xfId="605" xr:uid="{00000000-0005-0000-0000-000033170000}"/>
    <cellStyle name="40% - Ênfase2 34 10" xfId="6716" xr:uid="{00000000-0005-0000-0000-000034170000}"/>
    <cellStyle name="40% - Ênfase2 34 11" xfId="6717" xr:uid="{00000000-0005-0000-0000-000035170000}"/>
    <cellStyle name="40% - Ênfase2 34 12" xfId="6718" xr:uid="{00000000-0005-0000-0000-000036170000}"/>
    <cellStyle name="40% - Ênfase2 34 13" xfId="6719" xr:uid="{00000000-0005-0000-0000-000037170000}"/>
    <cellStyle name="40% - Ênfase2 34 14" xfId="6720" xr:uid="{00000000-0005-0000-0000-000038170000}"/>
    <cellStyle name="40% - Ênfase2 34 15" xfId="6721" xr:uid="{00000000-0005-0000-0000-000039170000}"/>
    <cellStyle name="40% - Ênfase2 34 16" xfId="6722" xr:uid="{00000000-0005-0000-0000-00003A170000}"/>
    <cellStyle name="40% - Ênfase2 34 17" xfId="6723" xr:uid="{00000000-0005-0000-0000-00003B170000}"/>
    <cellStyle name="40% - Ênfase2 34 18" xfId="6724" xr:uid="{00000000-0005-0000-0000-00003C170000}"/>
    <cellStyle name="40% - Ênfase2 34 19" xfId="6725" xr:uid="{00000000-0005-0000-0000-00003D170000}"/>
    <cellStyle name="40% - Ênfase2 34 2" xfId="6726" xr:uid="{00000000-0005-0000-0000-00003E170000}"/>
    <cellStyle name="40% - Ênfase2 34 20" xfId="6727" xr:uid="{00000000-0005-0000-0000-00003F170000}"/>
    <cellStyle name="40% - Ênfase2 34 3" xfId="6728" xr:uid="{00000000-0005-0000-0000-000040170000}"/>
    <cellStyle name="40% - Ênfase2 34 4" xfId="6729" xr:uid="{00000000-0005-0000-0000-000041170000}"/>
    <cellStyle name="40% - Ênfase2 34 5" xfId="6730" xr:uid="{00000000-0005-0000-0000-000042170000}"/>
    <cellStyle name="40% - Ênfase2 34 6" xfId="6731" xr:uid="{00000000-0005-0000-0000-000043170000}"/>
    <cellStyle name="40% - Ênfase2 34 7" xfId="6732" xr:uid="{00000000-0005-0000-0000-000044170000}"/>
    <cellStyle name="40% - Ênfase2 34 8" xfId="6733" xr:uid="{00000000-0005-0000-0000-000045170000}"/>
    <cellStyle name="40% - Ênfase2 34 9" xfId="6734" xr:uid="{00000000-0005-0000-0000-000046170000}"/>
    <cellStyle name="40% - Ênfase2 35" xfId="623" xr:uid="{00000000-0005-0000-0000-000047170000}"/>
    <cellStyle name="40% - Ênfase2 35 10" xfId="6735" xr:uid="{00000000-0005-0000-0000-000048170000}"/>
    <cellStyle name="40% - Ênfase2 35 11" xfId="6736" xr:uid="{00000000-0005-0000-0000-000049170000}"/>
    <cellStyle name="40% - Ênfase2 35 12" xfId="6737" xr:uid="{00000000-0005-0000-0000-00004A170000}"/>
    <cellStyle name="40% - Ênfase2 35 13" xfId="6738" xr:uid="{00000000-0005-0000-0000-00004B170000}"/>
    <cellStyle name="40% - Ênfase2 35 14" xfId="6739" xr:uid="{00000000-0005-0000-0000-00004C170000}"/>
    <cellStyle name="40% - Ênfase2 35 15" xfId="6740" xr:uid="{00000000-0005-0000-0000-00004D170000}"/>
    <cellStyle name="40% - Ênfase2 35 16" xfId="6741" xr:uid="{00000000-0005-0000-0000-00004E170000}"/>
    <cellStyle name="40% - Ênfase2 35 17" xfId="6742" xr:uid="{00000000-0005-0000-0000-00004F170000}"/>
    <cellStyle name="40% - Ênfase2 35 18" xfId="6743" xr:uid="{00000000-0005-0000-0000-000050170000}"/>
    <cellStyle name="40% - Ênfase2 35 19" xfId="6744" xr:uid="{00000000-0005-0000-0000-000051170000}"/>
    <cellStyle name="40% - Ênfase2 35 2" xfId="6745" xr:uid="{00000000-0005-0000-0000-000052170000}"/>
    <cellStyle name="40% - Ênfase2 35 20" xfId="6746" xr:uid="{00000000-0005-0000-0000-000053170000}"/>
    <cellStyle name="40% - Ênfase2 35 3" xfId="6747" xr:uid="{00000000-0005-0000-0000-000054170000}"/>
    <cellStyle name="40% - Ênfase2 35 4" xfId="6748" xr:uid="{00000000-0005-0000-0000-000055170000}"/>
    <cellStyle name="40% - Ênfase2 35 5" xfId="6749" xr:uid="{00000000-0005-0000-0000-000056170000}"/>
    <cellStyle name="40% - Ênfase2 35 6" xfId="6750" xr:uid="{00000000-0005-0000-0000-000057170000}"/>
    <cellStyle name="40% - Ênfase2 35 7" xfId="6751" xr:uid="{00000000-0005-0000-0000-000058170000}"/>
    <cellStyle name="40% - Ênfase2 35 8" xfId="6752" xr:uid="{00000000-0005-0000-0000-000059170000}"/>
    <cellStyle name="40% - Ênfase2 35 9" xfId="6753" xr:uid="{00000000-0005-0000-0000-00005A170000}"/>
    <cellStyle name="40% - Ênfase2 36" xfId="641" xr:uid="{00000000-0005-0000-0000-00005B170000}"/>
    <cellStyle name="40% - Ênfase2 36 10" xfId="6754" xr:uid="{00000000-0005-0000-0000-00005C170000}"/>
    <cellStyle name="40% - Ênfase2 36 11" xfId="6755" xr:uid="{00000000-0005-0000-0000-00005D170000}"/>
    <cellStyle name="40% - Ênfase2 36 12" xfId="6756" xr:uid="{00000000-0005-0000-0000-00005E170000}"/>
    <cellStyle name="40% - Ênfase2 36 13" xfId="6757" xr:uid="{00000000-0005-0000-0000-00005F170000}"/>
    <cellStyle name="40% - Ênfase2 36 14" xfId="6758" xr:uid="{00000000-0005-0000-0000-000060170000}"/>
    <cellStyle name="40% - Ênfase2 36 15" xfId="6759" xr:uid="{00000000-0005-0000-0000-000061170000}"/>
    <cellStyle name="40% - Ênfase2 36 16" xfId="6760" xr:uid="{00000000-0005-0000-0000-000062170000}"/>
    <cellStyle name="40% - Ênfase2 36 17" xfId="6761" xr:uid="{00000000-0005-0000-0000-000063170000}"/>
    <cellStyle name="40% - Ênfase2 36 18" xfId="6762" xr:uid="{00000000-0005-0000-0000-000064170000}"/>
    <cellStyle name="40% - Ênfase2 36 19" xfId="6763" xr:uid="{00000000-0005-0000-0000-000065170000}"/>
    <cellStyle name="40% - Ênfase2 36 2" xfId="6764" xr:uid="{00000000-0005-0000-0000-000066170000}"/>
    <cellStyle name="40% - Ênfase2 36 20" xfId="6765" xr:uid="{00000000-0005-0000-0000-000067170000}"/>
    <cellStyle name="40% - Ênfase2 36 3" xfId="6766" xr:uid="{00000000-0005-0000-0000-000068170000}"/>
    <cellStyle name="40% - Ênfase2 36 4" xfId="6767" xr:uid="{00000000-0005-0000-0000-000069170000}"/>
    <cellStyle name="40% - Ênfase2 36 5" xfId="6768" xr:uid="{00000000-0005-0000-0000-00006A170000}"/>
    <cellStyle name="40% - Ênfase2 36 6" xfId="6769" xr:uid="{00000000-0005-0000-0000-00006B170000}"/>
    <cellStyle name="40% - Ênfase2 36 7" xfId="6770" xr:uid="{00000000-0005-0000-0000-00006C170000}"/>
    <cellStyle name="40% - Ênfase2 36 8" xfId="6771" xr:uid="{00000000-0005-0000-0000-00006D170000}"/>
    <cellStyle name="40% - Ênfase2 36 9" xfId="6772" xr:uid="{00000000-0005-0000-0000-00006E170000}"/>
    <cellStyle name="40% - Ênfase2 37" xfId="659" xr:uid="{00000000-0005-0000-0000-00006F170000}"/>
    <cellStyle name="40% - Ênfase2 37 10" xfId="6773" xr:uid="{00000000-0005-0000-0000-000070170000}"/>
    <cellStyle name="40% - Ênfase2 37 11" xfId="6774" xr:uid="{00000000-0005-0000-0000-000071170000}"/>
    <cellStyle name="40% - Ênfase2 37 12" xfId="6775" xr:uid="{00000000-0005-0000-0000-000072170000}"/>
    <cellStyle name="40% - Ênfase2 37 13" xfId="6776" xr:uid="{00000000-0005-0000-0000-000073170000}"/>
    <cellStyle name="40% - Ênfase2 37 14" xfId="6777" xr:uid="{00000000-0005-0000-0000-000074170000}"/>
    <cellStyle name="40% - Ênfase2 37 15" xfId="6778" xr:uid="{00000000-0005-0000-0000-000075170000}"/>
    <cellStyle name="40% - Ênfase2 37 16" xfId="6779" xr:uid="{00000000-0005-0000-0000-000076170000}"/>
    <cellStyle name="40% - Ênfase2 37 17" xfId="6780" xr:uid="{00000000-0005-0000-0000-000077170000}"/>
    <cellStyle name="40% - Ênfase2 37 18" xfId="6781" xr:uid="{00000000-0005-0000-0000-000078170000}"/>
    <cellStyle name="40% - Ênfase2 37 19" xfId="6782" xr:uid="{00000000-0005-0000-0000-000079170000}"/>
    <cellStyle name="40% - Ênfase2 37 2" xfId="6783" xr:uid="{00000000-0005-0000-0000-00007A170000}"/>
    <cellStyle name="40% - Ênfase2 37 20" xfId="6784" xr:uid="{00000000-0005-0000-0000-00007B170000}"/>
    <cellStyle name="40% - Ênfase2 37 3" xfId="6785" xr:uid="{00000000-0005-0000-0000-00007C170000}"/>
    <cellStyle name="40% - Ênfase2 37 4" xfId="6786" xr:uid="{00000000-0005-0000-0000-00007D170000}"/>
    <cellStyle name="40% - Ênfase2 37 5" xfId="6787" xr:uid="{00000000-0005-0000-0000-00007E170000}"/>
    <cellStyle name="40% - Ênfase2 37 6" xfId="6788" xr:uid="{00000000-0005-0000-0000-00007F170000}"/>
    <cellStyle name="40% - Ênfase2 37 7" xfId="6789" xr:uid="{00000000-0005-0000-0000-000080170000}"/>
    <cellStyle name="40% - Ênfase2 37 8" xfId="6790" xr:uid="{00000000-0005-0000-0000-000081170000}"/>
    <cellStyle name="40% - Ênfase2 37 9" xfId="6791" xr:uid="{00000000-0005-0000-0000-000082170000}"/>
    <cellStyle name="40% - Ênfase2 38" xfId="677" xr:uid="{00000000-0005-0000-0000-000083170000}"/>
    <cellStyle name="40% - Ênfase2 39" xfId="695" xr:uid="{00000000-0005-0000-0000-000084170000}"/>
    <cellStyle name="40% - Ênfase2 4" xfId="57" xr:uid="{00000000-0005-0000-0000-000085170000}"/>
    <cellStyle name="40% - Ênfase2 4 10" xfId="6792" xr:uid="{00000000-0005-0000-0000-000086170000}"/>
    <cellStyle name="40% - Ênfase2 4 11" xfId="6793" xr:uid="{00000000-0005-0000-0000-000087170000}"/>
    <cellStyle name="40% - Ênfase2 4 12" xfId="6794" xr:uid="{00000000-0005-0000-0000-000088170000}"/>
    <cellStyle name="40% - Ênfase2 4 13" xfId="6795" xr:uid="{00000000-0005-0000-0000-000089170000}"/>
    <cellStyle name="40% - Ênfase2 4 14" xfId="6796" xr:uid="{00000000-0005-0000-0000-00008A170000}"/>
    <cellStyle name="40% - Ênfase2 4 15" xfId="6797" xr:uid="{00000000-0005-0000-0000-00008B170000}"/>
    <cellStyle name="40% - Ênfase2 4 16" xfId="6798" xr:uid="{00000000-0005-0000-0000-00008C170000}"/>
    <cellStyle name="40% - Ênfase2 4 17" xfId="6799" xr:uid="{00000000-0005-0000-0000-00008D170000}"/>
    <cellStyle name="40% - Ênfase2 4 18" xfId="6800" xr:uid="{00000000-0005-0000-0000-00008E170000}"/>
    <cellStyle name="40% - Ênfase2 4 19" xfId="6801" xr:uid="{00000000-0005-0000-0000-00008F170000}"/>
    <cellStyle name="40% - Ênfase2 4 2" xfId="6802" xr:uid="{00000000-0005-0000-0000-000090170000}"/>
    <cellStyle name="40% - Ênfase2 4 20" xfId="6803" xr:uid="{00000000-0005-0000-0000-000091170000}"/>
    <cellStyle name="40% - Ênfase2 4 3" xfId="6804" xr:uid="{00000000-0005-0000-0000-000092170000}"/>
    <cellStyle name="40% - Ênfase2 4 4" xfId="6805" xr:uid="{00000000-0005-0000-0000-000093170000}"/>
    <cellStyle name="40% - Ênfase2 4 5" xfId="6806" xr:uid="{00000000-0005-0000-0000-000094170000}"/>
    <cellStyle name="40% - Ênfase2 4 6" xfId="6807" xr:uid="{00000000-0005-0000-0000-000095170000}"/>
    <cellStyle name="40% - Ênfase2 4 7" xfId="6808" xr:uid="{00000000-0005-0000-0000-000096170000}"/>
    <cellStyle name="40% - Ênfase2 4 8" xfId="6809" xr:uid="{00000000-0005-0000-0000-000097170000}"/>
    <cellStyle name="40% - Ênfase2 4 9" xfId="6810" xr:uid="{00000000-0005-0000-0000-000098170000}"/>
    <cellStyle name="40% - Ênfase2 40" xfId="736" xr:uid="{00000000-0005-0000-0000-000099170000}"/>
    <cellStyle name="40% - Ênfase2 41" xfId="737" xr:uid="{00000000-0005-0000-0000-00009A170000}"/>
    <cellStyle name="40% - Ênfase2 42" xfId="746" xr:uid="{00000000-0005-0000-0000-00009B170000}"/>
    <cellStyle name="40% - Ênfase2 43" xfId="767" xr:uid="{00000000-0005-0000-0000-00009C170000}"/>
    <cellStyle name="40% - Ênfase2 44" xfId="785" xr:uid="{00000000-0005-0000-0000-00009D170000}"/>
    <cellStyle name="40% - Ênfase2 45" xfId="803" xr:uid="{00000000-0005-0000-0000-00009E170000}"/>
    <cellStyle name="40% - Ênfase2 46" xfId="821" xr:uid="{00000000-0005-0000-0000-00009F170000}"/>
    <cellStyle name="40% - Ênfase2 47" xfId="839" xr:uid="{00000000-0005-0000-0000-0000A0170000}"/>
    <cellStyle name="40% - Ênfase2 48" xfId="857" xr:uid="{00000000-0005-0000-0000-0000A1170000}"/>
    <cellStyle name="40% - Ênfase2 49" xfId="875" xr:uid="{00000000-0005-0000-0000-0000A2170000}"/>
    <cellStyle name="40% - Ênfase2 5" xfId="96" xr:uid="{00000000-0005-0000-0000-0000A3170000}"/>
    <cellStyle name="40% - Ênfase2 5 10" xfId="6811" xr:uid="{00000000-0005-0000-0000-0000A4170000}"/>
    <cellStyle name="40% - Ênfase2 5 11" xfId="6812" xr:uid="{00000000-0005-0000-0000-0000A5170000}"/>
    <cellStyle name="40% - Ênfase2 5 12" xfId="6813" xr:uid="{00000000-0005-0000-0000-0000A6170000}"/>
    <cellStyle name="40% - Ênfase2 5 13" xfId="6814" xr:uid="{00000000-0005-0000-0000-0000A7170000}"/>
    <cellStyle name="40% - Ênfase2 5 14" xfId="6815" xr:uid="{00000000-0005-0000-0000-0000A8170000}"/>
    <cellStyle name="40% - Ênfase2 5 15" xfId="6816" xr:uid="{00000000-0005-0000-0000-0000A9170000}"/>
    <cellStyle name="40% - Ênfase2 5 16" xfId="6817" xr:uid="{00000000-0005-0000-0000-0000AA170000}"/>
    <cellStyle name="40% - Ênfase2 5 17" xfId="6818" xr:uid="{00000000-0005-0000-0000-0000AB170000}"/>
    <cellStyle name="40% - Ênfase2 5 18" xfId="6819" xr:uid="{00000000-0005-0000-0000-0000AC170000}"/>
    <cellStyle name="40% - Ênfase2 5 19" xfId="6820" xr:uid="{00000000-0005-0000-0000-0000AD170000}"/>
    <cellStyle name="40% - Ênfase2 5 2" xfId="6821" xr:uid="{00000000-0005-0000-0000-0000AE170000}"/>
    <cellStyle name="40% - Ênfase2 5 20" xfId="6822" xr:uid="{00000000-0005-0000-0000-0000AF170000}"/>
    <cellStyle name="40% - Ênfase2 5 3" xfId="6823" xr:uid="{00000000-0005-0000-0000-0000B0170000}"/>
    <cellStyle name="40% - Ênfase2 5 4" xfId="6824" xr:uid="{00000000-0005-0000-0000-0000B1170000}"/>
    <cellStyle name="40% - Ênfase2 5 5" xfId="6825" xr:uid="{00000000-0005-0000-0000-0000B2170000}"/>
    <cellStyle name="40% - Ênfase2 5 6" xfId="6826" xr:uid="{00000000-0005-0000-0000-0000B3170000}"/>
    <cellStyle name="40% - Ênfase2 5 7" xfId="6827" xr:uid="{00000000-0005-0000-0000-0000B4170000}"/>
    <cellStyle name="40% - Ênfase2 5 8" xfId="6828" xr:uid="{00000000-0005-0000-0000-0000B5170000}"/>
    <cellStyle name="40% - Ênfase2 5 9" xfId="6829" xr:uid="{00000000-0005-0000-0000-0000B6170000}"/>
    <cellStyle name="40% - Ênfase2 50" xfId="890" xr:uid="{00000000-0005-0000-0000-0000B7170000}"/>
    <cellStyle name="40% - Ênfase2 51" xfId="927" xr:uid="{00000000-0005-0000-0000-0000B8170000}"/>
    <cellStyle name="40% - Ênfase2 52" xfId="926" xr:uid="{00000000-0005-0000-0000-0000B9170000}"/>
    <cellStyle name="40% - Ênfase2 53" xfId="947" xr:uid="{00000000-0005-0000-0000-0000BA170000}"/>
    <cellStyle name="40% - Ênfase2 54" xfId="965" xr:uid="{00000000-0005-0000-0000-0000BB170000}"/>
    <cellStyle name="40% - Ênfase2 55" xfId="983" xr:uid="{00000000-0005-0000-0000-0000BC170000}"/>
    <cellStyle name="40% - Ênfase2 56" xfId="1001" xr:uid="{00000000-0005-0000-0000-0000BD170000}"/>
    <cellStyle name="40% - Ênfase2 57" xfId="1016" xr:uid="{00000000-0005-0000-0000-0000BE170000}"/>
    <cellStyle name="40% - Ênfase2 58" xfId="1052" xr:uid="{00000000-0005-0000-0000-0000BF170000}"/>
    <cellStyle name="40% - Ênfase2 59" xfId="1032" xr:uid="{00000000-0005-0000-0000-0000C0170000}"/>
    <cellStyle name="40% - Ênfase2 6" xfId="113" xr:uid="{00000000-0005-0000-0000-0000C1170000}"/>
    <cellStyle name="40% - Ênfase2 6 10" xfId="6830" xr:uid="{00000000-0005-0000-0000-0000C2170000}"/>
    <cellStyle name="40% - Ênfase2 6 11" xfId="6831" xr:uid="{00000000-0005-0000-0000-0000C3170000}"/>
    <cellStyle name="40% - Ênfase2 6 12" xfId="6832" xr:uid="{00000000-0005-0000-0000-0000C4170000}"/>
    <cellStyle name="40% - Ênfase2 6 13" xfId="6833" xr:uid="{00000000-0005-0000-0000-0000C5170000}"/>
    <cellStyle name="40% - Ênfase2 6 14" xfId="6834" xr:uid="{00000000-0005-0000-0000-0000C6170000}"/>
    <cellStyle name="40% - Ênfase2 6 15" xfId="6835" xr:uid="{00000000-0005-0000-0000-0000C7170000}"/>
    <cellStyle name="40% - Ênfase2 6 16" xfId="6836" xr:uid="{00000000-0005-0000-0000-0000C8170000}"/>
    <cellStyle name="40% - Ênfase2 6 17" xfId="6837" xr:uid="{00000000-0005-0000-0000-0000C9170000}"/>
    <cellStyle name="40% - Ênfase2 6 18" xfId="6838" xr:uid="{00000000-0005-0000-0000-0000CA170000}"/>
    <cellStyle name="40% - Ênfase2 6 19" xfId="6839" xr:uid="{00000000-0005-0000-0000-0000CB170000}"/>
    <cellStyle name="40% - Ênfase2 6 2" xfId="6840" xr:uid="{00000000-0005-0000-0000-0000CC170000}"/>
    <cellStyle name="40% - Ênfase2 6 20" xfId="6841" xr:uid="{00000000-0005-0000-0000-0000CD170000}"/>
    <cellStyle name="40% - Ênfase2 6 3" xfId="6842" xr:uid="{00000000-0005-0000-0000-0000CE170000}"/>
    <cellStyle name="40% - Ênfase2 6 4" xfId="6843" xr:uid="{00000000-0005-0000-0000-0000CF170000}"/>
    <cellStyle name="40% - Ênfase2 6 5" xfId="6844" xr:uid="{00000000-0005-0000-0000-0000D0170000}"/>
    <cellStyle name="40% - Ênfase2 6 6" xfId="6845" xr:uid="{00000000-0005-0000-0000-0000D1170000}"/>
    <cellStyle name="40% - Ênfase2 6 7" xfId="6846" xr:uid="{00000000-0005-0000-0000-0000D2170000}"/>
    <cellStyle name="40% - Ênfase2 6 8" xfId="6847" xr:uid="{00000000-0005-0000-0000-0000D3170000}"/>
    <cellStyle name="40% - Ênfase2 6 9" xfId="6848" xr:uid="{00000000-0005-0000-0000-0000D4170000}"/>
    <cellStyle name="40% - Ênfase2 60" xfId="1088" xr:uid="{00000000-0005-0000-0000-0000D5170000}"/>
    <cellStyle name="40% - Ênfase2 61" xfId="1087" xr:uid="{00000000-0005-0000-0000-0000D6170000}"/>
    <cellStyle name="40% - Ênfase2 62" xfId="1108" xr:uid="{00000000-0005-0000-0000-0000D7170000}"/>
    <cellStyle name="40% - Ênfase2 63" xfId="1126" xr:uid="{00000000-0005-0000-0000-0000D8170000}"/>
    <cellStyle name="40% - Ênfase2 64" xfId="1141" xr:uid="{00000000-0005-0000-0000-0000D9170000}"/>
    <cellStyle name="40% - Ênfase2 65" xfId="1177" xr:uid="{00000000-0005-0000-0000-0000DA170000}"/>
    <cellStyle name="40% - Ênfase2 66" xfId="1176" xr:uid="{00000000-0005-0000-0000-0000DB170000}"/>
    <cellStyle name="40% - Ênfase2 67" xfId="1197" xr:uid="{00000000-0005-0000-0000-0000DC170000}"/>
    <cellStyle name="40% - Ênfase2 68" xfId="1215" xr:uid="{00000000-0005-0000-0000-0000DD170000}"/>
    <cellStyle name="40% - Ênfase2 69" xfId="1257" xr:uid="{00000000-0005-0000-0000-0000DE170000}"/>
    <cellStyle name="40% - Ênfase2 7" xfId="130" xr:uid="{00000000-0005-0000-0000-0000DF170000}"/>
    <cellStyle name="40% - Ênfase2 7 10" xfId="6849" xr:uid="{00000000-0005-0000-0000-0000E0170000}"/>
    <cellStyle name="40% - Ênfase2 7 11" xfId="6850" xr:uid="{00000000-0005-0000-0000-0000E1170000}"/>
    <cellStyle name="40% - Ênfase2 7 12" xfId="6851" xr:uid="{00000000-0005-0000-0000-0000E2170000}"/>
    <cellStyle name="40% - Ênfase2 7 13" xfId="6852" xr:uid="{00000000-0005-0000-0000-0000E3170000}"/>
    <cellStyle name="40% - Ênfase2 7 14" xfId="6853" xr:uid="{00000000-0005-0000-0000-0000E4170000}"/>
    <cellStyle name="40% - Ênfase2 7 15" xfId="6854" xr:uid="{00000000-0005-0000-0000-0000E5170000}"/>
    <cellStyle name="40% - Ênfase2 7 16" xfId="6855" xr:uid="{00000000-0005-0000-0000-0000E6170000}"/>
    <cellStyle name="40% - Ênfase2 7 17" xfId="6856" xr:uid="{00000000-0005-0000-0000-0000E7170000}"/>
    <cellStyle name="40% - Ênfase2 7 18" xfId="6857" xr:uid="{00000000-0005-0000-0000-0000E8170000}"/>
    <cellStyle name="40% - Ênfase2 7 19" xfId="6858" xr:uid="{00000000-0005-0000-0000-0000E9170000}"/>
    <cellStyle name="40% - Ênfase2 7 2" xfId="6859" xr:uid="{00000000-0005-0000-0000-0000EA170000}"/>
    <cellStyle name="40% - Ênfase2 7 20" xfId="6860" xr:uid="{00000000-0005-0000-0000-0000EB170000}"/>
    <cellStyle name="40% - Ênfase2 7 3" xfId="6861" xr:uid="{00000000-0005-0000-0000-0000EC170000}"/>
    <cellStyle name="40% - Ênfase2 7 4" xfId="6862" xr:uid="{00000000-0005-0000-0000-0000ED170000}"/>
    <cellStyle name="40% - Ênfase2 7 5" xfId="6863" xr:uid="{00000000-0005-0000-0000-0000EE170000}"/>
    <cellStyle name="40% - Ênfase2 7 6" xfId="6864" xr:uid="{00000000-0005-0000-0000-0000EF170000}"/>
    <cellStyle name="40% - Ênfase2 7 7" xfId="6865" xr:uid="{00000000-0005-0000-0000-0000F0170000}"/>
    <cellStyle name="40% - Ênfase2 7 8" xfId="6866" xr:uid="{00000000-0005-0000-0000-0000F1170000}"/>
    <cellStyle name="40% - Ênfase2 7 9" xfId="6867" xr:uid="{00000000-0005-0000-0000-0000F2170000}"/>
    <cellStyle name="40% - Ênfase2 70" xfId="1245" xr:uid="{00000000-0005-0000-0000-0000F3170000}"/>
    <cellStyle name="40% - Ênfase2 71" xfId="1244" xr:uid="{00000000-0005-0000-0000-0000F4170000}"/>
    <cellStyle name="40% - Ênfase2 72" xfId="6868" xr:uid="{00000000-0005-0000-0000-0000F5170000}"/>
    <cellStyle name="40% - Ênfase2 73" xfId="6869" xr:uid="{00000000-0005-0000-0000-0000F6170000}"/>
    <cellStyle name="40% - Ênfase2 74" xfId="6870" xr:uid="{00000000-0005-0000-0000-0000F7170000}"/>
    <cellStyle name="40% - Ênfase2 75" xfId="6871" xr:uid="{00000000-0005-0000-0000-0000F8170000}"/>
    <cellStyle name="40% - Ênfase2 76" xfId="6872" xr:uid="{00000000-0005-0000-0000-0000F9170000}"/>
    <cellStyle name="40% - Ênfase2 77" xfId="6873" xr:uid="{00000000-0005-0000-0000-0000FA170000}"/>
    <cellStyle name="40% - Ênfase2 78" xfId="6874" xr:uid="{00000000-0005-0000-0000-0000FB170000}"/>
    <cellStyle name="40% - Ênfase2 79" xfId="6875" xr:uid="{00000000-0005-0000-0000-0000FC170000}"/>
    <cellStyle name="40% - Ênfase2 8" xfId="147" xr:uid="{00000000-0005-0000-0000-0000FD170000}"/>
    <cellStyle name="40% - Ênfase2 8 10" xfId="6876" xr:uid="{00000000-0005-0000-0000-0000FE170000}"/>
    <cellStyle name="40% - Ênfase2 8 11" xfId="6877" xr:uid="{00000000-0005-0000-0000-0000FF170000}"/>
    <cellStyle name="40% - Ênfase2 8 12" xfId="6878" xr:uid="{00000000-0005-0000-0000-000000180000}"/>
    <cellStyle name="40% - Ênfase2 8 13" xfId="6879" xr:uid="{00000000-0005-0000-0000-000001180000}"/>
    <cellStyle name="40% - Ênfase2 8 14" xfId="6880" xr:uid="{00000000-0005-0000-0000-000002180000}"/>
    <cellStyle name="40% - Ênfase2 8 15" xfId="6881" xr:uid="{00000000-0005-0000-0000-000003180000}"/>
    <cellStyle name="40% - Ênfase2 8 16" xfId="6882" xr:uid="{00000000-0005-0000-0000-000004180000}"/>
    <cellStyle name="40% - Ênfase2 8 17" xfId="6883" xr:uid="{00000000-0005-0000-0000-000005180000}"/>
    <cellStyle name="40% - Ênfase2 8 18" xfId="6884" xr:uid="{00000000-0005-0000-0000-000006180000}"/>
    <cellStyle name="40% - Ênfase2 8 19" xfId="6885" xr:uid="{00000000-0005-0000-0000-000007180000}"/>
    <cellStyle name="40% - Ênfase2 8 2" xfId="6886" xr:uid="{00000000-0005-0000-0000-000008180000}"/>
    <cellStyle name="40% - Ênfase2 8 20" xfId="6887" xr:uid="{00000000-0005-0000-0000-000009180000}"/>
    <cellStyle name="40% - Ênfase2 8 3" xfId="6888" xr:uid="{00000000-0005-0000-0000-00000A180000}"/>
    <cellStyle name="40% - Ênfase2 8 4" xfId="6889" xr:uid="{00000000-0005-0000-0000-00000B180000}"/>
    <cellStyle name="40% - Ênfase2 8 5" xfId="6890" xr:uid="{00000000-0005-0000-0000-00000C180000}"/>
    <cellStyle name="40% - Ênfase2 8 6" xfId="6891" xr:uid="{00000000-0005-0000-0000-00000D180000}"/>
    <cellStyle name="40% - Ênfase2 8 7" xfId="6892" xr:uid="{00000000-0005-0000-0000-00000E180000}"/>
    <cellStyle name="40% - Ênfase2 8 8" xfId="6893" xr:uid="{00000000-0005-0000-0000-00000F180000}"/>
    <cellStyle name="40% - Ênfase2 8 9" xfId="6894" xr:uid="{00000000-0005-0000-0000-000010180000}"/>
    <cellStyle name="40% - Ênfase2 80" xfId="6895" xr:uid="{00000000-0005-0000-0000-000011180000}"/>
    <cellStyle name="40% - Ênfase2 81" xfId="6896" xr:uid="{00000000-0005-0000-0000-000012180000}"/>
    <cellStyle name="40% - Ênfase2 82" xfId="6897" xr:uid="{00000000-0005-0000-0000-000013180000}"/>
    <cellStyle name="40% - Ênfase2 83" xfId="6898" xr:uid="{00000000-0005-0000-0000-000014180000}"/>
    <cellStyle name="40% - Ênfase2 84" xfId="6899" xr:uid="{00000000-0005-0000-0000-000015180000}"/>
    <cellStyle name="40% - Ênfase2 85" xfId="6900" xr:uid="{00000000-0005-0000-0000-000016180000}"/>
    <cellStyle name="40% - Ênfase2 86" xfId="6901" xr:uid="{00000000-0005-0000-0000-000017180000}"/>
    <cellStyle name="40% - Ênfase2 87" xfId="6902" xr:uid="{00000000-0005-0000-0000-000018180000}"/>
    <cellStyle name="40% - Ênfase2 88" xfId="6903" xr:uid="{00000000-0005-0000-0000-000019180000}"/>
    <cellStyle name="40% - Ênfase2 89" xfId="6904" xr:uid="{00000000-0005-0000-0000-00001A180000}"/>
    <cellStyle name="40% - Ênfase2 9" xfId="164" xr:uid="{00000000-0005-0000-0000-00001B180000}"/>
    <cellStyle name="40% - Ênfase2 9 10" xfId="6905" xr:uid="{00000000-0005-0000-0000-00001C180000}"/>
    <cellStyle name="40% - Ênfase2 9 11" xfId="6906" xr:uid="{00000000-0005-0000-0000-00001D180000}"/>
    <cellStyle name="40% - Ênfase2 9 12" xfId="6907" xr:uid="{00000000-0005-0000-0000-00001E180000}"/>
    <cellStyle name="40% - Ênfase2 9 13" xfId="6908" xr:uid="{00000000-0005-0000-0000-00001F180000}"/>
    <cellStyle name="40% - Ênfase2 9 14" xfId="6909" xr:uid="{00000000-0005-0000-0000-000020180000}"/>
    <cellStyle name="40% - Ênfase2 9 15" xfId="6910" xr:uid="{00000000-0005-0000-0000-000021180000}"/>
    <cellStyle name="40% - Ênfase2 9 16" xfId="6911" xr:uid="{00000000-0005-0000-0000-000022180000}"/>
    <cellStyle name="40% - Ênfase2 9 17" xfId="6912" xr:uid="{00000000-0005-0000-0000-000023180000}"/>
    <cellStyle name="40% - Ênfase2 9 18" xfId="6913" xr:uid="{00000000-0005-0000-0000-000024180000}"/>
    <cellStyle name="40% - Ênfase2 9 19" xfId="6914" xr:uid="{00000000-0005-0000-0000-000025180000}"/>
    <cellStyle name="40% - Ênfase2 9 2" xfId="6915" xr:uid="{00000000-0005-0000-0000-000026180000}"/>
    <cellStyle name="40% - Ênfase2 9 20" xfId="6916" xr:uid="{00000000-0005-0000-0000-000027180000}"/>
    <cellStyle name="40% - Ênfase2 9 3" xfId="6917" xr:uid="{00000000-0005-0000-0000-000028180000}"/>
    <cellStyle name="40% - Ênfase2 9 4" xfId="6918" xr:uid="{00000000-0005-0000-0000-000029180000}"/>
    <cellStyle name="40% - Ênfase2 9 5" xfId="6919" xr:uid="{00000000-0005-0000-0000-00002A180000}"/>
    <cellStyle name="40% - Ênfase2 9 6" xfId="6920" xr:uid="{00000000-0005-0000-0000-00002B180000}"/>
    <cellStyle name="40% - Ênfase2 9 7" xfId="6921" xr:uid="{00000000-0005-0000-0000-00002C180000}"/>
    <cellStyle name="40% - Ênfase2 9 8" xfId="6922" xr:uid="{00000000-0005-0000-0000-00002D180000}"/>
    <cellStyle name="40% - Ênfase2 9 9" xfId="6923" xr:uid="{00000000-0005-0000-0000-00002E180000}"/>
    <cellStyle name="40% - Ênfase2 90" xfId="6924" xr:uid="{00000000-0005-0000-0000-00002F180000}"/>
    <cellStyle name="40% - Ênfase3" xfId="28" builtinId="39" customBuiltin="1"/>
    <cellStyle name="40% - Ênfase3 10" xfId="206" xr:uid="{00000000-0005-0000-0000-000031180000}"/>
    <cellStyle name="40% - Ênfase3 10 10" xfId="6925" xr:uid="{00000000-0005-0000-0000-000032180000}"/>
    <cellStyle name="40% - Ênfase3 10 11" xfId="6926" xr:uid="{00000000-0005-0000-0000-000033180000}"/>
    <cellStyle name="40% - Ênfase3 10 12" xfId="6927" xr:uid="{00000000-0005-0000-0000-000034180000}"/>
    <cellStyle name="40% - Ênfase3 10 13" xfId="6928" xr:uid="{00000000-0005-0000-0000-000035180000}"/>
    <cellStyle name="40% - Ênfase3 10 14" xfId="6929" xr:uid="{00000000-0005-0000-0000-000036180000}"/>
    <cellStyle name="40% - Ênfase3 10 15" xfId="6930" xr:uid="{00000000-0005-0000-0000-000037180000}"/>
    <cellStyle name="40% - Ênfase3 10 16" xfId="6931" xr:uid="{00000000-0005-0000-0000-000038180000}"/>
    <cellStyle name="40% - Ênfase3 10 17" xfId="6932" xr:uid="{00000000-0005-0000-0000-000039180000}"/>
    <cellStyle name="40% - Ênfase3 10 18" xfId="6933" xr:uid="{00000000-0005-0000-0000-00003A180000}"/>
    <cellStyle name="40% - Ênfase3 10 19" xfId="6934" xr:uid="{00000000-0005-0000-0000-00003B180000}"/>
    <cellStyle name="40% - Ênfase3 10 2" xfId="6935" xr:uid="{00000000-0005-0000-0000-00003C180000}"/>
    <cellStyle name="40% - Ênfase3 10 20" xfId="6936" xr:uid="{00000000-0005-0000-0000-00003D180000}"/>
    <cellStyle name="40% - Ênfase3 10 3" xfId="6937" xr:uid="{00000000-0005-0000-0000-00003E180000}"/>
    <cellStyle name="40% - Ênfase3 10 4" xfId="6938" xr:uid="{00000000-0005-0000-0000-00003F180000}"/>
    <cellStyle name="40% - Ênfase3 10 5" xfId="6939" xr:uid="{00000000-0005-0000-0000-000040180000}"/>
    <cellStyle name="40% - Ênfase3 10 6" xfId="6940" xr:uid="{00000000-0005-0000-0000-000041180000}"/>
    <cellStyle name="40% - Ênfase3 10 7" xfId="6941" xr:uid="{00000000-0005-0000-0000-000042180000}"/>
    <cellStyle name="40% - Ênfase3 10 8" xfId="6942" xr:uid="{00000000-0005-0000-0000-000043180000}"/>
    <cellStyle name="40% - Ênfase3 10 9" xfId="6943" xr:uid="{00000000-0005-0000-0000-000044180000}"/>
    <cellStyle name="40% - Ênfase3 11" xfId="223" xr:uid="{00000000-0005-0000-0000-000045180000}"/>
    <cellStyle name="40% - Ênfase3 11 10" xfId="6944" xr:uid="{00000000-0005-0000-0000-000046180000}"/>
    <cellStyle name="40% - Ênfase3 11 11" xfId="6945" xr:uid="{00000000-0005-0000-0000-000047180000}"/>
    <cellStyle name="40% - Ênfase3 11 12" xfId="6946" xr:uid="{00000000-0005-0000-0000-000048180000}"/>
    <cellStyle name="40% - Ênfase3 11 13" xfId="6947" xr:uid="{00000000-0005-0000-0000-000049180000}"/>
    <cellStyle name="40% - Ênfase3 11 14" xfId="6948" xr:uid="{00000000-0005-0000-0000-00004A180000}"/>
    <cellStyle name="40% - Ênfase3 11 15" xfId="6949" xr:uid="{00000000-0005-0000-0000-00004B180000}"/>
    <cellStyle name="40% - Ênfase3 11 16" xfId="6950" xr:uid="{00000000-0005-0000-0000-00004C180000}"/>
    <cellStyle name="40% - Ênfase3 11 17" xfId="6951" xr:uid="{00000000-0005-0000-0000-00004D180000}"/>
    <cellStyle name="40% - Ênfase3 11 18" xfId="6952" xr:uid="{00000000-0005-0000-0000-00004E180000}"/>
    <cellStyle name="40% - Ênfase3 11 19" xfId="6953" xr:uid="{00000000-0005-0000-0000-00004F180000}"/>
    <cellStyle name="40% - Ênfase3 11 2" xfId="6954" xr:uid="{00000000-0005-0000-0000-000050180000}"/>
    <cellStyle name="40% - Ênfase3 11 20" xfId="6955" xr:uid="{00000000-0005-0000-0000-000051180000}"/>
    <cellStyle name="40% - Ênfase3 11 3" xfId="6956" xr:uid="{00000000-0005-0000-0000-000052180000}"/>
    <cellStyle name="40% - Ênfase3 11 4" xfId="6957" xr:uid="{00000000-0005-0000-0000-000053180000}"/>
    <cellStyle name="40% - Ênfase3 11 5" xfId="6958" xr:uid="{00000000-0005-0000-0000-000054180000}"/>
    <cellStyle name="40% - Ênfase3 11 6" xfId="6959" xr:uid="{00000000-0005-0000-0000-000055180000}"/>
    <cellStyle name="40% - Ênfase3 11 7" xfId="6960" xr:uid="{00000000-0005-0000-0000-000056180000}"/>
    <cellStyle name="40% - Ênfase3 11 8" xfId="6961" xr:uid="{00000000-0005-0000-0000-000057180000}"/>
    <cellStyle name="40% - Ênfase3 11 9" xfId="6962" xr:uid="{00000000-0005-0000-0000-000058180000}"/>
    <cellStyle name="40% - Ênfase3 12" xfId="240" xr:uid="{00000000-0005-0000-0000-000059180000}"/>
    <cellStyle name="40% - Ênfase3 12 10" xfId="6963" xr:uid="{00000000-0005-0000-0000-00005A180000}"/>
    <cellStyle name="40% - Ênfase3 12 11" xfId="6964" xr:uid="{00000000-0005-0000-0000-00005B180000}"/>
    <cellStyle name="40% - Ênfase3 12 12" xfId="6965" xr:uid="{00000000-0005-0000-0000-00005C180000}"/>
    <cellStyle name="40% - Ênfase3 12 13" xfId="6966" xr:uid="{00000000-0005-0000-0000-00005D180000}"/>
    <cellStyle name="40% - Ênfase3 12 14" xfId="6967" xr:uid="{00000000-0005-0000-0000-00005E180000}"/>
    <cellStyle name="40% - Ênfase3 12 15" xfId="6968" xr:uid="{00000000-0005-0000-0000-00005F180000}"/>
    <cellStyle name="40% - Ênfase3 12 16" xfId="6969" xr:uid="{00000000-0005-0000-0000-000060180000}"/>
    <cellStyle name="40% - Ênfase3 12 17" xfId="6970" xr:uid="{00000000-0005-0000-0000-000061180000}"/>
    <cellStyle name="40% - Ênfase3 12 18" xfId="6971" xr:uid="{00000000-0005-0000-0000-000062180000}"/>
    <cellStyle name="40% - Ênfase3 12 19" xfId="6972" xr:uid="{00000000-0005-0000-0000-000063180000}"/>
    <cellStyle name="40% - Ênfase3 12 2" xfId="6973" xr:uid="{00000000-0005-0000-0000-000064180000}"/>
    <cellStyle name="40% - Ênfase3 12 20" xfId="6974" xr:uid="{00000000-0005-0000-0000-000065180000}"/>
    <cellStyle name="40% - Ênfase3 12 3" xfId="6975" xr:uid="{00000000-0005-0000-0000-000066180000}"/>
    <cellStyle name="40% - Ênfase3 12 4" xfId="6976" xr:uid="{00000000-0005-0000-0000-000067180000}"/>
    <cellStyle name="40% - Ênfase3 12 5" xfId="6977" xr:uid="{00000000-0005-0000-0000-000068180000}"/>
    <cellStyle name="40% - Ênfase3 12 6" xfId="6978" xr:uid="{00000000-0005-0000-0000-000069180000}"/>
    <cellStyle name="40% - Ênfase3 12 7" xfId="6979" xr:uid="{00000000-0005-0000-0000-00006A180000}"/>
    <cellStyle name="40% - Ênfase3 12 8" xfId="6980" xr:uid="{00000000-0005-0000-0000-00006B180000}"/>
    <cellStyle name="40% - Ênfase3 12 9" xfId="6981" xr:uid="{00000000-0005-0000-0000-00006C180000}"/>
    <cellStyle name="40% - Ênfase3 13" xfId="257" xr:uid="{00000000-0005-0000-0000-00006D180000}"/>
    <cellStyle name="40% - Ênfase3 13 10" xfId="6982" xr:uid="{00000000-0005-0000-0000-00006E180000}"/>
    <cellStyle name="40% - Ênfase3 13 11" xfId="6983" xr:uid="{00000000-0005-0000-0000-00006F180000}"/>
    <cellStyle name="40% - Ênfase3 13 12" xfId="6984" xr:uid="{00000000-0005-0000-0000-000070180000}"/>
    <cellStyle name="40% - Ênfase3 13 13" xfId="6985" xr:uid="{00000000-0005-0000-0000-000071180000}"/>
    <cellStyle name="40% - Ênfase3 13 14" xfId="6986" xr:uid="{00000000-0005-0000-0000-000072180000}"/>
    <cellStyle name="40% - Ênfase3 13 15" xfId="6987" xr:uid="{00000000-0005-0000-0000-000073180000}"/>
    <cellStyle name="40% - Ênfase3 13 16" xfId="6988" xr:uid="{00000000-0005-0000-0000-000074180000}"/>
    <cellStyle name="40% - Ênfase3 13 17" xfId="6989" xr:uid="{00000000-0005-0000-0000-000075180000}"/>
    <cellStyle name="40% - Ênfase3 13 18" xfId="6990" xr:uid="{00000000-0005-0000-0000-000076180000}"/>
    <cellStyle name="40% - Ênfase3 13 19" xfId="6991" xr:uid="{00000000-0005-0000-0000-000077180000}"/>
    <cellStyle name="40% - Ênfase3 13 2" xfId="6992" xr:uid="{00000000-0005-0000-0000-000078180000}"/>
    <cellStyle name="40% - Ênfase3 13 20" xfId="6993" xr:uid="{00000000-0005-0000-0000-000079180000}"/>
    <cellStyle name="40% - Ênfase3 13 3" xfId="6994" xr:uid="{00000000-0005-0000-0000-00007A180000}"/>
    <cellStyle name="40% - Ênfase3 13 4" xfId="6995" xr:uid="{00000000-0005-0000-0000-00007B180000}"/>
    <cellStyle name="40% - Ênfase3 13 5" xfId="6996" xr:uid="{00000000-0005-0000-0000-00007C180000}"/>
    <cellStyle name="40% - Ênfase3 13 6" xfId="6997" xr:uid="{00000000-0005-0000-0000-00007D180000}"/>
    <cellStyle name="40% - Ênfase3 13 7" xfId="6998" xr:uid="{00000000-0005-0000-0000-00007E180000}"/>
    <cellStyle name="40% - Ênfase3 13 8" xfId="6999" xr:uid="{00000000-0005-0000-0000-00007F180000}"/>
    <cellStyle name="40% - Ênfase3 13 9" xfId="7000" xr:uid="{00000000-0005-0000-0000-000080180000}"/>
    <cellStyle name="40% - Ênfase3 14" xfId="274" xr:uid="{00000000-0005-0000-0000-000081180000}"/>
    <cellStyle name="40% - Ênfase3 14 10" xfId="7001" xr:uid="{00000000-0005-0000-0000-000082180000}"/>
    <cellStyle name="40% - Ênfase3 14 11" xfId="7002" xr:uid="{00000000-0005-0000-0000-000083180000}"/>
    <cellStyle name="40% - Ênfase3 14 12" xfId="7003" xr:uid="{00000000-0005-0000-0000-000084180000}"/>
    <cellStyle name="40% - Ênfase3 14 13" xfId="7004" xr:uid="{00000000-0005-0000-0000-000085180000}"/>
    <cellStyle name="40% - Ênfase3 14 14" xfId="7005" xr:uid="{00000000-0005-0000-0000-000086180000}"/>
    <cellStyle name="40% - Ênfase3 14 15" xfId="7006" xr:uid="{00000000-0005-0000-0000-000087180000}"/>
    <cellStyle name="40% - Ênfase3 14 16" xfId="7007" xr:uid="{00000000-0005-0000-0000-000088180000}"/>
    <cellStyle name="40% - Ênfase3 14 17" xfId="7008" xr:uid="{00000000-0005-0000-0000-000089180000}"/>
    <cellStyle name="40% - Ênfase3 14 18" xfId="7009" xr:uid="{00000000-0005-0000-0000-00008A180000}"/>
    <cellStyle name="40% - Ênfase3 14 19" xfId="7010" xr:uid="{00000000-0005-0000-0000-00008B180000}"/>
    <cellStyle name="40% - Ênfase3 14 2" xfId="7011" xr:uid="{00000000-0005-0000-0000-00008C180000}"/>
    <cellStyle name="40% - Ênfase3 14 20" xfId="7012" xr:uid="{00000000-0005-0000-0000-00008D180000}"/>
    <cellStyle name="40% - Ênfase3 14 3" xfId="7013" xr:uid="{00000000-0005-0000-0000-00008E180000}"/>
    <cellStyle name="40% - Ênfase3 14 4" xfId="7014" xr:uid="{00000000-0005-0000-0000-00008F180000}"/>
    <cellStyle name="40% - Ênfase3 14 5" xfId="7015" xr:uid="{00000000-0005-0000-0000-000090180000}"/>
    <cellStyle name="40% - Ênfase3 14 6" xfId="7016" xr:uid="{00000000-0005-0000-0000-000091180000}"/>
    <cellStyle name="40% - Ênfase3 14 7" xfId="7017" xr:uid="{00000000-0005-0000-0000-000092180000}"/>
    <cellStyle name="40% - Ênfase3 14 8" xfId="7018" xr:uid="{00000000-0005-0000-0000-000093180000}"/>
    <cellStyle name="40% - Ênfase3 14 9" xfId="7019" xr:uid="{00000000-0005-0000-0000-000094180000}"/>
    <cellStyle name="40% - Ênfase3 15" xfId="291" xr:uid="{00000000-0005-0000-0000-000095180000}"/>
    <cellStyle name="40% - Ênfase3 15 10" xfId="7020" xr:uid="{00000000-0005-0000-0000-000096180000}"/>
    <cellStyle name="40% - Ênfase3 15 11" xfId="7021" xr:uid="{00000000-0005-0000-0000-000097180000}"/>
    <cellStyle name="40% - Ênfase3 15 12" xfId="7022" xr:uid="{00000000-0005-0000-0000-000098180000}"/>
    <cellStyle name="40% - Ênfase3 15 13" xfId="7023" xr:uid="{00000000-0005-0000-0000-000099180000}"/>
    <cellStyle name="40% - Ênfase3 15 14" xfId="7024" xr:uid="{00000000-0005-0000-0000-00009A180000}"/>
    <cellStyle name="40% - Ênfase3 15 15" xfId="7025" xr:uid="{00000000-0005-0000-0000-00009B180000}"/>
    <cellStyle name="40% - Ênfase3 15 16" xfId="7026" xr:uid="{00000000-0005-0000-0000-00009C180000}"/>
    <cellStyle name="40% - Ênfase3 15 17" xfId="7027" xr:uid="{00000000-0005-0000-0000-00009D180000}"/>
    <cellStyle name="40% - Ênfase3 15 18" xfId="7028" xr:uid="{00000000-0005-0000-0000-00009E180000}"/>
    <cellStyle name="40% - Ênfase3 15 19" xfId="7029" xr:uid="{00000000-0005-0000-0000-00009F180000}"/>
    <cellStyle name="40% - Ênfase3 15 2" xfId="7030" xr:uid="{00000000-0005-0000-0000-0000A0180000}"/>
    <cellStyle name="40% - Ênfase3 15 20" xfId="7031" xr:uid="{00000000-0005-0000-0000-0000A1180000}"/>
    <cellStyle name="40% - Ênfase3 15 3" xfId="7032" xr:uid="{00000000-0005-0000-0000-0000A2180000}"/>
    <cellStyle name="40% - Ênfase3 15 4" xfId="7033" xr:uid="{00000000-0005-0000-0000-0000A3180000}"/>
    <cellStyle name="40% - Ênfase3 15 5" xfId="7034" xr:uid="{00000000-0005-0000-0000-0000A4180000}"/>
    <cellStyle name="40% - Ênfase3 15 6" xfId="7035" xr:uid="{00000000-0005-0000-0000-0000A5180000}"/>
    <cellStyle name="40% - Ênfase3 15 7" xfId="7036" xr:uid="{00000000-0005-0000-0000-0000A6180000}"/>
    <cellStyle name="40% - Ênfase3 15 8" xfId="7037" xr:uid="{00000000-0005-0000-0000-0000A7180000}"/>
    <cellStyle name="40% - Ênfase3 15 9" xfId="7038" xr:uid="{00000000-0005-0000-0000-0000A8180000}"/>
    <cellStyle name="40% - Ênfase3 16" xfId="308" xr:uid="{00000000-0005-0000-0000-0000A9180000}"/>
    <cellStyle name="40% - Ênfase3 16 10" xfId="7039" xr:uid="{00000000-0005-0000-0000-0000AA180000}"/>
    <cellStyle name="40% - Ênfase3 16 11" xfId="7040" xr:uid="{00000000-0005-0000-0000-0000AB180000}"/>
    <cellStyle name="40% - Ênfase3 16 12" xfId="7041" xr:uid="{00000000-0005-0000-0000-0000AC180000}"/>
    <cellStyle name="40% - Ênfase3 16 13" xfId="7042" xr:uid="{00000000-0005-0000-0000-0000AD180000}"/>
    <cellStyle name="40% - Ênfase3 16 14" xfId="7043" xr:uid="{00000000-0005-0000-0000-0000AE180000}"/>
    <cellStyle name="40% - Ênfase3 16 15" xfId="7044" xr:uid="{00000000-0005-0000-0000-0000AF180000}"/>
    <cellStyle name="40% - Ênfase3 16 16" xfId="7045" xr:uid="{00000000-0005-0000-0000-0000B0180000}"/>
    <cellStyle name="40% - Ênfase3 16 17" xfId="7046" xr:uid="{00000000-0005-0000-0000-0000B1180000}"/>
    <cellStyle name="40% - Ênfase3 16 18" xfId="7047" xr:uid="{00000000-0005-0000-0000-0000B2180000}"/>
    <cellStyle name="40% - Ênfase3 16 19" xfId="7048" xr:uid="{00000000-0005-0000-0000-0000B3180000}"/>
    <cellStyle name="40% - Ênfase3 16 2" xfId="7049" xr:uid="{00000000-0005-0000-0000-0000B4180000}"/>
    <cellStyle name="40% - Ênfase3 16 20" xfId="7050" xr:uid="{00000000-0005-0000-0000-0000B5180000}"/>
    <cellStyle name="40% - Ênfase3 16 3" xfId="7051" xr:uid="{00000000-0005-0000-0000-0000B6180000}"/>
    <cellStyle name="40% - Ênfase3 16 4" xfId="7052" xr:uid="{00000000-0005-0000-0000-0000B7180000}"/>
    <cellStyle name="40% - Ênfase3 16 5" xfId="7053" xr:uid="{00000000-0005-0000-0000-0000B8180000}"/>
    <cellStyle name="40% - Ênfase3 16 6" xfId="7054" xr:uid="{00000000-0005-0000-0000-0000B9180000}"/>
    <cellStyle name="40% - Ênfase3 16 7" xfId="7055" xr:uid="{00000000-0005-0000-0000-0000BA180000}"/>
    <cellStyle name="40% - Ênfase3 16 8" xfId="7056" xr:uid="{00000000-0005-0000-0000-0000BB180000}"/>
    <cellStyle name="40% - Ênfase3 16 9" xfId="7057" xr:uid="{00000000-0005-0000-0000-0000BC180000}"/>
    <cellStyle name="40% - Ênfase3 17" xfId="325" xr:uid="{00000000-0005-0000-0000-0000BD180000}"/>
    <cellStyle name="40% - Ênfase3 17 10" xfId="7058" xr:uid="{00000000-0005-0000-0000-0000BE180000}"/>
    <cellStyle name="40% - Ênfase3 17 11" xfId="7059" xr:uid="{00000000-0005-0000-0000-0000BF180000}"/>
    <cellStyle name="40% - Ênfase3 17 12" xfId="7060" xr:uid="{00000000-0005-0000-0000-0000C0180000}"/>
    <cellStyle name="40% - Ênfase3 17 13" xfId="7061" xr:uid="{00000000-0005-0000-0000-0000C1180000}"/>
    <cellStyle name="40% - Ênfase3 17 14" xfId="7062" xr:uid="{00000000-0005-0000-0000-0000C2180000}"/>
    <cellStyle name="40% - Ênfase3 17 15" xfId="7063" xr:uid="{00000000-0005-0000-0000-0000C3180000}"/>
    <cellStyle name="40% - Ênfase3 17 16" xfId="7064" xr:uid="{00000000-0005-0000-0000-0000C4180000}"/>
    <cellStyle name="40% - Ênfase3 17 17" xfId="7065" xr:uid="{00000000-0005-0000-0000-0000C5180000}"/>
    <cellStyle name="40% - Ênfase3 17 18" xfId="7066" xr:uid="{00000000-0005-0000-0000-0000C6180000}"/>
    <cellStyle name="40% - Ênfase3 17 19" xfId="7067" xr:uid="{00000000-0005-0000-0000-0000C7180000}"/>
    <cellStyle name="40% - Ênfase3 17 2" xfId="7068" xr:uid="{00000000-0005-0000-0000-0000C8180000}"/>
    <cellStyle name="40% - Ênfase3 17 20" xfId="7069" xr:uid="{00000000-0005-0000-0000-0000C9180000}"/>
    <cellStyle name="40% - Ênfase3 17 3" xfId="7070" xr:uid="{00000000-0005-0000-0000-0000CA180000}"/>
    <cellStyle name="40% - Ênfase3 17 4" xfId="7071" xr:uid="{00000000-0005-0000-0000-0000CB180000}"/>
    <cellStyle name="40% - Ênfase3 17 5" xfId="7072" xr:uid="{00000000-0005-0000-0000-0000CC180000}"/>
    <cellStyle name="40% - Ênfase3 17 6" xfId="7073" xr:uid="{00000000-0005-0000-0000-0000CD180000}"/>
    <cellStyle name="40% - Ênfase3 17 7" xfId="7074" xr:uid="{00000000-0005-0000-0000-0000CE180000}"/>
    <cellStyle name="40% - Ênfase3 17 8" xfId="7075" xr:uid="{00000000-0005-0000-0000-0000CF180000}"/>
    <cellStyle name="40% - Ênfase3 17 9" xfId="7076" xr:uid="{00000000-0005-0000-0000-0000D0180000}"/>
    <cellStyle name="40% - Ênfase3 18" xfId="342" xr:uid="{00000000-0005-0000-0000-0000D1180000}"/>
    <cellStyle name="40% - Ênfase3 18 10" xfId="7077" xr:uid="{00000000-0005-0000-0000-0000D2180000}"/>
    <cellStyle name="40% - Ênfase3 18 11" xfId="7078" xr:uid="{00000000-0005-0000-0000-0000D3180000}"/>
    <cellStyle name="40% - Ênfase3 18 12" xfId="7079" xr:uid="{00000000-0005-0000-0000-0000D4180000}"/>
    <cellStyle name="40% - Ênfase3 18 13" xfId="7080" xr:uid="{00000000-0005-0000-0000-0000D5180000}"/>
    <cellStyle name="40% - Ênfase3 18 14" xfId="7081" xr:uid="{00000000-0005-0000-0000-0000D6180000}"/>
    <cellStyle name="40% - Ênfase3 18 15" xfId="7082" xr:uid="{00000000-0005-0000-0000-0000D7180000}"/>
    <cellStyle name="40% - Ênfase3 18 16" xfId="7083" xr:uid="{00000000-0005-0000-0000-0000D8180000}"/>
    <cellStyle name="40% - Ênfase3 18 17" xfId="7084" xr:uid="{00000000-0005-0000-0000-0000D9180000}"/>
    <cellStyle name="40% - Ênfase3 18 18" xfId="7085" xr:uid="{00000000-0005-0000-0000-0000DA180000}"/>
    <cellStyle name="40% - Ênfase3 18 19" xfId="7086" xr:uid="{00000000-0005-0000-0000-0000DB180000}"/>
    <cellStyle name="40% - Ênfase3 18 2" xfId="7087" xr:uid="{00000000-0005-0000-0000-0000DC180000}"/>
    <cellStyle name="40% - Ênfase3 18 20" xfId="7088" xr:uid="{00000000-0005-0000-0000-0000DD180000}"/>
    <cellStyle name="40% - Ênfase3 18 3" xfId="7089" xr:uid="{00000000-0005-0000-0000-0000DE180000}"/>
    <cellStyle name="40% - Ênfase3 18 4" xfId="7090" xr:uid="{00000000-0005-0000-0000-0000DF180000}"/>
    <cellStyle name="40% - Ênfase3 18 5" xfId="7091" xr:uid="{00000000-0005-0000-0000-0000E0180000}"/>
    <cellStyle name="40% - Ênfase3 18 6" xfId="7092" xr:uid="{00000000-0005-0000-0000-0000E1180000}"/>
    <cellStyle name="40% - Ênfase3 18 7" xfId="7093" xr:uid="{00000000-0005-0000-0000-0000E2180000}"/>
    <cellStyle name="40% - Ênfase3 18 8" xfId="7094" xr:uid="{00000000-0005-0000-0000-0000E3180000}"/>
    <cellStyle name="40% - Ênfase3 18 9" xfId="7095" xr:uid="{00000000-0005-0000-0000-0000E4180000}"/>
    <cellStyle name="40% - Ênfase3 19" xfId="370" xr:uid="{00000000-0005-0000-0000-0000E5180000}"/>
    <cellStyle name="40% - Ênfase3 19 10" xfId="7096" xr:uid="{00000000-0005-0000-0000-0000E6180000}"/>
    <cellStyle name="40% - Ênfase3 19 11" xfId="7097" xr:uid="{00000000-0005-0000-0000-0000E7180000}"/>
    <cellStyle name="40% - Ênfase3 19 12" xfId="7098" xr:uid="{00000000-0005-0000-0000-0000E8180000}"/>
    <cellStyle name="40% - Ênfase3 19 13" xfId="7099" xr:uid="{00000000-0005-0000-0000-0000E9180000}"/>
    <cellStyle name="40% - Ênfase3 19 14" xfId="7100" xr:uid="{00000000-0005-0000-0000-0000EA180000}"/>
    <cellStyle name="40% - Ênfase3 19 15" xfId="7101" xr:uid="{00000000-0005-0000-0000-0000EB180000}"/>
    <cellStyle name="40% - Ênfase3 19 16" xfId="7102" xr:uid="{00000000-0005-0000-0000-0000EC180000}"/>
    <cellStyle name="40% - Ênfase3 19 17" xfId="7103" xr:uid="{00000000-0005-0000-0000-0000ED180000}"/>
    <cellStyle name="40% - Ênfase3 19 18" xfId="7104" xr:uid="{00000000-0005-0000-0000-0000EE180000}"/>
    <cellStyle name="40% - Ênfase3 19 19" xfId="7105" xr:uid="{00000000-0005-0000-0000-0000EF180000}"/>
    <cellStyle name="40% - Ênfase3 19 2" xfId="7106" xr:uid="{00000000-0005-0000-0000-0000F0180000}"/>
    <cellStyle name="40% - Ênfase3 19 20" xfId="7107" xr:uid="{00000000-0005-0000-0000-0000F1180000}"/>
    <cellStyle name="40% - Ênfase3 19 3" xfId="7108" xr:uid="{00000000-0005-0000-0000-0000F2180000}"/>
    <cellStyle name="40% - Ênfase3 19 4" xfId="7109" xr:uid="{00000000-0005-0000-0000-0000F3180000}"/>
    <cellStyle name="40% - Ênfase3 19 5" xfId="7110" xr:uid="{00000000-0005-0000-0000-0000F4180000}"/>
    <cellStyle name="40% - Ênfase3 19 6" xfId="7111" xr:uid="{00000000-0005-0000-0000-0000F5180000}"/>
    <cellStyle name="40% - Ênfase3 19 7" xfId="7112" xr:uid="{00000000-0005-0000-0000-0000F6180000}"/>
    <cellStyle name="40% - Ênfase3 19 8" xfId="7113" xr:uid="{00000000-0005-0000-0000-0000F7180000}"/>
    <cellStyle name="40% - Ênfase3 19 9" xfId="7114" xr:uid="{00000000-0005-0000-0000-0000F8180000}"/>
    <cellStyle name="40% - Ênfase3 2" xfId="77" xr:uid="{00000000-0005-0000-0000-0000F9180000}"/>
    <cellStyle name="40% - Ênfase3 2 10" xfId="7115" xr:uid="{00000000-0005-0000-0000-0000FA180000}"/>
    <cellStyle name="40% - Ênfase3 2 11" xfId="7116" xr:uid="{00000000-0005-0000-0000-0000FB180000}"/>
    <cellStyle name="40% - Ênfase3 2 12" xfId="7117" xr:uid="{00000000-0005-0000-0000-0000FC180000}"/>
    <cellStyle name="40% - Ênfase3 2 13" xfId="7118" xr:uid="{00000000-0005-0000-0000-0000FD180000}"/>
    <cellStyle name="40% - Ênfase3 2 14" xfId="7119" xr:uid="{00000000-0005-0000-0000-0000FE180000}"/>
    <cellStyle name="40% - Ênfase3 2 15" xfId="7120" xr:uid="{00000000-0005-0000-0000-0000FF180000}"/>
    <cellStyle name="40% - Ênfase3 2 16" xfId="7121" xr:uid="{00000000-0005-0000-0000-000000190000}"/>
    <cellStyle name="40% - Ênfase3 2 17" xfId="7122" xr:uid="{00000000-0005-0000-0000-000001190000}"/>
    <cellStyle name="40% - Ênfase3 2 18" xfId="7123" xr:uid="{00000000-0005-0000-0000-000002190000}"/>
    <cellStyle name="40% - Ênfase3 2 19" xfId="7124" xr:uid="{00000000-0005-0000-0000-000003190000}"/>
    <cellStyle name="40% - Ênfase3 2 2" xfId="7125" xr:uid="{00000000-0005-0000-0000-000004190000}"/>
    <cellStyle name="40% - Ênfase3 2 20" xfId="7126" xr:uid="{00000000-0005-0000-0000-000005190000}"/>
    <cellStyle name="40% - Ênfase3 2 3" xfId="7127" xr:uid="{00000000-0005-0000-0000-000006190000}"/>
    <cellStyle name="40% - Ênfase3 2 4" xfId="7128" xr:uid="{00000000-0005-0000-0000-000007190000}"/>
    <cellStyle name="40% - Ênfase3 2 5" xfId="7129" xr:uid="{00000000-0005-0000-0000-000008190000}"/>
    <cellStyle name="40% - Ênfase3 2 6" xfId="7130" xr:uid="{00000000-0005-0000-0000-000009190000}"/>
    <cellStyle name="40% - Ênfase3 2 7" xfId="7131" xr:uid="{00000000-0005-0000-0000-00000A190000}"/>
    <cellStyle name="40% - Ênfase3 2 8" xfId="7132" xr:uid="{00000000-0005-0000-0000-00000B190000}"/>
    <cellStyle name="40% - Ênfase3 2 9" xfId="7133" xr:uid="{00000000-0005-0000-0000-00000C190000}"/>
    <cellStyle name="40% - Ênfase3 20" xfId="379" xr:uid="{00000000-0005-0000-0000-00000D190000}"/>
    <cellStyle name="40% - Ênfase3 20 10" xfId="7134" xr:uid="{00000000-0005-0000-0000-00000E190000}"/>
    <cellStyle name="40% - Ênfase3 20 11" xfId="7135" xr:uid="{00000000-0005-0000-0000-00000F190000}"/>
    <cellStyle name="40% - Ênfase3 20 12" xfId="7136" xr:uid="{00000000-0005-0000-0000-000010190000}"/>
    <cellStyle name="40% - Ênfase3 20 13" xfId="7137" xr:uid="{00000000-0005-0000-0000-000011190000}"/>
    <cellStyle name="40% - Ênfase3 20 14" xfId="7138" xr:uid="{00000000-0005-0000-0000-000012190000}"/>
    <cellStyle name="40% - Ênfase3 20 15" xfId="7139" xr:uid="{00000000-0005-0000-0000-000013190000}"/>
    <cellStyle name="40% - Ênfase3 20 16" xfId="7140" xr:uid="{00000000-0005-0000-0000-000014190000}"/>
    <cellStyle name="40% - Ênfase3 20 17" xfId="7141" xr:uid="{00000000-0005-0000-0000-000015190000}"/>
    <cellStyle name="40% - Ênfase3 20 18" xfId="7142" xr:uid="{00000000-0005-0000-0000-000016190000}"/>
    <cellStyle name="40% - Ênfase3 20 19" xfId="7143" xr:uid="{00000000-0005-0000-0000-000017190000}"/>
    <cellStyle name="40% - Ênfase3 20 2" xfId="7144" xr:uid="{00000000-0005-0000-0000-000018190000}"/>
    <cellStyle name="40% - Ênfase3 20 20" xfId="7145" xr:uid="{00000000-0005-0000-0000-000019190000}"/>
    <cellStyle name="40% - Ênfase3 20 3" xfId="7146" xr:uid="{00000000-0005-0000-0000-00001A190000}"/>
    <cellStyle name="40% - Ênfase3 20 4" xfId="7147" xr:uid="{00000000-0005-0000-0000-00001B190000}"/>
    <cellStyle name="40% - Ênfase3 20 5" xfId="7148" xr:uid="{00000000-0005-0000-0000-00001C190000}"/>
    <cellStyle name="40% - Ênfase3 20 6" xfId="7149" xr:uid="{00000000-0005-0000-0000-00001D190000}"/>
    <cellStyle name="40% - Ênfase3 20 7" xfId="7150" xr:uid="{00000000-0005-0000-0000-00001E190000}"/>
    <cellStyle name="40% - Ênfase3 20 8" xfId="7151" xr:uid="{00000000-0005-0000-0000-00001F190000}"/>
    <cellStyle name="40% - Ênfase3 20 9" xfId="7152" xr:uid="{00000000-0005-0000-0000-000020190000}"/>
    <cellStyle name="40% - Ênfase3 21" xfId="397" xr:uid="{00000000-0005-0000-0000-000021190000}"/>
    <cellStyle name="40% - Ênfase3 21 10" xfId="7153" xr:uid="{00000000-0005-0000-0000-000022190000}"/>
    <cellStyle name="40% - Ênfase3 21 11" xfId="7154" xr:uid="{00000000-0005-0000-0000-000023190000}"/>
    <cellStyle name="40% - Ênfase3 21 12" xfId="7155" xr:uid="{00000000-0005-0000-0000-000024190000}"/>
    <cellStyle name="40% - Ênfase3 21 13" xfId="7156" xr:uid="{00000000-0005-0000-0000-000025190000}"/>
    <cellStyle name="40% - Ênfase3 21 14" xfId="7157" xr:uid="{00000000-0005-0000-0000-000026190000}"/>
    <cellStyle name="40% - Ênfase3 21 15" xfId="7158" xr:uid="{00000000-0005-0000-0000-000027190000}"/>
    <cellStyle name="40% - Ênfase3 21 16" xfId="7159" xr:uid="{00000000-0005-0000-0000-000028190000}"/>
    <cellStyle name="40% - Ênfase3 21 17" xfId="7160" xr:uid="{00000000-0005-0000-0000-000029190000}"/>
    <cellStyle name="40% - Ênfase3 21 18" xfId="7161" xr:uid="{00000000-0005-0000-0000-00002A190000}"/>
    <cellStyle name="40% - Ênfase3 21 19" xfId="7162" xr:uid="{00000000-0005-0000-0000-00002B190000}"/>
    <cellStyle name="40% - Ênfase3 21 2" xfId="7163" xr:uid="{00000000-0005-0000-0000-00002C190000}"/>
    <cellStyle name="40% - Ênfase3 21 20" xfId="7164" xr:uid="{00000000-0005-0000-0000-00002D190000}"/>
    <cellStyle name="40% - Ênfase3 21 3" xfId="7165" xr:uid="{00000000-0005-0000-0000-00002E190000}"/>
    <cellStyle name="40% - Ênfase3 21 4" xfId="7166" xr:uid="{00000000-0005-0000-0000-00002F190000}"/>
    <cellStyle name="40% - Ênfase3 21 5" xfId="7167" xr:uid="{00000000-0005-0000-0000-000030190000}"/>
    <cellStyle name="40% - Ênfase3 21 6" xfId="7168" xr:uid="{00000000-0005-0000-0000-000031190000}"/>
    <cellStyle name="40% - Ênfase3 21 7" xfId="7169" xr:uid="{00000000-0005-0000-0000-000032190000}"/>
    <cellStyle name="40% - Ênfase3 21 8" xfId="7170" xr:uid="{00000000-0005-0000-0000-000033190000}"/>
    <cellStyle name="40% - Ênfase3 21 9" xfId="7171" xr:uid="{00000000-0005-0000-0000-000034190000}"/>
    <cellStyle name="40% - Ênfase3 22" xfId="415" xr:uid="{00000000-0005-0000-0000-000035190000}"/>
    <cellStyle name="40% - Ênfase3 22 10" xfId="7172" xr:uid="{00000000-0005-0000-0000-000036190000}"/>
    <cellStyle name="40% - Ênfase3 22 11" xfId="7173" xr:uid="{00000000-0005-0000-0000-000037190000}"/>
    <cellStyle name="40% - Ênfase3 22 12" xfId="7174" xr:uid="{00000000-0005-0000-0000-000038190000}"/>
    <cellStyle name="40% - Ênfase3 22 13" xfId="7175" xr:uid="{00000000-0005-0000-0000-000039190000}"/>
    <cellStyle name="40% - Ênfase3 22 14" xfId="7176" xr:uid="{00000000-0005-0000-0000-00003A190000}"/>
    <cellStyle name="40% - Ênfase3 22 15" xfId="7177" xr:uid="{00000000-0005-0000-0000-00003B190000}"/>
    <cellStyle name="40% - Ênfase3 22 16" xfId="7178" xr:uid="{00000000-0005-0000-0000-00003C190000}"/>
    <cellStyle name="40% - Ênfase3 22 17" xfId="7179" xr:uid="{00000000-0005-0000-0000-00003D190000}"/>
    <cellStyle name="40% - Ênfase3 22 18" xfId="7180" xr:uid="{00000000-0005-0000-0000-00003E190000}"/>
    <cellStyle name="40% - Ênfase3 22 19" xfId="7181" xr:uid="{00000000-0005-0000-0000-00003F190000}"/>
    <cellStyle name="40% - Ênfase3 22 2" xfId="7182" xr:uid="{00000000-0005-0000-0000-000040190000}"/>
    <cellStyle name="40% - Ênfase3 22 20" xfId="7183" xr:uid="{00000000-0005-0000-0000-000041190000}"/>
    <cellStyle name="40% - Ênfase3 22 3" xfId="7184" xr:uid="{00000000-0005-0000-0000-000042190000}"/>
    <cellStyle name="40% - Ênfase3 22 4" xfId="7185" xr:uid="{00000000-0005-0000-0000-000043190000}"/>
    <cellStyle name="40% - Ênfase3 22 5" xfId="7186" xr:uid="{00000000-0005-0000-0000-000044190000}"/>
    <cellStyle name="40% - Ênfase3 22 6" xfId="7187" xr:uid="{00000000-0005-0000-0000-000045190000}"/>
    <cellStyle name="40% - Ênfase3 22 7" xfId="7188" xr:uid="{00000000-0005-0000-0000-000046190000}"/>
    <cellStyle name="40% - Ênfase3 22 8" xfId="7189" xr:uid="{00000000-0005-0000-0000-000047190000}"/>
    <cellStyle name="40% - Ênfase3 22 9" xfId="7190" xr:uid="{00000000-0005-0000-0000-000048190000}"/>
    <cellStyle name="40% - Ênfase3 23" xfId="433" xr:uid="{00000000-0005-0000-0000-000049190000}"/>
    <cellStyle name="40% - Ênfase3 23 10" xfId="7191" xr:uid="{00000000-0005-0000-0000-00004A190000}"/>
    <cellStyle name="40% - Ênfase3 23 11" xfId="7192" xr:uid="{00000000-0005-0000-0000-00004B190000}"/>
    <cellStyle name="40% - Ênfase3 23 12" xfId="7193" xr:uid="{00000000-0005-0000-0000-00004C190000}"/>
    <cellStyle name="40% - Ênfase3 23 13" xfId="7194" xr:uid="{00000000-0005-0000-0000-00004D190000}"/>
    <cellStyle name="40% - Ênfase3 23 14" xfId="7195" xr:uid="{00000000-0005-0000-0000-00004E190000}"/>
    <cellStyle name="40% - Ênfase3 23 15" xfId="7196" xr:uid="{00000000-0005-0000-0000-00004F190000}"/>
    <cellStyle name="40% - Ênfase3 23 16" xfId="7197" xr:uid="{00000000-0005-0000-0000-000050190000}"/>
    <cellStyle name="40% - Ênfase3 23 17" xfId="7198" xr:uid="{00000000-0005-0000-0000-000051190000}"/>
    <cellStyle name="40% - Ênfase3 23 18" xfId="7199" xr:uid="{00000000-0005-0000-0000-000052190000}"/>
    <cellStyle name="40% - Ênfase3 23 19" xfId="7200" xr:uid="{00000000-0005-0000-0000-000053190000}"/>
    <cellStyle name="40% - Ênfase3 23 2" xfId="7201" xr:uid="{00000000-0005-0000-0000-000054190000}"/>
    <cellStyle name="40% - Ênfase3 23 20" xfId="7202" xr:uid="{00000000-0005-0000-0000-000055190000}"/>
    <cellStyle name="40% - Ênfase3 23 3" xfId="7203" xr:uid="{00000000-0005-0000-0000-000056190000}"/>
    <cellStyle name="40% - Ênfase3 23 4" xfId="7204" xr:uid="{00000000-0005-0000-0000-000057190000}"/>
    <cellStyle name="40% - Ênfase3 23 5" xfId="7205" xr:uid="{00000000-0005-0000-0000-000058190000}"/>
    <cellStyle name="40% - Ênfase3 23 6" xfId="7206" xr:uid="{00000000-0005-0000-0000-000059190000}"/>
    <cellStyle name="40% - Ênfase3 23 7" xfId="7207" xr:uid="{00000000-0005-0000-0000-00005A190000}"/>
    <cellStyle name="40% - Ênfase3 23 8" xfId="7208" xr:uid="{00000000-0005-0000-0000-00005B190000}"/>
    <cellStyle name="40% - Ênfase3 23 9" xfId="7209" xr:uid="{00000000-0005-0000-0000-00005C190000}"/>
    <cellStyle name="40% - Ênfase3 24" xfId="451" xr:uid="{00000000-0005-0000-0000-00005D190000}"/>
    <cellStyle name="40% - Ênfase3 24 10" xfId="7210" xr:uid="{00000000-0005-0000-0000-00005E190000}"/>
    <cellStyle name="40% - Ênfase3 24 11" xfId="7211" xr:uid="{00000000-0005-0000-0000-00005F190000}"/>
    <cellStyle name="40% - Ênfase3 24 12" xfId="7212" xr:uid="{00000000-0005-0000-0000-000060190000}"/>
    <cellStyle name="40% - Ênfase3 24 13" xfId="7213" xr:uid="{00000000-0005-0000-0000-000061190000}"/>
    <cellStyle name="40% - Ênfase3 24 14" xfId="7214" xr:uid="{00000000-0005-0000-0000-000062190000}"/>
    <cellStyle name="40% - Ênfase3 24 15" xfId="7215" xr:uid="{00000000-0005-0000-0000-000063190000}"/>
    <cellStyle name="40% - Ênfase3 24 16" xfId="7216" xr:uid="{00000000-0005-0000-0000-000064190000}"/>
    <cellStyle name="40% - Ênfase3 24 17" xfId="7217" xr:uid="{00000000-0005-0000-0000-000065190000}"/>
    <cellStyle name="40% - Ênfase3 24 18" xfId="7218" xr:uid="{00000000-0005-0000-0000-000066190000}"/>
    <cellStyle name="40% - Ênfase3 24 19" xfId="7219" xr:uid="{00000000-0005-0000-0000-000067190000}"/>
    <cellStyle name="40% - Ênfase3 24 2" xfId="7220" xr:uid="{00000000-0005-0000-0000-000068190000}"/>
    <cellStyle name="40% - Ênfase3 24 20" xfId="7221" xr:uid="{00000000-0005-0000-0000-000069190000}"/>
    <cellStyle name="40% - Ênfase3 24 3" xfId="7222" xr:uid="{00000000-0005-0000-0000-00006A190000}"/>
    <cellStyle name="40% - Ênfase3 24 4" xfId="7223" xr:uid="{00000000-0005-0000-0000-00006B190000}"/>
    <cellStyle name="40% - Ênfase3 24 5" xfId="7224" xr:uid="{00000000-0005-0000-0000-00006C190000}"/>
    <cellStyle name="40% - Ênfase3 24 6" xfId="7225" xr:uid="{00000000-0005-0000-0000-00006D190000}"/>
    <cellStyle name="40% - Ênfase3 24 7" xfId="7226" xr:uid="{00000000-0005-0000-0000-00006E190000}"/>
    <cellStyle name="40% - Ênfase3 24 8" xfId="7227" xr:uid="{00000000-0005-0000-0000-00006F190000}"/>
    <cellStyle name="40% - Ênfase3 24 9" xfId="7228" xr:uid="{00000000-0005-0000-0000-000070190000}"/>
    <cellStyle name="40% - Ênfase3 25" xfId="469" xr:uid="{00000000-0005-0000-0000-000071190000}"/>
    <cellStyle name="40% - Ênfase3 25 10" xfId="7229" xr:uid="{00000000-0005-0000-0000-000072190000}"/>
    <cellStyle name="40% - Ênfase3 25 11" xfId="7230" xr:uid="{00000000-0005-0000-0000-000073190000}"/>
    <cellStyle name="40% - Ênfase3 25 12" xfId="7231" xr:uid="{00000000-0005-0000-0000-000074190000}"/>
    <cellStyle name="40% - Ênfase3 25 13" xfId="7232" xr:uid="{00000000-0005-0000-0000-000075190000}"/>
    <cellStyle name="40% - Ênfase3 25 14" xfId="7233" xr:uid="{00000000-0005-0000-0000-000076190000}"/>
    <cellStyle name="40% - Ênfase3 25 15" xfId="7234" xr:uid="{00000000-0005-0000-0000-000077190000}"/>
    <cellStyle name="40% - Ênfase3 25 16" xfId="7235" xr:uid="{00000000-0005-0000-0000-000078190000}"/>
    <cellStyle name="40% - Ênfase3 25 17" xfId="7236" xr:uid="{00000000-0005-0000-0000-000079190000}"/>
    <cellStyle name="40% - Ênfase3 25 18" xfId="7237" xr:uid="{00000000-0005-0000-0000-00007A190000}"/>
    <cellStyle name="40% - Ênfase3 25 19" xfId="7238" xr:uid="{00000000-0005-0000-0000-00007B190000}"/>
    <cellStyle name="40% - Ênfase3 25 2" xfId="7239" xr:uid="{00000000-0005-0000-0000-00007C190000}"/>
    <cellStyle name="40% - Ênfase3 25 20" xfId="7240" xr:uid="{00000000-0005-0000-0000-00007D190000}"/>
    <cellStyle name="40% - Ênfase3 25 3" xfId="7241" xr:uid="{00000000-0005-0000-0000-00007E190000}"/>
    <cellStyle name="40% - Ênfase3 25 4" xfId="7242" xr:uid="{00000000-0005-0000-0000-00007F190000}"/>
    <cellStyle name="40% - Ênfase3 25 5" xfId="7243" xr:uid="{00000000-0005-0000-0000-000080190000}"/>
    <cellStyle name="40% - Ênfase3 25 6" xfId="7244" xr:uid="{00000000-0005-0000-0000-000081190000}"/>
    <cellStyle name="40% - Ênfase3 25 7" xfId="7245" xr:uid="{00000000-0005-0000-0000-000082190000}"/>
    <cellStyle name="40% - Ênfase3 25 8" xfId="7246" xr:uid="{00000000-0005-0000-0000-000083190000}"/>
    <cellStyle name="40% - Ênfase3 25 9" xfId="7247" xr:uid="{00000000-0005-0000-0000-000084190000}"/>
    <cellStyle name="40% - Ênfase3 26" xfId="487" xr:uid="{00000000-0005-0000-0000-000085190000}"/>
    <cellStyle name="40% - Ênfase3 26 10" xfId="7248" xr:uid="{00000000-0005-0000-0000-000086190000}"/>
    <cellStyle name="40% - Ênfase3 26 11" xfId="7249" xr:uid="{00000000-0005-0000-0000-000087190000}"/>
    <cellStyle name="40% - Ênfase3 26 12" xfId="7250" xr:uid="{00000000-0005-0000-0000-000088190000}"/>
    <cellStyle name="40% - Ênfase3 26 13" xfId="7251" xr:uid="{00000000-0005-0000-0000-000089190000}"/>
    <cellStyle name="40% - Ênfase3 26 14" xfId="7252" xr:uid="{00000000-0005-0000-0000-00008A190000}"/>
    <cellStyle name="40% - Ênfase3 26 15" xfId="7253" xr:uid="{00000000-0005-0000-0000-00008B190000}"/>
    <cellStyle name="40% - Ênfase3 26 16" xfId="7254" xr:uid="{00000000-0005-0000-0000-00008C190000}"/>
    <cellStyle name="40% - Ênfase3 26 17" xfId="7255" xr:uid="{00000000-0005-0000-0000-00008D190000}"/>
    <cellStyle name="40% - Ênfase3 26 18" xfId="7256" xr:uid="{00000000-0005-0000-0000-00008E190000}"/>
    <cellStyle name="40% - Ênfase3 26 19" xfId="7257" xr:uid="{00000000-0005-0000-0000-00008F190000}"/>
    <cellStyle name="40% - Ênfase3 26 2" xfId="7258" xr:uid="{00000000-0005-0000-0000-000090190000}"/>
    <cellStyle name="40% - Ênfase3 26 20" xfId="7259" xr:uid="{00000000-0005-0000-0000-000091190000}"/>
    <cellStyle name="40% - Ênfase3 26 3" xfId="7260" xr:uid="{00000000-0005-0000-0000-000092190000}"/>
    <cellStyle name="40% - Ênfase3 26 4" xfId="7261" xr:uid="{00000000-0005-0000-0000-000093190000}"/>
    <cellStyle name="40% - Ênfase3 26 5" xfId="7262" xr:uid="{00000000-0005-0000-0000-000094190000}"/>
    <cellStyle name="40% - Ênfase3 26 6" xfId="7263" xr:uid="{00000000-0005-0000-0000-000095190000}"/>
    <cellStyle name="40% - Ênfase3 26 7" xfId="7264" xr:uid="{00000000-0005-0000-0000-000096190000}"/>
    <cellStyle name="40% - Ênfase3 26 8" xfId="7265" xr:uid="{00000000-0005-0000-0000-000097190000}"/>
    <cellStyle name="40% - Ênfase3 26 9" xfId="7266" xr:uid="{00000000-0005-0000-0000-000098190000}"/>
    <cellStyle name="40% - Ênfase3 27" xfId="505" xr:uid="{00000000-0005-0000-0000-000099190000}"/>
    <cellStyle name="40% - Ênfase3 27 10" xfId="7267" xr:uid="{00000000-0005-0000-0000-00009A190000}"/>
    <cellStyle name="40% - Ênfase3 27 11" xfId="7268" xr:uid="{00000000-0005-0000-0000-00009B190000}"/>
    <cellStyle name="40% - Ênfase3 27 12" xfId="7269" xr:uid="{00000000-0005-0000-0000-00009C190000}"/>
    <cellStyle name="40% - Ênfase3 27 13" xfId="7270" xr:uid="{00000000-0005-0000-0000-00009D190000}"/>
    <cellStyle name="40% - Ênfase3 27 14" xfId="7271" xr:uid="{00000000-0005-0000-0000-00009E190000}"/>
    <cellStyle name="40% - Ênfase3 27 15" xfId="7272" xr:uid="{00000000-0005-0000-0000-00009F190000}"/>
    <cellStyle name="40% - Ênfase3 27 16" xfId="7273" xr:uid="{00000000-0005-0000-0000-0000A0190000}"/>
    <cellStyle name="40% - Ênfase3 27 17" xfId="7274" xr:uid="{00000000-0005-0000-0000-0000A1190000}"/>
    <cellStyle name="40% - Ênfase3 27 18" xfId="7275" xr:uid="{00000000-0005-0000-0000-0000A2190000}"/>
    <cellStyle name="40% - Ênfase3 27 19" xfId="7276" xr:uid="{00000000-0005-0000-0000-0000A3190000}"/>
    <cellStyle name="40% - Ênfase3 27 2" xfId="7277" xr:uid="{00000000-0005-0000-0000-0000A4190000}"/>
    <cellStyle name="40% - Ênfase3 27 20" xfId="7278" xr:uid="{00000000-0005-0000-0000-0000A5190000}"/>
    <cellStyle name="40% - Ênfase3 27 3" xfId="7279" xr:uid="{00000000-0005-0000-0000-0000A6190000}"/>
    <cellStyle name="40% - Ênfase3 27 4" xfId="7280" xr:uid="{00000000-0005-0000-0000-0000A7190000}"/>
    <cellStyle name="40% - Ênfase3 27 5" xfId="7281" xr:uid="{00000000-0005-0000-0000-0000A8190000}"/>
    <cellStyle name="40% - Ênfase3 27 6" xfId="7282" xr:uid="{00000000-0005-0000-0000-0000A9190000}"/>
    <cellStyle name="40% - Ênfase3 27 7" xfId="7283" xr:uid="{00000000-0005-0000-0000-0000AA190000}"/>
    <cellStyle name="40% - Ênfase3 27 8" xfId="7284" xr:uid="{00000000-0005-0000-0000-0000AB190000}"/>
    <cellStyle name="40% - Ênfase3 27 9" xfId="7285" xr:uid="{00000000-0005-0000-0000-0000AC190000}"/>
    <cellStyle name="40% - Ênfase3 28" xfId="523" xr:uid="{00000000-0005-0000-0000-0000AD190000}"/>
    <cellStyle name="40% - Ênfase3 28 10" xfId="7286" xr:uid="{00000000-0005-0000-0000-0000AE190000}"/>
    <cellStyle name="40% - Ênfase3 28 11" xfId="7287" xr:uid="{00000000-0005-0000-0000-0000AF190000}"/>
    <cellStyle name="40% - Ênfase3 28 12" xfId="7288" xr:uid="{00000000-0005-0000-0000-0000B0190000}"/>
    <cellStyle name="40% - Ênfase3 28 13" xfId="7289" xr:uid="{00000000-0005-0000-0000-0000B1190000}"/>
    <cellStyle name="40% - Ênfase3 28 14" xfId="7290" xr:uid="{00000000-0005-0000-0000-0000B2190000}"/>
    <cellStyle name="40% - Ênfase3 28 15" xfId="7291" xr:uid="{00000000-0005-0000-0000-0000B3190000}"/>
    <cellStyle name="40% - Ênfase3 28 16" xfId="7292" xr:uid="{00000000-0005-0000-0000-0000B4190000}"/>
    <cellStyle name="40% - Ênfase3 28 17" xfId="7293" xr:uid="{00000000-0005-0000-0000-0000B5190000}"/>
    <cellStyle name="40% - Ênfase3 28 18" xfId="7294" xr:uid="{00000000-0005-0000-0000-0000B6190000}"/>
    <cellStyle name="40% - Ênfase3 28 19" xfId="7295" xr:uid="{00000000-0005-0000-0000-0000B7190000}"/>
    <cellStyle name="40% - Ênfase3 28 2" xfId="7296" xr:uid="{00000000-0005-0000-0000-0000B8190000}"/>
    <cellStyle name="40% - Ênfase3 28 20" xfId="7297" xr:uid="{00000000-0005-0000-0000-0000B9190000}"/>
    <cellStyle name="40% - Ênfase3 28 3" xfId="7298" xr:uid="{00000000-0005-0000-0000-0000BA190000}"/>
    <cellStyle name="40% - Ênfase3 28 4" xfId="7299" xr:uid="{00000000-0005-0000-0000-0000BB190000}"/>
    <cellStyle name="40% - Ênfase3 28 5" xfId="7300" xr:uid="{00000000-0005-0000-0000-0000BC190000}"/>
    <cellStyle name="40% - Ênfase3 28 6" xfId="7301" xr:uid="{00000000-0005-0000-0000-0000BD190000}"/>
    <cellStyle name="40% - Ênfase3 28 7" xfId="7302" xr:uid="{00000000-0005-0000-0000-0000BE190000}"/>
    <cellStyle name="40% - Ênfase3 28 8" xfId="7303" xr:uid="{00000000-0005-0000-0000-0000BF190000}"/>
    <cellStyle name="40% - Ênfase3 28 9" xfId="7304" xr:uid="{00000000-0005-0000-0000-0000C0190000}"/>
    <cellStyle name="40% - Ênfase3 29" xfId="541" xr:uid="{00000000-0005-0000-0000-0000C1190000}"/>
    <cellStyle name="40% - Ênfase3 29 10" xfId="7305" xr:uid="{00000000-0005-0000-0000-0000C2190000}"/>
    <cellStyle name="40% - Ênfase3 29 11" xfId="7306" xr:uid="{00000000-0005-0000-0000-0000C3190000}"/>
    <cellStyle name="40% - Ênfase3 29 12" xfId="7307" xr:uid="{00000000-0005-0000-0000-0000C4190000}"/>
    <cellStyle name="40% - Ênfase3 29 13" xfId="7308" xr:uid="{00000000-0005-0000-0000-0000C5190000}"/>
    <cellStyle name="40% - Ênfase3 29 14" xfId="7309" xr:uid="{00000000-0005-0000-0000-0000C6190000}"/>
    <cellStyle name="40% - Ênfase3 29 15" xfId="7310" xr:uid="{00000000-0005-0000-0000-0000C7190000}"/>
    <cellStyle name="40% - Ênfase3 29 16" xfId="7311" xr:uid="{00000000-0005-0000-0000-0000C8190000}"/>
    <cellStyle name="40% - Ênfase3 29 17" xfId="7312" xr:uid="{00000000-0005-0000-0000-0000C9190000}"/>
    <cellStyle name="40% - Ênfase3 29 18" xfId="7313" xr:uid="{00000000-0005-0000-0000-0000CA190000}"/>
    <cellStyle name="40% - Ênfase3 29 19" xfId="7314" xr:uid="{00000000-0005-0000-0000-0000CB190000}"/>
    <cellStyle name="40% - Ênfase3 29 2" xfId="7315" xr:uid="{00000000-0005-0000-0000-0000CC190000}"/>
    <cellStyle name="40% - Ênfase3 29 20" xfId="7316" xr:uid="{00000000-0005-0000-0000-0000CD190000}"/>
    <cellStyle name="40% - Ênfase3 29 3" xfId="7317" xr:uid="{00000000-0005-0000-0000-0000CE190000}"/>
    <cellStyle name="40% - Ênfase3 29 4" xfId="7318" xr:uid="{00000000-0005-0000-0000-0000CF190000}"/>
    <cellStyle name="40% - Ênfase3 29 5" xfId="7319" xr:uid="{00000000-0005-0000-0000-0000D0190000}"/>
    <cellStyle name="40% - Ênfase3 29 6" xfId="7320" xr:uid="{00000000-0005-0000-0000-0000D1190000}"/>
    <cellStyle name="40% - Ênfase3 29 7" xfId="7321" xr:uid="{00000000-0005-0000-0000-0000D2190000}"/>
    <cellStyle name="40% - Ênfase3 29 8" xfId="7322" xr:uid="{00000000-0005-0000-0000-0000D3190000}"/>
    <cellStyle name="40% - Ênfase3 29 9" xfId="7323" xr:uid="{00000000-0005-0000-0000-0000D4190000}"/>
    <cellStyle name="40% - Ênfase3 3" xfId="86" xr:uid="{00000000-0005-0000-0000-0000D5190000}"/>
    <cellStyle name="40% - Ênfase3 3 10" xfId="7324" xr:uid="{00000000-0005-0000-0000-0000D6190000}"/>
    <cellStyle name="40% - Ênfase3 3 11" xfId="7325" xr:uid="{00000000-0005-0000-0000-0000D7190000}"/>
    <cellStyle name="40% - Ênfase3 3 12" xfId="7326" xr:uid="{00000000-0005-0000-0000-0000D8190000}"/>
    <cellStyle name="40% - Ênfase3 3 13" xfId="7327" xr:uid="{00000000-0005-0000-0000-0000D9190000}"/>
    <cellStyle name="40% - Ênfase3 3 14" xfId="7328" xr:uid="{00000000-0005-0000-0000-0000DA190000}"/>
    <cellStyle name="40% - Ênfase3 3 15" xfId="7329" xr:uid="{00000000-0005-0000-0000-0000DB190000}"/>
    <cellStyle name="40% - Ênfase3 3 16" xfId="7330" xr:uid="{00000000-0005-0000-0000-0000DC190000}"/>
    <cellStyle name="40% - Ênfase3 3 17" xfId="7331" xr:uid="{00000000-0005-0000-0000-0000DD190000}"/>
    <cellStyle name="40% - Ênfase3 3 18" xfId="7332" xr:uid="{00000000-0005-0000-0000-0000DE190000}"/>
    <cellStyle name="40% - Ênfase3 3 19" xfId="7333" xr:uid="{00000000-0005-0000-0000-0000DF190000}"/>
    <cellStyle name="40% - Ênfase3 3 2" xfId="7334" xr:uid="{00000000-0005-0000-0000-0000E0190000}"/>
    <cellStyle name="40% - Ênfase3 3 20" xfId="7335" xr:uid="{00000000-0005-0000-0000-0000E1190000}"/>
    <cellStyle name="40% - Ênfase3 3 3" xfId="7336" xr:uid="{00000000-0005-0000-0000-0000E2190000}"/>
    <cellStyle name="40% - Ênfase3 3 4" xfId="7337" xr:uid="{00000000-0005-0000-0000-0000E3190000}"/>
    <cellStyle name="40% - Ênfase3 3 5" xfId="7338" xr:uid="{00000000-0005-0000-0000-0000E4190000}"/>
    <cellStyle name="40% - Ênfase3 3 6" xfId="7339" xr:uid="{00000000-0005-0000-0000-0000E5190000}"/>
    <cellStyle name="40% - Ênfase3 3 7" xfId="7340" xr:uid="{00000000-0005-0000-0000-0000E6190000}"/>
    <cellStyle name="40% - Ênfase3 3 8" xfId="7341" xr:uid="{00000000-0005-0000-0000-0000E7190000}"/>
    <cellStyle name="40% - Ênfase3 3 9" xfId="7342" xr:uid="{00000000-0005-0000-0000-0000E8190000}"/>
    <cellStyle name="40% - Ênfase3 30" xfId="559" xr:uid="{00000000-0005-0000-0000-0000E9190000}"/>
    <cellStyle name="40% - Ênfase3 30 10" xfId="7343" xr:uid="{00000000-0005-0000-0000-0000EA190000}"/>
    <cellStyle name="40% - Ênfase3 30 11" xfId="7344" xr:uid="{00000000-0005-0000-0000-0000EB190000}"/>
    <cellStyle name="40% - Ênfase3 30 12" xfId="7345" xr:uid="{00000000-0005-0000-0000-0000EC190000}"/>
    <cellStyle name="40% - Ênfase3 30 13" xfId="7346" xr:uid="{00000000-0005-0000-0000-0000ED190000}"/>
    <cellStyle name="40% - Ênfase3 30 14" xfId="7347" xr:uid="{00000000-0005-0000-0000-0000EE190000}"/>
    <cellStyle name="40% - Ênfase3 30 15" xfId="7348" xr:uid="{00000000-0005-0000-0000-0000EF190000}"/>
    <cellStyle name="40% - Ênfase3 30 16" xfId="7349" xr:uid="{00000000-0005-0000-0000-0000F0190000}"/>
    <cellStyle name="40% - Ênfase3 30 17" xfId="7350" xr:uid="{00000000-0005-0000-0000-0000F1190000}"/>
    <cellStyle name="40% - Ênfase3 30 18" xfId="7351" xr:uid="{00000000-0005-0000-0000-0000F2190000}"/>
    <cellStyle name="40% - Ênfase3 30 19" xfId="7352" xr:uid="{00000000-0005-0000-0000-0000F3190000}"/>
    <cellStyle name="40% - Ênfase3 30 2" xfId="7353" xr:uid="{00000000-0005-0000-0000-0000F4190000}"/>
    <cellStyle name="40% - Ênfase3 30 20" xfId="7354" xr:uid="{00000000-0005-0000-0000-0000F5190000}"/>
    <cellStyle name="40% - Ênfase3 30 3" xfId="7355" xr:uid="{00000000-0005-0000-0000-0000F6190000}"/>
    <cellStyle name="40% - Ênfase3 30 4" xfId="7356" xr:uid="{00000000-0005-0000-0000-0000F7190000}"/>
    <cellStyle name="40% - Ênfase3 30 5" xfId="7357" xr:uid="{00000000-0005-0000-0000-0000F8190000}"/>
    <cellStyle name="40% - Ênfase3 30 6" xfId="7358" xr:uid="{00000000-0005-0000-0000-0000F9190000}"/>
    <cellStyle name="40% - Ênfase3 30 7" xfId="7359" xr:uid="{00000000-0005-0000-0000-0000FA190000}"/>
    <cellStyle name="40% - Ênfase3 30 8" xfId="7360" xr:uid="{00000000-0005-0000-0000-0000FB190000}"/>
    <cellStyle name="40% - Ênfase3 30 9" xfId="7361" xr:uid="{00000000-0005-0000-0000-0000FC190000}"/>
    <cellStyle name="40% - Ênfase3 31" xfId="577" xr:uid="{00000000-0005-0000-0000-0000FD190000}"/>
    <cellStyle name="40% - Ênfase3 31 10" xfId="7362" xr:uid="{00000000-0005-0000-0000-0000FE190000}"/>
    <cellStyle name="40% - Ênfase3 31 11" xfId="7363" xr:uid="{00000000-0005-0000-0000-0000FF190000}"/>
    <cellStyle name="40% - Ênfase3 31 12" xfId="7364" xr:uid="{00000000-0005-0000-0000-0000001A0000}"/>
    <cellStyle name="40% - Ênfase3 31 13" xfId="7365" xr:uid="{00000000-0005-0000-0000-0000011A0000}"/>
    <cellStyle name="40% - Ênfase3 31 14" xfId="7366" xr:uid="{00000000-0005-0000-0000-0000021A0000}"/>
    <cellStyle name="40% - Ênfase3 31 15" xfId="7367" xr:uid="{00000000-0005-0000-0000-0000031A0000}"/>
    <cellStyle name="40% - Ênfase3 31 16" xfId="7368" xr:uid="{00000000-0005-0000-0000-0000041A0000}"/>
    <cellStyle name="40% - Ênfase3 31 17" xfId="7369" xr:uid="{00000000-0005-0000-0000-0000051A0000}"/>
    <cellStyle name="40% - Ênfase3 31 18" xfId="7370" xr:uid="{00000000-0005-0000-0000-0000061A0000}"/>
    <cellStyle name="40% - Ênfase3 31 19" xfId="7371" xr:uid="{00000000-0005-0000-0000-0000071A0000}"/>
    <cellStyle name="40% - Ênfase3 31 2" xfId="7372" xr:uid="{00000000-0005-0000-0000-0000081A0000}"/>
    <cellStyle name="40% - Ênfase3 31 20" xfId="7373" xr:uid="{00000000-0005-0000-0000-0000091A0000}"/>
    <cellStyle name="40% - Ênfase3 31 3" xfId="7374" xr:uid="{00000000-0005-0000-0000-00000A1A0000}"/>
    <cellStyle name="40% - Ênfase3 31 4" xfId="7375" xr:uid="{00000000-0005-0000-0000-00000B1A0000}"/>
    <cellStyle name="40% - Ênfase3 31 5" xfId="7376" xr:uid="{00000000-0005-0000-0000-00000C1A0000}"/>
    <cellStyle name="40% - Ênfase3 31 6" xfId="7377" xr:uid="{00000000-0005-0000-0000-00000D1A0000}"/>
    <cellStyle name="40% - Ênfase3 31 7" xfId="7378" xr:uid="{00000000-0005-0000-0000-00000E1A0000}"/>
    <cellStyle name="40% - Ênfase3 31 8" xfId="7379" xr:uid="{00000000-0005-0000-0000-00000F1A0000}"/>
    <cellStyle name="40% - Ênfase3 31 9" xfId="7380" xr:uid="{00000000-0005-0000-0000-0000101A0000}"/>
    <cellStyle name="40% - Ênfase3 32" xfId="595" xr:uid="{00000000-0005-0000-0000-0000111A0000}"/>
    <cellStyle name="40% - Ênfase3 32 10" xfId="7381" xr:uid="{00000000-0005-0000-0000-0000121A0000}"/>
    <cellStyle name="40% - Ênfase3 32 11" xfId="7382" xr:uid="{00000000-0005-0000-0000-0000131A0000}"/>
    <cellStyle name="40% - Ênfase3 32 12" xfId="7383" xr:uid="{00000000-0005-0000-0000-0000141A0000}"/>
    <cellStyle name="40% - Ênfase3 32 13" xfId="7384" xr:uid="{00000000-0005-0000-0000-0000151A0000}"/>
    <cellStyle name="40% - Ênfase3 32 14" xfId="7385" xr:uid="{00000000-0005-0000-0000-0000161A0000}"/>
    <cellStyle name="40% - Ênfase3 32 15" xfId="7386" xr:uid="{00000000-0005-0000-0000-0000171A0000}"/>
    <cellStyle name="40% - Ênfase3 32 16" xfId="7387" xr:uid="{00000000-0005-0000-0000-0000181A0000}"/>
    <cellStyle name="40% - Ênfase3 32 17" xfId="7388" xr:uid="{00000000-0005-0000-0000-0000191A0000}"/>
    <cellStyle name="40% - Ênfase3 32 18" xfId="7389" xr:uid="{00000000-0005-0000-0000-00001A1A0000}"/>
    <cellStyle name="40% - Ênfase3 32 19" xfId="7390" xr:uid="{00000000-0005-0000-0000-00001B1A0000}"/>
    <cellStyle name="40% - Ênfase3 32 2" xfId="7391" xr:uid="{00000000-0005-0000-0000-00001C1A0000}"/>
    <cellStyle name="40% - Ênfase3 32 20" xfId="7392" xr:uid="{00000000-0005-0000-0000-00001D1A0000}"/>
    <cellStyle name="40% - Ênfase3 32 3" xfId="7393" xr:uid="{00000000-0005-0000-0000-00001E1A0000}"/>
    <cellStyle name="40% - Ênfase3 32 4" xfId="7394" xr:uid="{00000000-0005-0000-0000-00001F1A0000}"/>
    <cellStyle name="40% - Ênfase3 32 5" xfId="7395" xr:uid="{00000000-0005-0000-0000-0000201A0000}"/>
    <cellStyle name="40% - Ênfase3 32 6" xfId="7396" xr:uid="{00000000-0005-0000-0000-0000211A0000}"/>
    <cellStyle name="40% - Ênfase3 32 7" xfId="7397" xr:uid="{00000000-0005-0000-0000-0000221A0000}"/>
    <cellStyle name="40% - Ênfase3 32 8" xfId="7398" xr:uid="{00000000-0005-0000-0000-0000231A0000}"/>
    <cellStyle name="40% - Ênfase3 32 9" xfId="7399" xr:uid="{00000000-0005-0000-0000-0000241A0000}"/>
    <cellStyle name="40% - Ênfase3 33" xfId="613" xr:uid="{00000000-0005-0000-0000-0000251A0000}"/>
    <cellStyle name="40% - Ênfase3 33 10" xfId="7400" xr:uid="{00000000-0005-0000-0000-0000261A0000}"/>
    <cellStyle name="40% - Ênfase3 33 11" xfId="7401" xr:uid="{00000000-0005-0000-0000-0000271A0000}"/>
    <cellStyle name="40% - Ênfase3 33 12" xfId="7402" xr:uid="{00000000-0005-0000-0000-0000281A0000}"/>
    <cellStyle name="40% - Ênfase3 33 13" xfId="7403" xr:uid="{00000000-0005-0000-0000-0000291A0000}"/>
    <cellStyle name="40% - Ênfase3 33 14" xfId="7404" xr:uid="{00000000-0005-0000-0000-00002A1A0000}"/>
    <cellStyle name="40% - Ênfase3 33 15" xfId="7405" xr:uid="{00000000-0005-0000-0000-00002B1A0000}"/>
    <cellStyle name="40% - Ênfase3 33 16" xfId="7406" xr:uid="{00000000-0005-0000-0000-00002C1A0000}"/>
    <cellStyle name="40% - Ênfase3 33 17" xfId="7407" xr:uid="{00000000-0005-0000-0000-00002D1A0000}"/>
    <cellStyle name="40% - Ênfase3 33 18" xfId="7408" xr:uid="{00000000-0005-0000-0000-00002E1A0000}"/>
    <cellStyle name="40% - Ênfase3 33 19" xfId="7409" xr:uid="{00000000-0005-0000-0000-00002F1A0000}"/>
    <cellStyle name="40% - Ênfase3 33 2" xfId="7410" xr:uid="{00000000-0005-0000-0000-0000301A0000}"/>
    <cellStyle name="40% - Ênfase3 33 20" xfId="7411" xr:uid="{00000000-0005-0000-0000-0000311A0000}"/>
    <cellStyle name="40% - Ênfase3 33 3" xfId="7412" xr:uid="{00000000-0005-0000-0000-0000321A0000}"/>
    <cellStyle name="40% - Ênfase3 33 4" xfId="7413" xr:uid="{00000000-0005-0000-0000-0000331A0000}"/>
    <cellStyle name="40% - Ênfase3 33 5" xfId="7414" xr:uid="{00000000-0005-0000-0000-0000341A0000}"/>
    <cellStyle name="40% - Ênfase3 33 6" xfId="7415" xr:uid="{00000000-0005-0000-0000-0000351A0000}"/>
    <cellStyle name="40% - Ênfase3 33 7" xfId="7416" xr:uid="{00000000-0005-0000-0000-0000361A0000}"/>
    <cellStyle name="40% - Ênfase3 33 8" xfId="7417" xr:uid="{00000000-0005-0000-0000-0000371A0000}"/>
    <cellStyle name="40% - Ênfase3 33 9" xfId="7418" xr:uid="{00000000-0005-0000-0000-0000381A0000}"/>
    <cellStyle name="40% - Ênfase3 34" xfId="631" xr:uid="{00000000-0005-0000-0000-0000391A0000}"/>
    <cellStyle name="40% - Ênfase3 34 10" xfId="7419" xr:uid="{00000000-0005-0000-0000-00003A1A0000}"/>
    <cellStyle name="40% - Ênfase3 34 11" xfId="7420" xr:uid="{00000000-0005-0000-0000-00003B1A0000}"/>
    <cellStyle name="40% - Ênfase3 34 12" xfId="7421" xr:uid="{00000000-0005-0000-0000-00003C1A0000}"/>
    <cellStyle name="40% - Ênfase3 34 13" xfId="7422" xr:uid="{00000000-0005-0000-0000-00003D1A0000}"/>
    <cellStyle name="40% - Ênfase3 34 14" xfId="7423" xr:uid="{00000000-0005-0000-0000-00003E1A0000}"/>
    <cellStyle name="40% - Ênfase3 34 15" xfId="7424" xr:uid="{00000000-0005-0000-0000-00003F1A0000}"/>
    <cellStyle name="40% - Ênfase3 34 16" xfId="7425" xr:uid="{00000000-0005-0000-0000-0000401A0000}"/>
    <cellStyle name="40% - Ênfase3 34 17" xfId="7426" xr:uid="{00000000-0005-0000-0000-0000411A0000}"/>
    <cellStyle name="40% - Ênfase3 34 18" xfId="7427" xr:uid="{00000000-0005-0000-0000-0000421A0000}"/>
    <cellStyle name="40% - Ênfase3 34 19" xfId="7428" xr:uid="{00000000-0005-0000-0000-0000431A0000}"/>
    <cellStyle name="40% - Ênfase3 34 2" xfId="7429" xr:uid="{00000000-0005-0000-0000-0000441A0000}"/>
    <cellStyle name="40% - Ênfase3 34 20" xfId="7430" xr:uid="{00000000-0005-0000-0000-0000451A0000}"/>
    <cellStyle name="40% - Ênfase3 34 3" xfId="7431" xr:uid="{00000000-0005-0000-0000-0000461A0000}"/>
    <cellStyle name="40% - Ênfase3 34 4" xfId="7432" xr:uid="{00000000-0005-0000-0000-0000471A0000}"/>
    <cellStyle name="40% - Ênfase3 34 5" xfId="7433" xr:uid="{00000000-0005-0000-0000-0000481A0000}"/>
    <cellStyle name="40% - Ênfase3 34 6" xfId="7434" xr:uid="{00000000-0005-0000-0000-0000491A0000}"/>
    <cellStyle name="40% - Ênfase3 34 7" xfId="7435" xr:uid="{00000000-0005-0000-0000-00004A1A0000}"/>
    <cellStyle name="40% - Ênfase3 34 8" xfId="7436" xr:uid="{00000000-0005-0000-0000-00004B1A0000}"/>
    <cellStyle name="40% - Ênfase3 34 9" xfId="7437" xr:uid="{00000000-0005-0000-0000-00004C1A0000}"/>
    <cellStyle name="40% - Ênfase3 35" xfId="649" xr:uid="{00000000-0005-0000-0000-00004D1A0000}"/>
    <cellStyle name="40% - Ênfase3 35 10" xfId="7438" xr:uid="{00000000-0005-0000-0000-00004E1A0000}"/>
    <cellStyle name="40% - Ênfase3 35 11" xfId="7439" xr:uid="{00000000-0005-0000-0000-00004F1A0000}"/>
    <cellStyle name="40% - Ênfase3 35 12" xfId="7440" xr:uid="{00000000-0005-0000-0000-0000501A0000}"/>
    <cellStyle name="40% - Ênfase3 35 13" xfId="7441" xr:uid="{00000000-0005-0000-0000-0000511A0000}"/>
    <cellStyle name="40% - Ênfase3 35 14" xfId="7442" xr:uid="{00000000-0005-0000-0000-0000521A0000}"/>
    <cellStyle name="40% - Ênfase3 35 15" xfId="7443" xr:uid="{00000000-0005-0000-0000-0000531A0000}"/>
    <cellStyle name="40% - Ênfase3 35 16" xfId="7444" xr:uid="{00000000-0005-0000-0000-0000541A0000}"/>
    <cellStyle name="40% - Ênfase3 35 17" xfId="7445" xr:uid="{00000000-0005-0000-0000-0000551A0000}"/>
    <cellStyle name="40% - Ênfase3 35 18" xfId="7446" xr:uid="{00000000-0005-0000-0000-0000561A0000}"/>
    <cellStyle name="40% - Ênfase3 35 19" xfId="7447" xr:uid="{00000000-0005-0000-0000-0000571A0000}"/>
    <cellStyle name="40% - Ênfase3 35 2" xfId="7448" xr:uid="{00000000-0005-0000-0000-0000581A0000}"/>
    <cellStyle name="40% - Ênfase3 35 20" xfId="7449" xr:uid="{00000000-0005-0000-0000-0000591A0000}"/>
    <cellStyle name="40% - Ênfase3 35 3" xfId="7450" xr:uid="{00000000-0005-0000-0000-00005A1A0000}"/>
    <cellStyle name="40% - Ênfase3 35 4" xfId="7451" xr:uid="{00000000-0005-0000-0000-00005B1A0000}"/>
    <cellStyle name="40% - Ênfase3 35 5" xfId="7452" xr:uid="{00000000-0005-0000-0000-00005C1A0000}"/>
    <cellStyle name="40% - Ênfase3 35 6" xfId="7453" xr:uid="{00000000-0005-0000-0000-00005D1A0000}"/>
    <cellStyle name="40% - Ênfase3 35 7" xfId="7454" xr:uid="{00000000-0005-0000-0000-00005E1A0000}"/>
    <cellStyle name="40% - Ênfase3 35 8" xfId="7455" xr:uid="{00000000-0005-0000-0000-00005F1A0000}"/>
    <cellStyle name="40% - Ênfase3 35 9" xfId="7456" xr:uid="{00000000-0005-0000-0000-0000601A0000}"/>
    <cellStyle name="40% - Ênfase3 36" xfId="667" xr:uid="{00000000-0005-0000-0000-0000611A0000}"/>
    <cellStyle name="40% - Ênfase3 36 10" xfId="7457" xr:uid="{00000000-0005-0000-0000-0000621A0000}"/>
    <cellStyle name="40% - Ênfase3 36 11" xfId="7458" xr:uid="{00000000-0005-0000-0000-0000631A0000}"/>
    <cellStyle name="40% - Ênfase3 36 12" xfId="7459" xr:uid="{00000000-0005-0000-0000-0000641A0000}"/>
    <cellStyle name="40% - Ênfase3 36 13" xfId="7460" xr:uid="{00000000-0005-0000-0000-0000651A0000}"/>
    <cellStyle name="40% - Ênfase3 36 14" xfId="7461" xr:uid="{00000000-0005-0000-0000-0000661A0000}"/>
    <cellStyle name="40% - Ênfase3 36 15" xfId="7462" xr:uid="{00000000-0005-0000-0000-0000671A0000}"/>
    <cellStyle name="40% - Ênfase3 36 16" xfId="7463" xr:uid="{00000000-0005-0000-0000-0000681A0000}"/>
    <cellStyle name="40% - Ênfase3 36 17" xfId="7464" xr:uid="{00000000-0005-0000-0000-0000691A0000}"/>
    <cellStyle name="40% - Ênfase3 36 18" xfId="7465" xr:uid="{00000000-0005-0000-0000-00006A1A0000}"/>
    <cellStyle name="40% - Ênfase3 36 19" xfId="7466" xr:uid="{00000000-0005-0000-0000-00006B1A0000}"/>
    <cellStyle name="40% - Ênfase3 36 2" xfId="7467" xr:uid="{00000000-0005-0000-0000-00006C1A0000}"/>
    <cellStyle name="40% - Ênfase3 36 20" xfId="7468" xr:uid="{00000000-0005-0000-0000-00006D1A0000}"/>
    <cellStyle name="40% - Ênfase3 36 3" xfId="7469" xr:uid="{00000000-0005-0000-0000-00006E1A0000}"/>
    <cellStyle name="40% - Ênfase3 36 4" xfId="7470" xr:uid="{00000000-0005-0000-0000-00006F1A0000}"/>
    <cellStyle name="40% - Ênfase3 36 5" xfId="7471" xr:uid="{00000000-0005-0000-0000-0000701A0000}"/>
    <cellStyle name="40% - Ênfase3 36 6" xfId="7472" xr:uid="{00000000-0005-0000-0000-0000711A0000}"/>
    <cellStyle name="40% - Ênfase3 36 7" xfId="7473" xr:uid="{00000000-0005-0000-0000-0000721A0000}"/>
    <cellStyle name="40% - Ênfase3 36 8" xfId="7474" xr:uid="{00000000-0005-0000-0000-0000731A0000}"/>
    <cellStyle name="40% - Ênfase3 36 9" xfId="7475" xr:uid="{00000000-0005-0000-0000-0000741A0000}"/>
    <cellStyle name="40% - Ênfase3 37" xfId="685" xr:uid="{00000000-0005-0000-0000-0000751A0000}"/>
    <cellStyle name="40% - Ênfase3 37 10" xfId="7476" xr:uid="{00000000-0005-0000-0000-0000761A0000}"/>
    <cellStyle name="40% - Ênfase3 37 11" xfId="7477" xr:uid="{00000000-0005-0000-0000-0000771A0000}"/>
    <cellStyle name="40% - Ênfase3 37 12" xfId="7478" xr:uid="{00000000-0005-0000-0000-0000781A0000}"/>
    <cellStyle name="40% - Ênfase3 37 13" xfId="7479" xr:uid="{00000000-0005-0000-0000-0000791A0000}"/>
    <cellStyle name="40% - Ênfase3 37 14" xfId="7480" xr:uid="{00000000-0005-0000-0000-00007A1A0000}"/>
    <cellStyle name="40% - Ênfase3 37 15" xfId="7481" xr:uid="{00000000-0005-0000-0000-00007B1A0000}"/>
    <cellStyle name="40% - Ênfase3 37 16" xfId="7482" xr:uid="{00000000-0005-0000-0000-00007C1A0000}"/>
    <cellStyle name="40% - Ênfase3 37 17" xfId="7483" xr:uid="{00000000-0005-0000-0000-00007D1A0000}"/>
    <cellStyle name="40% - Ênfase3 37 18" xfId="7484" xr:uid="{00000000-0005-0000-0000-00007E1A0000}"/>
    <cellStyle name="40% - Ênfase3 37 19" xfId="7485" xr:uid="{00000000-0005-0000-0000-00007F1A0000}"/>
    <cellStyle name="40% - Ênfase3 37 2" xfId="7486" xr:uid="{00000000-0005-0000-0000-0000801A0000}"/>
    <cellStyle name="40% - Ênfase3 37 20" xfId="7487" xr:uid="{00000000-0005-0000-0000-0000811A0000}"/>
    <cellStyle name="40% - Ênfase3 37 3" xfId="7488" xr:uid="{00000000-0005-0000-0000-0000821A0000}"/>
    <cellStyle name="40% - Ênfase3 37 4" xfId="7489" xr:uid="{00000000-0005-0000-0000-0000831A0000}"/>
    <cellStyle name="40% - Ênfase3 37 5" xfId="7490" xr:uid="{00000000-0005-0000-0000-0000841A0000}"/>
    <cellStyle name="40% - Ênfase3 37 6" xfId="7491" xr:uid="{00000000-0005-0000-0000-0000851A0000}"/>
    <cellStyle name="40% - Ênfase3 37 7" xfId="7492" xr:uid="{00000000-0005-0000-0000-0000861A0000}"/>
    <cellStyle name="40% - Ênfase3 37 8" xfId="7493" xr:uid="{00000000-0005-0000-0000-0000871A0000}"/>
    <cellStyle name="40% - Ênfase3 37 9" xfId="7494" xr:uid="{00000000-0005-0000-0000-0000881A0000}"/>
    <cellStyle name="40% - Ênfase3 38" xfId="703" xr:uid="{00000000-0005-0000-0000-0000891A0000}"/>
    <cellStyle name="40% - Ênfase3 39" xfId="720" xr:uid="{00000000-0005-0000-0000-00008A1A0000}"/>
    <cellStyle name="40% - Ênfase3 4" xfId="104" xr:uid="{00000000-0005-0000-0000-00008B1A0000}"/>
    <cellStyle name="40% - Ênfase3 4 10" xfId="7495" xr:uid="{00000000-0005-0000-0000-00008C1A0000}"/>
    <cellStyle name="40% - Ênfase3 4 11" xfId="7496" xr:uid="{00000000-0005-0000-0000-00008D1A0000}"/>
    <cellStyle name="40% - Ênfase3 4 12" xfId="7497" xr:uid="{00000000-0005-0000-0000-00008E1A0000}"/>
    <cellStyle name="40% - Ênfase3 4 13" xfId="7498" xr:uid="{00000000-0005-0000-0000-00008F1A0000}"/>
    <cellStyle name="40% - Ênfase3 4 14" xfId="7499" xr:uid="{00000000-0005-0000-0000-0000901A0000}"/>
    <cellStyle name="40% - Ênfase3 4 15" xfId="7500" xr:uid="{00000000-0005-0000-0000-0000911A0000}"/>
    <cellStyle name="40% - Ênfase3 4 16" xfId="7501" xr:uid="{00000000-0005-0000-0000-0000921A0000}"/>
    <cellStyle name="40% - Ênfase3 4 17" xfId="7502" xr:uid="{00000000-0005-0000-0000-0000931A0000}"/>
    <cellStyle name="40% - Ênfase3 4 18" xfId="7503" xr:uid="{00000000-0005-0000-0000-0000941A0000}"/>
    <cellStyle name="40% - Ênfase3 4 19" xfId="7504" xr:uid="{00000000-0005-0000-0000-0000951A0000}"/>
    <cellStyle name="40% - Ênfase3 4 2" xfId="7505" xr:uid="{00000000-0005-0000-0000-0000961A0000}"/>
    <cellStyle name="40% - Ênfase3 4 20" xfId="7506" xr:uid="{00000000-0005-0000-0000-0000971A0000}"/>
    <cellStyle name="40% - Ênfase3 4 3" xfId="7507" xr:uid="{00000000-0005-0000-0000-0000981A0000}"/>
    <cellStyle name="40% - Ênfase3 4 4" xfId="7508" xr:uid="{00000000-0005-0000-0000-0000991A0000}"/>
    <cellStyle name="40% - Ênfase3 4 5" xfId="7509" xr:uid="{00000000-0005-0000-0000-00009A1A0000}"/>
    <cellStyle name="40% - Ênfase3 4 6" xfId="7510" xr:uid="{00000000-0005-0000-0000-00009B1A0000}"/>
    <cellStyle name="40% - Ênfase3 4 7" xfId="7511" xr:uid="{00000000-0005-0000-0000-00009C1A0000}"/>
    <cellStyle name="40% - Ênfase3 4 8" xfId="7512" xr:uid="{00000000-0005-0000-0000-00009D1A0000}"/>
    <cellStyle name="40% - Ênfase3 4 9" xfId="7513" xr:uid="{00000000-0005-0000-0000-00009E1A0000}"/>
    <cellStyle name="40% - Ênfase3 40" xfId="682" xr:uid="{00000000-0005-0000-0000-00009F1A0000}"/>
    <cellStyle name="40% - Ênfase3 41" xfId="757" xr:uid="{00000000-0005-0000-0000-0000A01A0000}"/>
    <cellStyle name="40% - Ênfase3 42" xfId="775" xr:uid="{00000000-0005-0000-0000-0000A11A0000}"/>
    <cellStyle name="40% - Ênfase3 43" xfId="793" xr:uid="{00000000-0005-0000-0000-0000A21A0000}"/>
    <cellStyle name="40% - Ênfase3 44" xfId="811" xr:uid="{00000000-0005-0000-0000-0000A31A0000}"/>
    <cellStyle name="40% - Ênfase3 45" xfId="829" xr:uid="{00000000-0005-0000-0000-0000A41A0000}"/>
    <cellStyle name="40% - Ênfase3 46" xfId="847" xr:uid="{00000000-0005-0000-0000-0000A51A0000}"/>
    <cellStyle name="40% - Ênfase3 47" xfId="865" xr:uid="{00000000-0005-0000-0000-0000A61A0000}"/>
    <cellStyle name="40% - Ênfase3 48" xfId="883" xr:uid="{00000000-0005-0000-0000-0000A71A0000}"/>
    <cellStyle name="40% - Ênfase3 49" xfId="901" xr:uid="{00000000-0005-0000-0000-0000A81A0000}"/>
    <cellStyle name="40% - Ênfase3 5" xfId="121" xr:uid="{00000000-0005-0000-0000-0000A91A0000}"/>
    <cellStyle name="40% - Ênfase3 5 10" xfId="7514" xr:uid="{00000000-0005-0000-0000-0000AA1A0000}"/>
    <cellStyle name="40% - Ênfase3 5 11" xfId="7515" xr:uid="{00000000-0005-0000-0000-0000AB1A0000}"/>
    <cellStyle name="40% - Ênfase3 5 12" xfId="7516" xr:uid="{00000000-0005-0000-0000-0000AC1A0000}"/>
    <cellStyle name="40% - Ênfase3 5 13" xfId="7517" xr:uid="{00000000-0005-0000-0000-0000AD1A0000}"/>
    <cellStyle name="40% - Ênfase3 5 14" xfId="7518" xr:uid="{00000000-0005-0000-0000-0000AE1A0000}"/>
    <cellStyle name="40% - Ênfase3 5 15" xfId="7519" xr:uid="{00000000-0005-0000-0000-0000AF1A0000}"/>
    <cellStyle name="40% - Ênfase3 5 16" xfId="7520" xr:uid="{00000000-0005-0000-0000-0000B01A0000}"/>
    <cellStyle name="40% - Ênfase3 5 17" xfId="7521" xr:uid="{00000000-0005-0000-0000-0000B11A0000}"/>
    <cellStyle name="40% - Ênfase3 5 18" xfId="7522" xr:uid="{00000000-0005-0000-0000-0000B21A0000}"/>
    <cellStyle name="40% - Ênfase3 5 19" xfId="7523" xr:uid="{00000000-0005-0000-0000-0000B31A0000}"/>
    <cellStyle name="40% - Ênfase3 5 2" xfId="7524" xr:uid="{00000000-0005-0000-0000-0000B41A0000}"/>
    <cellStyle name="40% - Ênfase3 5 20" xfId="7525" xr:uid="{00000000-0005-0000-0000-0000B51A0000}"/>
    <cellStyle name="40% - Ênfase3 5 3" xfId="7526" xr:uid="{00000000-0005-0000-0000-0000B61A0000}"/>
    <cellStyle name="40% - Ênfase3 5 4" xfId="7527" xr:uid="{00000000-0005-0000-0000-0000B71A0000}"/>
    <cellStyle name="40% - Ênfase3 5 5" xfId="7528" xr:uid="{00000000-0005-0000-0000-0000B81A0000}"/>
    <cellStyle name="40% - Ênfase3 5 6" xfId="7529" xr:uid="{00000000-0005-0000-0000-0000B91A0000}"/>
    <cellStyle name="40% - Ênfase3 5 7" xfId="7530" xr:uid="{00000000-0005-0000-0000-0000BA1A0000}"/>
    <cellStyle name="40% - Ênfase3 5 8" xfId="7531" xr:uid="{00000000-0005-0000-0000-0000BB1A0000}"/>
    <cellStyle name="40% - Ênfase3 5 9" xfId="7532" xr:uid="{00000000-0005-0000-0000-0000BC1A0000}"/>
    <cellStyle name="40% - Ênfase3 50" xfId="914" xr:uid="{00000000-0005-0000-0000-0000BD1A0000}"/>
    <cellStyle name="40% - Ênfase3 51" xfId="937" xr:uid="{00000000-0005-0000-0000-0000BE1A0000}"/>
    <cellStyle name="40% - Ênfase3 52" xfId="955" xr:uid="{00000000-0005-0000-0000-0000BF1A0000}"/>
    <cellStyle name="40% - Ênfase3 53" xfId="973" xr:uid="{00000000-0005-0000-0000-0000C01A0000}"/>
    <cellStyle name="40% - Ênfase3 54" xfId="991" xr:uid="{00000000-0005-0000-0000-0000C11A0000}"/>
    <cellStyle name="40% - Ênfase3 55" xfId="1009" xr:uid="{00000000-0005-0000-0000-0000C21A0000}"/>
    <cellStyle name="40% - Ênfase3 56" xfId="1026" xr:uid="{00000000-0005-0000-0000-0000C31A0000}"/>
    <cellStyle name="40% - Ênfase3 57" xfId="1039" xr:uid="{00000000-0005-0000-0000-0000C41A0000}"/>
    <cellStyle name="40% - Ênfase3 58" xfId="1062" xr:uid="{00000000-0005-0000-0000-0000C51A0000}"/>
    <cellStyle name="40% - Ênfase3 59" xfId="1075" xr:uid="{00000000-0005-0000-0000-0000C61A0000}"/>
    <cellStyle name="40% - Ênfase3 6" xfId="138" xr:uid="{00000000-0005-0000-0000-0000C71A0000}"/>
    <cellStyle name="40% - Ênfase3 6 10" xfId="7533" xr:uid="{00000000-0005-0000-0000-0000C81A0000}"/>
    <cellStyle name="40% - Ênfase3 6 11" xfId="7534" xr:uid="{00000000-0005-0000-0000-0000C91A0000}"/>
    <cellStyle name="40% - Ênfase3 6 12" xfId="7535" xr:uid="{00000000-0005-0000-0000-0000CA1A0000}"/>
    <cellStyle name="40% - Ênfase3 6 13" xfId="7536" xr:uid="{00000000-0005-0000-0000-0000CB1A0000}"/>
    <cellStyle name="40% - Ênfase3 6 14" xfId="7537" xr:uid="{00000000-0005-0000-0000-0000CC1A0000}"/>
    <cellStyle name="40% - Ênfase3 6 15" xfId="7538" xr:uid="{00000000-0005-0000-0000-0000CD1A0000}"/>
    <cellStyle name="40% - Ênfase3 6 16" xfId="7539" xr:uid="{00000000-0005-0000-0000-0000CE1A0000}"/>
    <cellStyle name="40% - Ênfase3 6 17" xfId="7540" xr:uid="{00000000-0005-0000-0000-0000CF1A0000}"/>
    <cellStyle name="40% - Ênfase3 6 18" xfId="7541" xr:uid="{00000000-0005-0000-0000-0000D01A0000}"/>
    <cellStyle name="40% - Ênfase3 6 19" xfId="7542" xr:uid="{00000000-0005-0000-0000-0000D11A0000}"/>
    <cellStyle name="40% - Ênfase3 6 2" xfId="7543" xr:uid="{00000000-0005-0000-0000-0000D21A0000}"/>
    <cellStyle name="40% - Ênfase3 6 20" xfId="7544" xr:uid="{00000000-0005-0000-0000-0000D31A0000}"/>
    <cellStyle name="40% - Ênfase3 6 3" xfId="7545" xr:uid="{00000000-0005-0000-0000-0000D41A0000}"/>
    <cellStyle name="40% - Ênfase3 6 4" xfId="7546" xr:uid="{00000000-0005-0000-0000-0000D51A0000}"/>
    <cellStyle name="40% - Ênfase3 6 5" xfId="7547" xr:uid="{00000000-0005-0000-0000-0000D61A0000}"/>
    <cellStyle name="40% - Ênfase3 6 6" xfId="7548" xr:uid="{00000000-0005-0000-0000-0000D71A0000}"/>
    <cellStyle name="40% - Ênfase3 6 7" xfId="7549" xr:uid="{00000000-0005-0000-0000-0000D81A0000}"/>
    <cellStyle name="40% - Ênfase3 6 8" xfId="7550" xr:uid="{00000000-0005-0000-0000-0000D91A0000}"/>
    <cellStyle name="40% - Ênfase3 6 9" xfId="7551" xr:uid="{00000000-0005-0000-0000-0000DA1A0000}"/>
    <cellStyle name="40% - Ênfase3 60" xfId="1098" xr:uid="{00000000-0005-0000-0000-0000DB1A0000}"/>
    <cellStyle name="40% - Ênfase3 61" xfId="1116" xr:uid="{00000000-0005-0000-0000-0000DC1A0000}"/>
    <cellStyle name="40% - Ênfase3 62" xfId="1134" xr:uid="{00000000-0005-0000-0000-0000DD1A0000}"/>
    <cellStyle name="40% - Ênfase3 63" xfId="1151" xr:uid="{00000000-0005-0000-0000-0000DE1A0000}"/>
    <cellStyle name="40% - Ênfase3 64" xfId="1164" xr:uid="{00000000-0005-0000-0000-0000DF1A0000}"/>
    <cellStyle name="40% - Ênfase3 65" xfId="1187" xr:uid="{00000000-0005-0000-0000-0000E01A0000}"/>
    <cellStyle name="40% - Ênfase3 66" xfId="1205" xr:uid="{00000000-0005-0000-0000-0000E11A0000}"/>
    <cellStyle name="40% - Ênfase3 67" xfId="1221" xr:uid="{00000000-0005-0000-0000-0000E21A0000}"/>
    <cellStyle name="40% - Ênfase3 68" xfId="1238" xr:uid="{00000000-0005-0000-0000-0000E31A0000}"/>
    <cellStyle name="40% - Ênfase3 69" xfId="1212" xr:uid="{00000000-0005-0000-0000-0000E41A0000}"/>
    <cellStyle name="40% - Ênfase3 7" xfId="155" xr:uid="{00000000-0005-0000-0000-0000E51A0000}"/>
    <cellStyle name="40% - Ênfase3 7 10" xfId="7552" xr:uid="{00000000-0005-0000-0000-0000E61A0000}"/>
    <cellStyle name="40% - Ênfase3 7 11" xfId="7553" xr:uid="{00000000-0005-0000-0000-0000E71A0000}"/>
    <cellStyle name="40% - Ênfase3 7 12" xfId="7554" xr:uid="{00000000-0005-0000-0000-0000E81A0000}"/>
    <cellStyle name="40% - Ênfase3 7 13" xfId="7555" xr:uid="{00000000-0005-0000-0000-0000E91A0000}"/>
    <cellStyle name="40% - Ênfase3 7 14" xfId="7556" xr:uid="{00000000-0005-0000-0000-0000EA1A0000}"/>
    <cellStyle name="40% - Ênfase3 7 15" xfId="7557" xr:uid="{00000000-0005-0000-0000-0000EB1A0000}"/>
    <cellStyle name="40% - Ênfase3 7 16" xfId="7558" xr:uid="{00000000-0005-0000-0000-0000EC1A0000}"/>
    <cellStyle name="40% - Ênfase3 7 17" xfId="7559" xr:uid="{00000000-0005-0000-0000-0000ED1A0000}"/>
    <cellStyle name="40% - Ênfase3 7 18" xfId="7560" xr:uid="{00000000-0005-0000-0000-0000EE1A0000}"/>
    <cellStyle name="40% - Ênfase3 7 19" xfId="7561" xr:uid="{00000000-0005-0000-0000-0000EF1A0000}"/>
    <cellStyle name="40% - Ênfase3 7 2" xfId="7562" xr:uid="{00000000-0005-0000-0000-0000F01A0000}"/>
    <cellStyle name="40% - Ênfase3 7 20" xfId="7563" xr:uid="{00000000-0005-0000-0000-0000F11A0000}"/>
    <cellStyle name="40% - Ênfase3 7 3" xfId="7564" xr:uid="{00000000-0005-0000-0000-0000F21A0000}"/>
    <cellStyle name="40% - Ênfase3 7 4" xfId="7565" xr:uid="{00000000-0005-0000-0000-0000F31A0000}"/>
    <cellStyle name="40% - Ênfase3 7 5" xfId="7566" xr:uid="{00000000-0005-0000-0000-0000F41A0000}"/>
    <cellStyle name="40% - Ênfase3 7 6" xfId="7567" xr:uid="{00000000-0005-0000-0000-0000F51A0000}"/>
    <cellStyle name="40% - Ênfase3 7 7" xfId="7568" xr:uid="{00000000-0005-0000-0000-0000F61A0000}"/>
    <cellStyle name="40% - Ênfase3 7 8" xfId="7569" xr:uid="{00000000-0005-0000-0000-0000F71A0000}"/>
    <cellStyle name="40% - Ênfase3 7 9" xfId="7570" xr:uid="{00000000-0005-0000-0000-0000F81A0000}"/>
    <cellStyle name="40% - Ênfase3 70" xfId="1270" xr:uid="{00000000-0005-0000-0000-0000F91A0000}"/>
    <cellStyle name="40% - Ênfase3 71" xfId="1282" xr:uid="{00000000-0005-0000-0000-0000FA1A0000}"/>
    <cellStyle name="40% - Ênfase3 72" xfId="7571" xr:uid="{00000000-0005-0000-0000-0000FB1A0000}"/>
    <cellStyle name="40% - Ênfase3 73" xfId="7572" xr:uid="{00000000-0005-0000-0000-0000FC1A0000}"/>
    <cellStyle name="40% - Ênfase3 74" xfId="7573" xr:uid="{00000000-0005-0000-0000-0000FD1A0000}"/>
    <cellStyle name="40% - Ênfase3 75" xfId="7574" xr:uid="{00000000-0005-0000-0000-0000FE1A0000}"/>
    <cellStyle name="40% - Ênfase3 76" xfId="7575" xr:uid="{00000000-0005-0000-0000-0000FF1A0000}"/>
    <cellStyle name="40% - Ênfase3 77" xfId="7576" xr:uid="{00000000-0005-0000-0000-0000001B0000}"/>
    <cellStyle name="40% - Ênfase3 78" xfId="7577" xr:uid="{00000000-0005-0000-0000-0000011B0000}"/>
    <cellStyle name="40% - Ênfase3 79" xfId="7578" xr:uid="{00000000-0005-0000-0000-0000021B0000}"/>
    <cellStyle name="40% - Ênfase3 8" xfId="172" xr:uid="{00000000-0005-0000-0000-0000031B0000}"/>
    <cellStyle name="40% - Ênfase3 8 10" xfId="7579" xr:uid="{00000000-0005-0000-0000-0000041B0000}"/>
    <cellStyle name="40% - Ênfase3 8 11" xfId="7580" xr:uid="{00000000-0005-0000-0000-0000051B0000}"/>
    <cellStyle name="40% - Ênfase3 8 12" xfId="7581" xr:uid="{00000000-0005-0000-0000-0000061B0000}"/>
    <cellStyle name="40% - Ênfase3 8 13" xfId="7582" xr:uid="{00000000-0005-0000-0000-0000071B0000}"/>
    <cellStyle name="40% - Ênfase3 8 14" xfId="7583" xr:uid="{00000000-0005-0000-0000-0000081B0000}"/>
    <cellStyle name="40% - Ênfase3 8 15" xfId="7584" xr:uid="{00000000-0005-0000-0000-0000091B0000}"/>
    <cellStyle name="40% - Ênfase3 8 16" xfId="7585" xr:uid="{00000000-0005-0000-0000-00000A1B0000}"/>
    <cellStyle name="40% - Ênfase3 8 17" xfId="7586" xr:uid="{00000000-0005-0000-0000-00000B1B0000}"/>
    <cellStyle name="40% - Ênfase3 8 18" xfId="7587" xr:uid="{00000000-0005-0000-0000-00000C1B0000}"/>
    <cellStyle name="40% - Ênfase3 8 19" xfId="7588" xr:uid="{00000000-0005-0000-0000-00000D1B0000}"/>
    <cellStyle name="40% - Ênfase3 8 2" xfId="7589" xr:uid="{00000000-0005-0000-0000-00000E1B0000}"/>
    <cellStyle name="40% - Ênfase3 8 20" xfId="7590" xr:uid="{00000000-0005-0000-0000-00000F1B0000}"/>
    <cellStyle name="40% - Ênfase3 8 3" xfId="7591" xr:uid="{00000000-0005-0000-0000-0000101B0000}"/>
    <cellStyle name="40% - Ênfase3 8 4" xfId="7592" xr:uid="{00000000-0005-0000-0000-0000111B0000}"/>
    <cellStyle name="40% - Ênfase3 8 5" xfId="7593" xr:uid="{00000000-0005-0000-0000-0000121B0000}"/>
    <cellStyle name="40% - Ênfase3 8 6" xfId="7594" xr:uid="{00000000-0005-0000-0000-0000131B0000}"/>
    <cellStyle name="40% - Ênfase3 8 7" xfId="7595" xr:uid="{00000000-0005-0000-0000-0000141B0000}"/>
    <cellStyle name="40% - Ênfase3 8 8" xfId="7596" xr:uid="{00000000-0005-0000-0000-0000151B0000}"/>
    <cellStyle name="40% - Ênfase3 8 9" xfId="7597" xr:uid="{00000000-0005-0000-0000-0000161B0000}"/>
    <cellStyle name="40% - Ênfase3 80" xfId="7598" xr:uid="{00000000-0005-0000-0000-0000171B0000}"/>
    <cellStyle name="40% - Ênfase3 81" xfId="7599" xr:uid="{00000000-0005-0000-0000-0000181B0000}"/>
    <cellStyle name="40% - Ênfase3 82" xfId="7600" xr:uid="{00000000-0005-0000-0000-0000191B0000}"/>
    <cellStyle name="40% - Ênfase3 83" xfId="7601" xr:uid="{00000000-0005-0000-0000-00001A1B0000}"/>
    <cellStyle name="40% - Ênfase3 84" xfId="7602" xr:uid="{00000000-0005-0000-0000-00001B1B0000}"/>
    <cellStyle name="40% - Ênfase3 85" xfId="7603" xr:uid="{00000000-0005-0000-0000-00001C1B0000}"/>
    <cellStyle name="40% - Ênfase3 86" xfId="7604" xr:uid="{00000000-0005-0000-0000-00001D1B0000}"/>
    <cellStyle name="40% - Ênfase3 87" xfId="7605" xr:uid="{00000000-0005-0000-0000-00001E1B0000}"/>
    <cellStyle name="40% - Ênfase3 88" xfId="7606" xr:uid="{00000000-0005-0000-0000-00001F1B0000}"/>
    <cellStyle name="40% - Ênfase3 89" xfId="7607" xr:uid="{00000000-0005-0000-0000-0000201B0000}"/>
    <cellStyle name="40% - Ênfase3 9" xfId="189" xr:uid="{00000000-0005-0000-0000-0000211B0000}"/>
    <cellStyle name="40% - Ênfase3 9 10" xfId="7608" xr:uid="{00000000-0005-0000-0000-0000221B0000}"/>
    <cellStyle name="40% - Ênfase3 9 11" xfId="7609" xr:uid="{00000000-0005-0000-0000-0000231B0000}"/>
    <cellStyle name="40% - Ênfase3 9 12" xfId="7610" xr:uid="{00000000-0005-0000-0000-0000241B0000}"/>
    <cellStyle name="40% - Ênfase3 9 13" xfId="7611" xr:uid="{00000000-0005-0000-0000-0000251B0000}"/>
    <cellStyle name="40% - Ênfase3 9 14" xfId="7612" xr:uid="{00000000-0005-0000-0000-0000261B0000}"/>
    <cellStyle name="40% - Ênfase3 9 15" xfId="7613" xr:uid="{00000000-0005-0000-0000-0000271B0000}"/>
    <cellStyle name="40% - Ênfase3 9 16" xfId="7614" xr:uid="{00000000-0005-0000-0000-0000281B0000}"/>
    <cellStyle name="40% - Ênfase3 9 17" xfId="7615" xr:uid="{00000000-0005-0000-0000-0000291B0000}"/>
    <cellStyle name="40% - Ênfase3 9 18" xfId="7616" xr:uid="{00000000-0005-0000-0000-00002A1B0000}"/>
    <cellStyle name="40% - Ênfase3 9 19" xfId="7617" xr:uid="{00000000-0005-0000-0000-00002B1B0000}"/>
    <cellStyle name="40% - Ênfase3 9 2" xfId="7618" xr:uid="{00000000-0005-0000-0000-00002C1B0000}"/>
    <cellStyle name="40% - Ênfase3 9 20" xfId="7619" xr:uid="{00000000-0005-0000-0000-00002D1B0000}"/>
    <cellStyle name="40% - Ênfase3 9 3" xfId="7620" xr:uid="{00000000-0005-0000-0000-00002E1B0000}"/>
    <cellStyle name="40% - Ênfase3 9 4" xfId="7621" xr:uid="{00000000-0005-0000-0000-00002F1B0000}"/>
    <cellStyle name="40% - Ênfase3 9 5" xfId="7622" xr:uid="{00000000-0005-0000-0000-0000301B0000}"/>
    <cellStyle name="40% - Ênfase3 9 6" xfId="7623" xr:uid="{00000000-0005-0000-0000-0000311B0000}"/>
    <cellStyle name="40% - Ênfase3 9 7" xfId="7624" xr:uid="{00000000-0005-0000-0000-0000321B0000}"/>
    <cellStyle name="40% - Ênfase3 9 8" xfId="7625" xr:uid="{00000000-0005-0000-0000-0000331B0000}"/>
    <cellStyle name="40% - Ênfase3 9 9" xfId="7626" xr:uid="{00000000-0005-0000-0000-0000341B0000}"/>
    <cellStyle name="40% - Ênfase3 90" xfId="7627" xr:uid="{00000000-0005-0000-0000-0000351B0000}"/>
    <cellStyle name="40% - Ênfase4" xfId="32" builtinId="43" customBuiltin="1"/>
    <cellStyle name="40% - Ênfase4 10" xfId="152" xr:uid="{00000000-0005-0000-0000-0000371B0000}"/>
    <cellStyle name="40% - Ênfase4 10 10" xfId="7628" xr:uid="{00000000-0005-0000-0000-0000381B0000}"/>
    <cellStyle name="40% - Ênfase4 10 11" xfId="7629" xr:uid="{00000000-0005-0000-0000-0000391B0000}"/>
    <cellStyle name="40% - Ênfase4 10 12" xfId="7630" xr:uid="{00000000-0005-0000-0000-00003A1B0000}"/>
    <cellStyle name="40% - Ênfase4 10 13" xfId="7631" xr:uid="{00000000-0005-0000-0000-00003B1B0000}"/>
    <cellStyle name="40% - Ênfase4 10 14" xfId="7632" xr:uid="{00000000-0005-0000-0000-00003C1B0000}"/>
    <cellStyle name="40% - Ênfase4 10 15" xfId="7633" xr:uid="{00000000-0005-0000-0000-00003D1B0000}"/>
    <cellStyle name="40% - Ênfase4 10 16" xfId="7634" xr:uid="{00000000-0005-0000-0000-00003E1B0000}"/>
    <cellStyle name="40% - Ênfase4 10 17" xfId="7635" xr:uid="{00000000-0005-0000-0000-00003F1B0000}"/>
    <cellStyle name="40% - Ênfase4 10 18" xfId="7636" xr:uid="{00000000-0005-0000-0000-0000401B0000}"/>
    <cellStyle name="40% - Ênfase4 10 19" xfId="7637" xr:uid="{00000000-0005-0000-0000-0000411B0000}"/>
    <cellStyle name="40% - Ênfase4 10 2" xfId="7638" xr:uid="{00000000-0005-0000-0000-0000421B0000}"/>
    <cellStyle name="40% - Ênfase4 10 20" xfId="7639" xr:uid="{00000000-0005-0000-0000-0000431B0000}"/>
    <cellStyle name="40% - Ênfase4 10 3" xfId="7640" xr:uid="{00000000-0005-0000-0000-0000441B0000}"/>
    <cellStyle name="40% - Ênfase4 10 4" xfId="7641" xr:uid="{00000000-0005-0000-0000-0000451B0000}"/>
    <cellStyle name="40% - Ênfase4 10 5" xfId="7642" xr:uid="{00000000-0005-0000-0000-0000461B0000}"/>
    <cellStyle name="40% - Ênfase4 10 6" xfId="7643" xr:uid="{00000000-0005-0000-0000-0000471B0000}"/>
    <cellStyle name="40% - Ênfase4 10 7" xfId="7644" xr:uid="{00000000-0005-0000-0000-0000481B0000}"/>
    <cellStyle name="40% - Ênfase4 10 8" xfId="7645" xr:uid="{00000000-0005-0000-0000-0000491B0000}"/>
    <cellStyle name="40% - Ênfase4 10 9" xfId="7646" xr:uid="{00000000-0005-0000-0000-00004A1B0000}"/>
    <cellStyle name="40% - Ênfase4 11" xfId="169" xr:uid="{00000000-0005-0000-0000-00004B1B0000}"/>
    <cellStyle name="40% - Ênfase4 11 10" xfId="7647" xr:uid="{00000000-0005-0000-0000-00004C1B0000}"/>
    <cellStyle name="40% - Ênfase4 11 11" xfId="7648" xr:uid="{00000000-0005-0000-0000-00004D1B0000}"/>
    <cellStyle name="40% - Ênfase4 11 12" xfId="7649" xr:uid="{00000000-0005-0000-0000-00004E1B0000}"/>
    <cellStyle name="40% - Ênfase4 11 13" xfId="7650" xr:uid="{00000000-0005-0000-0000-00004F1B0000}"/>
    <cellStyle name="40% - Ênfase4 11 14" xfId="7651" xr:uid="{00000000-0005-0000-0000-0000501B0000}"/>
    <cellStyle name="40% - Ênfase4 11 15" xfId="7652" xr:uid="{00000000-0005-0000-0000-0000511B0000}"/>
    <cellStyle name="40% - Ênfase4 11 16" xfId="7653" xr:uid="{00000000-0005-0000-0000-0000521B0000}"/>
    <cellStyle name="40% - Ênfase4 11 17" xfId="7654" xr:uid="{00000000-0005-0000-0000-0000531B0000}"/>
    <cellStyle name="40% - Ênfase4 11 18" xfId="7655" xr:uid="{00000000-0005-0000-0000-0000541B0000}"/>
    <cellStyle name="40% - Ênfase4 11 19" xfId="7656" xr:uid="{00000000-0005-0000-0000-0000551B0000}"/>
    <cellStyle name="40% - Ênfase4 11 2" xfId="7657" xr:uid="{00000000-0005-0000-0000-0000561B0000}"/>
    <cellStyle name="40% - Ênfase4 11 20" xfId="7658" xr:uid="{00000000-0005-0000-0000-0000571B0000}"/>
    <cellStyle name="40% - Ênfase4 11 3" xfId="7659" xr:uid="{00000000-0005-0000-0000-0000581B0000}"/>
    <cellStyle name="40% - Ênfase4 11 4" xfId="7660" xr:uid="{00000000-0005-0000-0000-0000591B0000}"/>
    <cellStyle name="40% - Ênfase4 11 5" xfId="7661" xr:uid="{00000000-0005-0000-0000-00005A1B0000}"/>
    <cellStyle name="40% - Ênfase4 11 6" xfId="7662" xr:uid="{00000000-0005-0000-0000-00005B1B0000}"/>
    <cellStyle name="40% - Ênfase4 11 7" xfId="7663" xr:uid="{00000000-0005-0000-0000-00005C1B0000}"/>
    <cellStyle name="40% - Ênfase4 11 8" xfId="7664" xr:uid="{00000000-0005-0000-0000-00005D1B0000}"/>
    <cellStyle name="40% - Ênfase4 11 9" xfId="7665" xr:uid="{00000000-0005-0000-0000-00005E1B0000}"/>
    <cellStyle name="40% - Ênfase4 12" xfId="186" xr:uid="{00000000-0005-0000-0000-00005F1B0000}"/>
    <cellStyle name="40% - Ênfase4 12 10" xfId="7666" xr:uid="{00000000-0005-0000-0000-0000601B0000}"/>
    <cellStyle name="40% - Ênfase4 12 11" xfId="7667" xr:uid="{00000000-0005-0000-0000-0000611B0000}"/>
    <cellStyle name="40% - Ênfase4 12 12" xfId="7668" xr:uid="{00000000-0005-0000-0000-0000621B0000}"/>
    <cellStyle name="40% - Ênfase4 12 13" xfId="7669" xr:uid="{00000000-0005-0000-0000-0000631B0000}"/>
    <cellStyle name="40% - Ênfase4 12 14" xfId="7670" xr:uid="{00000000-0005-0000-0000-0000641B0000}"/>
    <cellStyle name="40% - Ênfase4 12 15" xfId="7671" xr:uid="{00000000-0005-0000-0000-0000651B0000}"/>
    <cellStyle name="40% - Ênfase4 12 16" xfId="7672" xr:uid="{00000000-0005-0000-0000-0000661B0000}"/>
    <cellStyle name="40% - Ênfase4 12 17" xfId="7673" xr:uid="{00000000-0005-0000-0000-0000671B0000}"/>
    <cellStyle name="40% - Ênfase4 12 18" xfId="7674" xr:uid="{00000000-0005-0000-0000-0000681B0000}"/>
    <cellStyle name="40% - Ênfase4 12 19" xfId="7675" xr:uid="{00000000-0005-0000-0000-0000691B0000}"/>
    <cellStyle name="40% - Ênfase4 12 2" xfId="7676" xr:uid="{00000000-0005-0000-0000-00006A1B0000}"/>
    <cellStyle name="40% - Ênfase4 12 20" xfId="7677" xr:uid="{00000000-0005-0000-0000-00006B1B0000}"/>
    <cellStyle name="40% - Ênfase4 12 3" xfId="7678" xr:uid="{00000000-0005-0000-0000-00006C1B0000}"/>
    <cellStyle name="40% - Ênfase4 12 4" xfId="7679" xr:uid="{00000000-0005-0000-0000-00006D1B0000}"/>
    <cellStyle name="40% - Ênfase4 12 5" xfId="7680" xr:uid="{00000000-0005-0000-0000-00006E1B0000}"/>
    <cellStyle name="40% - Ênfase4 12 6" xfId="7681" xr:uid="{00000000-0005-0000-0000-00006F1B0000}"/>
    <cellStyle name="40% - Ênfase4 12 7" xfId="7682" xr:uid="{00000000-0005-0000-0000-0000701B0000}"/>
    <cellStyle name="40% - Ênfase4 12 8" xfId="7683" xr:uid="{00000000-0005-0000-0000-0000711B0000}"/>
    <cellStyle name="40% - Ênfase4 12 9" xfId="7684" xr:uid="{00000000-0005-0000-0000-0000721B0000}"/>
    <cellStyle name="40% - Ênfase4 13" xfId="203" xr:uid="{00000000-0005-0000-0000-0000731B0000}"/>
    <cellStyle name="40% - Ênfase4 13 10" xfId="7685" xr:uid="{00000000-0005-0000-0000-0000741B0000}"/>
    <cellStyle name="40% - Ênfase4 13 11" xfId="7686" xr:uid="{00000000-0005-0000-0000-0000751B0000}"/>
    <cellStyle name="40% - Ênfase4 13 12" xfId="7687" xr:uid="{00000000-0005-0000-0000-0000761B0000}"/>
    <cellStyle name="40% - Ênfase4 13 13" xfId="7688" xr:uid="{00000000-0005-0000-0000-0000771B0000}"/>
    <cellStyle name="40% - Ênfase4 13 14" xfId="7689" xr:uid="{00000000-0005-0000-0000-0000781B0000}"/>
    <cellStyle name="40% - Ênfase4 13 15" xfId="7690" xr:uid="{00000000-0005-0000-0000-0000791B0000}"/>
    <cellStyle name="40% - Ênfase4 13 16" xfId="7691" xr:uid="{00000000-0005-0000-0000-00007A1B0000}"/>
    <cellStyle name="40% - Ênfase4 13 17" xfId="7692" xr:uid="{00000000-0005-0000-0000-00007B1B0000}"/>
    <cellStyle name="40% - Ênfase4 13 18" xfId="7693" xr:uid="{00000000-0005-0000-0000-00007C1B0000}"/>
    <cellStyle name="40% - Ênfase4 13 19" xfId="7694" xr:uid="{00000000-0005-0000-0000-00007D1B0000}"/>
    <cellStyle name="40% - Ênfase4 13 2" xfId="7695" xr:uid="{00000000-0005-0000-0000-00007E1B0000}"/>
    <cellStyle name="40% - Ênfase4 13 20" xfId="7696" xr:uid="{00000000-0005-0000-0000-00007F1B0000}"/>
    <cellStyle name="40% - Ênfase4 13 3" xfId="7697" xr:uid="{00000000-0005-0000-0000-0000801B0000}"/>
    <cellStyle name="40% - Ênfase4 13 4" xfId="7698" xr:uid="{00000000-0005-0000-0000-0000811B0000}"/>
    <cellStyle name="40% - Ênfase4 13 5" xfId="7699" xr:uid="{00000000-0005-0000-0000-0000821B0000}"/>
    <cellStyle name="40% - Ênfase4 13 6" xfId="7700" xr:uid="{00000000-0005-0000-0000-0000831B0000}"/>
    <cellStyle name="40% - Ênfase4 13 7" xfId="7701" xr:uid="{00000000-0005-0000-0000-0000841B0000}"/>
    <cellStyle name="40% - Ênfase4 13 8" xfId="7702" xr:uid="{00000000-0005-0000-0000-0000851B0000}"/>
    <cellStyle name="40% - Ênfase4 13 9" xfId="7703" xr:uid="{00000000-0005-0000-0000-0000861B0000}"/>
    <cellStyle name="40% - Ênfase4 14" xfId="220" xr:uid="{00000000-0005-0000-0000-0000871B0000}"/>
    <cellStyle name="40% - Ênfase4 14 10" xfId="7704" xr:uid="{00000000-0005-0000-0000-0000881B0000}"/>
    <cellStyle name="40% - Ênfase4 14 11" xfId="7705" xr:uid="{00000000-0005-0000-0000-0000891B0000}"/>
    <cellStyle name="40% - Ênfase4 14 12" xfId="7706" xr:uid="{00000000-0005-0000-0000-00008A1B0000}"/>
    <cellStyle name="40% - Ênfase4 14 13" xfId="7707" xr:uid="{00000000-0005-0000-0000-00008B1B0000}"/>
    <cellStyle name="40% - Ênfase4 14 14" xfId="7708" xr:uid="{00000000-0005-0000-0000-00008C1B0000}"/>
    <cellStyle name="40% - Ênfase4 14 15" xfId="7709" xr:uid="{00000000-0005-0000-0000-00008D1B0000}"/>
    <cellStyle name="40% - Ênfase4 14 16" xfId="7710" xr:uid="{00000000-0005-0000-0000-00008E1B0000}"/>
    <cellStyle name="40% - Ênfase4 14 17" xfId="7711" xr:uid="{00000000-0005-0000-0000-00008F1B0000}"/>
    <cellStyle name="40% - Ênfase4 14 18" xfId="7712" xr:uid="{00000000-0005-0000-0000-0000901B0000}"/>
    <cellStyle name="40% - Ênfase4 14 19" xfId="7713" xr:uid="{00000000-0005-0000-0000-0000911B0000}"/>
    <cellStyle name="40% - Ênfase4 14 2" xfId="7714" xr:uid="{00000000-0005-0000-0000-0000921B0000}"/>
    <cellStyle name="40% - Ênfase4 14 20" xfId="7715" xr:uid="{00000000-0005-0000-0000-0000931B0000}"/>
    <cellStyle name="40% - Ênfase4 14 3" xfId="7716" xr:uid="{00000000-0005-0000-0000-0000941B0000}"/>
    <cellStyle name="40% - Ênfase4 14 4" xfId="7717" xr:uid="{00000000-0005-0000-0000-0000951B0000}"/>
    <cellStyle name="40% - Ênfase4 14 5" xfId="7718" xr:uid="{00000000-0005-0000-0000-0000961B0000}"/>
    <cellStyle name="40% - Ênfase4 14 6" xfId="7719" xr:uid="{00000000-0005-0000-0000-0000971B0000}"/>
    <cellStyle name="40% - Ênfase4 14 7" xfId="7720" xr:uid="{00000000-0005-0000-0000-0000981B0000}"/>
    <cellStyle name="40% - Ênfase4 14 8" xfId="7721" xr:uid="{00000000-0005-0000-0000-0000991B0000}"/>
    <cellStyle name="40% - Ênfase4 14 9" xfId="7722" xr:uid="{00000000-0005-0000-0000-00009A1B0000}"/>
    <cellStyle name="40% - Ênfase4 15" xfId="237" xr:uid="{00000000-0005-0000-0000-00009B1B0000}"/>
    <cellStyle name="40% - Ênfase4 15 10" xfId="7723" xr:uid="{00000000-0005-0000-0000-00009C1B0000}"/>
    <cellStyle name="40% - Ênfase4 15 11" xfId="7724" xr:uid="{00000000-0005-0000-0000-00009D1B0000}"/>
    <cellStyle name="40% - Ênfase4 15 12" xfId="7725" xr:uid="{00000000-0005-0000-0000-00009E1B0000}"/>
    <cellStyle name="40% - Ênfase4 15 13" xfId="7726" xr:uid="{00000000-0005-0000-0000-00009F1B0000}"/>
    <cellStyle name="40% - Ênfase4 15 14" xfId="7727" xr:uid="{00000000-0005-0000-0000-0000A01B0000}"/>
    <cellStyle name="40% - Ênfase4 15 15" xfId="7728" xr:uid="{00000000-0005-0000-0000-0000A11B0000}"/>
    <cellStyle name="40% - Ênfase4 15 16" xfId="7729" xr:uid="{00000000-0005-0000-0000-0000A21B0000}"/>
    <cellStyle name="40% - Ênfase4 15 17" xfId="7730" xr:uid="{00000000-0005-0000-0000-0000A31B0000}"/>
    <cellStyle name="40% - Ênfase4 15 18" xfId="7731" xr:uid="{00000000-0005-0000-0000-0000A41B0000}"/>
    <cellStyle name="40% - Ênfase4 15 19" xfId="7732" xr:uid="{00000000-0005-0000-0000-0000A51B0000}"/>
    <cellStyle name="40% - Ênfase4 15 2" xfId="7733" xr:uid="{00000000-0005-0000-0000-0000A61B0000}"/>
    <cellStyle name="40% - Ênfase4 15 20" xfId="7734" xr:uid="{00000000-0005-0000-0000-0000A71B0000}"/>
    <cellStyle name="40% - Ênfase4 15 3" xfId="7735" xr:uid="{00000000-0005-0000-0000-0000A81B0000}"/>
    <cellStyle name="40% - Ênfase4 15 4" xfId="7736" xr:uid="{00000000-0005-0000-0000-0000A91B0000}"/>
    <cellStyle name="40% - Ênfase4 15 5" xfId="7737" xr:uid="{00000000-0005-0000-0000-0000AA1B0000}"/>
    <cellStyle name="40% - Ênfase4 15 6" xfId="7738" xr:uid="{00000000-0005-0000-0000-0000AB1B0000}"/>
    <cellStyle name="40% - Ênfase4 15 7" xfId="7739" xr:uid="{00000000-0005-0000-0000-0000AC1B0000}"/>
    <cellStyle name="40% - Ênfase4 15 8" xfId="7740" xr:uid="{00000000-0005-0000-0000-0000AD1B0000}"/>
    <cellStyle name="40% - Ênfase4 15 9" xfId="7741" xr:uid="{00000000-0005-0000-0000-0000AE1B0000}"/>
    <cellStyle name="40% - Ênfase4 16" xfId="254" xr:uid="{00000000-0005-0000-0000-0000AF1B0000}"/>
    <cellStyle name="40% - Ênfase4 16 10" xfId="7742" xr:uid="{00000000-0005-0000-0000-0000B01B0000}"/>
    <cellStyle name="40% - Ênfase4 16 11" xfId="7743" xr:uid="{00000000-0005-0000-0000-0000B11B0000}"/>
    <cellStyle name="40% - Ênfase4 16 12" xfId="7744" xr:uid="{00000000-0005-0000-0000-0000B21B0000}"/>
    <cellStyle name="40% - Ênfase4 16 13" xfId="7745" xr:uid="{00000000-0005-0000-0000-0000B31B0000}"/>
    <cellStyle name="40% - Ênfase4 16 14" xfId="7746" xr:uid="{00000000-0005-0000-0000-0000B41B0000}"/>
    <cellStyle name="40% - Ênfase4 16 15" xfId="7747" xr:uid="{00000000-0005-0000-0000-0000B51B0000}"/>
    <cellStyle name="40% - Ênfase4 16 16" xfId="7748" xr:uid="{00000000-0005-0000-0000-0000B61B0000}"/>
    <cellStyle name="40% - Ênfase4 16 17" xfId="7749" xr:uid="{00000000-0005-0000-0000-0000B71B0000}"/>
    <cellStyle name="40% - Ênfase4 16 18" xfId="7750" xr:uid="{00000000-0005-0000-0000-0000B81B0000}"/>
    <cellStyle name="40% - Ênfase4 16 19" xfId="7751" xr:uid="{00000000-0005-0000-0000-0000B91B0000}"/>
    <cellStyle name="40% - Ênfase4 16 2" xfId="7752" xr:uid="{00000000-0005-0000-0000-0000BA1B0000}"/>
    <cellStyle name="40% - Ênfase4 16 20" xfId="7753" xr:uid="{00000000-0005-0000-0000-0000BB1B0000}"/>
    <cellStyle name="40% - Ênfase4 16 3" xfId="7754" xr:uid="{00000000-0005-0000-0000-0000BC1B0000}"/>
    <cellStyle name="40% - Ênfase4 16 4" xfId="7755" xr:uid="{00000000-0005-0000-0000-0000BD1B0000}"/>
    <cellStyle name="40% - Ênfase4 16 5" xfId="7756" xr:uid="{00000000-0005-0000-0000-0000BE1B0000}"/>
    <cellStyle name="40% - Ênfase4 16 6" xfId="7757" xr:uid="{00000000-0005-0000-0000-0000BF1B0000}"/>
    <cellStyle name="40% - Ênfase4 16 7" xfId="7758" xr:uid="{00000000-0005-0000-0000-0000C01B0000}"/>
    <cellStyle name="40% - Ênfase4 16 8" xfId="7759" xr:uid="{00000000-0005-0000-0000-0000C11B0000}"/>
    <cellStyle name="40% - Ênfase4 16 9" xfId="7760" xr:uid="{00000000-0005-0000-0000-0000C21B0000}"/>
    <cellStyle name="40% - Ênfase4 17" xfId="271" xr:uid="{00000000-0005-0000-0000-0000C31B0000}"/>
    <cellStyle name="40% - Ênfase4 17 10" xfId="7761" xr:uid="{00000000-0005-0000-0000-0000C41B0000}"/>
    <cellStyle name="40% - Ênfase4 17 11" xfId="7762" xr:uid="{00000000-0005-0000-0000-0000C51B0000}"/>
    <cellStyle name="40% - Ênfase4 17 12" xfId="7763" xr:uid="{00000000-0005-0000-0000-0000C61B0000}"/>
    <cellStyle name="40% - Ênfase4 17 13" xfId="7764" xr:uid="{00000000-0005-0000-0000-0000C71B0000}"/>
    <cellStyle name="40% - Ênfase4 17 14" xfId="7765" xr:uid="{00000000-0005-0000-0000-0000C81B0000}"/>
    <cellStyle name="40% - Ênfase4 17 15" xfId="7766" xr:uid="{00000000-0005-0000-0000-0000C91B0000}"/>
    <cellStyle name="40% - Ênfase4 17 16" xfId="7767" xr:uid="{00000000-0005-0000-0000-0000CA1B0000}"/>
    <cellStyle name="40% - Ênfase4 17 17" xfId="7768" xr:uid="{00000000-0005-0000-0000-0000CB1B0000}"/>
    <cellStyle name="40% - Ênfase4 17 18" xfId="7769" xr:uid="{00000000-0005-0000-0000-0000CC1B0000}"/>
    <cellStyle name="40% - Ênfase4 17 19" xfId="7770" xr:uid="{00000000-0005-0000-0000-0000CD1B0000}"/>
    <cellStyle name="40% - Ênfase4 17 2" xfId="7771" xr:uid="{00000000-0005-0000-0000-0000CE1B0000}"/>
    <cellStyle name="40% - Ênfase4 17 20" xfId="7772" xr:uid="{00000000-0005-0000-0000-0000CF1B0000}"/>
    <cellStyle name="40% - Ênfase4 17 3" xfId="7773" xr:uid="{00000000-0005-0000-0000-0000D01B0000}"/>
    <cellStyle name="40% - Ênfase4 17 4" xfId="7774" xr:uid="{00000000-0005-0000-0000-0000D11B0000}"/>
    <cellStyle name="40% - Ênfase4 17 5" xfId="7775" xr:uid="{00000000-0005-0000-0000-0000D21B0000}"/>
    <cellStyle name="40% - Ênfase4 17 6" xfId="7776" xr:uid="{00000000-0005-0000-0000-0000D31B0000}"/>
    <cellStyle name="40% - Ênfase4 17 7" xfId="7777" xr:uid="{00000000-0005-0000-0000-0000D41B0000}"/>
    <cellStyle name="40% - Ênfase4 17 8" xfId="7778" xr:uid="{00000000-0005-0000-0000-0000D51B0000}"/>
    <cellStyle name="40% - Ênfase4 17 9" xfId="7779" xr:uid="{00000000-0005-0000-0000-0000D61B0000}"/>
    <cellStyle name="40% - Ênfase4 18" xfId="288" xr:uid="{00000000-0005-0000-0000-0000D71B0000}"/>
    <cellStyle name="40% - Ênfase4 18 10" xfId="7780" xr:uid="{00000000-0005-0000-0000-0000D81B0000}"/>
    <cellStyle name="40% - Ênfase4 18 11" xfId="7781" xr:uid="{00000000-0005-0000-0000-0000D91B0000}"/>
    <cellStyle name="40% - Ênfase4 18 12" xfId="7782" xr:uid="{00000000-0005-0000-0000-0000DA1B0000}"/>
    <cellStyle name="40% - Ênfase4 18 13" xfId="7783" xr:uid="{00000000-0005-0000-0000-0000DB1B0000}"/>
    <cellStyle name="40% - Ênfase4 18 14" xfId="7784" xr:uid="{00000000-0005-0000-0000-0000DC1B0000}"/>
    <cellStyle name="40% - Ênfase4 18 15" xfId="7785" xr:uid="{00000000-0005-0000-0000-0000DD1B0000}"/>
    <cellStyle name="40% - Ênfase4 18 16" xfId="7786" xr:uid="{00000000-0005-0000-0000-0000DE1B0000}"/>
    <cellStyle name="40% - Ênfase4 18 17" xfId="7787" xr:uid="{00000000-0005-0000-0000-0000DF1B0000}"/>
    <cellStyle name="40% - Ênfase4 18 18" xfId="7788" xr:uid="{00000000-0005-0000-0000-0000E01B0000}"/>
    <cellStyle name="40% - Ênfase4 18 19" xfId="7789" xr:uid="{00000000-0005-0000-0000-0000E11B0000}"/>
    <cellStyle name="40% - Ênfase4 18 2" xfId="7790" xr:uid="{00000000-0005-0000-0000-0000E21B0000}"/>
    <cellStyle name="40% - Ênfase4 18 20" xfId="7791" xr:uid="{00000000-0005-0000-0000-0000E31B0000}"/>
    <cellStyle name="40% - Ênfase4 18 3" xfId="7792" xr:uid="{00000000-0005-0000-0000-0000E41B0000}"/>
    <cellStyle name="40% - Ênfase4 18 4" xfId="7793" xr:uid="{00000000-0005-0000-0000-0000E51B0000}"/>
    <cellStyle name="40% - Ênfase4 18 5" xfId="7794" xr:uid="{00000000-0005-0000-0000-0000E61B0000}"/>
    <cellStyle name="40% - Ênfase4 18 6" xfId="7795" xr:uid="{00000000-0005-0000-0000-0000E71B0000}"/>
    <cellStyle name="40% - Ênfase4 18 7" xfId="7796" xr:uid="{00000000-0005-0000-0000-0000E81B0000}"/>
    <cellStyle name="40% - Ênfase4 18 8" xfId="7797" xr:uid="{00000000-0005-0000-0000-0000E91B0000}"/>
    <cellStyle name="40% - Ênfase4 18 9" xfId="7798" xr:uid="{00000000-0005-0000-0000-0000EA1B0000}"/>
    <cellStyle name="40% - Ênfase4 19" xfId="374" xr:uid="{00000000-0005-0000-0000-0000EB1B0000}"/>
    <cellStyle name="40% - Ênfase4 19 10" xfId="7799" xr:uid="{00000000-0005-0000-0000-0000EC1B0000}"/>
    <cellStyle name="40% - Ênfase4 19 11" xfId="7800" xr:uid="{00000000-0005-0000-0000-0000ED1B0000}"/>
    <cellStyle name="40% - Ênfase4 19 12" xfId="7801" xr:uid="{00000000-0005-0000-0000-0000EE1B0000}"/>
    <cellStyle name="40% - Ênfase4 19 13" xfId="7802" xr:uid="{00000000-0005-0000-0000-0000EF1B0000}"/>
    <cellStyle name="40% - Ênfase4 19 14" xfId="7803" xr:uid="{00000000-0005-0000-0000-0000F01B0000}"/>
    <cellStyle name="40% - Ênfase4 19 15" xfId="7804" xr:uid="{00000000-0005-0000-0000-0000F11B0000}"/>
    <cellStyle name="40% - Ênfase4 19 16" xfId="7805" xr:uid="{00000000-0005-0000-0000-0000F21B0000}"/>
    <cellStyle name="40% - Ênfase4 19 17" xfId="7806" xr:uid="{00000000-0005-0000-0000-0000F31B0000}"/>
    <cellStyle name="40% - Ênfase4 19 18" xfId="7807" xr:uid="{00000000-0005-0000-0000-0000F41B0000}"/>
    <cellStyle name="40% - Ênfase4 19 19" xfId="7808" xr:uid="{00000000-0005-0000-0000-0000F51B0000}"/>
    <cellStyle name="40% - Ênfase4 19 2" xfId="7809" xr:uid="{00000000-0005-0000-0000-0000F61B0000}"/>
    <cellStyle name="40% - Ênfase4 19 20" xfId="7810" xr:uid="{00000000-0005-0000-0000-0000F71B0000}"/>
    <cellStyle name="40% - Ênfase4 19 3" xfId="7811" xr:uid="{00000000-0005-0000-0000-0000F81B0000}"/>
    <cellStyle name="40% - Ênfase4 19 4" xfId="7812" xr:uid="{00000000-0005-0000-0000-0000F91B0000}"/>
    <cellStyle name="40% - Ênfase4 19 5" xfId="7813" xr:uid="{00000000-0005-0000-0000-0000FA1B0000}"/>
    <cellStyle name="40% - Ênfase4 19 6" xfId="7814" xr:uid="{00000000-0005-0000-0000-0000FB1B0000}"/>
    <cellStyle name="40% - Ênfase4 19 7" xfId="7815" xr:uid="{00000000-0005-0000-0000-0000FC1B0000}"/>
    <cellStyle name="40% - Ênfase4 19 8" xfId="7816" xr:uid="{00000000-0005-0000-0000-0000FD1B0000}"/>
    <cellStyle name="40% - Ênfase4 19 9" xfId="7817" xr:uid="{00000000-0005-0000-0000-0000FE1B0000}"/>
    <cellStyle name="40% - Ênfase4 2" xfId="81" xr:uid="{00000000-0005-0000-0000-0000FF1B0000}"/>
    <cellStyle name="40% - Ênfase4 2 10" xfId="7818" xr:uid="{00000000-0005-0000-0000-0000001C0000}"/>
    <cellStyle name="40% - Ênfase4 2 11" xfId="7819" xr:uid="{00000000-0005-0000-0000-0000011C0000}"/>
    <cellStyle name="40% - Ênfase4 2 12" xfId="7820" xr:uid="{00000000-0005-0000-0000-0000021C0000}"/>
    <cellStyle name="40% - Ênfase4 2 13" xfId="7821" xr:uid="{00000000-0005-0000-0000-0000031C0000}"/>
    <cellStyle name="40% - Ênfase4 2 14" xfId="7822" xr:uid="{00000000-0005-0000-0000-0000041C0000}"/>
    <cellStyle name="40% - Ênfase4 2 15" xfId="7823" xr:uid="{00000000-0005-0000-0000-0000051C0000}"/>
    <cellStyle name="40% - Ênfase4 2 16" xfId="7824" xr:uid="{00000000-0005-0000-0000-0000061C0000}"/>
    <cellStyle name="40% - Ênfase4 2 17" xfId="7825" xr:uid="{00000000-0005-0000-0000-0000071C0000}"/>
    <cellStyle name="40% - Ênfase4 2 18" xfId="7826" xr:uid="{00000000-0005-0000-0000-0000081C0000}"/>
    <cellStyle name="40% - Ênfase4 2 19" xfId="7827" xr:uid="{00000000-0005-0000-0000-0000091C0000}"/>
    <cellStyle name="40% - Ênfase4 2 2" xfId="7828" xr:uid="{00000000-0005-0000-0000-00000A1C0000}"/>
    <cellStyle name="40% - Ênfase4 2 20" xfId="7829" xr:uid="{00000000-0005-0000-0000-00000B1C0000}"/>
    <cellStyle name="40% - Ênfase4 2 3" xfId="7830" xr:uid="{00000000-0005-0000-0000-00000C1C0000}"/>
    <cellStyle name="40% - Ênfase4 2 4" xfId="7831" xr:uid="{00000000-0005-0000-0000-00000D1C0000}"/>
    <cellStyle name="40% - Ênfase4 2 5" xfId="7832" xr:uid="{00000000-0005-0000-0000-00000E1C0000}"/>
    <cellStyle name="40% - Ênfase4 2 6" xfId="7833" xr:uid="{00000000-0005-0000-0000-00000F1C0000}"/>
    <cellStyle name="40% - Ênfase4 2 7" xfId="7834" xr:uid="{00000000-0005-0000-0000-0000101C0000}"/>
    <cellStyle name="40% - Ênfase4 2 8" xfId="7835" xr:uid="{00000000-0005-0000-0000-0000111C0000}"/>
    <cellStyle name="40% - Ênfase4 2 9" xfId="7836" xr:uid="{00000000-0005-0000-0000-0000121C0000}"/>
    <cellStyle name="40% - Ênfase4 20" xfId="315" xr:uid="{00000000-0005-0000-0000-0000131C0000}"/>
    <cellStyle name="40% - Ênfase4 20 10" xfId="7837" xr:uid="{00000000-0005-0000-0000-0000141C0000}"/>
    <cellStyle name="40% - Ênfase4 20 11" xfId="7838" xr:uid="{00000000-0005-0000-0000-0000151C0000}"/>
    <cellStyle name="40% - Ênfase4 20 12" xfId="7839" xr:uid="{00000000-0005-0000-0000-0000161C0000}"/>
    <cellStyle name="40% - Ênfase4 20 13" xfId="7840" xr:uid="{00000000-0005-0000-0000-0000171C0000}"/>
    <cellStyle name="40% - Ênfase4 20 14" xfId="7841" xr:uid="{00000000-0005-0000-0000-0000181C0000}"/>
    <cellStyle name="40% - Ênfase4 20 15" xfId="7842" xr:uid="{00000000-0005-0000-0000-0000191C0000}"/>
    <cellStyle name="40% - Ênfase4 20 16" xfId="7843" xr:uid="{00000000-0005-0000-0000-00001A1C0000}"/>
    <cellStyle name="40% - Ênfase4 20 17" xfId="7844" xr:uid="{00000000-0005-0000-0000-00001B1C0000}"/>
    <cellStyle name="40% - Ênfase4 20 18" xfId="7845" xr:uid="{00000000-0005-0000-0000-00001C1C0000}"/>
    <cellStyle name="40% - Ênfase4 20 19" xfId="7846" xr:uid="{00000000-0005-0000-0000-00001D1C0000}"/>
    <cellStyle name="40% - Ênfase4 20 2" xfId="7847" xr:uid="{00000000-0005-0000-0000-00001E1C0000}"/>
    <cellStyle name="40% - Ênfase4 20 20" xfId="7848" xr:uid="{00000000-0005-0000-0000-00001F1C0000}"/>
    <cellStyle name="40% - Ênfase4 20 3" xfId="7849" xr:uid="{00000000-0005-0000-0000-0000201C0000}"/>
    <cellStyle name="40% - Ênfase4 20 4" xfId="7850" xr:uid="{00000000-0005-0000-0000-0000211C0000}"/>
    <cellStyle name="40% - Ênfase4 20 5" xfId="7851" xr:uid="{00000000-0005-0000-0000-0000221C0000}"/>
    <cellStyle name="40% - Ênfase4 20 6" xfId="7852" xr:uid="{00000000-0005-0000-0000-0000231C0000}"/>
    <cellStyle name="40% - Ênfase4 20 7" xfId="7853" xr:uid="{00000000-0005-0000-0000-0000241C0000}"/>
    <cellStyle name="40% - Ênfase4 20 8" xfId="7854" xr:uid="{00000000-0005-0000-0000-0000251C0000}"/>
    <cellStyle name="40% - Ênfase4 20 9" xfId="7855" xr:uid="{00000000-0005-0000-0000-0000261C0000}"/>
    <cellStyle name="40% - Ênfase4 21" xfId="363" xr:uid="{00000000-0005-0000-0000-0000271C0000}"/>
    <cellStyle name="40% - Ênfase4 21 10" xfId="7856" xr:uid="{00000000-0005-0000-0000-0000281C0000}"/>
    <cellStyle name="40% - Ênfase4 21 11" xfId="7857" xr:uid="{00000000-0005-0000-0000-0000291C0000}"/>
    <cellStyle name="40% - Ênfase4 21 12" xfId="7858" xr:uid="{00000000-0005-0000-0000-00002A1C0000}"/>
    <cellStyle name="40% - Ênfase4 21 13" xfId="7859" xr:uid="{00000000-0005-0000-0000-00002B1C0000}"/>
    <cellStyle name="40% - Ênfase4 21 14" xfId="7860" xr:uid="{00000000-0005-0000-0000-00002C1C0000}"/>
    <cellStyle name="40% - Ênfase4 21 15" xfId="7861" xr:uid="{00000000-0005-0000-0000-00002D1C0000}"/>
    <cellStyle name="40% - Ênfase4 21 16" xfId="7862" xr:uid="{00000000-0005-0000-0000-00002E1C0000}"/>
    <cellStyle name="40% - Ênfase4 21 17" xfId="7863" xr:uid="{00000000-0005-0000-0000-00002F1C0000}"/>
    <cellStyle name="40% - Ênfase4 21 18" xfId="7864" xr:uid="{00000000-0005-0000-0000-0000301C0000}"/>
    <cellStyle name="40% - Ênfase4 21 19" xfId="7865" xr:uid="{00000000-0005-0000-0000-0000311C0000}"/>
    <cellStyle name="40% - Ênfase4 21 2" xfId="7866" xr:uid="{00000000-0005-0000-0000-0000321C0000}"/>
    <cellStyle name="40% - Ênfase4 21 20" xfId="7867" xr:uid="{00000000-0005-0000-0000-0000331C0000}"/>
    <cellStyle name="40% - Ênfase4 21 3" xfId="7868" xr:uid="{00000000-0005-0000-0000-0000341C0000}"/>
    <cellStyle name="40% - Ênfase4 21 4" xfId="7869" xr:uid="{00000000-0005-0000-0000-0000351C0000}"/>
    <cellStyle name="40% - Ênfase4 21 5" xfId="7870" xr:uid="{00000000-0005-0000-0000-0000361C0000}"/>
    <cellStyle name="40% - Ênfase4 21 6" xfId="7871" xr:uid="{00000000-0005-0000-0000-0000371C0000}"/>
    <cellStyle name="40% - Ênfase4 21 7" xfId="7872" xr:uid="{00000000-0005-0000-0000-0000381C0000}"/>
    <cellStyle name="40% - Ênfase4 21 8" xfId="7873" xr:uid="{00000000-0005-0000-0000-0000391C0000}"/>
    <cellStyle name="40% - Ênfase4 21 9" xfId="7874" xr:uid="{00000000-0005-0000-0000-00003A1C0000}"/>
    <cellStyle name="40% - Ênfase4 22" xfId="352" xr:uid="{00000000-0005-0000-0000-00003B1C0000}"/>
    <cellStyle name="40% - Ênfase4 22 10" xfId="7875" xr:uid="{00000000-0005-0000-0000-00003C1C0000}"/>
    <cellStyle name="40% - Ênfase4 22 11" xfId="7876" xr:uid="{00000000-0005-0000-0000-00003D1C0000}"/>
    <cellStyle name="40% - Ênfase4 22 12" xfId="7877" xr:uid="{00000000-0005-0000-0000-00003E1C0000}"/>
    <cellStyle name="40% - Ênfase4 22 13" xfId="7878" xr:uid="{00000000-0005-0000-0000-00003F1C0000}"/>
    <cellStyle name="40% - Ênfase4 22 14" xfId="7879" xr:uid="{00000000-0005-0000-0000-0000401C0000}"/>
    <cellStyle name="40% - Ênfase4 22 15" xfId="7880" xr:uid="{00000000-0005-0000-0000-0000411C0000}"/>
    <cellStyle name="40% - Ênfase4 22 16" xfId="7881" xr:uid="{00000000-0005-0000-0000-0000421C0000}"/>
    <cellStyle name="40% - Ênfase4 22 17" xfId="7882" xr:uid="{00000000-0005-0000-0000-0000431C0000}"/>
    <cellStyle name="40% - Ênfase4 22 18" xfId="7883" xr:uid="{00000000-0005-0000-0000-0000441C0000}"/>
    <cellStyle name="40% - Ênfase4 22 19" xfId="7884" xr:uid="{00000000-0005-0000-0000-0000451C0000}"/>
    <cellStyle name="40% - Ênfase4 22 2" xfId="7885" xr:uid="{00000000-0005-0000-0000-0000461C0000}"/>
    <cellStyle name="40% - Ênfase4 22 20" xfId="7886" xr:uid="{00000000-0005-0000-0000-0000471C0000}"/>
    <cellStyle name="40% - Ênfase4 22 3" xfId="7887" xr:uid="{00000000-0005-0000-0000-0000481C0000}"/>
    <cellStyle name="40% - Ênfase4 22 4" xfId="7888" xr:uid="{00000000-0005-0000-0000-0000491C0000}"/>
    <cellStyle name="40% - Ênfase4 22 5" xfId="7889" xr:uid="{00000000-0005-0000-0000-00004A1C0000}"/>
    <cellStyle name="40% - Ênfase4 22 6" xfId="7890" xr:uid="{00000000-0005-0000-0000-00004B1C0000}"/>
    <cellStyle name="40% - Ênfase4 22 7" xfId="7891" xr:uid="{00000000-0005-0000-0000-00004C1C0000}"/>
    <cellStyle name="40% - Ênfase4 22 8" xfId="7892" xr:uid="{00000000-0005-0000-0000-00004D1C0000}"/>
    <cellStyle name="40% - Ênfase4 22 9" xfId="7893" xr:uid="{00000000-0005-0000-0000-00004E1C0000}"/>
    <cellStyle name="40% - Ênfase4 23" xfId="376" xr:uid="{00000000-0005-0000-0000-00004F1C0000}"/>
    <cellStyle name="40% - Ênfase4 23 10" xfId="7894" xr:uid="{00000000-0005-0000-0000-0000501C0000}"/>
    <cellStyle name="40% - Ênfase4 23 11" xfId="7895" xr:uid="{00000000-0005-0000-0000-0000511C0000}"/>
    <cellStyle name="40% - Ênfase4 23 12" xfId="7896" xr:uid="{00000000-0005-0000-0000-0000521C0000}"/>
    <cellStyle name="40% - Ênfase4 23 13" xfId="7897" xr:uid="{00000000-0005-0000-0000-0000531C0000}"/>
    <cellStyle name="40% - Ênfase4 23 14" xfId="7898" xr:uid="{00000000-0005-0000-0000-0000541C0000}"/>
    <cellStyle name="40% - Ênfase4 23 15" xfId="7899" xr:uid="{00000000-0005-0000-0000-0000551C0000}"/>
    <cellStyle name="40% - Ênfase4 23 16" xfId="7900" xr:uid="{00000000-0005-0000-0000-0000561C0000}"/>
    <cellStyle name="40% - Ênfase4 23 17" xfId="7901" xr:uid="{00000000-0005-0000-0000-0000571C0000}"/>
    <cellStyle name="40% - Ênfase4 23 18" xfId="7902" xr:uid="{00000000-0005-0000-0000-0000581C0000}"/>
    <cellStyle name="40% - Ênfase4 23 19" xfId="7903" xr:uid="{00000000-0005-0000-0000-0000591C0000}"/>
    <cellStyle name="40% - Ênfase4 23 2" xfId="7904" xr:uid="{00000000-0005-0000-0000-00005A1C0000}"/>
    <cellStyle name="40% - Ênfase4 23 20" xfId="7905" xr:uid="{00000000-0005-0000-0000-00005B1C0000}"/>
    <cellStyle name="40% - Ênfase4 23 3" xfId="7906" xr:uid="{00000000-0005-0000-0000-00005C1C0000}"/>
    <cellStyle name="40% - Ênfase4 23 4" xfId="7907" xr:uid="{00000000-0005-0000-0000-00005D1C0000}"/>
    <cellStyle name="40% - Ênfase4 23 5" xfId="7908" xr:uid="{00000000-0005-0000-0000-00005E1C0000}"/>
    <cellStyle name="40% - Ênfase4 23 6" xfId="7909" xr:uid="{00000000-0005-0000-0000-00005F1C0000}"/>
    <cellStyle name="40% - Ênfase4 23 7" xfId="7910" xr:uid="{00000000-0005-0000-0000-0000601C0000}"/>
    <cellStyle name="40% - Ênfase4 23 8" xfId="7911" xr:uid="{00000000-0005-0000-0000-0000611C0000}"/>
    <cellStyle name="40% - Ênfase4 23 9" xfId="7912" xr:uid="{00000000-0005-0000-0000-0000621C0000}"/>
    <cellStyle name="40% - Ênfase4 24" xfId="394" xr:uid="{00000000-0005-0000-0000-0000631C0000}"/>
    <cellStyle name="40% - Ênfase4 24 10" xfId="7913" xr:uid="{00000000-0005-0000-0000-0000641C0000}"/>
    <cellStyle name="40% - Ênfase4 24 11" xfId="7914" xr:uid="{00000000-0005-0000-0000-0000651C0000}"/>
    <cellStyle name="40% - Ênfase4 24 12" xfId="7915" xr:uid="{00000000-0005-0000-0000-0000661C0000}"/>
    <cellStyle name="40% - Ênfase4 24 13" xfId="7916" xr:uid="{00000000-0005-0000-0000-0000671C0000}"/>
    <cellStyle name="40% - Ênfase4 24 14" xfId="7917" xr:uid="{00000000-0005-0000-0000-0000681C0000}"/>
    <cellStyle name="40% - Ênfase4 24 15" xfId="7918" xr:uid="{00000000-0005-0000-0000-0000691C0000}"/>
    <cellStyle name="40% - Ênfase4 24 16" xfId="7919" xr:uid="{00000000-0005-0000-0000-00006A1C0000}"/>
    <cellStyle name="40% - Ênfase4 24 17" xfId="7920" xr:uid="{00000000-0005-0000-0000-00006B1C0000}"/>
    <cellStyle name="40% - Ênfase4 24 18" xfId="7921" xr:uid="{00000000-0005-0000-0000-00006C1C0000}"/>
    <cellStyle name="40% - Ênfase4 24 19" xfId="7922" xr:uid="{00000000-0005-0000-0000-00006D1C0000}"/>
    <cellStyle name="40% - Ênfase4 24 2" xfId="7923" xr:uid="{00000000-0005-0000-0000-00006E1C0000}"/>
    <cellStyle name="40% - Ênfase4 24 20" xfId="7924" xr:uid="{00000000-0005-0000-0000-00006F1C0000}"/>
    <cellStyle name="40% - Ênfase4 24 3" xfId="7925" xr:uid="{00000000-0005-0000-0000-0000701C0000}"/>
    <cellStyle name="40% - Ênfase4 24 4" xfId="7926" xr:uid="{00000000-0005-0000-0000-0000711C0000}"/>
    <cellStyle name="40% - Ênfase4 24 5" xfId="7927" xr:uid="{00000000-0005-0000-0000-0000721C0000}"/>
    <cellStyle name="40% - Ênfase4 24 6" xfId="7928" xr:uid="{00000000-0005-0000-0000-0000731C0000}"/>
    <cellStyle name="40% - Ênfase4 24 7" xfId="7929" xr:uid="{00000000-0005-0000-0000-0000741C0000}"/>
    <cellStyle name="40% - Ênfase4 24 8" xfId="7930" xr:uid="{00000000-0005-0000-0000-0000751C0000}"/>
    <cellStyle name="40% - Ênfase4 24 9" xfId="7931" xr:uid="{00000000-0005-0000-0000-0000761C0000}"/>
    <cellStyle name="40% - Ênfase4 25" xfId="412" xr:uid="{00000000-0005-0000-0000-0000771C0000}"/>
    <cellStyle name="40% - Ênfase4 25 10" xfId="7932" xr:uid="{00000000-0005-0000-0000-0000781C0000}"/>
    <cellStyle name="40% - Ênfase4 25 11" xfId="7933" xr:uid="{00000000-0005-0000-0000-0000791C0000}"/>
    <cellStyle name="40% - Ênfase4 25 12" xfId="7934" xr:uid="{00000000-0005-0000-0000-00007A1C0000}"/>
    <cellStyle name="40% - Ênfase4 25 13" xfId="7935" xr:uid="{00000000-0005-0000-0000-00007B1C0000}"/>
    <cellStyle name="40% - Ênfase4 25 14" xfId="7936" xr:uid="{00000000-0005-0000-0000-00007C1C0000}"/>
    <cellStyle name="40% - Ênfase4 25 15" xfId="7937" xr:uid="{00000000-0005-0000-0000-00007D1C0000}"/>
    <cellStyle name="40% - Ênfase4 25 16" xfId="7938" xr:uid="{00000000-0005-0000-0000-00007E1C0000}"/>
    <cellStyle name="40% - Ênfase4 25 17" xfId="7939" xr:uid="{00000000-0005-0000-0000-00007F1C0000}"/>
    <cellStyle name="40% - Ênfase4 25 18" xfId="7940" xr:uid="{00000000-0005-0000-0000-0000801C0000}"/>
    <cellStyle name="40% - Ênfase4 25 19" xfId="7941" xr:uid="{00000000-0005-0000-0000-0000811C0000}"/>
    <cellStyle name="40% - Ênfase4 25 2" xfId="7942" xr:uid="{00000000-0005-0000-0000-0000821C0000}"/>
    <cellStyle name="40% - Ênfase4 25 20" xfId="7943" xr:uid="{00000000-0005-0000-0000-0000831C0000}"/>
    <cellStyle name="40% - Ênfase4 25 3" xfId="7944" xr:uid="{00000000-0005-0000-0000-0000841C0000}"/>
    <cellStyle name="40% - Ênfase4 25 4" xfId="7945" xr:uid="{00000000-0005-0000-0000-0000851C0000}"/>
    <cellStyle name="40% - Ênfase4 25 5" xfId="7946" xr:uid="{00000000-0005-0000-0000-0000861C0000}"/>
    <cellStyle name="40% - Ênfase4 25 6" xfId="7947" xr:uid="{00000000-0005-0000-0000-0000871C0000}"/>
    <cellStyle name="40% - Ênfase4 25 7" xfId="7948" xr:uid="{00000000-0005-0000-0000-0000881C0000}"/>
    <cellStyle name="40% - Ênfase4 25 8" xfId="7949" xr:uid="{00000000-0005-0000-0000-0000891C0000}"/>
    <cellStyle name="40% - Ênfase4 25 9" xfId="7950" xr:uid="{00000000-0005-0000-0000-00008A1C0000}"/>
    <cellStyle name="40% - Ênfase4 26" xfId="430" xr:uid="{00000000-0005-0000-0000-00008B1C0000}"/>
    <cellStyle name="40% - Ênfase4 26 10" xfId="7951" xr:uid="{00000000-0005-0000-0000-00008C1C0000}"/>
    <cellStyle name="40% - Ênfase4 26 11" xfId="7952" xr:uid="{00000000-0005-0000-0000-00008D1C0000}"/>
    <cellStyle name="40% - Ênfase4 26 12" xfId="7953" xr:uid="{00000000-0005-0000-0000-00008E1C0000}"/>
    <cellStyle name="40% - Ênfase4 26 13" xfId="7954" xr:uid="{00000000-0005-0000-0000-00008F1C0000}"/>
    <cellStyle name="40% - Ênfase4 26 14" xfId="7955" xr:uid="{00000000-0005-0000-0000-0000901C0000}"/>
    <cellStyle name="40% - Ênfase4 26 15" xfId="7956" xr:uid="{00000000-0005-0000-0000-0000911C0000}"/>
    <cellStyle name="40% - Ênfase4 26 16" xfId="7957" xr:uid="{00000000-0005-0000-0000-0000921C0000}"/>
    <cellStyle name="40% - Ênfase4 26 17" xfId="7958" xr:uid="{00000000-0005-0000-0000-0000931C0000}"/>
    <cellStyle name="40% - Ênfase4 26 18" xfId="7959" xr:uid="{00000000-0005-0000-0000-0000941C0000}"/>
    <cellStyle name="40% - Ênfase4 26 19" xfId="7960" xr:uid="{00000000-0005-0000-0000-0000951C0000}"/>
    <cellStyle name="40% - Ênfase4 26 2" xfId="7961" xr:uid="{00000000-0005-0000-0000-0000961C0000}"/>
    <cellStyle name="40% - Ênfase4 26 20" xfId="7962" xr:uid="{00000000-0005-0000-0000-0000971C0000}"/>
    <cellStyle name="40% - Ênfase4 26 3" xfId="7963" xr:uid="{00000000-0005-0000-0000-0000981C0000}"/>
    <cellStyle name="40% - Ênfase4 26 4" xfId="7964" xr:uid="{00000000-0005-0000-0000-0000991C0000}"/>
    <cellStyle name="40% - Ênfase4 26 5" xfId="7965" xr:uid="{00000000-0005-0000-0000-00009A1C0000}"/>
    <cellStyle name="40% - Ênfase4 26 6" xfId="7966" xr:uid="{00000000-0005-0000-0000-00009B1C0000}"/>
    <cellStyle name="40% - Ênfase4 26 7" xfId="7967" xr:uid="{00000000-0005-0000-0000-00009C1C0000}"/>
    <cellStyle name="40% - Ênfase4 26 8" xfId="7968" xr:uid="{00000000-0005-0000-0000-00009D1C0000}"/>
    <cellStyle name="40% - Ênfase4 26 9" xfId="7969" xr:uid="{00000000-0005-0000-0000-00009E1C0000}"/>
    <cellStyle name="40% - Ênfase4 27" xfId="448" xr:uid="{00000000-0005-0000-0000-00009F1C0000}"/>
    <cellStyle name="40% - Ênfase4 27 10" xfId="7970" xr:uid="{00000000-0005-0000-0000-0000A01C0000}"/>
    <cellStyle name="40% - Ênfase4 27 11" xfId="7971" xr:uid="{00000000-0005-0000-0000-0000A11C0000}"/>
    <cellStyle name="40% - Ênfase4 27 12" xfId="7972" xr:uid="{00000000-0005-0000-0000-0000A21C0000}"/>
    <cellStyle name="40% - Ênfase4 27 13" xfId="7973" xr:uid="{00000000-0005-0000-0000-0000A31C0000}"/>
    <cellStyle name="40% - Ênfase4 27 14" xfId="7974" xr:uid="{00000000-0005-0000-0000-0000A41C0000}"/>
    <cellStyle name="40% - Ênfase4 27 15" xfId="7975" xr:uid="{00000000-0005-0000-0000-0000A51C0000}"/>
    <cellStyle name="40% - Ênfase4 27 16" xfId="7976" xr:uid="{00000000-0005-0000-0000-0000A61C0000}"/>
    <cellStyle name="40% - Ênfase4 27 17" xfId="7977" xr:uid="{00000000-0005-0000-0000-0000A71C0000}"/>
    <cellStyle name="40% - Ênfase4 27 18" xfId="7978" xr:uid="{00000000-0005-0000-0000-0000A81C0000}"/>
    <cellStyle name="40% - Ênfase4 27 19" xfId="7979" xr:uid="{00000000-0005-0000-0000-0000A91C0000}"/>
    <cellStyle name="40% - Ênfase4 27 2" xfId="7980" xr:uid="{00000000-0005-0000-0000-0000AA1C0000}"/>
    <cellStyle name="40% - Ênfase4 27 20" xfId="7981" xr:uid="{00000000-0005-0000-0000-0000AB1C0000}"/>
    <cellStyle name="40% - Ênfase4 27 3" xfId="7982" xr:uid="{00000000-0005-0000-0000-0000AC1C0000}"/>
    <cellStyle name="40% - Ênfase4 27 4" xfId="7983" xr:uid="{00000000-0005-0000-0000-0000AD1C0000}"/>
    <cellStyle name="40% - Ênfase4 27 5" xfId="7984" xr:uid="{00000000-0005-0000-0000-0000AE1C0000}"/>
    <cellStyle name="40% - Ênfase4 27 6" xfId="7985" xr:uid="{00000000-0005-0000-0000-0000AF1C0000}"/>
    <cellStyle name="40% - Ênfase4 27 7" xfId="7986" xr:uid="{00000000-0005-0000-0000-0000B01C0000}"/>
    <cellStyle name="40% - Ênfase4 27 8" xfId="7987" xr:uid="{00000000-0005-0000-0000-0000B11C0000}"/>
    <cellStyle name="40% - Ênfase4 27 9" xfId="7988" xr:uid="{00000000-0005-0000-0000-0000B21C0000}"/>
    <cellStyle name="40% - Ênfase4 28" xfId="466" xr:uid="{00000000-0005-0000-0000-0000B31C0000}"/>
    <cellStyle name="40% - Ênfase4 28 10" xfId="7989" xr:uid="{00000000-0005-0000-0000-0000B41C0000}"/>
    <cellStyle name="40% - Ênfase4 28 11" xfId="7990" xr:uid="{00000000-0005-0000-0000-0000B51C0000}"/>
    <cellStyle name="40% - Ênfase4 28 12" xfId="7991" xr:uid="{00000000-0005-0000-0000-0000B61C0000}"/>
    <cellStyle name="40% - Ênfase4 28 13" xfId="7992" xr:uid="{00000000-0005-0000-0000-0000B71C0000}"/>
    <cellStyle name="40% - Ênfase4 28 14" xfId="7993" xr:uid="{00000000-0005-0000-0000-0000B81C0000}"/>
    <cellStyle name="40% - Ênfase4 28 15" xfId="7994" xr:uid="{00000000-0005-0000-0000-0000B91C0000}"/>
    <cellStyle name="40% - Ênfase4 28 16" xfId="7995" xr:uid="{00000000-0005-0000-0000-0000BA1C0000}"/>
    <cellStyle name="40% - Ênfase4 28 17" xfId="7996" xr:uid="{00000000-0005-0000-0000-0000BB1C0000}"/>
    <cellStyle name="40% - Ênfase4 28 18" xfId="7997" xr:uid="{00000000-0005-0000-0000-0000BC1C0000}"/>
    <cellStyle name="40% - Ênfase4 28 19" xfId="7998" xr:uid="{00000000-0005-0000-0000-0000BD1C0000}"/>
    <cellStyle name="40% - Ênfase4 28 2" xfId="7999" xr:uid="{00000000-0005-0000-0000-0000BE1C0000}"/>
    <cellStyle name="40% - Ênfase4 28 20" xfId="8000" xr:uid="{00000000-0005-0000-0000-0000BF1C0000}"/>
    <cellStyle name="40% - Ênfase4 28 3" xfId="8001" xr:uid="{00000000-0005-0000-0000-0000C01C0000}"/>
    <cellStyle name="40% - Ênfase4 28 4" xfId="8002" xr:uid="{00000000-0005-0000-0000-0000C11C0000}"/>
    <cellStyle name="40% - Ênfase4 28 5" xfId="8003" xr:uid="{00000000-0005-0000-0000-0000C21C0000}"/>
    <cellStyle name="40% - Ênfase4 28 6" xfId="8004" xr:uid="{00000000-0005-0000-0000-0000C31C0000}"/>
    <cellStyle name="40% - Ênfase4 28 7" xfId="8005" xr:uid="{00000000-0005-0000-0000-0000C41C0000}"/>
    <cellStyle name="40% - Ênfase4 28 8" xfId="8006" xr:uid="{00000000-0005-0000-0000-0000C51C0000}"/>
    <cellStyle name="40% - Ênfase4 28 9" xfId="8007" xr:uid="{00000000-0005-0000-0000-0000C61C0000}"/>
    <cellStyle name="40% - Ênfase4 29" xfId="484" xr:uid="{00000000-0005-0000-0000-0000C71C0000}"/>
    <cellStyle name="40% - Ênfase4 29 10" xfId="8008" xr:uid="{00000000-0005-0000-0000-0000C81C0000}"/>
    <cellStyle name="40% - Ênfase4 29 11" xfId="8009" xr:uid="{00000000-0005-0000-0000-0000C91C0000}"/>
    <cellStyle name="40% - Ênfase4 29 12" xfId="8010" xr:uid="{00000000-0005-0000-0000-0000CA1C0000}"/>
    <cellStyle name="40% - Ênfase4 29 13" xfId="8011" xr:uid="{00000000-0005-0000-0000-0000CB1C0000}"/>
    <cellStyle name="40% - Ênfase4 29 14" xfId="8012" xr:uid="{00000000-0005-0000-0000-0000CC1C0000}"/>
    <cellStyle name="40% - Ênfase4 29 15" xfId="8013" xr:uid="{00000000-0005-0000-0000-0000CD1C0000}"/>
    <cellStyle name="40% - Ênfase4 29 16" xfId="8014" xr:uid="{00000000-0005-0000-0000-0000CE1C0000}"/>
    <cellStyle name="40% - Ênfase4 29 17" xfId="8015" xr:uid="{00000000-0005-0000-0000-0000CF1C0000}"/>
    <cellStyle name="40% - Ênfase4 29 18" xfId="8016" xr:uid="{00000000-0005-0000-0000-0000D01C0000}"/>
    <cellStyle name="40% - Ênfase4 29 19" xfId="8017" xr:uid="{00000000-0005-0000-0000-0000D11C0000}"/>
    <cellStyle name="40% - Ênfase4 29 2" xfId="8018" xr:uid="{00000000-0005-0000-0000-0000D21C0000}"/>
    <cellStyle name="40% - Ênfase4 29 20" xfId="8019" xr:uid="{00000000-0005-0000-0000-0000D31C0000}"/>
    <cellStyle name="40% - Ênfase4 29 3" xfId="8020" xr:uid="{00000000-0005-0000-0000-0000D41C0000}"/>
    <cellStyle name="40% - Ênfase4 29 4" xfId="8021" xr:uid="{00000000-0005-0000-0000-0000D51C0000}"/>
    <cellStyle name="40% - Ênfase4 29 5" xfId="8022" xr:uid="{00000000-0005-0000-0000-0000D61C0000}"/>
    <cellStyle name="40% - Ênfase4 29 6" xfId="8023" xr:uid="{00000000-0005-0000-0000-0000D71C0000}"/>
    <cellStyle name="40% - Ênfase4 29 7" xfId="8024" xr:uid="{00000000-0005-0000-0000-0000D81C0000}"/>
    <cellStyle name="40% - Ênfase4 29 8" xfId="8025" xr:uid="{00000000-0005-0000-0000-0000D91C0000}"/>
    <cellStyle name="40% - Ênfase4 29 9" xfId="8026" xr:uid="{00000000-0005-0000-0000-0000DA1C0000}"/>
    <cellStyle name="40% - Ênfase4 3" xfId="70" xr:uid="{00000000-0005-0000-0000-0000DB1C0000}"/>
    <cellStyle name="40% - Ênfase4 3 10" xfId="8027" xr:uid="{00000000-0005-0000-0000-0000DC1C0000}"/>
    <cellStyle name="40% - Ênfase4 3 11" xfId="8028" xr:uid="{00000000-0005-0000-0000-0000DD1C0000}"/>
    <cellStyle name="40% - Ênfase4 3 12" xfId="8029" xr:uid="{00000000-0005-0000-0000-0000DE1C0000}"/>
    <cellStyle name="40% - Ênfase4 3 13" xfId="8030" xr:uid="{00000000-0005-0000-0000-0000DF1C0000}"/>
    <cellStyle name="40% - Ênfase4 3 14" xfId="8031" xr:uid="{00000000-0005-0000-0000-0000E01C0000}"/>
    <cellStyle name="40% - Ênfase4 3 15" xfId="8032" xr:uid="{00000000-0005-0000-0000-0000E11C0000}"/>
    <cellStyle name="40% - Ênfase4 3 16" xfId="8033" xr:uid="{00000000-0005-0000-0000-0000E21C0000}"/>
    <cellStyle name="40% - Ênfase4 3 17" xfId="8034" xr:uid="{00000000-0005-0000-0000-0000E31C0000}"/>
    <cellStyle name="40% - Ênfase4 3 18" xfId="8035" xr:uid="{00000000-0005-0000-0000-0000E41C0000}"/>
    <cellStyle name="40% - Ênfase4 3 19" xfId="8036" xr:uid="{00000000-0005-0000-0000-0000E51C0000}"/>
    <cellStyle name="40% - Ênfase4 3 2" xfId="8037" xr:uid="{00000000-0005-0000-0000-0000E61C0000}"/>
    <cellStyle name="40% - Ênfase4 3 20" xfId="8038" xr:uid="{00000000-0005-0000-0000-0000E71C0000}"/>
    <cellStyle name="40% - Ênfase4 3 3" xfId="8039" xr:uid="{00000000-0005-0000-0000-0000E81C0000}"/>
    <cellStyle name="40% - Ênfase4 3 4" xfId="8040" xr:uid="{00000000-0005-0000-0000-0000E91C0000}"/>
    <cellStyle name="40% - Ênfase4 3 5" xfId="8041" xr:uid="{00000000-0005-0000-0000-0000EA1C0000}"/>
    <cellStyle name="40% - Ênfase4 3 6" xfId="8042" xr:uid="{00000000-0005-0000-0000-0000EB1C0000}"/>
    <cellStyle name="40% - Ênfase4 3 7" xfId="8043" xr:uid="{00000000-0005-0000-0000-0000EC1C0000}"/>
    <cellStyle name="40% - Ênfase4 3 8" xfId="8044" xr:uid="{00000000-0005-0000-0000-0000ED1C0000}"/>
    <cellStyle name="40% - Ênfase4 3 9" xfId="8045" xr:uid="{00000000-0005-0000-0000-0000EE1C0000}"/>
    <cellStyle name="40% - Ênfase4 30" xfId="502" xr:uid="{00000000-0005-0000-0000-0000EF1C0000}"/>
    <cellStyle name="40% - Ênfase4 30 10" xfId="8046" xr:uid="{00000000-0005-0000-0000-0000F01C0000}"/>
    <cellStyle name="40% - Ênfase4 30 11" xfId="8047" xr:uid="{00000000-0005-0000-0000-0000F11C0000}"/>
    <cellStyle name="40% - Ênfase4 30 12" xfId="8048" xr:uid="{00000000-0005-0000-0000-0000F21C0000}"/>
    <cellStyle name="40% - Ênfase4 30 13" xfId="8049" xr:uid="{00000000-0005-0000-0000-0000F31C0000}"/>
    <cellStyle name="40% - Ênfase4 30 14" xfId="8050" xr:uid="{00000000-0005-0000-0000-0000F41C0000}"/>
    <cellStyle name="40% - Ênfase4 30 15" xfId="8051" xr:uid="{00000000-0005-0000-0000-0000F51C0000}"/>
    <cellStyle name="40% - Ênfase4 30 16" xfId="8052" xr:uid="{00000000-0005-0000-0000-0000F61C0000}"/>
    <cellStyle name="40% - Ênfase4 30 17" xfId="8053" xr:uid="{00000000-0005-0000-0000-0000F71C0000}"/>
    <cellStyle name="40% - Ênfase4 30 18" xfId="8054" xr:uid="{00000000-0005-0000-0000-0000F81C0000}"/>
    <cellStyle name="40% - Ênfase4 30 19" xfId="8055" xr:uid="{00000000-0005-0000-0000-0000F91C0000}"/>
    <cellStyle name="40% - Ênfase4 30 2" xfId="8056" xr:uid="{00000000-0005-0000-0000-0000FA1C0000}"/>
    <cellStyle name="40% - Ênfase4 30 20" xfId="8057" xr:uid="{00000000-0005-0000-0000-0000FB1C0000}"/>
    <cellStyle name="40% - Ênfase4 30 3" xfId="8058" xr:uid="{00000000-0005-0000-0000-0000FC1C0000}"/>
    <cellStyle name="40% - Ênfase4 30 4" xfId="8059" xr:uid="{00000000-0005-0000-0000-0000FD1C0000}"/>
    <cellStyle name="40% - Ênfase4 30 5" xfId="8060" xr:uid="{00000000-0005-0000-0000-0000FE1C0000}"/>
    <cellStyle name="40% - Ênfase4 30 6" xfId="8061" xr:uid="{00000000-0005-0000-0000-0000FF1C0000}"/>
    <cellStyle name="40% - Ênfase4 30 7" xfId="8062" xr:uid="{00000000-0005-0000-0000-0000001D0000}"/>
    <cellStyle name="40% - Ênfase4 30 8" xfId="8063" xr:uid="{00000000-0005-0000-0000-0000011D0000}"/>
    <cellStyle name="40% - Ênfase4 30 9" xfId="8064" xr:uid="{00000000-0005-0000-0000-0000021D0000}"/>
    <cellStyle name="40% - Ênfase4 31" xfId="520" xr:uid="{00000000-0005-0000-0000-0000031D0000}"/>
    <cellStyle name="40% - Ênfase4 31 10" xfId="8065" xr:uid="{00000000-0005-0000-0000-0000041D0000}"/>
    <cellStyle name="40% - Ênfase4 31 11" xfId="8066" xr:uid="{00000000-0005-0000-0000-0000051D0000}"/>
    <cellStyle name="40% - Ênfase4 31 12" xfId="8067" xr:uid="{00000000-0005-0000-0000-0000061D0000}"/>
    <cellStyle name="40% - Ênfase4 31 13" xfId="8068" xr:uid="{00000000-0005-0000-0000-0000071D0000}"/>
    <cellStyle name="40% - Ênfase4 31 14" xfId="8069" xr:uid="{00000000-0005-0000-0000-0000081D0000}"/>
    <cellStyle name="40% - Ênfase4 31 15" xfId="8070" xr:uid="{00000000-0005-0000-0000-0000091D0000}"/>
    <cellStyle name="40% - Ênfase4 31 16" xfId="8071" xr:uid="{00000000-0005-0000-0000-00000A1D0000}"/>
    <cellStyle name="40% - Ênfase4 31 17" xfId="8072" xr:uid="{00000000-0005-0000-0000-00000B1D0000}"/>
    <cellStyle name="40% - Ênfase4 31 18" xfId="8073" xr:uid="{00000000-0005-0000-0000-00000C1D0000}"/>
    <cellStyle name="40% - Ênfase4 31 19" xfId="8074" xr:uid="{00000000-0005-0000-0000-00000D1D0000}"/>
    <cellStyle name="40% - Ênfase4 31 2" xfId="8075" xr:uid="{00000000-0005-0000-0000-00000E1D0000}"/>
    <cellStyle name="40% - Ênfase4 31 20" xfId="8076" xr:uid="{00000000-0005-0000-0000-00000F1D0000}"/>
    <cellStyle name="40% - Ênfase4 31 3" xfId="8077" xr:uid="{00000000-0005-0000-0000-0000101D0000}"/>
    <cellStyle name="40% - Ênfase4 31 4" xfId="8078" xr:uid="{00000000-0005-0000-0000-0000111D0000}"/>
    <cellStyle name="40% - Ênfase4 31 5" xfId="8079" xr:uid="{00000000-0005-0000-0000-0000121D0000}"/>
    <cellStyle name="40% - Ênfase4 31 6" xfId="8080" xr:uid="{00000000-0005-0000-0000-0000131D0000}"/>
    <cellStyle name="40% - Ênfase4 31 7" xfId="8081" xr:uid="{00000000-0005-0000-0000-0000141D0000}"/>
    <cellStyle name="40% - Ênfase4 31 8" xfId="8082" xr:uid="{00000000-0005-0000-0000-0000151D0000}"/>
    <cellStyle name="40% - Ênfase4 31 9" xfId="8083" xr:uid="{00000000-0005-0000-0000-0000161D0000}"/>
    <cellStyle name="40% - Ênfase4 32" xfId="538" xr:uid="{00000000-0005-0000-0000-0000171D0000}"/>
    <cellStyle name="40% - Ênfase4 32 10" xfId="8084" xr:uid="{00000000-0005-0000-0000-0000181D0000}"/>
    <cellStyle name="40% - Ênfase4 32 11" xfId="8085" xr:uid="{00000000-0005-0000-0000-0000191D0000}"/>
    <cellStyle name="40% - Ênfase4 32 12" xfId="8086" xr:uid="{00000000-0005-0000-0000-00001A1D0000}"/>
    <cellStyle name="40% - Ênfase4 32 13" xfId="8087" xr:uid="{00000000-0005-0000-0000-00001B1D0000}"/>
    <cellStyle name="40% - Ênfase4 32 14" xfId="8088" xr:uid="{00000000-0005-0000-0000-00001C1D0000}"/>
    <cellStyle name="40% - Ênfase4 32 15" xfId="8089" xr:uid="{00000000-0005-0000-0000-00001D1D0000}"/>
    <cellStyle name="40% - Ênfase4 32 16" xfId="8090" xr:uid="{00000000-0005-0000-0000-00001E1D0000}"/>
    <cellStyle name="40% - Ênfase4 32 17" xfId="8091" xr:uid="{00000000-0005-0000-0000-00001F1D0000}"/>
    <cellStyle name="40% - Ênfase4 32 18" xfId="8092" xr:uid="{00000000-0005-0000-0000-0000201D0000}"/>
    <cellStyle name="40% - Ênfase4 32 19" xfId="8093" xr:uid="{00000000-0005-0000-0000-0000211D0000}"/>
    <cellStyle name="40% - Ênfase4 32 2" xfId="8094" xr:uid="{00000000-0005-0000-0000-0000221D0000}"/>
    <cellStyle name="40% - Ênfase4 32 20" xfId="8095" xr:uid="{00000000-0005-0000-0000-0000231D0000}"/>
    <cellStyle name="40% - Ênfase4 32 3" xfId="8096" xr:uid="{00000000-0005-0000-0000-0000241D0000}"/>
    <cellStyle name="40% - Ênfase4 32 4" xfId="8097" xr:uid="{00000000-0005-0000-0000-0000251D0000}"/>
    <cellStyle name="40% - Ênfase4 32 5" xfId="8098" xr:uid="{00000000-0005-0000-0000-0000261D0000}"/>
    <cellStyle name="40% - Ênfase4 32 6" xfId="8099" xr:uid="{00000000-0005-0000-0000-0000271D0000}"/>
    <cellStyle name="40% - Ênfase4 32 7" xfId="8100" xr:uid="{00000000-0005-0000-0000-0000281D0000}"/>
    <cellStyle name="40% - Ênfase4 32 8" xfId="8101" xr:uid="{00000000-0005-0000-0000-0000291D0000}"/>
    <cellStyle name="40% - Ênfase4 32 9" xfId="8102" xr:uid="{00000000-0005-0000-0000-00002A1D0000}"/>
    <cellStyle name="40% - Ênfase4 33" xfId="556" xr:uid="{00000000-0005-0000-0000-00002B1D0000}"/>
    <cellStyle name="40% - Ênfase4 33 10" xfId="8103" xr:uid="{00000000-0005-0000-0000-00002C1D0000}"/>
    <cellStyle name="40% - Ênfase4 33 11" xfId="8104" xr:uid="{00000000-0005-0000-0000-00002D1D0000}"/>
    <cellStyle name="40% - Ênfase4 33 12" xfId="8105" xr:uid="{00000000-0005-0000-0000-00002E1D0000}"/>
    <cellStyle name="40% - Ênfase4 33 13" xfId="8106" xr:uid="{00000000-0005-0000-0000-00002F1D0000}"/>
    <cellStyle name="40% - Ênfase4 33 14" xfId="8107" xr:uid="{00000000-0005-0000-0000-0000301D0000}"/>
    <cellStyle name="40% - Ênfase4 33 15" xfId="8108" xr:uid="{00000000-0005-0000-0000-0000311D0000}"/>
    <cellStyle name="40% - Ênfase4 33 16" xfId="8109" xr:uid="{00000000-0005-0000-0000-0000321D0000}"/>
    <cellStyle name="40% - Ênfase4 33 17" xfId="8110" xr:uid="{00000000-0005-0000-0000-0000331D0000}"/>
    <cellStyle name="40% - Ênfase4 33 18" xfId="8111" xr:uid="{00000000-0005-0000-0000-0000341D0000}"/>
    <cellStyle name="40% - Ênfase4 33 19" xfId="8112" xr:uid="{00000000-0005-0000-0000-0000351D0000}"/>
    <cellStyle name="40% - Ênfase4 33 2" xfId="8113" xr:uid="{00000000-0005-0000-0000-0000361D0000}"/>
    <cellStyle name="40% - Ênfase4 33 20" xfId="8114" xr:uid="{00000000-0005-0000-0000-0000371D0000}"/>
    <cellStyle name="40% - Ênfase4 33 3" xfId="8115" xr:uid="{00000000-0005-0000-0000-0000381D0000}"/>
    <cellStyle name="40% - Ênfase4 33 4" xfId="8116" xr:uid="{00000000-0005-0000-0000-0000391D0000}"/>
    <cellStyle name="40% - Ênfase4 33 5" xfId="8117" xr:uid="{00000000-0005-0000-0000-00003A1D0000}"/>
    <cellStyle name="40% - Ênfase4 33 6" xfId="8118" xr:uid="{00000000-0005-0000-0000-00003B1D0000}"/>
    <cellStyle name="40% - Ênfase4 33 7" xfId="8119" xr:uid="{00000000-0005-0000-0000-00003C1D0000}"/>
    <cellStyle name="40% - Ênfase4 33 8" xfId="8120" xr:uid="{00000000-0005-0000-0000-00003D1D0000}"/>
    <cellStyle name="40% - Ênfase4 33 9" xfId="8121" xr:uid="{00000000-0005-0000-0000-00003E1D0000}"/>
    <cellStyle name="40% - Ênfase4 34" xfId="574" xr:uid="{00000000-0005-0000-0000-00003F1D0000}"/>
    <cellStyle name="40% - Ênfase4 34 10" xfId="8122" xr:uid="{00000000-0005-0000-0000-0000401D0000}"/>
    <cellStyle name="40% - Ênfase4 34 11" xfId="8123" xr:uid="{00000000-0005-0000-0000-0000411D0000}"/>
    <cellStyle name="40% - Ênfase4 34 12" xfId="8124" xr:uid="{00000000-0005-0000-0000-0000421D0000}"/>
    <cellStyle name="40% - Ênfase4 34 13" xfId="8125" xr:uid="{00000000-0005-0000-0000-0000431D0000}"/>
    <cellStyle name="40% - Ênfase4 34 14" xfId="8126" xr:uid="{00000000-0005-0000-0000-0000441D0000}"/>
    <cellStyle name="40% - Ênfase4 34 15" xfId="8127" xr:uid="{00000000-0005-0000-0000-0000451D0000}"/>
    <cellStyle name="40% - Ênfase4 34 16" xfId="8128" xr:uid="{00000000-0005-0000-0000-0000461D0000}"/>
    <cellStyle name="40% - Ênfase4 34 17" xfId="8129" xr:uid="{00000000-0005-0000-0000-0000471D0000}"/>
    <cellStyle name="40% - Ênfase4 34 18" xfId="8130" xr:uid="{00000000-0005-0000-0000-0000481D0000}"/>
    <cellStyle name="40% - Ênfase4 34 19" xfId="8131" xr:uid="{00000000-0005-0000-0000-0000491D0000}"/>
    <cellStyle name="40% - Ênfase4 34 2" xfId="8132" xr:uid="{00000000-0005-0000-0000-00004A1D0000}"/>
    <cellStyle name="40% - Ênfase4 34 20" xfId="8133" xr:uid="{00000000-0005-0000-0000-00004B1D0000}"/>
    <cellStyle name="40% - Ênfase4 34 3" xfId="8134" xr:uid="{00000000-0005-0000-0000-00004C1D0000}"/>
    <cellStyle name="40% - Ênfase4 34 4" xfId="8135" xr:uid="{00000000-0005-0000-0000-00004D1D0000}"/>
    <cellStyle name="40% - Ênfase4 34 5" xfId="8136" xr:uid="{00000000-0005-0000-0000-00004E1D0000}"/>
    <cellStyle name="40% - Ênfase4 34 6" xfId="8137" xr:uid="{00000000-0005-0000-0000-00004F1D0000}"/>
    <cellStyle name="40% - Ênfase4 34 7" xfId="8138" xr:uid="{00000000-0005-0000-0000-0000501D0000}"/>
    <cellStyle name="40% - Ênfase4 34 8" xfId="8139" xr:uid="{00000000-0005-0000-0000-0000511D0000}"/>
    <cellStyle name="40% - Ênfase4 34 9" xfId="8140" xr:uid="{00000000-0005-0000-0000-0000521D0000}"/>
    <cellStyle name="40% - Ênfase4 35" xfId="592" xr:uid="{00000000-0005-0000-0000-0000531D0000}"/>
    <cellStyle name="40% - Ênfase4 35 10" xfId="8141" xr:uid="{00000000-0005-0000-0000-0000541D0000}"/>
    <cellStyle name="40% - Ênfase4 35 11" xfId="8142" xr:uid="{00000000-0005-0000-0000-0000551D0000}"/>
    <cellStyle name="40% - Ênfase4 35 12" xfId="8143" xr:uid="{00000000-0005-0000-0000-0000561D0000}"/>
    <cellStyle name="40% - Ênfase4 35 13" xfId="8144" xr:uid="{00000000-0005-0000-0000-0000571D0000}"/>
    <cellStyle name="40% - Ênfase4 35 14" xfId="8145" xr:uid="{00000000-0005-0000-0000-0000581D0000}"/>
    <cellStyle name="40% - Ênfase4 35 15" xfId="8146" xr:uid="{00000000-0005-0000-0000-0000591D0000}"/>
    <cellStyle name="40% - Ênfase4 35 16" xfId="8147" xr:uid="{00000000-0005-0000-0000-00005A1D0000}"/>
    <cellStyle name="40% - Ênfase4 35 17" xfId="8148" xr:uid="{00000000-0005-0000-0000-00005B1D0000}"/>
    <cellStyle name="40% - Ênfase4 35 18" xfId="8149" xr:uid="{00000000-0005-0000-0000-00005C1D0000}"/>
    <cellStyle name="40% - Ênfase4 35 19" xfId="8150" xr:uid="{00000000-0005-0000-0000-00005D1D0000}"/>
    <cellStyle name="40% - Ênfase4 35 2" xfId="8151" xr:uid="{00000000-0005-0000-0000-00005E1D0000}"/>
    <cellStyle name="40% - Ênfase4 35 20" xfId="8152" xr:uid="{00000000-0005-0000-0000-00005F1D0000}"/>
    <cellStyle name="40% - Ênfase4 35 3" xfId="8153" xr:uid="{00000000-0005-0000-0000-0000601D0000}"/>
    <cellStyle name="40% - Ênfase4 35 4" xfId="8154" xr:uid="{00000000-0005-0000-0000-0000611D0000}"/>
    <cellStyle name="40% - Ênfase4 35 5" xfId="8155" xr:uid="{00000000-0005-0000-0000-0000621D0000}"/>
    <cellStyle name="40% - Ênfase4 35 6" xfId="8156" xr:uid="{00000000-0005-0000-0000-0000631D0000}"/>
    <cellStyle name="40% - Ênfase4 35 7" xfId="8157" xr:uid="{00000000-0005-0000-0000-0000641D0000}"/>
    <cellStyle name="40% - Ênfase4 35 8" xfId="8158" xr:uid="{00000000-0005-0000-0000-0000651D0000}"/>
    <cellStyle name="40% - Ênfase4 35 9" xfId="8159" xr:uid="{00000000-0005-0000-0000-0000661D0000}"/>
    <cellStyle name="40% - Ênfase4 36" xfId="610" xr:uid="{00000000-0005-0000-0000-0000671D0000}"/>
    <cellStyle name="40% - Ênfase4 36 10" xfId="8160" xr:uid="{00000000-0005-0000-0000-0000681D0000}"/>
    <cellStyle name="40% - Ênfase4 36 11" xfId="8161" xr:uid="{00000000-0005-0000-0000-0000691D0000}"/>
    <cellStyle name="40% - Ênfase4 36 12" xfId="8162" xr:uid="{00000000-0005-0000-0000-00006A1D0000}"/>
    <cellStyle name="40% - Ênfase4 36 13" xfId="8163" xr:uid="{00000000-0005-0000-0000-00006B1D0000}"/>
    <cellStyle name="40% - Ênfase4 36 14" xfId="8164" xr:uid="{00000000-0005-0000-0000-00006C1D0000}"/>
    <cellStyle name="40% - Ênfase4 36 15" xfId="8165" xr:uid="{00000000-0005-0000-0000-00006D1D0000}"/>
    <cellStyle name="40% - Ênfase4 36 16" xfId="8166" xr:uid="{00000000-0005-0000-0000-00006E1D0000}"/>
    <cellStyle name="40% - Ênfase4 36 17" xfId="8167" xr:uid="{00000000-0005-0000-0000-00006F1D0000}"/>
    <cellStyle name="40% - Ênfase4 36 18" xfId="8168" xr:uid="{00000000-0005-0000-0000-0000701D0000}"/>
    <cellStyle name="40% - Ênfase4 36 19" xfId="8169" xr:uid="{00000000-0005-0000-0000-0000711D0000}"/>
    <cellStyle name="40% - Ênfase4 36 2" xfId="8170" xr:uid="{00000000-0005-0000-0000-0000721D0000}"/>
    <cellStyle name="40% - Ênfase4 36 20" xfId="8171" xr:uid="{00000000-0005-0000-0000-0000731D0000}"/>
    <cellStyle name="40% - Ênfase4 36 3" xfId="8172" xr:uid="{00000000-0005-0000-0000-0000741D0000}"/>
    <cellStyle name="40% - Ênfase4 36 4" xfId="8173" xr:uid="{00000000-0005-0000-0000-0000751D0000}"/>
    <cellStyle name="40% - Ênfase4 36 5" xfId="8174" xr:uid="{00000000-0005-0000-0000-0000761D0000}"/>
    <cellStyle name="40% - Ênfase4 36 6" xfId="8175" xr:uid="{00000000-0005-0000-0000-0000771D0000}"/>
    <cellStyle name="40% - Ênfase4 36 7" xfId="8176" xr:uid="{00000000-0005-0000-0000-0000781D0000}"/>
    <cellStyle name="40% - Ênfase4 36 8" xfId="8177" xr:uid="{00000000-0005-0000-0000-0000791D0000}"/>
    <cellStyle name="40% - Ênfase4 36 9" xfId="8178" xr:uid="{00000000-0005-0000-0000-00007A1D0000}"/>
    <cellStyle name="40% - Ênfase4 37" xfId="628" xr:uid="{00000000-0005-0000-0000-00007B1D0000}"/>
    <cellStyle name="40% - Ênfase4 37 10" xfId="8179" xr:uid="{00000000-0005-0000-0000-00007C1D0000}"/>
    <cellStyle name="40% - Ênfase4 37 11" xfId="8180" xr:uid="{00000000-0005-0000-0000-00007D1D0000}"/>
    <cellStyle name="40% - Ênfase4 37 12" xfId="8181" xr:uid="{00000000-0005-0000-0000-00007E1D0000}"/>
    <cellStyle name="40% - Ênfase4 37 13" xfId="8182" xr:uid="{00000000-0005-0000-0000-00007F1D0000}"/>
    <cellStyle name="40% - Ênfase4 37 14" xfId="8183" xr:uid="{00000000-0005-0000-0000-0000801D0000}"/>
    <cellStyle name="40% - Ênfase4 37 15" xfId="8184" xr:uid="{00000000-0005-0000-0000-0000811D0000}"/>
    <cellStyle name="40% - Ênfase4 37 16" xfId="8185" xr:uid="{00000000-0005-0000-0000-0000821D0000}"/>
    <cellStyle name="40% - Ênfase4 37 17" xfId="8186" xr:uid="{00000000-0005-0000-0000-0000831D0000}"/>
    <cellStyle name="40% - Ênfase4 37 18" xfId="8187" xr:uid="{00000000-0005-0000-0000-0000841D0000}"/>
    <cellStyle name="40% - Ênfase4 37 19" xfId="8188" xr:uid="{00000000-0005-0000-0000-0000851D0000}"/>
    <cellStyle name="40% - Ênfase4 37 2" xfId="8189" xr:uid="{00000000-0005-0000-0000-0000861D0000}"/>
    <cellStyle name="40% - Ênfase4 37 20" xfId="8190" xr:uid="{00000000-0005-0000-0000-0000871D0000}"/>
    <cellStyle name="40% - Ênfase4 37 3" xfId="8191" xr:uid="{00000000-0005-0000-0000-0000881D0000}"/>
    <cellStyle name="40% - Ênfase4 37 4" xfId="8192" xr:uid="{00000000-0005-0000-0000-0000891D0000}"/>
    <cellStyle name="40% - Ênfase4 37 5" xfId="8193" xr:uid="{00000000-0005-0000-0000-00008A1D0000}"/>
    <cellStyle name="40% - Ênfase4 37 6" xfId="8194" xr:uid="{00000000-0005-0000-0000-00008B1D0000}"/>
    <cellStyle name="40% - Ênfase4 37 7" xfId="8195" xr:uid="{00000000-0005-0000-0000-00008C1D0000}"/>
    <cellStyle name="40% - Ênfase4 37 8" xfId="8196" xr:uid="{00000000-0005-0000-0000-00008D1D0000}"/>
    <cellStyle name="40% - Ênfase4 37 9" xfId="8197" xr:uid="{00000000-0005-0000-0000-00008E1D0000}"/>
    <cellStyle name="40% - Ênfase4 38" xfId="646" xr:uid="{00000000-0005-0000-0000-00008F1D0000}"/>
    <cellStyle name="40% - Ênfase4 39" xfId="664" xr:uid="{00000000-0005-0000-0000-0000901D0000}"/>
    <cellStyle name="40% - Ênfase4 4" xfId="71" xr:uid="{00000000-0005-0000-0000-0000911D0000}"/>
    <cellStyle name="40% - Ênfase4 4 10" xfId="8198" xr:uid="{00000000-0005-0000-0000-0000921D0000}"/>
    <cellStyle name="40% - Ênfase4 4 11" xfId="8199" xr:uid="{00000000-0005-0000-0000-0000931D0000}"/>
    <cellStyle name="40% - Ênfase4 4 12" xfId="8200" xr:uid="{00000000-0005-0000-0000-0000941D0000}"/>
    <cellStyle name="40% - Ênfase4 4 13" xfId="8201" xr:uid="{00000000-0005-0000-0000-0000951D0000}"/>
    <cellStyle name="40% - Ênfase4 4 14" xfId="8202" xr:uid="{00000000-0005-0000-0000-0000961D0000}"/>
    <cellStyle name="40% - Ênfase4 4 15" xfId="8203" xr:uid="{00000000-0005-0000-0000-0000971D0000}"/>
    <cellStyle name="40% - Ênfase4 4 16" xfId="8204" xr:uid="{00000000-0005-0000-0000-0000981D0000}"/>
    <cellStyle name="40% - Ênfase4 4 17" xfId="8205" xr:uid="{00000000-0005-0000-0000-0000991D0000}"/>
    <cellStyle name="40% - Ênfase4 4 18" xfId="8206" xr:uid="{00000000-0005-0000-0000-00009A1D0000}"/>
    <cellStyle name="40% - Ênfase4 4 19" xfId="8207" xr:uid="{00000000-0005-0000-0000-00009B1D0000}"/>
    <cellStyle name="40% - Ênfase4 4 2" xfId="8208" xr:uid="{00000000-0005-0000-0000-00009C1D0000}"/>
    <cellStyle name="40% - Ênfase4 4 20" xfId="8209" xr:uid="{00000000-0005-0000-0000-00009D1D0000}"/>
    <cellStyle name="40% - Ênfase4 4 3" xfId="8210" xr:uid="{00000000-0005-0000-0000-00009E1D0000}"/>
    <cellStyle name="40% - Ênfase4 4 4" xfId="8211" xr:uid="{00000000-0005-0000-0000-00009F1D0000}"/>
    <cellStyle name="40% - Ênfase4 4 5" xfId="8212" xr:uid="{00000000-0005-0000-0000-0000A01D0000}"/>
    <cellStyle name="40% - Ênfase4 4 6" xfId="8213" xr:uid="{00000000-0005-0000-0000-0000A11D0000}"/>
    <cellStyle name="40% - Ênfase4 4 7" xfId="8214" xr:uid="{00000000-0005-0000-0000-0000A21D0000}"/>
    <cellStyle name="40% - Ênfase4 4 8" xfId="8215" xr:uid="{00000000-0005-0000-0000-0000A31D0000}"/>
    <cellStyle name="40% - Ênfase4 4 9" xfId="8216" xr:uid="{00000000-0005-0000-0000-0000A41D0000}"/>
    <cellStyle name="40% - Ênfase4 40" xfId="752" xr:uid="{00000000-0005-0000-0000-0000A51D0000}"/>
    <cellStyle name="40% - Ênfase4 41" xfId="710" xr:uid="{00000000-0005-0000-0000-0000A61D0000}"/>
    <cellStyle name="40% - Ênfase4 42" xfId="693" xr:uid="{00000000-0005-0000-0000-0000A71D0000}"/>
    <cellStyle name="40% - Ênfase4 43" xfId="717" xr:uid="{00000000-0005-0000-0000-0000A81D0000}"/>
    <cellStyle name="40% - Ênfase4 44" xfId="754" xr:uid="{00000000-0005-0000-0000-0000A91D0000}"/>
    <cellStyle name="40% - Ênfase4 45" xfId="772" xr:uid="{00000000-0005-0000-0000-0000AA1D0000}"/>
    <cellStyle name="40% - Ênfase4 46" xfId="790" xr:uid="{00000000-0005-0000-0000-0000AB1D0000}"/>
    <cellStyle name="40% - Ênfase4 47" xfId="808" xr:uid="{00000000-0005-0000-0000-0000AC1D0000}"/>
    <cellStyle name="40% - Ênfase4 48" xfId="826" xr:uid="{00000000-0005-0000-0000-0000AD1D0000}"/>
    <cellStyle name="40% - Ênfase4 49" xfId="844" xr:uid="{00000000-0005-0000-0000-0000AE1D0000}"/>
    <cellStyle name="40% - Ênfase4 5" xfId="67" xr:uid="{00000000-0005-0000-0000-0000AF1D0000}"/>
    <cellStyle name="40% - Ênfase4 5 10" xfId="8217" xr:uid="{00000000-0005-0000-0000-0000B01D0000}"/>
    <cellStyle name="40% - Ênfase4 5 11" xfId="8218" xr:uid="{00000000-0005-0000-0000-0000B11D0000}"/>
    <cellStyle name="40% - Ênfase4 5 12" xfId="8219" xr:uid="{00000000-0005-0000-0000-0000B21D0000}"/>
    <cellStyle name="40% - Ênfase4 5 13" xfId="8220" xr:uid="{00000000-0005-0000-0000-0000B31D0000}"/>
    <cellStyle name="40% - Ênfase4 5 14" xfId="8221" xr:uid="{00000000-0005-0000-0000-0000B41D0000}"/>
    <cellStyle name="40% - Ênfase4 5 15" xfId="8222" xr:uid="{00000000-0005-0000-0000-0000B51D0000}"/>
    <cellStyle name="40% - Ênfase4 5 16" xfId="8223" xr:uid="{00000000-0005-0000-0000-0000B61D0000}"/>
    <cellStyle name="40% - Ênfase4 5 17" xfId="8224" xr:uid="{00000000-0005-0000-0000-0000B71D0000}"/>
    <cellStyle name="40% - Ênfase4 5 18" xfId="8225" xr:uid="{00000000-0005-0000-0000-0000B81D0000}"/>
    <cellStyle name="40% - Ênfase4 5 19" xfId="8226" xr:uid="{00000000-0005-0000-0000-0000B91D0000}"/>
    <cellStyle name="40% - Ênfase4 5 2" xfId="8227" xr:uid="{00000000-0005-0000-0000-0000BA1D0000}"/>
    <cellStyle name="40% - Ênfase4 5 20" xfId="8228" xr:uid="{00000000-0005-0000-0000-0000BB1D0000}"/>
    <cellStyle name="40% - Ênfase4 5 3" xfId="8229" xr:uid="{00000000-0005-0000-0000-0000BC1D0000}"/>
    <cellStyle name="40% - Ênfase4 5 4" xfId="8230" xr:uid="{00000000-0005-0000-0000-0000BD1D0000}"/>
    <cellStyle name="40% - Ênfase4 5 5" xfId="8231" xr:uid="{00000000-0005-0000-0000-0000BE1D0000}"/>
    <cellStyle name="40% - Ênfase4 5 6" xfId="8232" xr:uid="{00000000-0005-0000-0000-0000BF1D0000}"/>
    <cellStyle name="40% - Ênfase4 5 7" xfId="8233" xr:uid="{00000000-0005-0000-0000-0000C01D0000}"/>
    <cellStyle name="40% - Ênfase4 5 8" xfId="8234" xr:uid="{00000000-0005-0000-0000-0000C11D0000}"/>
    <cellStyle name="40% - Ênfase4 5 9" xfId="8235" xr:uid="{00000000-0005-0000-0000-0000C21D0000}"/>
    <cellStyle name="40% - Ênfase4 50" xfId="932" xr:uid="{00000000-0005-0000-0000-0000C31D0000}"/>
    <cellStyle name="40% - Ênfase4 51" xfId="898" xr:uid="{00000000-0005-0000-0000-0000C41D0000}"/>
    <cellStyle name="40% - Ênfase4 52" xfId="911" xr:uid="{00000000-0005-0000-0000-0000C51D0000}"/>
    <cellStyle name="40% - Ênfase4 53" xfId="879" xr:uid="{00000000-0005-0000-0000-0000C61D0000}"/>
    <cellStyle name="40% - Ênfase4 54" xfId="934" xr:uid="{00000000-0005-0000-0000-0000C71D0000}"/>
    <cellStyle name="40% - Ênfase4 55" xfId="952" xr:uid="{00000000-0005-0000-0000-0000C81D0000}"/>
    <cellStyle name="40% - Ênfase4 56" xfId="970" xr:uid="{00000000-0005-0000-0000-0000C91D0000}"/>
    <cellStyle name="40% - Ênfase4 57" xfId="1057" xr:uid="{00000000-0005-0000-0000-0000CA1D0000}"/>
    <cellStyle name="40% - Ênfase4 58" xfId="1023" xr:uid="{00000000-0005-0000-0000-0000CB1D0000}"/>
    <cellStyle name="40% - Ênfase4 59" xfId="1093" xr:uid="{00000000-0005-0000-0000-0000CC1D0000}"/>
    <cellStyle name="40% - Ênfase4 6" xfId="83" xr:uid="{00000000-0005-0000-0000-0000CD1D0000}"/>
    <cellStyle name="40% - Ênfase4 6 10" xfId="8236" xr:uid="{00000000-0005-0000-0000-0000CE1D0000}"/>
    <cellStyle name="40% - Ênfase4 6 11" xfId="8237" xr:uid="{00000000-0005-0000-0000-0000CF1D0000}"/>
    <cellStyle name="40% - Ênfase4 6 12" xfId="8238" xr:uid="{00000000-0005-0000-0000-0000D01D0000}"/>
    <cellStyle name="40% - Ênfase4 6 13" xfId="8239" xr:uid="{00000000-0005-0000-0000-0000D11D0000}"/>
    <cellStyle name="40% - Ênfase4 6 14" xfId="8240" xr:uid="{00000000-0005-0000-0000-0000D21D0000}"/>
    <cellStyle name="40% - Ênfase4 6 15" xfId="8241" xr:uid="{00000000-0005-0000-0000-0000D31D0000}"/>
    <cellStyle name="40% - Ênfase4 6 16" xfId="8242" xr:uid="{00000000-0005-0000-0000-0000D41D0000}"/>
    <cellStyle name="40% - Ênfase4 6 17" xfId="8243" xr:uid="{00000000-0005-0000-0000-0000D51D0000}"/>
    <cellStyle name="40% - Ênfase4 6 18" xfId="8244" xr:uid="{00000000-0005-0000-0000-0000D61D0000}"/>
    <cellStyle name="40% - Ênfase4 6 19" xfId="8245" xr:uid="{00000000-0005-0000-0000-0000D71D0000}"/>
    <cellStyle name="40% - Ênfase4 6 2" xfId="8246" xr:uid="{00000000-0005-0000-0000-0000D81D0000}"/>
    <cellStyle name="40% - Ênfase4 6 20" xfId="8247" xr:uid="{00000000-0005-0000-0000-0000D91D0000}"/>
    <cellStyle name="40% - Ênfase4 6 3" xfId="8248" xr:uid="{00000000-0005-0000-0000-0000DA1D0000}"/>
    <cellStyle name="40% - Ênfase4 6 4" xfId="8249" xr:uid="{00000000-0005-0000-0000-0000DB1D0000}"/>
    <cellStyle name="40% - Ênfase4 6 5" xfId="8250" xr:uid="{00000000-0005-0000-0000-0000DC1D0000}"/>
    <cellStyle name="40% - Ênfase4 6 6" xfId="8251" xr:uid="{00000000-0005-0000-0000-0000DD1D0000}"/>
    <cellStyle name="40% - Ênfase4 6 7" xfId="8252" xr:uid="{00000000-0005-0000-0000-0000DE1D0000}"/>
    <cellStyle name="40% - Ênfase4 6 8" xfId="8253" xr:uid="{00000000-0005-0000-0000-0000DF1D0000}"/>
    <cellStyle name="40% - Ênfase4 6 9" xfId="8254" xr:uid="{00000000-0005-0000-0000-0000E01D0000}"/>
    <cellStyle name="40% - Ênfase4 60" xfId="1059" xr:uid="{00000000-0005-0000-0000-0000E11D0000}"/>
    <cellStyle name="40% - Ênfase4 61" xfId="1072" xr:uid="{00000000-0005-0000-0000-0000E21D0000}"/>
    <cellStyle name="40% - Ênfase4 62" xfId="1022" xr:uid="{00000000-0005-0000-0000-0000E31D0000}"/>
    <cellStyle name="40% - Ênfase4 63" xfId="1095" xr:uid="{00000000-0005-0000-0000-0000E41D0000}"/>
    <cellStyle name="40% - Ênfase4 64" xfId="1182" xr:uid="{00000000-0005-0000-0000-0000E51D0000}"/>
    <cellStyle name="40% - Ênfase4 65" xfId="1148" xr:uid="{00000000-0005-0000-0000-0000E61D0000}"/>
    <cellStyle name="40% - Ênfase4 66" xfId="1161" xr:uid="{00000000-0005-0000-0000-0000E71D0000}"/>
    <cellStyle name="40% - Ênfase4 67" xfId="1130" xr:uid="{00000000-0005-0000-0000-0000E81D0000}"/>
    <cellStyle name="40% - Ênfase4 68" xfId="1184" xr:uid="{00000000-0005-0000-0000-0000E91D0000}"/>
    <cellStyle name="40% - Ênfase4 69" xfId="1267" xr:uid="{00000000-0005-0000-0000-0000EA1D0000}"/>
    <cellStyle name="40% - Ênfase4 7" xfId="101" xr:uid="{00000000-0005-0000-0000-0000EB1D0000}"/>
    <cellStyle name="40% - Ênfase4 7 10" xfId="8255" xr:uid="{00000000-0005-0000-0000-0000EC1D0000}"/>
    <cellStyle name="40% - Ênfase4 7 11" xfId="8256" xr:uid="{00000000-0005-0000-0000-0000ED1D0000}"/>
    <cellStyle name="40% - Ênfase4 7 12" xfId="8257" xr:uid="{00000000-0005-0000-0000-0000EE1D0000}"/>
    <cellStyle name="40% - Ênfase4 7 13" xfId="8258" xr:uid="{00000000-0005-0000-0000-0000EF1D0000}"/>
    <cellStyle name="40% - Ênfase4 7 14" xfId="8259" xr:uid="{00000000-0005-0000-0000-0000F01D0000}"/>
    <cellStyle name="40% - Ênfase4 7 15" xfId="8260" xr:uid="{00000000-0005-0000-0000-0000F11D0000}"/>
    <cellStyle name="40% - Ênfase4 7 16" xfId="8261" xr:uid="{00000000-0005-0000-0000-0000F21D0000}"/>
    <cellStyle name="40% - Ênfase4 7 17" xfId="8262" xr:uid="{00000000-0005-0000-0000-0000F31D0000}"/>
    <cellStyle name="40% - Ênfase4 7 18" xfId="8263" xr:uid="{00000000-0005-0000-0000-0000F41D0000}"/>
    <cellStyle name="40% - Ênfase4 7 19" xfId="8264" xr:uid="{00000000-0005-0000-0000-0000F51D0000}"/>
    <cellStyle name="40% - Ênfase4 7 2" xfId="8265" xr:uid="{00000000-0005-0000-0000-0000F61D0000}"/>
    <cellStyle name="40% - Ênfase4 7 20" xfId="8266" xr:uid="{00000000-0005-0000-0000-0000F71D0000}"/>
    <cellStyle name="40% - Ênfase4 7 3" xfId="8267" xr:uid="{00000000-0005-0000-0000-0000F81D0000}"/>
    <cellStyle name="40% - Ênfase4 7 4" xfId="8268" xr:uid="{00000000-0005-0000-0000-0000F91D0000}"/>
    <cellStyle name="40% - Ênfase4 7 5" xfId="8269" xr:uid="{00000000-0005-0000-0000-0000FA1D0000}"/>
    <cellStyle name="40% - Ênfase4 7 6" xfId="8270" xr:uid="{00000000-0005-0000-0000-0000FB1D0000}"/>
    <cellStyle name="40% - Ênfase4 7 7" xfId="8271" xr:uid="{00000000-0005-0000-0000-0000FC1D0000}"/>
    <cellStyle name="40% - Ênfase4 7 8" xfId="8272" xr:uid="{00000000-0005-0000-0000-0000FD1D0000}"/>
    <cellStyle name="40% - Ênfase4 7 9" xfId="8273" xr:uid="{00000000-0005-0000-0000-0000FE1D0000}"/>
    <cellStyle name="40% - Ênfase4 70" xfId="1230" xr:uid="{00000000-0005-0000-0000-0000FF1D0000}"/>
    <cellStyle name="40% - Ênfase4 71" xfId="1228" xr:uid="{00000000-0005-0000-0000-0000001E0000}"/>
    <cellStyle name="40% - Ênfase4 72" xfId="8274" xr:uid="{00000000-0005-0000-0000-0000011E0000}"/>
    <cellStyle name="40% - Ênfase4 73" xfId="8275" xr:uid="{00000000-0005-0000-0000-0000021E0000}"/>
    <cellStyle name="40% - Ênfase4 74" xfId="8276" xr:uid="{00000000-0005-0000-0000-0000031E0000}"/>
    <cellStyle name="40% - Ênfase4 75" xfId="8277" xr:uid="{00000000-0005-0000-0000-0000041E0000}"/>
    <cellStyle name="40% - Ênfase4 76" xfId="8278" xr:uid="{00000000-0005-0000-0000-0000051E0000}"/>
    <cellStyle name="40% - Ênfase4 77" xfId="8279" xr:uid="{00000000-0005-0000-0000-0000061E0000}"/>
    <cellStyle name="40% - Ênfase4 78" xfId="8280" xr:uid="{00000000-0005-0000-0000-0000071E0000}"/>
    <cellStyle name="40% - Ênfase4 79" xfId="8281" xr:uid="{00000000-0005-0000-0000-0000081E0000}"/>
    <cellStyle name="40% - Ênfase4 8" xfId="118" xr:uid="{00000000-0005-0000-0000-0000091E0000}"/>
    <cellStyle name="40% - Ênfase4 8 10" xfId="8282" xr:uid="{00000000-0005-0000-0000-00000A1E0000}"/>
    <cellStyle name="40% - Ênfase4 8 11" xfId="8283" xr:uid="{00000000-0005-0000-0000-00000B1E0000}"/>
    <cellStyle name="40% - Ênfase4 8 12" xfId="8284" xr:uid="{00000000-0005-0000-0000-00000C1E0000}"/>
    <cellStyle name="40% - Ênfase4 8 13" xfId="8285" xr:uid="{00000000-0005-0000-0000-00000D1E0000}"/>
    <cellStyle name="40% - Ênfase4 8 14" xfId="8286" xr:uid="{00000000-0005-0000-0000-00000E1E0000}"/>
    <cellStyle name="40% - Ênfase4 8 15" xfId="8287" xr:uid="{00000000-0005-0000-0000-00000F1E0000}"/>
    <cellStyle name="40% - Ênfase4 8 16" xfId="8288" xr:uid="{00000000-0005-0000-0000-0000101E0000}"/>
    <cellStyle name="40% - Ênfase4 8 17" xfId="8289" xr:uid="{00000000-0005-0000-0000-0000111E0000}"/>
    <cellStyle name="40% - Ênfase4 8 18" xfId="8290" xr:uid="{00000000-0005-0000-0000-0000121E0000}"/>
    <cellStyle name="40% - Ênfase4 8 19" xfId="8291" xr:uid="{00000000-0005-0000-0000-0000131E0000}"/>
    <cellStyle name="40% - Ênfase4 8 2" xfId="8292" xr:uid="{00000000-0005-0000-0000-0000141E0000}"/>
    <cellStyle name="40% - Ênfase4 8 20" xfId="8293" xr:uid="{00000000-0005-0000-0000-0000151E0000}"/>
    <cellStyle name="40% - Ênfase4 8 3" xfId="8294" xr:uid="{00000000-0005-0000-0000-0000161E0000}"/>
    <cellStyle name="40% - Ênfase4 8 4" xfId="8295" xr:uid="{00000000-0005-0000-0000-0000171E0000}"/>
    <cellStyle name="40% - Ênfase4 8 5" xfId="8296" xr:uid="{00000000-0005-0000-0000-0000181E0000}"/>
    <cellStyle name="40% - Ênfase4 8 6" xfId="8297" xr:uid="{00000000-0005-0000-0000-0000191E0000}"/>
    <cellStyle name="40% - Ênfase4 8 7" xfId="8298" xr:uid="{00000000-0005-0000-0000-00001A1E0000}"/>
    <cellStyle name="40% - Ênfase4 8 8" xfId="8299" xr:uid="{00000000-0005-0000-0000-00001B1E0000}"/>
    <cellStyle name="40% - Ênfase4 8 9" xfId="8300" xr:uid="{00000000-0005-0000-0000-00001C1E0000}"/>
    <cellStyle name="40% - Ênfase4 80" xfId="8301" xr:uid="{00000000-0005-0000-0000-00001D1E0000}"/>
    <cellStyle name="40% - Ênfase4 81" xfId="8302" xr:uid="{00000000-0005-0000-0000-00001E1E0000}"/>
    <cellStyle name="40% - Ênfase4 82" xfId="8303" xr:uid="{00000000-0005-0000-0000-00001F1E0000}"/>
    <cellStyle name="40% - Ênfase4 83" xfId="8304" xr:uid="{00000000-0005-0000-0000-0000201E0000}"/>
    <cellStyle name="40% - Ênfase4 84" xfId="8305" xr:uid="{00000000-0005-0000-0000-0000211E0000}"/>
    <cellStyle name="40% - Ênfase4 85" xfId="8306" xr:uid="{00000000-0005-0000-0000-0000221E0000}"/>
    <cellStyle name="40% - Ênfase4 86" xfId="8307" xr:uid="{00000000-0005-0000-0000-0000231E0000}"/>
    <cellStyle name="40% - Ênfase4 87" xfId="8308" xr:uid="{00000000-0005-0000-0000-0000241E0000}"/>
    <cellStyle name="40% - Ênfase4 88" xfId="8309" xr:uid="{00000000-0005-0000-0000-0000251E0000}"/>
    <cellStyle name="40% - Ênfase4 89" xfId="8310" xr:uid="{00000000-0005-0000-0000-0000261E0000}"/>
    <cellStyle name="40% - Ênfase4 9" xfId="135" xr:uid="{00000000-0005-0000-0000-0000271E0000}"/>
    <cellStyle name="40% - Ênfase4 9 10" xfId="8311" xr:uid="{00000000-0005-0000-0000-0000281E0000}"/>
    <cellStyle name="40% - Ênfase4 9 11" xfId="8312" xr:uid="{00000000-0005-0000-0000-0000291E0000}"/>
    <cellStyle name="40% - Ênfase4 9 12" xfId="8313" xr:uid="{00000000-0005-0000-0000-00002A1E0000}"/>
    <cellStyle name="40% - Ênfase4 9 13" xfId="8314" xr:uid="{00000000-0005-0000-0000-00002B1E0000}"/>
    <cellStyle name="40% - Ênfase4 9 14" xfId="8315" xr:uid="{00000000-0005-0000-0000-00002C1E0000}"/>
    <cellStyle name="40% - Ênfase4 9 15" xfId="8316" xr:uid="{00000000-0005-0000-0000-00002D1E0000}"/>
    <cellStyle name="40% - Ênfase4 9 16" xfId="8317" xr:uid="{00000000-0005-0000-0000-00002E1E0000}"/>
    <cellStyle name="40% - Ênfase4 9 17" xfId="8318" xr:uid="{00000000-0005-0000-0000-00002F1E0000}"/>
    <cellStyle name="40% - Ênfase4 9 18" xfId="8319" xr:uid="{00000000-0005-0000-0000-0000301E0000}"/>
    <cellStyle name="40% - Ênfase4 9 19" xfId="8320" xr:uid="{00000000-0005-0000-0000-0000311E0000}"/>
    <cellStyle name="40% - Ênfase4 9 2" xfId="8321" xr:uid="{00000000-0005-0000-0000-0000321E0000}"/>
    <cellStyle name="40% - Ênfase4 9 20" xfId="8322" xr:uid="{00000000-0005-0000-0000-0000331E0000}"/>
    <cellStyle name="40% - Ênfase4 9 3" xfId="8323" xr:uid="{00000000-0005-0000-0000-0000341E0000}"/>
    <cellStyle name="40% - Ênfase4 9 4" xfId="8324" xr:uid="{00000000-0005-0000-0000-0000351E0000}"/>
    <cellStyle name="40% - Ênfase4 9 5" xfId="8325" xr:uid="{00000000-0005-0000-0000-0000361E0000}"/>
    <cellStyle name="40% - Ênfase4 9 6" xfId="8326" xr:uid="{00000000-0005-0000-0000-0000371E0000}"/>
    <cellStyle name="40% - Ênfase4 9 7" xfId="8327" xr:uid="{00000000-0005-0000-0000-0000381E0000}"/>
    <cellStyle name="40% - Ênfase4 9 8" xfId="8328" xr:uid="{00000000-0005-0000-0000-0000391E0000}"/>
    <cellStyle name="40% - Ênfase4 9 9" xfId="8329" xr:uid="{00000000-0005-0000-0000-00003A1E0000}"/>
    <cellStyle name="40% - Ênfase4 90" xfId="8330" xr:uid="{00000000-0005-0000-0000-00003B1E0000}"/>
    <cellStyle name="40% - Ênfase5" xfId="36" builtinId="47" customBuiltin="1"/>
    <cellStyle name="40% - Ênfase5 10" xfId="222" xr:uid="{00000000-0005-0000-0000-00003D1E0000}"/>
    <cellStyle name="40% - Ênfase5 10 10" xfId="8331" xr:uid="{00000000-0005-0000-0000-00003E1E0000}"/>
    <cellStyle name="40% - Ênfase5 10 11" xfId="8332" xr:uid="{00000000-0005-0000-0000-00003F1E0000}"/>
    <cellStyle name="40% - Ênfase5 10 12" xfId="8333" xr:uid="{00000000-0005-0000-0000-0000401E0000}"/>
    <cellStyle name="40% - Ênfase5 10 13" xfId="8334" xr:uid="{00000000-0005-0000-0000-0000411E0000}"/>
    <cellStyle name="40% - Ênfase5 10 14" xfId="8335" xr:uid="{00000000-0005-0000-0000-0000421E0000}"/>
    <cellStyle name="40% - Ênfase5 10 15" xfId="8336" xr:uid="{00000000-0005-0000-0000-0000431E0000}"/>
    <cellStyle name="40% - Ênfase5 10 16" xfId="8337" xr:uid="{00000000-0005-0000-0000-0000441E0000}"/>
    <cellStyle name="40% - Ênfase5 10 17" xfId="8338" xr:uid="{00000000-0005-0000-0000-0000451E0000}"/>
    <cellStyle name="40% - Ênfase5 10 18" xfId="8339" xr:uid="{00000000-0005-0000-0000-0000461E0000}"/>
    <cellStyle name="40% - Ênfase5 10 19" xfId="8340" xr:uid="{00000000-0005-0000-0000-0000471E0000}"/>
    <cellStyle name="40% - Ênfase5 10 2" xfId="8341" xr:uid="{00000000-0005-0000-0000-0000481E0000}"/>
    <cellStyle name="40% - Ênfase5 10 20" xfId="8342" xr:uid="{00000000-0005-0000-0000-0000491E0000}"/>
    <cellStyle name="40% - Ênfase5 10 3" xfId="8343" xr:uid="{00000000-0005-0000-0000-00004A1E0000}"/>
    <cellStyle name="40% - Ênfase5 10 4" xfId="8344" xr:uid="{00000000-0005-0000-0000-00004B1E0000}"/>
    <cellStyle name="40% - Ênfase5 10 5" xfId="8345" xr:uid="{00000000-0005-0000-0000-00004C1E0000}"/>
    <cellStyle name="40% - Ênfase5 10 6" xfId="8346" xr:uid="{00000000-0005-0000-0000-00004D1E0000}"/>
    <cellStyle name="40% - Ênfase5 10 7" xfId="8347" xr:uid="{00000000-0005-0000-0000-00004E1E0000}"/>
    <cellStyle name="40% - Ênfase5 10 8" xfId="8348" xr:uid="{00000000-0005-0000-0000-00004F1E0000}"/>
    <cellStyle name="40% - Ênfase5 10 9" xfId="8349" xr:uid="{00000000-0005-0000-0000-0000501E0000}"/>
    <cellStyle name="40% - Ênfase5 11" xfId="239" xr:uid="{00000000-0005-0000-0000-0000511E0000}"/>
    <cellStyle name="40% - Ênfase5 11 10" xfId="8350" xr:uid="{00000000-0005-0000-0000-0000521E0000}"/>
    <cellStyle name="40% - Ênfase5 11 11" xfId="8351" xr:uid="{00000000-0005-0000-0000-0000531E0000}"/>
    <cellStyle name="40% - Ênfase5 11 12" xfId="8352" xr:uid="{00000000-0005-0000-0000-0000541E0000}"/>
    <cellStyle name="40% - Ênfase5 11 13" xfId="8353" xr:uid="{00000000-0005-0000-0000-0000551E0000}"/>
    <cellStyle name="40% - Ênfase5 11 14" xfId="8354" xr:uid="{00000000-0005-0000-0000-0000561E0000}"/>
    <cellStyle name="40% - Ênfase5 11 15" xfId="8355" xr:uid="{00000000-0005-0000-0000-0000571E0000}"/>
    <cellStyle name="40% - Ênfase5 11 16" xfId="8356" xr:uid="{00000000-0005-0000-0000-0000581E0000}"/>
    <cellStyle name="40% - Ênfase5 11 17" xfId="8357" xr:uid="{00000000-0005-0000-0000-0000591E0000}"/>
    <cellStyle name="40% - Ênfase5 11 18" xfId="8358" xr:uid="{00000000-0005-0000-0000-00005A1E0000}"/>
    <cellStyle name="40% - Ênfase5 11 19" xfId="8359" xr:uid="{00000000-0005-0000-0000-00005B1E0000}"/>
    <cellStyle name="40% - Ênfase5 11 2" xfId="8360" xr:uid="{00000000-0005-0000-0000-00005C1E0000}"/>
    <cellStyle name="40% - Ênfase5 11 20" xfId="8361" xr:uid="{00000000-0005-0000-0000-00005D1E0000}"/>
    <cellStyle name="40% - Ênfase5 11 3" xfId="8362" xr:uid="{00000000-0005-0000-0000-00005E1E0000}"/>
    <cellStyle name="40% - Ênfase5 11 4" xfId="8363" xr:uid="{00000000-0005-0000-0000-00005F1E0000}"/>
    <cellStyle name="40% - Ênfase5 11 5" xfId="8364" xr:uid="{00000000-0005-0000-0000-0000601E0000}"/>
    <cellStyle name="40% - Ênfase5 11 6" xfId="8365" xr:uid="{00000000-0005-0000-0000-0000611E0000}"/>
    <cellStyle name="40% - Ênfase5 11 7" xfId="8366" xr:uid="{00000000-0005-0000-0000-0000621E0000}"/>
    <cellStyle name="40% - Ênfase5 11 8" xfId="8367" xr:uid="{00000000-0005-0000-0000-0000631E0000}"/>
    <cellStyle name="40% - Ênfase5 11 9" xfId="8368" xr:uid="{00000000-0005-0000-0000-0000641E0000}"/>
    <cellStyle name="40% - Ênfase5 12" xfId="256" xr:uid="{00000000-0005-0000-0000-0000651E0000}"/>
    <cellStyle name="40% - Ênfase5 12 10" xfId="8369" xr:uid="{00000000-0005-0000-0000-0000661E0000}"/>
    <cellStyle name="40% - Ênfase5 12 11" xfId="8370" xr:uid="{00000000-0005-0000-0000-0000671E0000}"/>
    <cellStyle name="40% - Ênfase5 12 12" xfId="8371" xr:uid="{00000000-0005-0000-0000-0000681E0000}"/>
    <cellStyle name="40% - Ênfase5 12 13" xfId="8372" xr:uid="{00000000-0005-0000-0000-0000691E0000}"/>
    <cellStyle name="40% - Ênfase5 12 14" xfId="8373" xr:uid="{00000000-0005-0000-0000-00006A1E0000}"/>
    <cellStyle name="40% - Ênfase5 12 15" xfId="8374" xr:uid="{00000000-0005-0000-0000-00006B1E0000}"/>
    <cellStyle name="40% - Ênfase5 12 16" xfId="8375" xr:uid="{00000000-0005-0000-0000-00006C1E0000}"/>
    <cellStyle name="40% - Ênfase5 12 17" xfId="8376" xr:uid="{00000000-0005-0000-0000-00006D1E0000}"/>
    <cellStyle name="40% - Ênfase5 12 18" xfId="8377" xr:uid="{00000000-0005-0000-0000-00006E1E0000}"/>
    <cellStyle name="40% - Ênfase5 12 19" xfId="8378" xr:uid="{00000000-0005-0000-0000-00006F1E0000}"/>
    <cellStyle name="40% - Ênfase5 12 2" xfId="8379" xr:uid="{00000000-0005-0000-0000-0000701E0000}"/>
    <cellStyle name="40% - Ênfase5 12 20" xfId="8380" xr:uid="{00000000-0005-0000-0000-0000711E0000}"/>
    <cellStyle name="40% - Ênfase5 12 3" xfId="8381" xr:uid="{00000000-0005-0000-0000-0000721E0000}"/>
    <cellStyle name="40% - Ênfase5 12 4" xfId="8382" xr:uid="{00000000-0005-0000-0000-0000731E0000}"/>
    <cellStyle name="40% - Ênfase5 12 5" xfId="8383" xr:uid="{00000000-0005-0000-0000-0000741E0000}"/>
    <cellStyle name="40% - Ênfase5 12 6" xfId="8384" xr:uid="{00000000-0005-0000-0000-0000751E0000}"/>
    <cellStyle name="40% - Ênfase5 12 7" xfId="8385" xr:uid="{00000000-0005-0000-0000-0000761E0000}"/>
    <cellStyle name="40% - Ênfase5 12 8" xfId="8386" xr:uid="{00000000-0005-0000-0000-0000771E0000}"/>
    <cellStyle name="40% - Ênfase5 12 9" xfId="8387" xr:uid="{00000000-0005-0000-0000-0000781E0000}"/>
    <cellStyle name="40% - Ênfase5 13" xfId="273" xr:uid="{00000000-0005-0000-0000-0000791E0000}"/>
    <cellStyle name="40% - Ênfase5 13 10" xfId="8388" xr:uid="{00000000-0005-0000-0000-00007A1E0000}"/>
    <cellStyle name="40% - Ênfase5 13 11" xfId="8389" xr:uid="{00000000-0005-0000-0000-00007B1E0000}"/>
    <cellStyle name="40% - Ênfase5 13 12" xfId="8390" xr:uid="{00000000-0005-0000-0000-00007C1E0000}"/>
    <cellStyle name="40% - Ênfase5 13 13" xfId="8391" xr:uid="{00000000-0005-0000-0000-00007D1E0000}"/>
    <cellStyle name="40% - Ênfase5 13 14" xfId="8392" xr:uid="{00000000-0005-0000-0000-00007E1E0000}"/>
    <cellStyle name="40% - Ênfase5 13 15" xfId="8393" xr:uid="{00000000-0005-0000-0000-00007F1E0000}"/>
    <cellStyle name="40% - Ênfase5 13 16" xfId="8394" xr:uid="{00000000-0005-0000-0000-0000801E0000}"/>
    <cellStyle name="40% - Ênfase5 13 17" xfId="8395" xr:uid="{00000000-0005-0000-0000-0000811E0000}"/>
    <cellStyle name="40% - Ênfase5 13 18" xfId="8396" xr:uid="{00000000-0005-0000-0000-0000821E0000}"/>
    <cellStyle name="40% - Ênfase5 13 19" xfId="8397" xr:uid="{00000000-0005-0000-0000-0000831E0000}"/>
    <cellStyle name="40% - Ênfase5 13 2" xfId="8398" xr:uid="{00000000-0005-0000-0000-0000841E0000}"/>
    <cellStyle name="40% - Ênfase5 13 20" xfId="8399" xr:uid="{00000000-0005-0000-0000-0000851E0000}"/>
    <cellStyle name="40% - Ênfase5 13 3" xfId="8400" xr:uid="{00000000-0005-0000-0000-0000861E0000}"/>
    <cellStyle name="40% - Ênfase5 13 4" xfId="8401" xr:uid="{00000000-0005-0000-0000-0000871E0000}"/>
    <cellStyle name="40% - Ênfase5 13 5" xfId="8402" xr:uid="{00000000-0005-0000-0000-0000881E0000}"/>
    <cellStyle name="40% - Ênfase5 13 6" xfId="8403" xr:uid="{00000000-0005-0000-0000-0000891E0000}"/>
    <cellStyle name="40% - Ênfase5 13 7" xfId="8404" xr:uid="{00000000-0005-0000-0000-00008A1E0000}"/>
    <cellStyle name="40% - Ênfase5 13 8" xfId="8405" xr:uid="{00000000-0005-0000-0000-00008B1E0000}"/>
    <cellStyle name="40% - Ênfase5 13 9" xfId="8406" xr:uid="{00000000-0005-0000-0000-00008C1E0000}"/>
    <cellStyle name="40% - Ênfase5 14" xfId="290" xr:uid="{00000000-0005-0000-0000-00008D1E0000}"/>
    <cellStyle name="40% - Ênfase5 14 10" xfId="8407" xr:uid="{00000000-0005-0000-0000-00008E1E0000}"/>
    <cellStyle name="40% - Ênfase5 14 11" xfId="8408" xr:uid="{00000000-0005-0000-0000-00008F1E0000}"/>
    <cellStyle name="40% - Ênfase5 14 12" xfId="8409" xr:uid="{00000000-0005-0000-0000-0000901E0000}"/>
    <cellStyle name="40% - Ênfase5 14 13" xfId="8410" xr:uid="{00000000-0005-0000-0000-0000911E0000}"/>
    <cellStyle name="40% - Ênfase5 14 14" xfId="8411" xr:uid="{00000000-0005-0000-0000-0000921E0000}"/>
    <cellStyle name="40% - Ênfase5 14 15" xfId="8412" xr:uid="{00000000-0005-0000-0000-0000931E0000}"/>
    <cellStyle name="40% - Ênfase5 14 16" xfId="8413" xr:uid="{00000000-0005-0000-0000-0000941E0000}"/>
    <cellStyle name="40% - Ênfase5 14 17" xfId="8414" xr:uid="{00000000-0005-0000-0000-0000951E0000}"/>
    <cellStyle name="40% - Ênfase5 14 18" xfId="8415" xr:uid="{00000000-0005-0000-0000-0000961E0000}"/>
    <cellStyle name="40% - Ênfase5 14 19" xfId="8416" xr:uid="{00000000-0005-0000-0000-0000971E0000}"/>
    <cellStyle name="40% - Ênfase5 14 2" xfId="8417" xr:uid="{00000000-0005-0000-0000-0000981E0000}"/>
    <cellStyle name="40% - Ênfase5 14 20" xfId="8418" xr:uid="{00000000-0005-0000-0000-0000991E0000}"/>
    <cellStyle name="40% - Ênfase5 14 3" xfId="8419" xr:uid="{00000000-0005-0000-0000-00009A1E0000}"/>
    <cellStyle name="40% - Ênfase5 14 4" xfId="8420" xr:uid="{00000000-0005-0000-0000-00009B1E0000}"/>
    <cellStyle name="40% - Ênfase5 14 5" xfId="8421" xr:uid="{00000000-0005-0000-0000-00009C1E0000}"/>
    <cellStyle name="40% - Ênfase5 14 6" xfId="8422" xr:uid="{00000000-0005-0000-0000-00009D1E0000}"/>
    <cellStyle name="40% - Ênfase5 14 7" xfId="8423" xr:uid="{00000000-0005-0000-0000-00009E1E0000}"/>
    <cellStyle name="40% - Ênfase5 14 8" xfId="8424" xr:uid="{00000000-0005-0000-0000-00009F1E0000}"/>
    <cellStyle name="40% - Ênfase5 14 9" xfId="8425" xr:uid="{00000000-0005-0000-0000-0000A01E0000}"/>
    <cellStyle name="40% - Ênfase5 15" xfId="307" xr:uid="{00000000-0005-0000-0000-0000A11E0000}"/>
    <cellStyle name="40% - Ênfase5 15 10" xfId="8426" xr:uid="{00000000-0005-0000-0000-0000A21E0000}"/>
    <cellStyle name="40% - Ênfase5 15 11" xfId="8427" xr:uid="{00000000-0005-0000-0000-0000A31E0000}"/>
    <cellStyle name="40% - Ênfase5 15 12" xfId="8428" xr:uid="{00000000-0005-0000-0000-0000A41E0000}"/>
    <cellStyle name="40% - Ênfase5 15 13" xfId="8429" xr:uid="{00000000-0005-0000-0000-0000A51E0000}"/>
    <cellStyle name="40% - Ênfase5 15 14" xfId="8430" xr:uid="{00000000-0005-0000-0000-0000A61E0000}"/>
    <cellStyle name="40% - Ênfase5 15 15" xfId="8431" xr:uid="{00000000-0005-0000-0000-0000A71E0000}"/>
    <cellStyle name="40% - Ênfase5 15 16" xfId="8432" xr:uid="{00000000-0005-0000-0000-0000A81E0000}"/>
    <cellStyle name="40% - Ênfase5 15 17" xfId="8433" xr:uid="{00000000-0005-0000-0000-0000A91E0000}"/>
    <cellStyle name="40% - Ênfase5 15 18" xfId="8434" xr:uid="{00000000-0005-0000-0000-0000AA1E0000}"/>
    <cellStyle name="40% - Ênfase5 15 19" xfId="8435" xr:uid="{00000000-0005-0000-0000-0000AB1E0000}"/>
    <cellStyle name="40% - Ênfase5 15 2" xfId="8436" xr:uid="{00000000-0005-0000-0000-0000AC1E0000}"/>
    <cellStyle name="40% - Ênfase5 15 20" xfId="8437" xr:uid="{00000000-0005-0000-0000-0000AD1E0000}"/>
    <cellStyle name="40% - Ênfase5 15 3" xfId="8438" xr:uid="{00000000-0005-0000-0000-0000AE1E0000}"/>
    <cellStyle name="40% - Ênfase5 15 4" xfId="8439" xr:uid="{00000000-0005-0000-0000-0000AF1E0000}"/>
    <cellStyle name="40% - Ênfase5 15 5" xfId="8440" xr:uid="{00000000-0005-0000-0000-0000B01E0000}"/>
    <cellStyle name="40% - Ênfase5 15 6" xfId="8441" xr:uid="{00000000-0005-0000-0000-0000B11E0000}"/>
    <cellStyle name="40% - Ênfase5 15 7" xfId="8442" xr:uid="{00000000-0005-0000-0000-0000B21E0000}"/>
    <cellStyle name="40% - Ênfase5 15 8" xfId="8443" xr:uid="{00000000-0005-0000-0000-0000B31E0000}"/>
    <cellStyle name="40% - Ênfase5 15 9" xfId="8444" xr:uid="{00000000-0005-0000-0000-0000B41E0000}"/>
    <cellStyle name="40% - Ênfase5 16" xfId="324" xr:uid="{00000000-0005-0000-0000-0000B51E0000}"/>
    <cellStyle name="40% - Ênfase5 16 10" xfId="8445" xr:uid="{00000000-0005-0000-0000-0000B61E0000}"/>
    <cellStyle name="40% - Ênfase5 16 11" xfId="8446" xr:uid="{00000000-0005-0000-0000-0000B71E0000}"/>
    <cellStyle name="40% - Ênfase5 16 12" xfId="8447" xr:uid="{00000000-0005-0000-0000-0000B81E0000}"/>
    <cellStyle name="40% - Ênfase5 16 13" xfId="8448" xr:uid="{00000000-0005-0000-0000-0000B91E0000}"/>
    <cellStyle name="40% - Ênfase5 16 14" xfId="8449" xr:uid="{00000000-0005-0000-0000-0000BA1E0000}"/>
    <cellStyle name="40% - Ênfase5 16 15" xfId="8450" xr:uid="{00000000-0005-0000-0000-0000BB1E0000}"/>
    <cellStyle name="40% - Ênfase5 16 16" xfId="8451" xr:uid="{00000000-0005-0000-0000-0000BC1E0000}"/>
    <cellStyle name="40% - Ênfase5 16 17" xfId="8452" xr:uid="{00000000-0005-0000-0000-0000BD1E0000}"/>
    <cellStyle name="40% - Ênfase5 16 18" xfId="8453" xr:uid="{00000000-0005-0000-0000-0000BE1E0000}"/>
    <cellStyle name="40% - Ênfase5 16 19" xfId="8454" xr:uid="{00000000-0005-0000-0000-0000BF1E0000}"/>
    <cellStyle name="40% - Ênfase5 16 2" xfId="8455" xr:uid="{00000000-0005-0000-0000-0000C01E0000}"/>
    <cellStyle name="40% - Ênfase5 16 20" xfId="8456" xr:uid="{00000000-0005-0000-0000-0000C11E0000}"/>
    <cellStyle name="40% - Ênfase5 16 3" xfId="8457" xr:uid="{00000000-0005-0000-0000-0000C21E0000}"/>
    <cellStyle name="40% - Ênfase5 16 4" xfId="8458" xr:uid="{00000000-0005-0000-0000-0000C31E0000}"/>
    <cellStyle name="40% - Ênfase5 16 5" xfId="8459" xr:uid="{00000000-0005-0000-0000-0000C41E0000}"/>
    <cellStyle name="40% - Ênfase5 16 6" xfId="8460" xr:uid="{00000000-0005-0000-0000-0000C51E0000}"/>
    <cellStyle name="40% - Ênfase5 16 7" xfId="8461" xr:uid="{00000000-0005-0000-0000-0000C61E0000}"/>
    <cellStyle name="40% - Ênfase5 16 8" xfId="8462" xr:uid="{00000000-0005-0000-0000-0000C71E0000}"/>
    <cellStyle name="40% - Ênfase5 16 9" xfId="8463" xr:uid="{00000000-0005-0000-0000-0000C81E0000}"/>
    <cellStyle name="40% - Ênfase5 17" xfId="341" xr:uid="{00000000-0005-0000-0000-0000C91E0000}"/>
    <cellStyle name="40% - Ênfase5 17 10" xfId="8464" xr:uid="{00000000-0005-0000-0000-0000CA1E0000}"/>
    <cellStyle name="40% - Ênfase5 17 11" xfId="8465" xr:uid="{00000000-0005-0000-0000-0000CB1E0000}"/>
    <cellStyle name="40% - Ênfase5 17 12" xfId="8466" xr:uid="{00000000-0005-0000-0000-0000CC1E0000}"/>
    <cellStyle name="40% - Ênfase5 17 13" xfId="8467" xr:uid="{00000000-0005-0000-0000-0000CD1E0000}"/>
    <cellStyle name="40% - Ênfase5 17 14" xfId="8468" xr:uid="{00000000-0005-0000-0000-0000CE1E0000}"/>
    <cellStyle name="40% - Ênfase5 17 15" xfId="8469" xr:uid="{00000000-0005-0000-0000-0000CF1E0000}"/>
    <cellStyle name="40% - Ênfase5 17 16" xfId="8470" xr:uid="{00000000-0005-0000-0000-0000D01E0000}"/>
    <cellStyle name="40% - Ênfase5 17 17" xfId="8471" xr:uid="{00000000-0005-0000-0000-0000D11E0000}"/>
    <cellStyle name="40% - Ênfase5 17 18" xfId="8472" xr:uid="{00000000-0005-0000-0000-0000D21E0000}"/>
    <cellStyle name="40% - Ênfase5 17 19" xfId="8473" xr:uid="{00000000-0005-0000-0000-0000D31E0000}"/>
    <cellStyle name="40% - Ênfase5 17 2" xfId="8474" xr:uid="{00000000-0005-0000-0000-0000D41E0000}"/>
    <cellStyle name="40% - Ênfase5 17 20" xfId="8475" xr:uid="{00000000-0005-0000-0000-0000D51E0000}"/>
    <cellStyle name="40% - Ênfase5 17 3" xfId="8476" xr:uid="{00000000-0005-0000-0000-0000D61E0000}"/>
    <cellStyle name="40% - Ênfase5 17 4" xfId="8477" xr:uid="{00000000-0005-0000-0000-0000D71E0000}"/>
    <cellStyle name="40% - Ênfase5 17 5" xfId="8478" xr:uid="{00000000-0005-0000-0000-0000D81E0000}"/>
    <cellStyle name="40% - Ênfase5 17 6" xfId="8479" xr:uid="{00000000-0005-0000-0000-0000D91E0000}"/>
    <cellStyle name="40% - Ênfase5 17 7" xfId="8480" xr:uid="{00000000-0005-0000-0000-0000DA1E0000}"/>
    <cellStyle name="40% - Ênfase5 17 8" xfId="8481" xr:uid="{00000000-0005-0000-0000-0000DB1E0000}"/>
    <cellStyle name="40% - Ênfase5 17 9" xfId="8482" xr:uid="{00000000-0005-0000-0000-0000DC1E0000}"/>
    <cellStyle name="40% - Ênfase5 18" xfId="358" xr:uid="{00000000-0005-0000-0000-0000DD1E0000}"/>
    <cellStyle name="40% - Ênfase5 18 10" xfId="8483" xr:uid="{00000000-0005-0000-0000-0000DE1E0000}"/>
    <cellStyle name="40% - Ênfase5 18 11" xfId="8484" xr:uid="{00000000-0005-0000-0000-0000DF1E0000}"/>
    <cellStyle name="40% - Ênfase5 18 12" xfId="8485" xr:uid="{00000000-0005-0000-0000-0000E01E0000}"/>
    <cellStyle name="40% - Ênfase5 18 13" xfId="8486" xr:uid="{00000000-0005-0000-0000-0000E11E0000}"/>
    <cellStyle name="40% - Ênfase5 18 14" xfId="8487" xr:uid="{00000000-0005-0000-0000-0000E21E0000}"/>
    <cellStyle name="40% - Ênfase5 18 15" xfId="8488" xr:uid="{00000000-0005-0000-0000-0000E31E0000}"/>
    <cellStyle name="40% - Ênfase5 18 16" xfId="8489" xr:uid="{00000000-0005-0000-0000-0000E41E0000}"/>
    <cellStyle name="40% - Ênfase5 18 17" xfId="8490" xr:uid="{00000000-0005-0000-0000-0000E51E0000}"/>
    <cellStyle name="40% - Ênfase5 18 18" xfId="8491" xr:uid="{00000000-0005-0000-0000-0000E61E0000}"/>
    <cellStyle name="40% - Ênfase5 18 19" xfId="8492" xr:uid="{00000000-0005-0000-0000-0000E71E0000}"/>
    <cellStyle name="40% - Ênfase5 18 2" xfId="8493" xr:uid="{00000000-0005-0000-0000-0000E81E0000}"/>
    <cellStyle name="40% - Ênfase5 18 20" xfId="8494" xr:uid="{00000000-0005-0000-0000-0000E91E0000}"/>
    <cellStyle name="40% - Ênfase5 18 3" xfId="8495" xr:uid="{00000000-0005-0000-0000-0000EA1E0000}"/>
    <cellStyle name="40% - Ênfase5 18 4" xfId="8496" xr:uid="{00000000-0005-0000-0000-0000EB1E0000}"/>
    <cellStyle name="40% - Ênfase5 18 5" xfId="8497" xr:uid="{00000000-0005-0000-0000-0000EC1E0000}"/>
    <cellStyle name="40% - Ênfase5 18 6" xfId="8498" xr:uid="{00000000-0005-0000-0000-0000ED1E0000}"/>
    <cellStyle name="40% - Ênfase5 18 7" xfId="8499" xr:uid="{00000000-0005-0000-0000-0000EE1E0000}"/>
    <cellStyle name="40% - Ênfase5 18 8" xfId="8500" xr:uid="{00000000-0005-0000-0000-0000EF1E0000}"/>
    <cellStyle name="40% - Ênfase5 18 9" xfId="8501" xr:uid="{00000000-0005-0000-0000-0000F01E0000}"/>
    <cellStyle name="40% - Ênfase5 19" xfId="378" xr:uid="{00000000-0005-0000-0000-0000F11E0000}"/>
    <cellStyle name="40% - Ênfase5 19 10" xfId="8502" xr:uid="{00000000-0005-0000-0000-0000F21E0000}"/>
    <cellStyle name="40% - Ênfase5 19 11" xfId="8503" xr:uid="{00000000-0005-0000-0000-0000F31E0000}"/>
    <cellStyle name="40% - Ênfase5 19 12" xfId="8504" xr:uid="{00000000-0005-0000-0000-0000F41E0000}"/>
    <cellStyle name="40% - Ênfase5 19 13" xfId="8505" xr:uid="{00000000-0005-0000-0000-0000F51E0000}"/>
    <cellStyle name="40% - Ênfase5 19 14" xfId="8506" xr:uid="{00000000-0005-0000-0000-0000F61E0000}"/>
    <cellStyle name="40% - Ênfase5 19 15" xfId="8507" xr:uid="{00000000-0005-0000-0000-0000F71E0000}"/>
    <cellStyle name="40% - Ênfase5 19 16" xfId="8508" xr:uid="{00000000-0005-0000-0000-0000F81E0000}"/>
    <cellStyle name="40% - Ênfase5 19 17" xfId="8509" xr:uid="{00000000-0005-0000-0000-0000F91E0000}"/>
    <cellStyle name="40% - Ênfase5 19 18" xfId="8510" xr:uid="{00000000-0005-0000-0000-0000FA1E0000}"/>
    <cellStyle name="40% - Ênfase5 19 19" xfId="8511" xr:uid="{00000000-0005-0000-0000-0000FB1E0000}"/>
    <cellStyle name="40% - Ênfase5 19 2" xfId="8512" xr:uid="{00000000-0005-0000-0000-0000FC1E0000}"/>
    <cellStyle name="40% - Ênfase5 19 20" xfId="8513" xr:uid="{00000000-0005-0000-0000-0000FD1E0000}"/>
    <cellStyle name="40% - Ênfase5 19 3" xfId="8514" xr:uid="{00000000-0005-0000-0000-0000FE1E0000}"/>
    <cellStyle name="40% - Ênfase5 19 4" xfId="8515" xr:uid="{00000000-0005-0000-0000-0000FF1E0000}"/>
    <cellStyle name="40% - Ênfase5 19 5" xfId="8516" xr:uid="{00000000-0005-0000-0000-0000001F0000}"/>
    <cellStyle name="40% - Ênfase5 19 6" xfId="8517" xr:uid="{00000000-0005-0000-0000-0000011F0000}"/>
    <cellStyle name="40% - Ênfase5 19 7" xfId="8518" xr:uid="{00000000-0005-0000-0000-0000021F0000}"/>
    <cellStyle name="40% - Ênfase5 19 8" xfId="8519" xr:uid="{00000000-0005-0000-0000-0000031F0000}"/>
    <cellStyle name="40% - Ênfase5 19 9" xfId="8520" xr:uid="{00000000-0005-0000-0000-0000041F0000}"/>
    <cellStyle name="40% - Ênfase5 2" xfId="85" xr:uid="{00000000-0005-0000-0000-0000051F0000}"/>
    <cellStyle name="40% - Ênfase5 2 10" xfId="8521" xr:uid="{00000000-0005-0000-0000-0000061F0000}"/>
    <cellStyle name="40% - Ênfase5 2 11" xfId="8522" xr:uid="{00000000-0005-0000-0000-0000071F0000}"/>
    <cellStyle name="40% - Ênfase5 2 12" xfId="8523" xr:uid="{00000000-0005-0000-0000-0000081F0000}"/>
    <cellStyle name="40% - Ênfase5 2 13" xfId="8524" xr:uid="{00000000-0005-0000-0000-0000091F0000}"/>
    <cellStyle name="40% - Ênfase5 2 14" xfId="8525" xr:uid="{00000000-0005-0000-0000-00000A1F0000}"/>
    <cellStyle name="40% - Ênfase5 2 15" xfId="8526" xr:uid="{00000000-0005-0000-0000-00000B1F0000}"/>
    <cellStyle name="40% - Ênfase5 2 16" xfId="8527" xr:uid="{00000000-0005-0000-0000-00000C1F0000}"/>
    <cellStyle name="40% - Ênfase5 2 17" xfId="8528" xr:uid="{00000000-0005-0000-0000-00000D1F0000}"/>
    <cellStyle name="40% - Ênfase5 2 18" xfId="8529" xr:uid="{00000000-0005-0000-0000-00000E1F0000}"/>
    <cellStyle name="40% - Ênfase5 2 19" xfId="8530" xr:uid="{00000000-0005-0000-0000-00000F1F0000}"/>
    <cellStyle name="40% - Ênfase5 2 2" xfId="8531" xr:uid="{00000000-0005-0000-0000-0000101F0000}"/>
    <cellStyle name="40% - Ênfase5 2 20" xfId="8532" xr:uid="{00000000-0005-0000-0000-0000111F0000}"/>
    <cellStyle name="40% - Ênfase5 2 3" xfId="8533" xr:uid="{00000000-0005-0000-0000-0000121F0000}"/>
    <cellStyle name="40% - Ênfase5 2 4" xfId="8534" xr:uid="{00000000-0005-0000-0000-0000131F0000}"/>
    <cellStyle name="40% - Ênfase5 2 5" xfId="8535" xr:uid="{00000000-0005-0000-0000-0000141F0000}"/>
    <cellStyle name="40% - Ênfase5 2 6" xfId="8536" xr:uid="{00000000-0005-0000-0000-0000151F0000}"/>
    <cellStyle name="40% - Ênfase5 2 7" xfId="8537" xr:uid="{00000000-0005-0000-0000-0000161F0000}"/>
    <cellStyle name="40% - Ênfase5 2 8" xfId="8538" xr:uid="{00000000-0005-0000-0000-0000171F0000}"/>
    <cellStyle name="40% - Ênfase5 2 9" xfId="8539" xr:uid="{00000000-0005-0000-0000-0000181F0000}"/>
    <cellStyle name="40% - Ênfase5 20" xfId="396" xr:uid="{00000000-0005-0000-0000-0000191F0000}"/>
    <cellStyle name="40% - Ênfase5 20 10" xfId="8540" xr:uid="{00000000-0005-0000-0000-00001A1F0000}"/>
    <cellStyle name="40% - Ênfase5 20 11" xfId="8541" xr:uid="{00000000-0005-0000-0000-00001B1F0000}"/>
    <cellStyle name="40% - Ênfase5 20 12" xfId="8542" xr:uid="{00000000-0005-0000-0000-00001C1F0000}"/>
    <cellStyle name="40% - Ênfase5 20 13" xfId="8543" xr:uid="{00000000-0005-0000-0000-00001D1F0000}"/>
    <cellStyle name="40% - Ênfase5 20 14" xfId="8544" xr:uid="{00000000-0005-0000-0000-00001E1F0000}"/>
    <cellStyle name="40% - Ênfase5 20 15" xfId="8545" xr:uid="{00000000-0005-0000-0000-00001F1F0000}"/>
    <cellStyle name="40% - Ênfase5 20 16" xfId="8546" xr:uid="{00000000-0005-0000-0000-0000201F0000}"/>
    <cellStyle name="40% - Ênfase5 20 17" xfId="8547" xr:uid="{00000000-0005-0000-0000-0000211F0000}"/>
    <cellStyle name="40% - Ênfase5 20 18" xfId="8548" xr:uid="{00000000-0005-0000-0000-0000221F0000}"/>
    <cellStyle name="40% - Ênfase5 20 19" xfId="8549" xr:uid="{00000000-0005-0000-0000-0000231F0000}"/>
    <cellStyle name="40% - Ênfase5 20 2" xfId="8550" xr:uid="{00000000-0005-0000-0000-0000241F0000}"/>
    <cellStyle name="40% - Ênfase5 20 20" xfId="8551" xr:uid="{00000000-0005-0000-0000-0000251F0000}"/>
    <cellStyle name="40% - Ênfase5 20 3" xfId="8552" xr:uid="{00000000-0005-0000-0000-0000261F0000}"/>
    <cellStyle name="40% - Ênfase5 20 4" xfId="8553" xr:uid="{00000000-0005-0000-0000-0000271F0000}"/>
    <cellStyle name="40% - Ênfase5 20 5" xfId="8554" xr:uid="{00000000-0005-0000-0000-0000281F0000}"/>
    <cellStyle name="40% - Ênfase5 20 6" xfId="8555" xr:uid="{00000000-0005-0000-0000-0000291F0000}"/>
    <cellStyle name="40% - Ênfase5 20 7" xfId="8556" xr:uid="{00000000-0005-0000-0000-00002A1F0000}"/>
    <cellStyle name="40% - Ênfase5 20 8" xfId="8557" xr:uid="{00000000-0005-0000-0000-00002B1F0000}"/>
    <cellStyle name="40% - Ênfase5 20 9" xfId="8558" xr:uid="{00000000-0005-0000-0000-00002C1F0000}"/>
    <cellStyle name="40% - Ênfase5 21" xfId="414" xr:uid="{00000000-0005-0000-0000-00002D1F0000}"/>
    <cellStyle name="40% - Ênfase5 21 10" xfId="8559" xr:uid="{00000000-0005-0000-0000-00002E1F0000}"/>
    <cellStyle name="40% - Ênfase5 21 11" xfId="8560" xr:uid="{00000000-0005-0000-0000-00002F1F0000}"/>
    <cellStyle name="40% - Ênfase5 21 12" xfId="8561" xr:uid="{00000000-0005-0000-0000-0000301F0000}"/>
    <cellStyle name="40% - Ênfase5 21 13" xfId="8562" xr:uid="{00000000-0005-0000-0000-0000311F0000}"/>
    <cellStyle name="40% - Ênfase5 21 14" xfId="8563" xr:uid="{00000000-0005-0000-0000-0000321F0000}"/>
    <cellStyle name="40% - Ênfase5 21 15" xfId="8564" xr:uid="{00000000-0005-0000-0000-0000331F0000}"/>
    <cellStyle name="40% - Ênfase5 21 16" xfId="8565" xr:uid="{00000000-0005-0000-0000-0000341F0000}"/>
    <cellStyle name="40% - Ênfase5 21 17" xfId="8566" xr:uid="{00000000-0005-0000-0000-0000351F0000}"/>
    <cellStyle name="40% - Ênfase5 21 18" xfId="8567" xr:uid="{00000000-0005-0000-0000-0000361F0000}"/>
    <cellStyle name="40% - Ênfase5 21 19" xfId="8568" xr:uid="{00000000-0005-0000-0000-0000371F0000}"/>
    <cellStyle name="40% - Ênfase5 21 2" xfId="8569" xr:uid="{00000000-0005-0000-0000-0000381F0000}"/>
    <cellStyle name="40% - Ênfase5 21 20" xfId="8570" xr:uid="{00000000-0005-0000-0000-0000391F0000}"/>
    <cellStyle name="40% - Ênfase5 21 3" xfId="8571" xr:uid="{00000000-0005-0000-0000-00003A1F0000}"/>
    <cellStyle name="40% - Ênfase5 21 4" xfId="8572" xr:uid="{00000000-0005-0000-0000-00003B1F0000}"/>
    <cellStyle name="40% - Ênfase5 21 5" xfId="8573" xr:uid="{00000000-0005-0000-0000-00003C1F0000}"/>
    <cellStyle name="40% - Ênfase5 21 6" xfId="8574" xr:uid="{00000000-0005-0000-0000-00003D1F0000}"/>
    <cellStyle name="40% - Ênfase5 21 7" xfId="8575" xr:uid="{00000000-0005-0000-0000-00003E1F0000}"/>
    <cellStyle name="40% - Ênfase5 21 8" xfId="8576" xr:uid="{00000000-0005-0000-0000-00003F1F0000}"/>
    <cellStyle name="40% - Ênfase5 21 9" xfId="8577" xr:uid="{00000000-0005-0000-0000-0000401F0000}"/>
    <cellStyle name="40% - Ênfase5 22" xfId="432" xr:uid="{00000000-0005-0000-0000-0000411F0000}"/>
    <cellStyle name="40% - Ênfase5 22 10" xfId="8578" xr:uid="{00000000-0005-0000-0000-0000421F0000}"/>
    <cellStyle name="40% - Ênfase5 22 11" xfId="8579" xr:uid="{00000000-0005-0000-0000-0000431F0000}"/>
    <cellStyle name="40% - Ênfase5 22 12" xfId="8580" xr:uid="{00000000-0005-0000-0000-0000441F0000}"/>
    <cellStyle name="40% - Ênfase5 22 13" xfId="8581" xr:uid="{00000000-0005-0000-0000-0000451F0000}"/>
    <cellStyle name="40% - Ênfase5 22 14" xfId="8582" xr:uid="{00000000-0005-0000-0000-0000461F0000}"/>
    <cellStyle name="40% - Ênfase5 22 15" xfId="8583" xr:uid="{00000000-0005-0000-0000-0000471F0000}"/>
    <cellStyle name="40% - Ênfase5 22 16" xfId="8584" xr:uid="{00000000-0005-0000-0000-0000481F0000}"/>
    <cellStyle name="40% - Ênfase5 22 17" xfId="8585" xr:uid="{00000000-0005-0000-0000-0000491F0000}"/>
    <cellStyle name="40% - Ênfase5 22 18" xfId="8586" xr:uid="{00000000-0005-0000-0000-00004A1F0000}"/>
    <cellStyle name="40% - Ênfase5 22 19" xfId="8587" xr:uid="{00000000-0005-0000-0000-00004B1F0000}"/>
    <cellStyle name="40% - Ênfase5 22 2" xfId="8588" xr:uid="{00000000-0005-0000-0000-00004C1F0000}"/>
    <cellStyle name="40% - Ênfase5 22 20" xfId="8589" xr:uid="{00000000-0005-0000-0000-00004D1F0000}"/>
    <cellStyle name="40% - Ênfase5 22 3" xfId="8590" xr:uid="{00000000-0005-0000-0000-00004E1F0000}"/>
    <cellStyle name="40% - Ênfase5 22 4" xfId="8591" xr:uid="{00000000-0005-0000-0000-00004F1F0000}"/>
    <cellStyle name="40% - Ênfase5 22 5" xfId="8592" xr:uid="{00000000-0005-0000-0000-0000501F0000}"/>
    <cellStyle name="40% - Ênfase5 22 6" xfId="8593" xr:uid="{00000000-0005-0000-0000-0000511F0000}"/>
    <cellStyle name="40% - Ênfase5 22 7" xfId="8594" xr:uid="{00000000-0005-0000-0000-0000521F0000}"/>
    <cellStyle name="40% - Ênfase5 22 8" xfId="8595" xr:uid="{00000000-0005-0000-0000-0000531F0000}"/>
    <cellStyle name="40% - Ênfase5 22 9" xfId="8596" xr:uid="{00000000-0005-0000-0000-0000541F0000}"/>
    <cellStyle name="40% - Ênfase5 23" xfId="450" xr:uid="{00000000-0005-0000-0000-0000551F0000}"/>
    <cellStyle name="40% - Ênfase5 23 10" xfId="8597" xr:uid="{00000000-0005-0000-0000-0000561F0000}"/>
    <cellStyle name="40% - Ênfase5 23 11" xfId="8598" xr:uid="{00000000-0005-0000-0000-0000571F0000}"/>
    <cellStyle name="40% - Ênfase5 23 12" xfId="8599" xr:uid="{00000000-0005-0000-0000-0000581F0000}"/>
    <cellStyle name="40% - Ênfase5 23 13" xfId="8600" xr:uid="{00000000-0005-0000-0000-0000591F0000}"/>
    <cellStyle name="40% - Ênfase5 23 14" xfId="8601" xr:uid="{00000000-0005-0000-0000-00005A1F0000}"/>
    <cellStyle name="40% - Ênfase5 23 15" xfId="8602" xr:uid="{00000000-0005-0000-0000-00005B1F0000}"/>
    <cellStyle name="40% - Ênfase5 23 16" xfId="8603" xr:uid="{00000000-0005-0000-0000-00005C1F0000}"/>
    <cellStyle name="40% - Ênfase5 23 17" xfId="8604" xr:uid="{00000000-0005-0000-0000-00005D1F0000}"/>
    <cellStyle name="40% - Ênfase5 23 18" xfId="8605" xr:uid="{00000000-0005-0000-0000-00005E1F0000}"/>
    <cellStyle name="40% - Ênfase5 23 19" xfId="8606" xr:uid="{00000000-0005-0000-0000-00005F1F0000}"/>
    <cellStyle name="40% - Ênfase5 23 2" xfId="8607" xr:uid="{00000000-0005-0000-0000-0000601F0000}"/>
    <cellStyle name="40% - Ênfase5 23 20" xfId="8608" xr:uid="{00000000-0005-0000-0000-0000611F0000}"/>
    <cellStyle name="40% - Ênfase5 23 3" xfId="8609" xr:uid="{00000000-0005-0000-0000-0000621F0000}"/>
    <cellStyle name="40% - Ênfase5 23 4" xfId="8610" xr:uid="{00000000-0005-0000-0000-0000631F0000}"/>
    <cellStyle name="40% - Ênfase5 23 5" xfId="8611" xr:uid="{00000000-0005-0000-0000-0000641F0000}"/>
    <cellStyle name="40% - Ênfase5 23 6" xfId="8612" xr:uid="{00000000-0005-0000-0000-0000651F0000}"/>
    <cellStyle name="40% - Ênfase5 23 7" xfId="8613" xr:uid="{00000000-0005-0000-0000-0000661F0000}"/>
    <cellStyle name="40% - Ênfase5 23 8" xfId="8614" xr:uid="{00000000-0005-0000-0000-0000671F0000}"/>
    <cellStyle name="40% - Ênfase5 23 9" xfId="8615" xr:uid="{00000000-0005-0000-0000-0000681F0000}"/>
    <cellStyle name="40% - Ênfase5 24" xfId="468" xr:uid="{00000000-0005-0000-0000-0000691F0000}"/>
    <cellStyle name="40% - Ênfase5 24 10" xfId="8616" xr:uid="{00000000-0005-0000-0000-00006A1F0000}"/>
    <cellStyle name="40% - Ênfase5 24 11" xfId="8617" xr:uid="{00000000-0005-0000-0000-00006B1F0000}"/>
    <cellStyle name="40% - Ênfase5 24 12" xfId="8618" xr:uid="{00000000-0005-0000-0000-00006C1F0000}"/>
    <cellStyle name="40% - Ênfase5 24 13" xfId="8619" xr:uid="{00000000-0005-0000-0000-00006D1F0000}"/>
    <cellStyle name="40% - Ênfase5 24 14" xfId="8620" xr:uid="{00000000-0005-0000-0000-00006E1F0000}"/>
    <cellStyle name="40% - Ênfase5 24 15" xfId="8621" xr:uid="{00000000-0005-0000-0000-00006F1F0000}"/>
    <cellStyle name="40% - Ênfase5 24 16" xfId="8622" xr:uid="{00000000-0005-0000-0000-0000701F0000}"/>
    <cellStyle name="40% - Ênfase5 24 17" xfId="8623" xr:uid="{00000000-0005-0000-0000-0000711F0000}"/>
    <cellStyle name="40% - Ênfase5 24 18" xfId="8624" xr:uid="{00000000-0005-0000-0000-0000721F0000}"/>
    <cellStyle name="40% - Ênfase5 24 19" xfId="8625" xr:uid="{00000000-0005-0000-0000-0000731F0000}"/>
    <cellStyle name="40% - Ênfase5 24 2" xfId="8626" xr:uid="{00000000-0005-0000-0000-0000741F0000}"/>
    <cellStyle name="40% - Ênfase5 24 20" xfId="8627" xr:uid="{00000000-0005-0000-0000-0000751F0000}"/>
    <cellStyle name="40% - Ênfase5 24 3" xfId="8628" xr:uid="{00000000-0005-0000-0000-0000761F0000}"/>
    <cellStyle name="40% - Ênfase5 24 4" xfId="8629" xr:uid="{00000000-0005-0000-0000-0000771F0000}"/>
    <cellStyle name="40% - Ênfase5 24 5" xfId="8630" xr:uid="{00000000-0005-0000-0000-0000781F0000}"/>
    <cellStyle name="40% - Ênfase5 24 6" xfId="8631" xr:uid="{00000000-0005-0000-0000-0000791F0000}"/>
    <cellStyle name="40% - Ênfase5 24 7" xfId="8632" xr:uid="{00000000-0005-0000-0000-00007A1F0000}"/>
    <cellStyle name="40% - Ênfase5 24 8" xfId="8633" xr:uid="{00000000-0005-0000-0000-00007B1F0000}"/>
    <cellStyle name="40% - Ênfase5 24 9" xfId="8634" xr:uid="{00000000-0005-0000-0000-00007C1F0000}"/>
    <cellStyle name="40% - Ênfase5 25" xfId="486" xr:uid="{00000000-0005-0000-0000-00007D1F0000}"/>
    <cellStyle name="40% - Ênfase5 25 10" xfId="8635" xr:uid="{00000000-0005-0000-0000-00007E1F0000}"/>
    <cellStyle name="40% - Ênfase5 25 11" xfId="8636" xr:uid="{00000000-0005-0000-0000-00007F1F0000}"/>
    <cellStyle name="40% - Ênfase5 25 12" xfId="8637" xr:uid="{00000000-0005-0000-0000-0000801F0000}"/>
    <cellStyle name="40% - Ênfase5 25 13" xfId="8638" xr:uid="{00000000-0005-0000-0000-0000811F0000}"/>
    <cellStyle name="40% - Ênfase5 25 14" xfId="8639" xr:uid="{00000000-0005-0000-0000-0000821F0000}"/>
    <cellStyle name="40% - Ênfase5 25 15" xfId="8640" xr:uid="{00000000-0005-0000-0000-0000831F0000}"/>
    <cellStyle name="40% - Ênfase5 25 16" xfId="8641" xr:uid="{00000000-0005-0000-0000-0000841F0000}"/>
    <cellStyle name="40% - Ênfase5 25 17" xfId="8642" xr:uid="{00000000-0005-0000-0000-0000851F0000}"/>
    <cellStyle name="40% - Ênfase5 25 18" xfId="8643" xr:uid="{00000000-0005-0000-0000-0000861F0000}"/>
    <cellStyle name="40% - Ênfase5 25 19" xfId="8644" xr:uid="{00000000-0005-0000-0000-0000871F0000}"/>
    <cellStyle name="40% - Ênfase5 25 2" xfId="8645" xr:uid="{00000000-0005-0000-0000-0000881F0000}"/>
    <cellStyle name="40% - Ênfase5 25 20" xfId="8646" xr:uid="{00000000-0005-0000-0000-0000891F0000}"/>
    <cellStyle name="40% - Ênfase5 25 3" xfId="8647" xr:uid="{00000000-0005-0000-0000-00008A1F0000}"/>
    <cellStyle name="40% - Ênfase5 25 4" xfId="8648" xr:uid="{00000000-0005-0000-0000-00008B1F0000}"/>
    <cellStyle name="40% - Ênfase5 25 5" xfId="8649" xr:uid="{00000000-0005-0000-0000-00008C1F0000}"/>
    <cellStyle name="40% - Ênfase5 25 6" xfId="8650" xr:uid="{00000000-0005-0000-0000-00008D1F0000}"/>
    <cellStyle name="40% - Ênfase5 25 7" xfId="8651" xr:uid="{00000000-0005-0000-0000-00008E1F0000}"/>
    <cellStyle name="40% - Ênfase5 25 8" xfId="8652" xr:uid="{00000000-0005-0000-0000-00008F1F0000}"/>
    <cellStyle name="40% - Ênfase5 25 9" xfId="8653" xr:uid="{00000000-0005-0000-0000-0000901F0000}"/>
    <cellStyle name="40% - Ênfase5 26" xfId="504" xr:uid="{00000000-0005-0000-0000-0000911F0000}"/>
    <cellStyle name="40% - Ênfase5 26 10" xfId="8654" xr:uid="{00000000-0005-0000-0000-0000921F0000}"/>
    <cellStyle name="40% - Ênfase5 26 11" xfId="8655" xr:uid="{00000000-0005-0000-0000-0000931F0000}"/>
    <cellStyle name="40% - Ênfase5 26 12" xfId="8656" xr:uid="{00000000-0005-0000-0000-0000941F0000}"/>
    <cellStyle name="40% - Ênfase5 26 13" xfId="8657" xr:uid="{00000000-0005-0000-0000-0000951F0000}"/>
    <cellStyle name="40% - Ênfase5 26 14" xfId="8658" xr:uid="{00000000-0005-0000-0000-0000961F0000}"/>
    <cellStyle name="40% - Ênfase5 26 15" xfId="8659" xr:uid="{00000000-0005-0000-0000-0000971F0000}"/>
    <cellStyle name="40% - Ênfase5 26 16" xfId="8660" xr:uid="{00000000-0005-0000-0000-0000981F0000}"/>
    <cellStyle name="40% - Ênfase5 26 17" xfId="8661" xr:uid="{00000000-0005-0000-0000-0000991F0000}"/>
    <cellStyle name="40% - Ênfase5 26 18" xfId="8662" xr:uid="{00000000-0005-0000-0000-00009A1F0000}"/>
    <cellStyle name="40% - Ênfase5 26 19" xfId="8663" xr:uid="{00000000-0005-0000-0000-00009B1F0000}"/>
    <cellStyle name="40% - Ênfase5 26 2" xfId="8664" xr:uid="{00000000-0005-0000-0000-00009C1F0000}"/>
    <cellStyle name="40% - Ênfase5 26 20" xfId="8665" xr:uid="{00000000-0005-0000-0000-00009D1F0000}"/>
    <cellStyle name="40% - Ênfase5 26 3" xfId="8666" xr:uid="{00000000-0005-0000-0000-00009E1F0000}"/>
    <cellStyle name="40% - Ênfase5 26 4" xfId="8667" xr:uid="{00000000-0005-0000-0000-00009F1F0000}"/>
    <cellStyle name="40% - Ênfase5 26 5" xfId="8668" xr:uid="{00000000-0005-0000-0000-0000A01F0000}"/>
    <cellStyle name="40% - Ênfase5 26 6" xfId="8669" xr:uid="{00000000-0005-0000-0000-0000A11F0000}"/>
    <cellStyle name="40% - Ênfase5 26 7" xfId="8670" xr:uid="{00000000-0005-0000-0000-0000A21F0000}"/>
    <cellStyle name="40% - Ênfase5 26 8" xfId="8671" xr:uid="{00000000-0005-0000-0000-0000A31F0000}"/>
    <cellStyle name="40% - Ênfase5 26 9" xfId="8672" xr:uid="{00000000-0005-0000-0000-0000A41F0000}"/>
    <cellStyle name="40% - Ênfase5 27" xfId="522" xr:uid="{00000000-0005-0000-0000-0000A51F0000}"/>
    <cellStyle name="40% - Ênfase5 27 10" xfId="8673" xr:uid="{00000000-0005-0000-0000-0000A61F0000}"/>
    <cellStyle name="40% - Ênfase5 27 11" xfId="8674" xr:uid="{00000000-0005-0000-0000-0000A71F0000}"/>
    <cellStyle name="40% - Ênfase5 27 12" xfId="8675" xr:uid="{00000000-0005-0000-0000-0000A81F0000}"/>
    <cellStyle name="40% - Ênfase5 27 13" xfId="8676" xr:uid="{00000000-0005-0000-0000-0000A91F0000}"/>
    <cellStyle name="40% - Ênfase5 27 14" xfId="8677" xr:uid="{00000000-0005-0000-0000-0000AA1F0000}"/>
    <cellStyle name="40% - Ênfase5 27 15" xfId="8678" xr:uid="{00000000-0005-0000-0000-0000AB1F0000}"/>
    <cellStyle name="40% - Ênfase5 27 16" xfId="8679" xr:uid="{00000000-0005-0000-0000-0000AC1F0000}"/>
    <cellStyle name="40% - Ênfase5 27 17" xfId="8680" xr:uid="{00000000-0005-0000-0000-0000AD1F0000}"/>
    <cellStyle name="40% - Ênfase5 27 18" xfId="8681" xr:uid="{00000000-0005-0000-0000-0000AE1F0000}"/>
    <cellStyle name="40% - Ênfase5 27 19" xfId="8682" xr:uid="{00000000-0005-0000-0000-0000AF1F0000}"/>
    <cellStyle name="40% - Ênfase5 27 2" xfId="8683" xr:uid="{00000000-0005-0000-0000-0000B01F0000}"/>
    <cellStyle name="40% - Ênfase5 27 20" xfId="8684" xr:uid="{00000000-0005-0000-0000-0000B11F0000}"/>
    <cellStyle name="40% - Ênfase5 27 3" xfId="8685" xr:uid="{00000000-0005-0000-0000-0000B21F0000}"/>
    <cellStyle name="40% - Ênfase5 27 4" xfId="8686" xr:uid="{00000000-0005-0000-0000-0000B31F0000}"/>
    <cellStyle name="40% - Ênfase5 27 5" xfId="8687" xr:uid="{00000000-0005-0000-0000-0000B41F0000}"/>
    <cellStyle name="40% - Ênfase5 27 6" xfId="8688" xr:uid="{00000000-0005-0000-0000-0000B51F0000}"/>
    <cellStyle name="40% - Ênfase5 27 7" xfId="8689" xr:uid="{00000000-0005-0000-0000-0000B61F0000}"/>
    <cellStyle name="40% - Ênfase5 27 8" xfId="8690" xr:uid="{00000000-0005-0000-0000-0000B71F0000}"/>
    <cellStyle name="40% - Ênfase5 27 9" xfId="8691" xr:uid="{00000000-0005-0000-0000-0000B81F0000}"/>
    <cellStyle name="40% - Ênfase5 28" xfId="540" xr:uid="{00000000-0005-0000-0000-0000B91F0000}"/>
    <cellStyle name="40% - Ênfase5 28 10" xfId="8692" xr:uid="{00000000-0005-0000-0000-0000BA1F0000}"/>
    <cellStyle name="40% - Ênfase5 28 11" xfId="8693" xr:uid="{00000000-0005-0000-0000-0000BB1F0000}"/>
    <cellStyle name="40% - Ênfase5 28 12" xfId="8694" xr:uid="{00000000-0005-0000-0000-0000BC1F0000}"/>
    <cellStyle name="40% - Ênfase5 28 13" xfId="8695" xr:uid="{00000000-0005-0000-0000-0000BD1F0000}"/>
    <cellStyle name="40% - Ênfase5 28 14" xfId="8696" xr:uid="{00000000-0005-0000-0000-0000BE1F0000}"/>
    <cellStyle name="40% - Ênfase5 28 15" xfId="8697" xr:uid="{00000000-0005-0000-0000-0000BF1F0000}"/>
    <cellStyle name="40% - Ênfase5 28 16" xfId="8698" xr:uid="{00000000-0005-0000-0000-0000C01F0000}"/>
    <cellStyle name="40% - Ênfase5 28 17" xfId="8699" xr:uid="{00000000-0005-0000-0000-0000C11F0000}"/>
    <cellStyle name="40% - Ênfase5 28 18" xfId="8700" xr:uid="{00000000-0005-0000-0000-0000C21F0000}"/>
    <cellStyle name="40% - Ênfase5 28 19" xfId="8701" xr:uid="{00000000-0005-0000-0000-0000C31F0000}"/>
    <cellStyle name="40% - Ênfase5 28 2" xfId="8702" xr:uid="{00000000-0005-0000-0000-0000C41F0000}"/>
    <cellStyle name="40% - Ênfase5 28 20" xfId="8703" xr:uid="{00000000-0005-0000-0000-0000C51F0000}"/>
    <cellStyle name="40% - Ênfase5 28 3" xfId="8704" xr:uid="{00000000-0005-0000-0000-0000C61F0000}"/>
    <cellStyle name="40% - Ênfase5 28 4" xfId="8705" xr:uid="{00000000-0005-0000-0000-0000C71F0000}"/>
    <cellStyle name="40% - Ênfase5 28 5" xfId="8706" xr:uid="{00000000-0005-0000-0000-0000C81F0000}"/>
    <cellStyle name="40% - Ênfase5 28 6" xfId="8707" xr:uid="{00000000-0005-0000-0000-0000C91F0000}"/>
    <cellStyle name="40% - Ênfase5 28 7" xfId="8708" xr:uid="{00000000-0005-0000-0000-0000CA1F0000}"/>
    <cellStyle name="40% - Ênfase5 28 8" xfId="8709" xr:uid="{00000000-0005-0000-0000-0000CB1F0000}"/>
    <cellStyle name="40% - Ênfase5 28 9" xfId="8710" xr:uid="{00000000-0005-0000-0000-0000CC1F0000}"/>
    <cellStyle name="40% - Ênfase5 29" xfId="558" xr:uid="{00000000-0005-0000-0000-0000CD1F0000}"/>
    <cellStyle name="40% - Ênfase5 29 10" xfId="8711" xr:uid="{00000000-0005-0000-0000-0000CE1F0000}"/>
    <cellStyle name="40% - Ênfase5 29 11" xfId="8712" xr:uid="{00000000-0005-0000-0000-0000CF1F0000}"/>
    <cellStyle name="40% - Ênfase5 29 12" xfId="8713" xr:uid="{00000000-0005-0000-0000-0000D01F0000}"/>
    <cellStyle name="40% - Ênfase5 29 13" xfId="8714" xr:uid="{00000000-0005-0000-0000-0000D11F0000}"/>
    <cellStyle name="40% - Ênfase5 29 14" xfId="8715" xr:uid="{00000000-0005-0000-0000-0000D21F0000}"/>
    <cellStyle name="40% - Ênfase5 29 15" xfId="8716" xr:uid="{00000000-0005-0000-0000-0000D31F0000}"/>
    <cellStyle name="40% - Ênfase5 29 16" xfId="8717" xr:uid="{00000000-0005-0000-0000-0000D41F0000}"/>
    <cellStyle name="40% - Ênfase5 29 17" xfId="8718" xr:uid="{00000000-0005-0000-0000-0000D51F0000}"/>
    <cellStyle name="40% - Ênfase5 29 18" xfId="8719" xr:uid="{00000000-0005-0000-0000-0000D61F0000}"/>
    <cellStyle name="40% - Ênfase5 29 19" xfId="8720" xr:uid="{00000000-0005-0000-0000-0000D71F0000}"/>
    <cellStyle name="40% - Ênfase5 29 2" xfId="8721" xr:uid="{00000000-0005-0000-0000-0000D81F0000}"/>
    <cellStyle name="40% - Ênfase5 29 20" xfId="8722" xr:uid="{00000000-0005-0000-0000-0000D91F0000}"/>
    <cellStyle name="40% - Ênfase5 29 3" xfId="8723" xr:uid="{00000000-0005-0000-0000-0000DA1F0000}"/>
    <cellStyle name="40% - Ênfase5 29 4" xfId="8724" xr:uid="{00000000-0005-0000-0000-0000DB1F0000}"/>
    <cellStyle name="40% - Ênfase5 29 5" xfId="8725" xr:uid="{00000000-0005-0000-0000-0000DC1F0000}"/>
    <cellStyle name="40% - Ênfase5 29 6" xfId="8726" xr:uid="{00000000-0005-0000-0000-0000DD1F0000}"/>
    <cellStyle name="40% - Ênfase5 29 7" xfId="8727" xr:uid="{00000000-0005-0000-0000-0000DE1F0000}"/>
    <cellStyle name="40% - Ênfase5 29 8" xfId="8728" xr:uid="{00000000-0005-0000-0000-0000DF1F0000}"/>
    <cellStyle name="40% - Ênfase5 29 9" xfId="8729" xr:uid="{00000000-0005-0000-0000-0000E01F0000}"/>
    <cellStyle name="40% - Ênfase5 3" xfId="103" xr:uid="{00000000-0005-0000-0000-0000E11F0000}"/>
    <cellStyle name="40% - Ênfase5 3 10" xfId="8730" xr:uid="{00000000-0005-0000-0000-0000E21F0000}"/>
    <cellStyle name="40% - Ênfase5 3 11" xfId="8731" xr:uid="{00000000-0005-0000-0000-0000E31F0000}"/>
    <cellStyle name="40% - Ênfase5 3 12" xfId="8732" xr:uid="{00000000-0005-0000-0000-0000E41F0000}"/>
    <cellStyle name="40% - Ênfase5 3 13" xfId="8733" xr:uid="{00000000-0005-0000-0000-0000E51F0000}"/>
    <cellStyle name="40% - Ênfase5 3 14" xfId="8734" xr:uid="{00000000-0005-0000-0000-0000E61F0000}"/>
    <cellStyle name="40% - Ênfase5 3 15" xfId="8735" xr:uid="{00000000-0005-0000-0000-0000E71F0000}"/>
    <cellStyle name="40% - Ênfase5 3 16" xfId="8736" xr:uid="{00000000-0005-0000-0000-0000E81F0000}"/>
    <cellStyle name="40% - Ênfase5 3 17" xfId="8737" xr:uid="{00000000-0005-0000-0000-0000E91F0000}"/>
    <cellStyle name="40% - Ênfase5 3 18" xfId="8738" xr:uid="{00000000-0005-0000-0000-0000EA1F0000}"/>
    <cellStyle name="40% - Ênfase5 3 19" xfId="8739" xr:uid="{00000000-0005-0000-0000-0000EB1F0000}"/>
    <cellStyle name="40% - Ênfase5 3 2" xfId="8740" xr:uid="{00000000-0005-0000-0000-0000EC1F0000}"/>
    <cellStyle name="40% - Ênfase5 3 20" xfId="8741" xr:uid="{00000000-0005-0000-0000-0000ED1F0000}"/>
    <cellStyle name="40% - Ênfase5 3 3" xfId="8742" xr:uid="{00000000-0005-0000-0000-0000EE1F0000}"/>
    <cellStyle name="40% - Ênfase5 3 4" xfId="8743" xr:uid="{00000000-0005-0000-0000-0000EF1F0000}"/>
    <cellStyle name="40% - Ênfase5 3 5" xfId="8744" xr:uid="{00000000-0005-0000-0000-0000F01F0000}"/>
    <cellStyle name="40% - Ênfase5 3 6" xfId="8745" xr:uid="{00000000-0005-0000-0000-0000F11F0000}"/>
    <cellStyle name="40% - Ênfase5 3 7" xfId="8746" xr:uid="{00000000-0005-0000-0000-0000F21F0000}"/>
    <cellStyle name="40% - Ênfase5 3 8" xfId="8747" xr:uid="{00000000-0005-0000-0000-0000F31F0000}"/>
    <cellStyle name="40% - Ênfase5 3 9" xfId="8748" xr:uid="{00000000-0005-0000-0000-0000F41F0000}"/>
    <cellStyle name="40% - Ênfase5 30" xfId="576" xr:uid="{00000000-0005-0000-0000-0000F51F0000}"/>
    <cellStyle name="40% - Ênfase5 30 10" xfId="8749" xr:uid="{00000000-0005-0000-0000-0000F61F0000}"/>
    <cellStyle name="40% - Ênfase5 30 11" xfId="8750" xr:uid="{00000000-0005-0000-0000-0000F71F0000}"/>
    <cellStyle name="40% - Ênfase5 30 12" xfId="8751" xr:uid="{00000000-0005-0000-0000-0000F81F0000}"/>
    <cellStyle name="40% - Ênfase5 30 13" xfId="8752" xr:uid="{00000000-0005-0000-0000-0000F91F0000}"/>
    <cellStyle name="40% - Ênfase5 30 14" xfId="8753" xr:uid="{00000000-0005-0000-0000-0000FA1F0000}"/>
    <cellStyle name="40% - Ênfase5 30 15" xfId="8754" xr:uid="{00000000-0005-0000-0000-0000FB1F0000}"/>
    <cellStyle name="40% - Ênfase5 30 16" xfId="8755" xr:uid="{00000000-0005-0000-0000-0000FC1F0000}"/>
    <cellStyle name="40% - Ênfase5 30 17" xfId="8756" xr:uid="{00000000-0005-0000-0000-0000FD1F0000}"/>
    <cellStyle name="40% - Ênfase5 30 18" xfId="8757" xr:uid="{00000000-0005-0000-0000-0000FE1F0000}"/>
    <cellStyle name="40% - Ênfase5 30 19" xfId="8758" xr:uid="{00000000-0005-0000-0000-0000FF1F0000}"/>
    <cellStyle name="40% - Ênfase5 30 2" xfId="8759" xr:uid="{00000000-0005-0000-0000-000000200000}"/>
    <cellStyle name="40% - Ênfase5 30 20" xfId="8760" xr:uid="{00000000-0005-0000-0000-000001200000}"/>
    <cellStyle name="40% - Ênfase5 30 3" xfId="8761" xr:uid="{00000000-0005-0000-0000-000002200000}"/>
    <cellStyle name="40% - Ênfase5 30 4" xfId="8762" xr:uid="{00000000-0005-0000-0000-000003200000}"/>
    <cellStyle name="40% - Ênfase5 30 5" xfId="8763" xr:uid="{00000000-0005-0000-0000-000004200000}"/>
    <cellStyle name="40% - Ênfase5 30 6" xfId="8764" xr:uid="{00000000-0005-0000-0000-000005200000}"/>
    <cellStyle name="40% - Ênfase5 30 7" xfId="8765" xr:uid="{00000000-0005-0000-0000-000006200000}"/>
    <cellStyle name="40% - Ênfase5 30 8" xfId="8766" xr:uid="{00000000-0005-0000-0000-000007200000}"/>
    <cellStyle name="40% - Ênfase5 30 9" xfId="8767" xr:uid="{00000000-0005-0000-0000-000008200000}"/>
    <cellStyle name="40% - Ênfase5 31" xfId="594" xr:uid="{00000000-0005-0000-0000-000009200000}"/>
    <cellStyle name="40% - Ênfase5 31 10" xfId="8768" xr:uid="{00000000-0005-0000-0000-00000A200000}"/>
    <cellStyle name="40% - Ênfase5 31 11" xfId="8769" xr:uid="{00000000-0005-0000-0000-00000B200000}"/>
    <cellStyle name="40% - Ênfase5 31 12" xfId="8770" xr:uid="{00000000-0005-0000-0000-00000C200000}"/>
    <cellStyle name="40% - Ênfase5 31 13" xfId="8771" xr:uid="{00000000-0005-0000-0000-00000D200000}"/>
    <cellStyle name="40% - Ênfase5 31 14" xfId="8772" xr:uid="{00000000-0005-0000-0000-00000E200000}"/>
    <cellStyle name="40% - Ênfase5 31 15" xfId="8773" xr:uid="{00000000-0005-0000-0000-00000F200000}"/>
    <cellStyle name="40% - Ênfase5 31 16" xfId="8774" xr:uid="{00000000-0005-0000-0000-000010200000}"/>
    <cellStyle name="40% - Ênfase5 31 17" xfId="8775" xr:uid="{00000000-0005-0000-0000-000011200000}"/>
    <cellStyle name="40% - Ênfase5 31 18" xfId="8776" xr:uid="{00000000-0005-0000-0000-000012200000}"/>
    <cellStyle name="40% - Ênfase5 31 19" xfId="8777" xr:uid="{00000000-0005-0000-0000-000013200000}"/>
    <cellStyle name="40% - Ênfase5 31 2" xfId="8778" xr:uid="{00000000-0005-0000-0000-000014200000}"/>
    <cellStyle name="40% - Ênfase5 31 20" xfId="8779" xr:uid="{00000000-0005-0000-0000-000015200000}"/>
    <cellStyle name="40% - Ênfase5 31 3" xfId="8780" xr:uid="{00000000-0005-0000-0000-000016200000}"/>
    <cellStyle name="40% - Ênfase5 31 4" xfId="8781" xr:uid="{00000000-0005-0000-0000-000017200000}"/>
    <cellStyle name="40% - Ênfase5 31 5" xfId="8782" xr:uid="{00000000-0005-0000-0000-000018200000}"/>
    <cellStyle name="40% - Ênfase5 31 6" xfId="8783" xr:uid="{00000000-0005-0000-0000-000019200000}"/>
    <cellStyle name="40% - Ênfase5 31 7" xfId="8784" xr:uid="{00000000-0005-0000-0000-00001A200000}"/>
    <cellStyle name="40% - Ênfase5 31 8" xfId="8785" xr:uid="{00000000-0005-0000-0000-00001B200000}"/>
    <cellStyle name="40% - Ênfase5 31 9" xfId="8786" xr:uid="{00000000-0005-0000-0000-00001C200000}"/>
    <cellStyle name="40% - Ênfase5 32" xfId="612" xr:uid="{00000000-0005-0000-0000-00001D200000}"/>
    <cellStyle name="40% - Ênfase5 32 10" xfId="8787" xr:uid="{00000000-0005-0000-0000-00001E200000}"/>
    <cellStyle name="40% - Ênfase5 32 11" xfId="8788" xr:uid="{00000000-0005-0000-0000-00001F200000}"/>
    <cellStyle name="40% - Ênfase5 32 12" xfId="8789" xr:uid="{00000000-0005-0000-0000-000020200000}"/>
    <cellStyle name="40% - Ênfase5 32 13" xfId="8790" xr:uid="{00000000-0005-0000-0000-000021200000}"/>
    <cellStyle name="40% - Ênfase5 32 14" xfId="8791" xr:uid="{00000000-0005-0000-0000-000022200000}"/>
    <cellStyle name="40% - Ênfase5 32 15" xfId="8792" xr:uid="{00000000-0005-0000-0000-000023200000}"/>
    <cellStyle name="40% - Ênfase5 32 16" xfId="8793" xr:uid="{00000000-0005-0000-0000-000024200000}"/>
    <cellStyle name="40% - Ênfase5 32 17" xfId="8794" xr:uid="{00000000-0005-0000-0000-000025200000}"/>
    <cellStyle name="40% - Ênfase5 32 18" xfId="8795" xr:uid="{00000000-0005-0000-0000-000026200000}"/>
    <cellStyle name="40% - Ênfase5 32 19" xfId="8796" xr:uid="{00000000-0005-0000-0000-000027200000}"/>
    <cellStyle name="40% - Ênfase5 32 2" xfId="8797" xr:uid="{00000000-0005-0000-0000-000028200000}"/>
    <cellStyle name="40% - Ênfase5 32 20" xfId="8798" xr:uid="{00000000-0005-0000-0000-000029200000}"/>
    <cellStyle name="40% - Ênfase5 32 3" xfId="8799" xr:uid="{00000000-0005-0000-0000-00002A200000}"/>
    <cellStyle name="40% - Ênfase5 32 4" xfId="8800" xr:uid="{00000000-0005-0000-0000-00002B200000}"/>
    <cellStyle name="40% - Ênfase5 32 5" xfId="8801" xr:uid="{00000000-0005-0000-0000-00002C200000}"/>
    <cellStyle name="40% - Ênfase5 32 6" xfId="8802" xr:uid="{00000000-0005-0000-0000-00002D200000}"/>
    <cellStyle name="40% - Ênfase5 32 7" xfId="8803" xr:uid="{00000000-0005-0000-0000-00002E200000}"/>
    <cellStyle name="40% - Ênfase5 32 8" xfId="8804" xr:uid="{00000000-0005-0000-0000-00002F200000}"/>
    <cellStyle name="40% - Ênfase5 32 9" xfId="8805" xr:uid="{00000000-0005-0000-0000-000030200000}"/>
    <cellStyle name="40% - Ênfase5 33" xfId="630" xr:uid="{00000000-0005-0000-0000-000031200000}"/>
    <cellStyle name="40% - Ênfase5 33 10" xfId="8806" xr:uid="{00000000-0005-0000-0000-000032200000}"/>
    <cellStyle name="40% - Ênfase5 33 11" xfId="8807" xr:uid="{00000000-0005-0000-0000-000033200000}"/>
    <cellStyle name="40% - Ênfase5 33 12" xfId="8808" xr:uid="{00000000-0005-0000-0000-000034200000}"/>
    <cellStyle name="40% - Ênfase5 33 13" xfId="8809" xr:uid="{00000000-0005-0000-0000-000035200000}"/>
    <cellStyle name="40% - Ênfase5 33 14" xfId="8810" xr:uid="{00000000-0005-0000-0000-000036200000}"/>
    <cellStyle name="40% - Ênfase5 33 15" xfId="8811" xr:uid="{00000000-0005-0000-0000-000037200000}"/>
    <cellStyle name="40% - Ênfase5 33 16" xfId="8812" xr:uid="{00000000-0005-0000-0000-000038200000}"/>
    <cellStyle name="40% - Ênfase5 33 17" xfId="8813" xr:uid="{00000000-0005-0000-0000-000039200000}"/>
    <cellStyle name="40% - Ênfase5 33 18" xfId="8814" xr:uid="{00000000-0005-0000-0000-00003A200000}"/>
    <cellStyle name="40% - Ênfase5 33 19" xfId="8815" xr:uid="{00000000-0005-0000-0000-00003B200000}"/>
    <cellStyle name="40% - Ênfase5 33 2" xfId="8816" xr:uid="{00000000-0005-0000-0000-00003C200000}"/>
    <cellStyle name="40% - Ênfase5 33 20" xfId="8817" xr:uid="{00000000-0005-0000-0000-00003D200000}"/>
    <cellStyle name="40% - Ênfase5 33 3" xfId="8818" xr:uid="{00000000-0005-0000-0000-00003E200000}"/>
    <cellStyle name="40% - Ênfase5 33 4" xfId="8819" xr:uid="{00000000-0005-0000-0000-00003F200000}"/>
    <cellStyle name="40% - Ênfase5 33 5" xfId="8820" xr:uid="{00000000-0005-0000-0000-000040200000}"/>
    <cellStyle name="40% - Ênfase5 33 6" xfId="8821" xr:uid="{00000000-0005-0000-0000-000041200000}"/>
    <cellStyle name="40% - Ênfase5 33 7" xfId="8822" xr:uid="{00000000-0005-0000-0000-000042200000}"/>
    <cellStyle name="40% - Ênfase5 33 8" xfId="8823" xr:uid="{00000000-0005-0000-0000-000043200000}"/>
    <cellStyle name="40% - Ênfase5 33 9" xfId="8824" xr:uid="{00000000-0005-0000-0000-000044200000}"/>
    <cellStyle name="40% - Ênfase5 34" xfId="648" xr:uid="{00000000-0005-0000-0000-000045200000}"/>
    <cellStyle name="40% - Ênfase5 34 10" xfId="8825" xr:uid="{00000000-0005-0000-0000-000046200000}"/>
    <cellStyle name="40% - Ênfase5 34 11" xfId="8826" xr:uid="{00000000-0005-0000-0000-000047200000}"/>
    <cellStyle name="40% - Ênfase5 34 12" xfId="8827" xr:uid="{00000000-0005-0000-0000-000048200000}"/>
    <cellStyle name="40% - Ênfase5 34 13" xfId="8828" xr:uid="{00000000-0005-0000-0000-000049200000}"/>
    <cellStyle name="40% - Ênfase5 34 14" xfId="8829" xr:uid="{00000000-0005-0000-0000-00004A200000}"/>
    <cellStyle name="40% - Ênfase5 34 15" xfId="8830" xr:uid="{00000000-0005-0000-0000-00004B200000}"/>
    <cellStyle name="40% - Ênfase5 34 16" xfId="8831" xr:uid="{00000000-0005-0000-0000-00004C200000}"/>
    <cellStyle name="40% - Ênfase5 34 17" xfId="8832" xr:uid="{00000000-0005-0000-0000-00004D200000}"/>
    <cellStyle name="40% - Ênfase5 34 18" xfId="8833" xr:uid="{00000000-0005-0000-0000-00004E200000}"/>
    <cellStyle name="40% - Ênfase5 34 19" xfId="8834" xr:uid="{00000000-0005-0000-0000-00004F200000}"/>
    <cellStyle name="40% - Ênfase5 34 2" xfId="8835" xr:uid="{00000000-0005-0000-0000-000050200000}"/>
    <cellStyle name="40% - Ênfase5 34 20" xfId="8836" xr:uid="{00000000-0005-0000-0000-000051200000}"/>
    <cellStyle name="40% - Ênfase5 34 3" xfId="8837" xr:uid="{00000000-0005-0000-0000-000052200000}"/>
    <cellStyle name="40% - Ênfase5 34 4" xfId="8838" xr:uid="{00000000-0005-0000-0000-000053200000}"/>
    <cellStyle name="40% - Ênfase5 34 5" xfId="8839" xr:uid="{00000000-0005-0000-0000-000054200000}"/>
    <cellStyle name="40% - Ênfase5 34 6" xfId="8840" xr:uid="{00000000-0005-0000-0000-000055200000}"/>
    <cellStyle name="40% - Ênfase5 34 7" xfId="8841" xr:uid="{00000000-0005-0000-0000-000056200000}"/>
    <cellStyle name="40% - Ênfase5 34 8" xfId="8842" xr:uid="{00000000-0005-0000-0000-000057200000}"/>
    <cellStyle name="40% - Ênfase5 34 9" xfId="8843" xr:uid="{00000000-0005-0000-0000-000058200000}"/>
    <cellStyle name="40% - Ênfase5 35" xfId="666" xr:uid="{00000000-0005-0000-0000-000059200000}"/>
    <cellStyle name="40% - Ênfase5 35 10" xfId="8844" xr:uid="{00000000-0005-0000-0000-00005A200000}"/>
    <cellStyle name="40% - Ênfase5 35 11" xfId="8845" xr:uid="{00000000-0005-0000-0000-00005B200000}"/>
    <cellStyle name="40% - Ênfase5 35 12" xfId="8846" xr:uid="{00000000-0005-0000-0000-00005C200000}"/>
    <cellStyle name="40% - Ênfase5 35 13" xfId="8847" xr:uid="{00000000-0005-0000-0000-00005D200000}"/>
    <cellStyle name="40% - Ênfase5 35 14" xfId="8848" xr:uid="{00000000-0005-0000-0000-00005E200000}"/>
    <cellStyle name="40% - Ênfase5 35 15" xfId="8849" xr:uid="{00000000-0005-0000-0000-00005F200000}"/>
    <cellStyle name="40% - Ênfase5 35 16" xfId="8850" xr:uid="{00000000-0005-0000-0000-000060200000}"/>
    <cellStyle name="40% - Ênfase5 35 17" xfId="8851" xr:uid="{00000000-0005-0000-0000-000061200000}"/>
    <cellStyle name="40% - Ênfase5 35 18" xfId="8852" xr:uid="{00000000-0005-0000-0000-000062200000}"/>
    <cellStyle name="40% - Ênfase5 35 19" xfId="8853" xr:uid="{00000000-0005-0000-0000-000063200000}"/>
    <cellStyle name="40% - Ênfase5 35 2" xfId="8854" xr:uid="{00000000-0005-0000-0000-000064200000}"/>
    <cellStyle name="40% - Ênfase5 35 20" xfId="8855" xr:uid="{00000000-0005-0000-0000-000065200000}"/>
    <cellStyle name="40% - Ênfase5 35 3" xfId="8856" xr:uid="{00000000-0005-0000-0000-000066200000}"/>
    <cellStyle name="40% - Ênfase5 35 4" xfId="8857" xr:uid="{00000000-0005-0000-0000-000067200000}"/>
    <cellStyle name="40% - Ênfase5 35 5" xfId="8858" xr:uid="{00000000-0005-0000-0000-000068200000}"/>
    <cellStyle name="40% - Ênfase5 35 6" xfId="8859" xr:uid="{00000000-0005-0000-0000-000069200000}"/>
    <cellStyle name="40% - Ênfase5 35 7" xfId="8860" xr:uid="{00000000-0005-0000-0000-00006A200000}"/>
    <cellStyle name="40% - Ênfase5 35 8" xfId="8861" xr:uid="{00000000-0005-0000-0000-00006B200000}"/>
    <cellStyle name="40% - Ênfase5 35 9" xfId="8862" xr:uid="{00000000-0005-0000-0000-00006C200000}"/>
    <cellStyle name="40% - Ênfase5 36" xfId="684" xr:uid="{00000000-0005-0000-0000-00006D200000}"/>
    <cellStyle name="40% - Ênfase5 36 10" xfId="8863" xr:uid="{00000000-0005-0000-0000-00006E200000}"/>
    <cellStyle name="40% - Ênfase5 36 11" xfId="8864" xr:uid="{00000000-0005-0000-0000-00006F200000}"/>
    <cellStyle name="40% - Ênfase5 36 12" xfId="8865" xr:uid="{00000000-0005-0000-0000-000070200000}"/>
    <cellStyle name="40% - Ênfase5 36 13" xfId="8866" xr:uid="{00000000-0005-0000-0000-000071200000}"/>
    <cellStyle name="40% - Ênfase5 36 14" xfId="8867" xr:uid="{00000000-0005-0000-0000-000072200000}"/>
    <cellStyle name="40% - Ênfase5 36 15" xfId="8868" xr:uid="{00000000-0005-0000-0000-000073200000}"/>
    <cellStyle name="40% - Ênfase5 36 16" xfId="8869" xr:uid="{00000000-0005-0000-0000-000074200000}"/>
    <cellStyle name="40% - Ênfase5 36 17" xfId="8870" xr:uid="{00000000-0005-0000-0000-000075200000}"/>
    <cellStyle name="40% - Ênfase5 36 18" xfId="8871" xr:uid="{00000000-0005-0000-0000-000076200000}"/>
    <cellStyle name="40% - Ênfase5 36 19" xfId="8872" xr:uid="{00000000-0005-0000-0000-000077200000}"/>
    <cellStyle name="40% - Ênfase5 36 2" xfId="8873" xr:uid="{00000000-0005-0000-0000-000078200000}"/>
    <cellStyle name="40% - Ênfase5 36 20" xfId="8874" xr:uid="{00000000-0005-0000-0000-000079200000}"/>
    <cellStyle name="40% - Ênfase5 36 3" xfId="8875" xr:uid="{00000000-0005-0000-0000-00007A200000}"/>
    <cellStyle name="40% - Ênfase5 36 4" xfId="8876" xr:uid="{00000000-0005-0000-0000-00007B200000}"/>
    <cellStyle name="40% - Ênfase5 36 5" xfId="8877" xr:uid="{00000000-0005-0000-0000-00007C200000}"/>
    <cellStyle name="40% - Ênfase5 36 6" xfId="8878" xr:uid="{00000000-0005-0000-0000-00007D200000}"/>
    <cellStyle name="40% - Ênfase5 36 7" xfId="8879" xr:uid="{00000000-0005-0000-0000-00007E200000}"/>
    <cellStyle name="40% - Ênfase5 36 8" xfId="8880" xr:uid="{00000000-0005-0000-0000-00007F200000}"/>
    <cellStyle name="40% - Ênfase5 36 9" xfId="8881" xr:uid="{00000000-0005-0000-0000-000080200000}"/>
    <cellStyle name="40% - Ênfase5 37" xfId="702" xr:uid="{00000000-0005-0000-0000-000081200000}"/>
    <cellStyle name="40% - Ênfase5 37 10" xfId="8882" xr:uid="{00000000-0005-0000-0000-000082200000}"/>
    <cellStyle name="40% - Ênfase5 37 11" xfId="8883" xr:uid="{00000000-0005-0000-0000-000083200000}"/>
    <cellStyle name="40% - Ênfase5 37 12" xfId="8884" xr:uid="{00000000-0005-0000-0000-000084200000}"/>
    <cellStyle name="40% - Ênfase5 37 13" xfId="8885" xr:uid="{00000000-0005-0000-0000-000085200000}"/>
    <cellStyle name="40% - Ênfase5 37 14" xfId="8886" xr:uid="{00000000-0005-0000-0000-000086200000}"/>
    <cellStyle name="40% - Ênfase5 37 15" xfId="8887" xr:uid="{00000000-0005-0000-0000-000087200000}"/>
    <cellStyle name="40% - Ênfase5 37 16" xfId="8888" xr:uid="{00000000-0005-0000-0000-000088200000}"/>
    <cellStyle name="40% - Ênfase5 37 17" xfId="8889" xr:uid="{00000000-0005-0000-0000-000089200000}"/>
    <cellStyle name="40% - Ênfase5 37 18" xfId="8890" xr:uid="{00000000-0005-0000-0000-00008A200000}"/>
    <cellStyle name="40% - Ênfase5 37 19" xfId="8891" xr:uid="{00000000-0005-0000-0000-00008B200000}"/>
    <cellStyle name="40% - Ênfase5 37 2" xfId="8892" xr:uid="{00000000-0005-0000-0000-00008C200000}"/>
    <cellStyle name="40% - Ênfase5 37 20" xfId="8893" xr:uid="{00000000-0005-0000-0000-00008D200000}"/>
    <cellStyle name="40% - Ênfase5 37 3" xfId="8894" xr:uid="{00000000-0005-0000-0000-00008E200000}"/>
    <cellStyle name="40% - Ênfase5 37 4" xfId="8895" xr:uid="{00000000-0005-0000-0000-00008F200000}"/>
    <cellStyle name="40% - Ênfase5 37 5" xfId="8896" xr:uid="{00000000-0005-0000-0000-000090200000}"/>
    <cellStyle name="40% - Ênfase5 37 6" xfId="8897" xr:uid="{00000000-0005-0000-0000-000091200000}"/>
    <cellStyle name="40% - Ênfase5 37 7" xfId="8898" xr:uid="{00000000-0005-0000-0000-000092200000}"/>
    <cellStyle name="40% - Ênfase5 37 8" xfId="8899" xr:uid="{00000000-0005-0000-0000-000093200000}"/>
    <cellStyle name="40% - Ênfase5 37 9" xfId="8900" xr:uid="{00000000-0005-0000-0000-000094200000}"/>
    <cellStyle name="40% - Ênfase5 38" xfId="719" xr:uid="{00000000-0005-0000-0000-000095200000}"/>
    <cellStyle name="40% - Ênfase5 39" xfId="735" xr:uid="{00000000-0005-0000-0000-000096200000}"/>
    <cellStyle name="40% - Ênfase5 4" xfId="120" xr:uid="{00000000-0005-0000-0000-000097200000}"/>
    <cellStyle name="40% - Ênfase5 4 10" xfId="8901" xr:uid="{00000000-0005-0000-0000-000098200000}"/>
    <cellStyle name="40% - Ênfase5 4 11" xfId="8902" xr:uid="{00000000-0005-0000-0000-000099200000}"/>
    <cellStyle name="40% - Ênfase5 4 12" xfId="8903" xr:uid="{00000000-0005-0000-0000-00009A200000}"/>
    <cellStyle name="40% - Ênfase5 4 13" xfId="8904" xr:uid="{00000000-0005-0000-0000-00009B200000}"/>
    <cellStyle name="40% - Ênfase5 4 14" xfId="8905" xr:uid="{00000000-0005-0000-0000-00009C200000}"/>
    <cellStyle name="40% - Ênfase5 4 15" xfId="8906" xr:uid="{00000000-0005-0000-0000-00009D200000}"/>
    <cellStyle name="40% - Ênfase5 4 16" xfId="8907" xr:uid="{00000000-0005-0000-0000-00009E200000}"/>
    <cellStyle name="40% - Ênfase5 4 17" xfId="8908" xr:uid="{00000000-0005-0000-0000-00009F200000}"/>
    <cellStyle name="40% - Ênfase5 4 18" xfId="8909" xr:uid="{00000000-0005-0000-0000-0000A0200000}"/>
    <cellStyle name="40% - Ênfase5 4 19" xfId="8910" xr:uid="{00000000-0005-0000-0000-0000A1200000}"/>
    <cellStyle name="40% - Ênfase5 4 2" xfId="8911" xr:uid="{00000000-0005-0000-0000-0000A2200000}"/>
    <cellStyle name="40% - Ênfase5 4 20" xfId="8912" xr:uid="{00000000-0005-0000-0000-0000A3200000}"/>
    <cellStyle name="40% - Ênfase5 4 3" xfId="8913" xr:uid="{00000000-0005-0000-0000-0000A4200000}"/>
    <cellStyle name="40% - Ênfase5 4 4" xfId="8914" xr:uid="{00000000-0005-0000-0000-0000A5200000}"/>
    <cellStyle name="40% - Ênfase5 4 5" xfId="8915" xr:uid="{00000000-0005-0000-0000-0000A6200000}"/>
    <cellStyle name="40% - Ênfase5 4 6" xfId="8916" xr:uid="{00000000-0005-0000-0000-0000A7200000}"/>
    <cellStyle name="40% - Ênfase5 4 7" xfId="8917" xr:uid="{00000000-0005-0000-0000-0000A8200000}"/>
    <cellStyle name="40% - Ênfase5 4 8" xfId="8918" xr:uid="{00000000-0005-0000-0000-0000A9200000}"/>
    <cellStyle name="40% - Ênfase5 4 9" xfId="8919" xr:uid="{00000000-0005-0000-0000-0000AA200000}"/>
    <cellStyle name="40% - Ênfase5 40" xfId="756" xr:uid="{00000000-0005-0000-0000-0000AB200000}"/>
    <cellStyle name="40% - Ênfase5 41" xfId="774" xr:uid="{00000000-0005-0000-0000-0000AC200000}"/>
    <cellStyle name="40% - Ênfase5 42" xfId="792" xr:uid="{00000000-0005-0000-0000-0000AD200000}"/>
    <cellStyle name="40% - Ênfase5 43" xfId="810" xr:uid="{00000000-0005-0000-0000-0000AE200000}"/>
    <cellStyle name="40% - Ênfase5 44" xfId="828" xr:uid="{00000000-0005-0000-0000-0000AF200000}"/>
    <cellStyle name="40% - Ênfase5 45" xfId="846" xr:uid="{00000000-0005-0000-0000-0000B0200000}"/>
    <cellStyle name="40% - Ênfase5 46" xfId="864" xr:uid="{00000000-0005-0000-0000-0000B1200000}"/>
    <cellStyle name="40% - Ênfase5 47" xfId="882" xr:uid="{00000000-0005-0000-0000-0000B2200000}"/>
    <cellStyle name="40% - Ênfase5 48" xfId="900" xr:uid="{00000000-0005-0000-0000-0000B3200000}"/>
    <cellStyle name="40% - Ênfase5 49" xfId="917" xr:uid="{00000000-0005-0000-0000-0000B4200000}"/>
    <cellStyle name="40% - Ênfase5 5" xfId="137" xr:uid="{00000000-0005-0000-0000-0000B5200000}"/>
    <cellStyle name="40% - Ênfase5 5 10" xfId="8920" xr:uid="{00000000-0005-0000-0000-0000B6200000}"/>
    <cellStyle name="40% - Ênfase5 5 11" xfId="8921" xr:uid="{00000000-0005-0000-0000-0000B7200000}"/>
    <cellStyle name="40% - Ênfase5 5 12" xfId="8922" xr:uid="{00000000-0005-0000-0000-0000B8200000}"/>
    <cellStyle name="40% - Ênfase5 5 13" xfId="8923" xr:uid="{00000000-0005-0000-0000-0000B9200000}"/>
    <cellStyle name="40% - Ênfase5 5 14" xfId="8924" xr:uid="{00000000-0005-0000-0000-0000BA200000}"/>
    <cellStyle name="40% - Ênfase5 5 15" xfId="8925" xr:uid="{00000000-0005-0000-0000-0000BB200000}"/>
    <cellStyle name="40% - Ênfase5 5 16" xfId="8926" xr:uid="{00000000-0005-0000-0000-0000BC200000}"/>
    <cellStyle name="40% - Ênfase5 5 17" xfId="8927" xr:uid="{00000000-0005-0000-0000-0000BD200000}"/>
    <cellStyle name="40% - Ênfase5 5 18" xfId="8928" xr:uid="{00000000-0005-0000-0000-0000BE200000}"/>
    <cellStyle name="40% - Ênfase5 5 19" xfId="8929" xr:uid="{00000000-0005-0000-0000-0000BF200000}"/>
    <cellStyle name="40% - Ênfase5 5 2" xfId="8930" xr:uid="{00000000-0005-0000-0000-0000C0200000}"/>
    <cellStyle name="40% - Ênfase5 5 20" xfId="8931" xr:uid="{00000000-0005-0000-0000-0000C1200000}"/>
    <cellStyle name="40% - Ênfase5 5 3" xfId="8932" xr:uid="{00000000-0005-0000-0000-0000C2200000}"/>
    <cellStyle name="40% - Ênfase5 5 4" xfId="8933" xr:uid="{00000000-0005-0000-0000-0000C3200000}"/>
    <cellStyle name="40% - Ênfase5 5 5" xfId="8934" xr:uid="{00000000-0005-0000-0000-0000C4200000}"/>
    <cellStyle name="40% - Ênfase5 5 6" xfId="8935" xr:uid="{00000000-0005-0000-0000-0000C5200000}"/>
    <cellStyle name="40% - Ênfase5 5 7" xfId="8936" xr:uid="{00000000-0005-0000-0000-0000C6200000}"/>
    <cellStyle name="40% - Ênfase5 5 8" xfId="8937" xr:uid="{00000000-0005-0000-0000-0000C7200000}"/>
    <cellStyle name="40% - Ênfase5 5 9" xfId="8938" xr:uid="{00000000-0005-0000-0000-0000C8200000}"/>
    <cellStyle name="40% - Ênfase5 50" xfId="936" xr:uid="{00000000-0005-0000-0000-0000C9200000}"/>
    <cellStyle name="40% - Ênfase5 51" xfId="954" xr:uid="{00000000-0005-0000-0000-0000CA200000}"/>
    <cellStyle name="40% - Ênfase5 52" xfId="972" xr:uid="{00000000-0005-0000-0000-0000CB200000}"/>
    <cellStyle name="40% - Ênfase5 53" xfId="990" xr:uid="{00000000-0005-0000-0000-0000CC200000}"/>
    <cellStyle name="40% - Ênfase5 54" xfId="1008" xr:uid="{00000000-0005-0000-0000-0000CD200000}"/>
    <cellStyle name="40% - Ênfase5 55" xfId="1025" xr:uid="{00000000-0005-0000-0000-0000CE200000}"/>
    <cellStyle name="40% - Ênfase5 56" xfId="1042" xr:uid="{00000000-0005-0000-0000-0000CF200000}"/>
    <cellStyle name="40% - Ênfase5 57" xfId="1061" xr:uid="{00000000-0005-0000-0000-0000D0200000}"/>
    <cellStyle name="40% - Ênfase5 58" xfId="1078" xr:uid="{00000000-0005-0000-0000-0000D1200000}"/>
    <cellStyle name="40% - Ênfase5 59" xfId="1097" xr:uid="{00000000-0005-0000-0000-0000D2200000}"/>
    <cellStyle name="40% - Ênfase5 6" xfId="154" xr:uid="{00000000-0005-0000-0000-0000D3200000}"/>
    <cellStyle name="40% - Ênfase5 6 10" xfId="8939" xr:uid="{00000000-0005-0000-0000-0000D4200000}"/>
    <cellStyle name="40% - Ênfase5 6 11" xfId="8940" xr:uid="{00000000-0005-0000-0000-0000D5200000}"/>
    <cellStyle name="40% - Ênfase5 6 12" xfId="8941" xr:uid="{00000000-0005-0000-0000-0000D6200000}"/>
    <cellStyle name="40% - Ênfase5 6 13" xfId="8942" xr:uid="{00000000-0005-0000-0000-0000D7200000}"/>
    <cellStyle name="40% - Ênfase5 6 14" xfId="8943" xr:uid="{00000000-0005-0000-0000-0000D8200000}"/>
    <cellStyle name="40% - Ênfase5 6 15" xfId="8944" xr:uid="{00000000-0005-0000-0000-0000D9200000}"/>
    <cellStyle name="40% - Ênfase5 6 16" xfId="8945" xr:uid="{00000000-0005-0000-0000-0000DA200000}"/>
    <cellStyle name="40% - Ênfase5 6 17" xfId="8946" xr:uid="{00000000-0005-0000-0000-0000DB200000}"/>
    <cellStyle name="40% - Ênfase5 6 18" xfId="8947" xr:uid="{00000000-0005-0000-0000-0000DC200000}"/>
    <cellStyle name="40% - Ênfase5 6 19" xfId="8948" xr:uid="{00000000-0005-0000-0000-0000DD200000}"/>
    <cellStyle name="40% - Ênfase5 6 2" xfId="8949" xr:uid="{00000000-0005-0000-0000-0000DE200000}"/>
    <cellStyle name="40% - Ênfase5 6 20" xfId="8950" xr:uid="{00000000-0005-0000-0000-0000DF200000}"/>
    <cellStyle name="40% - Ênfase5 6 3" xfId="8951" xr:uid="{00000000-0005-0000-0000-0000E0200000}"/>
    <cellStyle name="40% - Ênfase5 6 4" xfId="8952" xr:uid="{00000000-0005-0000-0000-0000E1200000}"/>
    <cellStyle name="40% - Ênfase5 6 5" xfId="8953" xr:uid="{00000000-0005-0000-0000-0000E2200000}"/>
    <cellStyle name="40% - Ênfase5 6 6" xfId="8954" xr:uid="{00000000-0005-0000-0000-0000E3200000}"/>
    <cellStyle name="40% - Ênfase5 6 7" xfId="8955" xr:uid="{00000000-0005-0000-0000-0000E4200000}"/>
    <cellStyle name="40% - Ênfase5 6 8" xfId="8956" xr:uid="{00000000-0005-0000-0000-0000E5200000}"/>
    <cellStyle name="40% - Ênfase5 6 9" xfId="8957" xr:uid="{00000000-0005-0000-0000-0000E6200000}"/>
    <cellStyle name="40% - Ênfase5 60" xfId="1115" xr:uid="{00000000-0005-0000-0000-0000E7200000}"/>
    <cellStyle name="40% - Ênfase5 61" xfId="1133" xr:uid="{00000000-0005-0000-0000-0000E8200000}"/>
    <cellStyle name="40% - Ênfase5 62" xfId="1150" xr:uid="{00000000-0005-0000-0000-0000E9200000}"/>
    <cellStyle name="40% - Ênfase5 63" xfId="1167" xr:uid="{00000000-0005-0000-0000-0000EA200000}"/>
    <cellStyle name="40% - Ênfase5 64" xfId="1186" xr:uid="{00000000-0005-0000-0000-0000EB200000}"/>
    <cellStyle name="40% - Ênfase5 65" xfId="1204" xr:uid="{00000000-0005-0000-0000-0000EC200000}"/>
    <cellStyle name="40% - Ênfase5 66" xfId="1220" xr:uid="{00000000-0005-0000-0000-0000ED200000}"/>
    <cellStyle name="40% - Ênfase5 67" xfId="1237" xr:uid="{00000000-0005-0000-0000-0000EE200000}"/>
    <cellStyle name="40% - Ênfase5 68" xfId="1252" xr:uid="{00000000-0005-0000-0000-0000EF200000}"/>
    <cellStyle name="40% - Ênfase5 69" xfId="1269" xr:uid="{00000000-0005-0000-0000-0000F0200000}"/>
    <cellStyle name="40% - Ênfase5 7" xfId="171" xr:uid="{00000000-0005-0000-0000-0000F1200000}"/>
    <cellStyle name="40% - Ênfase5 7 10" xfId="8958" xr:uid="{00000000-0005-0000-0000-0000F2200000}"/>
    <cellStyle name="40% - Ênfase5 7 11" xfId="8959" xr:uid="{00000000-0005-0000-0000-0000F3200000}"/>
    <cellStyle name="40% - Ênfase5 7 12" xfId="8960" xr:uid="{00000000-0005-0000-0000-0000F4200000}"/>
    <cellStyle name="40% - Ênfase5 7 13" xfId="8961" xr:uid="{00000000-0005-0000-0000-0000F5200000}"/>
    <cellStyle name="40% - Ênfase5 7 14" xfId="8962" xr:uid="{00000000-0005-0000-0000-0000F6200000}"/>
    <cellStyle name="40% - Ênfase5 7 15" xfId="8963" xr:uid="{00000000-0005-0000-0000-0000F7200000}"/>
    <cellStyle name="40% - Ênfase5 7 16" xfId="8964" xr:uid="{00000000-0005-0000-0000-0000F8200000}"/>
    <cellStyle name="40% - Ênfase5 7 17" xfId="8965" xr:uid="{00000000-0005-0000-0000-0000F9200000}"/>
    <cellStyle name="40% - Ênfase5 7 18" xfId="8966" xr:uid="{00000000-0005-0000-0000-0000FA200000}"/>
    <cellStyle name="40% - Ênfase5 7 19" xfId="8967" xr:uid="{00000000-0005-0000-0000-0000FB200000}"/>
    <cellStyle name="40% - Ênfase5 7 2" xfId="8968" xr:uid="{00000000-0005-0000-0000-0000FC200000}"/>
    <cellStyle name="40% - Ênfase5 7 20" xfId="8969" xr:uid="{00000000-0005-0000-0000-0000FD200000}"/>
    <cellStyle name="40% - Ênfase5 7 3" xfId="8970" xr:uid="{00000000-0005-0000-0000-0000FE200000}"/>
    <cellStyle name="40% - Ênfase5 7 4" xfId="8971" xr:uid="{00000000-0005-0000-0000-0000FF200000}"/>
    <cellStyle name="40% - Ênfase5 7 5" xfId="8972" xr:uid="{00000000-0005-0000-0000-000000210000}"/>
    <cellStyle name="40% - Ênfase5 7 6" xfId="8973" xr:uid="{00000000-0005-0000-0000-000001210000}"/>
    <cellStyle name="40% - Ênfase5 7 7" xfId="8974" xr:uid="{00000000-0005-0000-0000-000002210000}"/>
    <cellStyle name="40% - Ênfase5 7 8" xfId="8975" xr:uid="{00000000-0005-0000-0000-000003210000}"/>
    <cellStyle name="40% - Ênfase5 7 9" xfId="8976" xr:uid="{00000000-0005-0000-0000-000004210000}"/>
    <cellStyle name="40% - Ênfase5 70" xfId="1281" xr:uid="{00000000-0005-0000-0000-000005210000}"/>
    <cellStyle name="40% - Ênfase5 71" xfId="1291" xr:uid="{00000000-0005-0000-0000-000006210000}"/>
    <cellStyle name="40% - Ênfase5 72" xfId="8977" xr:uid="{00000000-0005-0000-0000-000007210000}"/>
    <cellStyle name="40% - Ênfase5 73" xfId="8978" xr:uid="{00000000-0005-0000-0000-000008210000}"/>
    <cellStyle name="40% - Ênfase5 74" xfId="8979" xr:uid="{00000000-0005-0000-0000-000009210000}"/>
    <cellStyle name="40% - Ênfase5 75" xfId="8980" xr:uid="{00000000-0005-0000-0000-00000A210000}"/>
    <cellStyle name="40% - Ênfase5 76" xfId="8981" xr:uid="{00000000-0005-0000-0000-00000B210000}"/>
    <cellStyle name="40% - Ênfase5 77" xfId="8982" xr:uid="{00000000-0005-0000-0000-00000C210000}"/>
    <cellStyle name="40% - Ênfase5 78" xfId="8983" xr:uid="{00000000-0005-0000-0000-00000D210000}"/>
    <cellStyle name="40% - Ênfase5 79" xfId="8984" xr:uid="{00000000-0005-0000-0000-00000E210000}"/>
    <cellStyle name="40% - Ênfase5 8" xfId="188" xr:uid="{00000000-0005-0000-0000-00000F210000}"/>
    <cellStyle name="40% - Ênfase5 8 10" xfId="8985" xr:uid="{00000000-0005-0000-0000-000010210000}"/>
    <cellStyle name="40% - Ênfase5 8 11" xfId="8986" xr:uid="{00000000-0005-0000-0000-000011210000}"/>
    <cellStyle name="40% - Ênfase5 8 12" xfId="8987" xr:uid="{00000000-0005-0000-0000-000012210000}"/>
    <cellStyle name="40% - Ênfase5 8 13" xfId="8988" xr:uid="{00000000-0005-0000-0000-000013210000}"/>
    <cellStyle name="40% - Ênfase5 8 14" xfId="8989" xr:uid="{00000000-0005-0000-0000-000014210000}"/>
    <cellStyle name="40% - Ênfase5 8 15" xfId="8990" xr:uid="{00000000-0005-0000-0000-000015210000}"/>
    <cellStyle name="40% - Ênfase5 8 16" xfId="8991" xr:uid="{00000000-0005-0000-0000-000016210000}"/>
    <cellStyle name="40% - Ênfase5 8 17" xfId="8992" xr:uid="{00000000-0005-0000-0000-000017210000}"/>
    <cellStyle name="40% - Ênfase5 8 18" xfId="8993" xr:uid="{00000000-0005-0000-0000-000018210000}"/>
    <cellStyle name="40% - Ênfase5 8 19" xfId="8994" xr:uid="{00000000-0005-0000-0000-000019210000}"/>
    <cellStyle name="40% - Ênfase5 8 2" xfId="8995" xr:uid="{00000000-0005-0000-0000-00001A210000}"/>
    <cellStyle name="40% - Ênfase5 8 20" xfId="8996" xr:uid="{00000000-0005-0000-0000-00001B210000}"/>
    <cellStyle name="40% - Ênfase5 8 3" xfId="8997" xr:uid="{00000000-0005-0000-0000-00001C210000}"/>
    <cellStyle name="40% - Ênfase5 8 4" xfId="8998" xr:uid="{00000000-0005-0000-0000-00001D210000}"/>
    <cellStyle name="40% - Ênfase5 8 5" xfId="8999" xr:uid="{00000000-0005-0000-0000-00001E210000}"/>
    <cellStyle name="40% - Ênfase5 8 6" xfId="9000" xr:uid="{00000000-0005-0000-0000-00001F210000}"/>
    <cellStyle name="40% - Ênfase5 8 7" xfId="9001" xr:uid="{00000000-0005-0000-0000-000020210000}"/>
    <cellStyle name="40% - Ênfase5 8 8" xfId="9002" xr:uid="{00000000-0005-0000-0000-000021210000}"/>
    <cellStyle name="40% - Ênfase5 8 9" xfId="9003" xr:uid="{00000000-0005-0000-0000-000022210000}"/>
    <cellStyle name="40% - Ênfase5 80" xfId="9004" xr:uid="{00000000-0005-0000-0000-000023210000}"/>
    <cellStyle name="40% - Ênfase5 81" xfId="9005" xr:uid="{00000000-0005-0000-0000-000024210000}"/>
    <cellStyle name="40% - Ênfase5 82" xfId="9006" xr:uid="{00000000-0005-0000-0000-000025210000}"/>
    <cellStyle name="40% - Ênfase5 83" xfId="9007" xr:uid="{00000000-0005-0000-0000-000026210000}"/>
    <cellStyle name="40% - Ênfase5 84" xfId="9008" xr:uid="{00000000-0005-0000-0000-000027210000}"/>
    <cellStyle name="40% - Ênfase5 85" xfId="9009" xr:uid="{00000000-0005-0000-0000-000028210000}"/>
    <cellStyle name="40% - Ênfase5 86" xfId="9010" xr:uid="{00000000-0005-0000-0000-000029210000}"/>
    <cellStyle name="40% - Ênfase5 87" xfId="9011" xr:uid="{00000000-0005-0000-0000-00002A210000}"/>
    <cellStyle name="40% - Ênfase5 88" xfId="9012" xr:uid="{00000000-0005-0000-0000-00002B210000}"/>
    <cellStyle name="40% - Ênfase5 89" xfId="9013" xr:uid="{00000000-0005-0000-0000-00002C210000}"/>
    <cellStyle name="40% - Ênfase5 9" xfId="205" xr:uid="{00000000-0005-0000-0000-00002D210000}"/>
    <cellStyle name="40% - Ênfase5 9 10" xfId="9014" xr:uid="{00000000-0005-0000-0000-00002E210000}"/>
    <cellStyle name="40% - Ênfase5 9 11" xfId="9015" xr:uid="{00000000-0005-0000-0000-00002F210000}"/>
    <cellStyle name="40% - Ênfase5 9 12" xfId="9016" xr:uid="{00000000-0005-0000-0000-000030210000}"/>
    <cellStyle name="40% - Ênfase5 9 13" xfId="9017" xr:uid="{00000000-0005-0000-0000-000031210000}"/>
    <cellStyle name="40% - Ênfase5 9 14" xfId="9018" xr:uid="{00000000-0005-0000-0000-000032210000}"/>
    <cellStyle name="40% - Ênfase5 9 15" xfId="9019" xr:uid="{00000000-0005-0000-0000-000033210000}"/>
    <cellStyle name="40% - Ênfase5 9 16" xfId="9020" xr:uid="{00000000-0005-0000-0000-000034210000}"/>
    <cellStyle name="40% - Ênfase5 9 17" xfId="9021" xr:uid="{00000000-0005-0000-0000-000035210000}"/>
    <cellStyle name="40% - Ênfase5 9 18" xfId="9022" xr:uid="{00000000-0005-0000-0000-000036210000}"/>
    <cellStyle name="40% - Ênfase5 9 19" xfId="9023" xr:uid="{00000000-0005-0000-0000-000037210000}"/>
    <cellStyle name="40% - Ênfase5 9 2" xfId="9024" xr:uid="{00000000-0005-0000-0000-000038210000}"/>
    <cellStyle name="40% - Ênfase5 9 20" xfId="9025" xr:uid="{00000000-0005-0000-0000-000039210000}"/>
    <cellStyle name="40% - Ênfase5 9 3" xfId="9026" xr:uid="{00000000-0005-0000-0000-00003A210000}"/>
    <cellStyle name="40% - Ênfase5 9 4" xfId="9027" xr:uid="{00000000-0005-0000-0000-00003B210000}"/>
    <cellStyle name="40% - Ênfase5 9 5" xfId="9028" xr:uid="{00000000-0005-0000-0000-00003C210000}"/>
    <cellStyle name="40% - Ênfase5 9 6" xfId="9029" xr:uid="{00000000-0005-0000-0000-00003D210000}"/>
    <cellStyle name="40% - Ênfase5 9 7" xfId="9030" xr:uid="{00000000-0005-0000-0000-00003E210000}"/>
    <cellStyle name="40% - Ênfase5 9 8" xfId="9031" xr:uid="{00000000-0005-0000-0000-00003F210000}"/>
    <cellStyle name="40% - Ênfase5 9 9" xfId="9032" xr:uid="{00000000-0005-0000-0000-000040210000}"/>
    <cellStyle name="40% - Ênfase5 90" xfId="9033" xr:uid="{00000000-0005-0000-0000-000041210000}"/>
    <cellStyle name="40% - Ênfase6" xfId="40" builtinId="51" customBuiltin="1"/>
    <cellStyle name="40% - Ênfase6 10" xfId="225" xr:uid="{00000000-0005-0000-0000-000043210000}"/>
    <cellStyle name="40% - Ênfase6 10 10" xfId="9034" xr:uid="{00000000-0005-0000-0000-000044210000}"/>
    <cellStyle name="40% - Ênfase6 10 11" xfId="9035" xr:uid="{00000000-0005-0000-0000-000045210000}"/>
    <cellStyle name="40% - Ênfase6 10 12" xfId="9036" xr:uid="{00000000-0005-0000-0000-000046210000}"/>
    <cellStyle name="40% - Ênfase6 10 13" xfId="9037" xr:uid="{00000000-0005-0000-0000-000047210000}"/>
    <cellStyle name="40% - Ênfase6 10 14" xfId="9038" xr:uid="{00000000-0005-0000-0000-000048210000}"/>
    <cellStyle name="40% - Ênfase6 10 15" xfId="9039" xr:uid="{00000000-0005-0000-0000-000049210000}"/>
    <cellStyle name="40% - Ênfase6 10 16" xfId="9040" xr:uid="{00000000-0005-0000-0000-00004A210000}"/>
    <cellStyle name="40% - Ênfase6 10 17" xfId="9041" xr:uid="{00000000-0005-0000-0000-00004B210000}"/>
    <cellStyle name="40% - Ênfase6 10 18" xfId="9042" xr:uid="{00000000-0005-0000-0000-00004C210000}"/>
    <cellStyle name="40% - Ênfase6 10 19" xfId="9043" xr:uid="{00000000-0005-0000-0000-00004D210000}"/>
    <cellStyle name="40% - Ênfase6 10 2" xfId="9044" xr:uid="{00000000-0005-0000-0000-00004E210000}"/>
    <cellStyle name="40% - Ênfase6 10 20" xfId="9045" xr:uid="{00000000-0005-0000-0000-00004F210000}"/>
    <cellStyle name="40% - Ênfase6 10 3" xfId="9046" xr:uid="{00000000-0005-0000-0000-000050210000}"/>
    <cellStyle name="40% - Ênfase6 10 4" xfId="9047" xr:uid="{00000000-0005-0000-0000-000051210000}"/>
    <cellStyle name="40% - Ênfase6 10 5" xfId="9048" xr:uid="{00000000-0005-0000-0000-000052210000}"/>
    <cellStyle name="40% - Ênfase6 10 6" xfId="9049" xr:uid="{00000000-0005-0000-0000-000053210000}"/>
    <cellStyle name="40% - Ênfase6 10 7" xfId="9050" xr:uid="{00000000-0005-0000-0000-000054210000}"/>
    <cellStyle name="40% - Ênfase6 10 8" xfId="9051" xr:uid="{00000000-0005-0000-0000-000055210000}"/>
    <cellStyle name="40% - Ênfase6 10 9" xfId="9052" xr:uid="{00000000-0005-0000-0000-000056210000}"/>
    <cellStyle name="40% - Ênfase6 11" xfId="242" xr:uid="{00000000-0005-0000-0000-000057210000}"/>
    <cellStyle name="40% - Ênfase6 11 10" xfId="9053" xr:uid="{00000000-0005-0000-0000-000058210000}"/>
    <cellStyle name="40% - Ênfase6 11 11" xfId="9054" xr:uid="{00000000-0005-0000-0000-000059210000}"/>
    <cellStyle name="40% - Ênfase6 11 12" xfId="9055" xr:uid="{00000000-0005-0000-0000-00005A210000}"/>
    <cellStyle name="40% - Ênfase6 11 13" xfId="9056" xr:uid="{00000000-0005-0000-0000-00005B210000}"/>
    <cellStyle name="40% - Ênfase6 11 14" xfId="9057" xr:uid="{00000000-0005-0000-0000-00005C210000}"/>
    <cellStyle name="40% - Ênfase6 11 15" xfId="9058" xr:uid="{00000000-0005-0000-0000-00005D210000}"/>
    <cellStyle name="40% - Ênfase6 11 16" xfId="9059" xr:uid="{00000000-0005-0000-0000-00005E210000}"/>
    <cellStyle name="40% - Ênfase6 11 17" xfId="9060" xr:uid="{00000000-0005-0000-0000-00005F210000}"/>
    <cellStyle name="40% - Ênfase6 11 18" xfId="9061" xr:uid="{00000000-0005-0000-0000-000060210000}"/>
    <cellStyle name="40% - Ênfase6 11 19" xfId="9062" xr:uid="{00000000-0005-0000-0000-000061210000}"/>
    <cellStyle name="40% - Ênfase6 11 2" xfId="9063" xr:uid="{00000000-0005-0000-0000-000062210000}"/>
    <cellStyle name="40% - Ênfase6 11 20" xfId="9064" xr:uid="{00000000-0005-0000-0000-000063210000}"/>
    <cellStyle name="40% - Ênfase6 11 3" xfId="9065" xr:uid="{00000000-0005-0000-0000-000064210000}"/>
    <cellStyle name="40% - Ênfase6 11 4" xfId="9066" xr:uid="{00000000-0005-0000-0000-000065210000}"/>
    <cellStyle name="40% - Ênfase6 11 5" xfId="9067" xr:uid="{00000000-0005-0000-0000-000066210000}"/>
    <cellStyle name="40% - Ênfase6 11 6" xfId="9068" xr:uid="{00000000-0005-0000-0000-000067210000}"/>
    <cellStyle name="40% - Ênfase6 11 7" xfId="9069" xr:uid="{00000000-0005-0000-0000-000068210000}"/>
    <cellStyle name="40% - Ênfase6 11 8" xfId="9070" xr:uid="{00000000-0005-0000-0000-000069210000}"/>
    <cellStyle name="40% - Ênfase6 11 9" xfId="9071" xr:uid="{00000000-0005-0000-0000-00006A210000}"/>
    <cellStyle name="40% - Ênfase6 12" xfId="259" xr:uid="{00000000-0005-0000-0000-00006B210000}"/>
    <cellStyle name="40% - Ênfase6 12 10" xfId="9072" xr:uid="{00000000-0005-0000-0000-00006C210000}"/>
    <cellStyle name="40% - Ênfase6 12 11" xfId="9073" xr:uid="{00000000-0005-0000-0000-00006D210000}"/>
    <cellStyle name="40% - Ênfase6 12 12" xfId="9074" xr:uid="{00000000-0005-0000-0000-00006E210000}"/>
    <cellStyle name="40% - Ênfase6 12 13" xfId="9075" xr:uid="{00000000-0005-0000-0000-00006F210000}"/>
    <cellStyle name="40% - Ênfase6 12 14" xfId="9076" xr:uid="{00000000-0005-0000-0000-000070210000}"/>
    <cellStyle name="40% - Ênfase6 12 15" xfId="9077" xr:uid="{00000000-0005-0000-0000-000071210000}"/>
    <cellStyle name="40% - Ênfase6 12 16" xfId="9078" xr:uid="{00000000-0005-0000-0000-000072210000}"/>
    <cellStyle name="40% - Ênfase6 12 17" xfId="9079" xr:uid="{00000000-0005-0000-0000-000073210000}"/>
    <cellStyle name="40% - Ênfase6 12 18" xfId="9080" xr:uid="{00000000-0005-0000-0000-000074210000}"/>
    <cellStyle name="40% - Ênfase6 12 19" xfId="9081" xr:uid="{00000000-0005-0000-0000-000075210000}"/>
    <cellStyle name="40% - Ênfase6 12 2" xfId="9082" xr:uid="{00000000-0005-0000-0000-000076210000}"/>
    <cellStyle name="40% - Ênfase6 12 20" xfId="9083" xr:uid="{00000000-0005-0000-0000-000077210000}"/>
    <cellStyle name="40% - Ênfase6 12 3" xfId="9084" xr:uid="{00000000-0005-0000-0000-000078210000}"/>
    <cellStyle name="40% - Ênfase6 12 4" xfId="9085" xr:uid="{00000000-0005-0000-0000-000079210000}"/>
    <cellStyle name="40% - Ênfase6 12 5" xfId="9086" xr:uid="{00000000-0005-0000-0000-00007A210000}"/>
    <cellStyle name="40% - Ênfase6 12 6" xfId="9087" xr:uid="{00000000-0005-0000-0000-00007B210000}"/>
    <cellStyle name="40% - Ênfase6 12 7" xfId="9088" xr:uid="{00000000-0005-0000-0000-00007C210000}"/>
    <cellStyle name="40% - Ênfase6 12 8" xfId="9089" xr:uid="{00000000-0005-0000-0000-00007D210000}"/>
    <cellStyle name="40% - Ênfase6 12 9" xfId="9090" xr:uid="{00000000-0005-0000-0000-00007E210000}"/>
    <cellStyle name="40% - Ênfase6 13" xfId="276" xr:uid="{00000000-0005-0000-0000-00007F210000}"/>
    <cellStyle name="40% - Ênfase6 13 10" xfId="9091" xr:uid="{00000000-0005-0000-0000-000080210000}"/>
    <cellStyle name="40% - Ênfase6 13 11" xfId="9092" xr:uid="{00000000-0005-0000-0000-000081210000}"/>
    <cellStyle name="40% - Ênfase6 13 12" xfId="9093" xr:uid="{00000000-0005-0000-0000-000082210000}"/>
    <cellStyle name="40% - Ênfase6 13 13" xfId="9094" xr:uid="{00000000-0005-0000-0000-000083210000}"/>
    <cellStyle name="40% - Ênfase6 13 14" xfId="9095" xr:uid="{00000000-0005-0000-0000-000084210000}"/>
    <cellStyle name="40% - Ênfase6 13 15" xfId="9096" xr:uid="{00000000-0005-0000-0000-000085210000}"/>
    <cellStyle name="40% - Ênfase6 13 16" xfId="9097" xr:uid="{00000000-0005-0000-0000-000086210000}"/>
    <cellStyle name="40% - Ênfase6 13 17" xfId="9098" xr:uid="{00000000-0005-0000-0000-000087210000}"/>
    <cellStyle name="40% - Ênfase6 13 18" xfId="9099" xr:uid="{00000000-0005-0000-0000-000088210000}"/>
    <cellStyle name="40% - Ênfase6 13 19" xfId="9100" xr:uid="{00000000-0005-0000-0000-000089210000}"/>
    <cellStyle name="40% - Ênfase6 13 2" xfId="9101" xr:uid="{00000000-0005-0000-0000-00008A210000}"/>
    <cellStyle name="40% - Ênfase6 13 20" xfId="9102" xr:uid="{00000000-0005-0000-0000-00008B210000}"/>
    <cellStyle name="40% - Ênfase6 13 3" xfId="9103" xr:uid="{00000000-0005-0000-0000-00008C210000}"/>
    <cellStyle name="40% - Ênfase6 13 4" xfId="9104" xr:uid="{00000000-0005-0000-0000-00008D210000}"/>
    <cellStyle name="40% - Ênfase6 13 5" xfId="9105" xr:uid="{00000000-0005-0000-0000-00008E210000}"/>
    <cellStyle name="40% - Ênfase6 13 6" xfId="9106" xr:uid="{00000000-0005-0000-0000-00008F210000}"/>
    <cellStyle name="40% - Ênfase6 13 7" xfId="9107" xr:uid="{00000000-0005-0000-0000-000090210000}"/>
    <cellStyle name="40% - Ênfase6 13 8" xfId="9108" xr:uid="{00000000-0005-0000-0000-000091210000}"/>
    <cellStyle name="40% - Ênfase6 13 9" xfId="9109" xr:uid="{00000000-0005-0000-0000-000092210000}"/>
    <cellStyle name="40% - Ênfase6 14" xfId="293" xr:uid="{00000000-0005-0000-0000-000093210000}"/>
    <cellStyle name="40% - Ênfase6 14 10" xfId="9110" xr:uid="{00000000-0005-0000-0000-000094210000}"/>
    <cellStyle name="40% - Ênfase6 14 11" xfId="9111" xr:uid="{00000000-0005-0000-0000-000095210000}"/>
    <cellStyle name="40% - Ênfase6 14 12" xfId="9112" xr:uid="{00000000-0005-0000-0000-000096210000}"/>
    <cellStyle name="40% - Ênfase6 14 13" xfId="9113" xr:uid="{00000000-0005-0000-0000-000097210000}"/>
    <cellStyle name="40% - Ênfase6 14 14" xfId="9114" xr:uid="{00000000-0005-0000-0000-000098210000}"/>
    <cellStyle name="40% - Ênfase6 14 15" xfId="9115" xr:uid="{00000000-0005-0000-0000-000099210000}"/>
    <cellStyle name="40% - Ênfase6 14 16" xfId="9116" xr:uid="{00000000-0005-0000-0000-00009A210000}"/>
    <cellStyle name="40% - Ênfase6 14 17" xfId="9117" xr:uid="{00000000-0005-0000-0000-00009B210000}"/>
    <cellStyle name="40% - Ênfase6 14 18" xfId="9118" xr:uid="{00000000-0005-0000-0000-00009C210000}"/>
    <cellStyle name="40% - Ênfase6 14 19" xfId="9119" xr:uid="{00000000-0005-0000-0000-00009D210000}"/>
    <cellStyle name="40% - Ênfase6 14 2" xfId="9120" xr:uid="{00000000-0005-0000-0000-00009E210000}"/>
    <cellStyle name="40% - Ênfase6 14 20" xfId="9121" xr:uid="{00000000-0005-0000-0000-00009F210000}"/>
    <cellStyle name="40% - Ênfase6 14 3" xfId="9122" xr:uid="{00000000-0005-0000-0000-0000A0210000}"/>
    <cellStyle name="40% - Ênfase6 14 4" xfId="9123" xr:uid="{00000000-0005-0000-0000-0000A1210000}"/>
    <cellStyle name="40% - Ênfase6 14 5" xfId="9124" xr:uid="{00000000-0005-0000-0000-0000A2210000}"/>
    <cellStyle name="40% - Ênfase6 14 6" xfId="9125" xr:uid="{00000000-0005-0000-0000-0000A3210000}"/>
    <cellStyle name="40% - Ênfase6 14 7" xfId="9126" xr:uid="{00000000-0005-0000-0000-0000A4210000}"/>
    <cellStyle name="40% - Ênfase6 14 8" xfId="9127" xr:uid="{00000000-0005-0000-0000-0000A5210000}"/>
    <cellStyle name="40% - Ênfase6 14 9" xfId="9128" xr:uid="{00000000-0005-0000-0000-0000A6210000}"/>
    <cellStyle name="40% - Ênfase6 15" xfId="310" xr:uid="{00000000-0005-0000-0000-0000A7210000}"/>
    <cellStyle name="40% - Ênfase6 15 10" xfId="9129" xr:uid="{00000000-0005-0000-0000-0000A8210000}"/>
    <cellStyle name="40% - Ênfase6 15 11" xfId="9130" xr:uid="{00000000-0005-0000-0000-0000A9210000}"/>
    <cellStyle name="40% - Ênfase6 15 12" xfId="9131" xr:uid="{00000000-0005-0000-0000-0000AA210000}"/>
    <cellStyle name="40% - Ênfase6 15 13" xfId="9132" xr:uid="{00000000-0005-0000-0000-0000AB210000}"/>
    <cellStyle name="40% - Ênfase6 15 14" xfId="9133" xr:uid="{00000000-0005-0000-0000-0000AC210000}"/>
    <cellStyle name="40% - Ênfase6 15 15" xfId="9134" xr:uid="{00000000-0005-0000-0000-0000AD210000}"/>
    <cellStyle name="40% - Ênfase6 15 16" xfId="9135" xr:uid="{00000000-0005-0000-0000-0000AE210000}"/>
    <cellStyle name="40% - Ênfase6 15 17" xfId="9136" xr:uid="{00000000-0005-0000-0000-0000AF210000}"/>
    <cellStyle name="40% - Ênfase6 15 18" xfId="9137" xr:uid="{00000000-0005-0000-0000-0000B0210000}"/>
    <cellStyle name="40% - Ênfase6 15 19" xfId="9138" xr:uid="{00000000-0005-0000-0000-0000B1210000}"/>
    <cellStyle name="40% - Ênfase6 15 2" xfId="9139" xr:uid="{00000000-0005-0000-0000-0000B2210000}"/>
    <cellStyle name="40% - Ênfase6 15 20" xfId="9140" xr:uid="{00000000-0005-0000-0000-0000B3210000}"/>
    <cellStyle name="40% - Ênfase6 15 3" xfId="9141" xr:uid="{00000000-0005-0000-0000-0000B4210000}"/>
    <cellStyle name="40% - Ênfase6 15 4" xfId="9142" xr:uid="{00000000-0005-0000-0000-0000B5210000}"/>
    <cellStyle name="40% - Ênfase6 15 5" xfId="9143" xr:uid="{00000000-0005-0000-0000-0000B6210000}"/>
    <cellStyle name="40% - Ênfase6 15 6" xfId="9144" xr:uid="{00000000-0005-0000-0000-0000B7210000}"/>
    <cellStyle name="40% - Ênfase6 15 7" xfId="9145" xr:uid="{00000000-0005-0000-0000-0000B8210000}"/>
    <cellStyle name="40% - Ênfase6 15 8" xfId="9146" xr:uid="{00000000-0005-0000-0000-0000B9210000}"/>
    <cellStyle name="40% - Ênfase6 15 9" xfId="9147" xr:uid="{00000000-0005-0000-0000-0000BA210000}"/>
    <cellStyle name="40% - Ênfase6 16" xfId="328" xr:uid="{00000000-0005-0000-0000-0000BB210000}"/>
    <cellStyle name="40% - Ênfase6 16 10" xfId="9148" xr:uid="{00000000-0005-0000-0000-0000BC210000}"/>
    <cellStyle name="40% - Ênfase6 16 11" xfId="9149" xr:uid="{00000000-0005-0000-0000-0000BD210000}"/>
    <cellStyle name="40% - Ênfase6 16 12" xfId="9150" xr:uid="{00000000-0005-0000-0000-0000BE210000}"/>
    <cellStyle name="40% - Ênfase6 16 13" xfId="9151" xr:uid="{00000000-0005-0000-0000-0000BF210000}"/>
    <cellStyle name="40% - Ênfase6 16 14" xfId="9152" xr:uid="{00000000-0005-0000-0000-0000C0210000}"/>
    <cellStyle name="40% - Ênfase6 16 15" xfId="9153" xr:uid="{00000000-0005-0000-0000-0000C1210000}"/>
    <cellStyle name="40% - Ênfase6 16 16" xfId="9154" xr:uid="{00000000-0005-0000-0000-0000C2210000}"/>
    <cellStyle name="40% - Ênfase6 16 17" xfId="9155" xr:uid="{00000000-0005-0000-0000-0000C3210000}"/>
    <cellStyle name="40% - Ênfase6 16 18" xfId="9156" xr:uid="{00000000-0005-0000-0000-0000C4210000}"/>
    <cellStyle name="40% - Ênfase6 16 19" xfId="9157" xr:uid="{00000000-0005-0000-0000-0000C5210000}"/>
    <cellStyle name="40% - Ênfase6 16 2" xfId="9158" xr:uid="{00000000-0005-0000-0000-0000C6210000}"/>
    <cellStyle name="40% - Ênfase6 16 20" xfId="9159" xr:uid="{00000000-0005-0000-0000-0000C7210000}"/>
    <cellStyle name="40% - Ênfase6 16 3" xfId="9160" xr:uid="{00000000-0005-0000-0000-0000C8210000}"/>
    <cellStyle name="40% - Ênfase6 16 4" xfId="9161" xr:uid="{00000000-0005-0000-0000-0000C9210000}"/>
    <cellStyle name="40% - Ênfase6 16 5" xfId="9162" xr:uid="{00000000-0005-0000-0000-0000CA210000}"/>
    <cellStyle name="40% - Ênfase6 16 6" xfId="9163" xr:uid="{00000000-0005-0000-0000-0000CB210000}"/>
    <cellStyle name="40% - Ênfase6 16 7" xfId="9164" xr:uid="{00000000-0005-0000-0000-0000CC210000}"/>
    <cellStyle name="40% - Ênfase6 16 8" xfId="9165" xr:uid="{00000000-0005-0000-0000-0000CD210000}"/>
    <cellStyle name="40% - Ênfase6 16 9" xfId="9166" xr:uid="{00000000-0005-0000-0000-0000CE210000}"/>
    <cellStyle name="40% - Ênfase6 17" xfId="344" xr:uid="{00000000-0005-0000-0000-0000CF210000}"/>
    <cellStyle name="40% - Ênfase6 17 10" xfId="9167" xr:uid="{00000000-0005-0000-0000-0000D0210000}"/>
    <cellStyle name="40% - Ênfase6 17 11" xfId="9168" xr:uid="{00000000-0005-0000-0000-0000D1210000}"/>
    <cellStyle name="40% - Ênfase6 17 12" xfId="9169" xr:uid="{00000000-0005-0000-0000-0000D2210000}"/>
    <cellStyle name="40% - Ênfase6 17 13" xfId="9170" xr:uid="{00000000-0005-0000-0000-0000D3210000}"/>
    <cellStyle name="40% - Ênfase6 17 14" xfId="9171" xr:uid="{00000000-0005-0000-0000-0000D4210000}"/>
    <cellStyle name="40% - Ênfase6 17 15" xfId="9172" xr:uid="{00000000-0005-0000-0000-0000D5210000}"/>
    <cellStyle name="40% - Ênfase6 17 16" xfId="9173" xr:uid="{00000000-0005-0000-0000-0000D6210000}"/>
    <cellStyle name="40% - Ênfase6 17 17" xfId="9174" xr:uid="{00000000-0005-0000-0000-0000D7210000}"/>
    <cellStyle name="40% - Ênfase6 17 18" xfId="9175" xr:uid="{00000000-0005-0000-0000-0000D8210000}"/>
    <cellStyle name="40% - Ênfase6 17 19" xfId="9176" xr:uid="{00000000-0005-0000-0000-0000D9210000}"/>
    <cellStyle name="40% - Ênfase6 17 2" xfId="9177" xr:uid="{00000000-0005-0000-0000-0000DA210000}"/>
    <cellStyle name="40% - Ênfase6 17 20" xfId="9178" xr:uid="{00000000-0005-0000-0000-0000DB210000}"/>
    <cellStyle name="40% - Ênfase6 17 3" xfId="9179" xr:uid="{00000000-0005-0000-0000-0000DC210000}"/>
    <cellStyle name="40% - Ênfase6 17 4" xfId="9180" xr:uid="{00000000-0005-0000-0000-0000DD210000}"/>
    <cellStyle name="40% - Ênfase6 17 5" xfId="9181" xr:uid="{00000000-0005-0000-0000-0000DE210000}"/>
    <cellStyle name="40% - Ênfase6 17 6" xfId="9182" xr:uid="{00000000-0005-0000-0000-0000DF210000}"/>
    <cellStyle name="40% - Ênfase6 17 7" xfId="9183" xr:uid="{00000000-0005-0000-0000-0000E0210000}"/>
    <cellStyle name="40% - Ênfase6 17 8" xfId="9184" xr:uid="{00000000-0005-0000-0000-0000E1210000}"/>
    <cellStyle name="40% - Ênfase6 17 9" xfId="9185" xr:uid="{00000000-0005-0000-0000-0000E2210000}"/>
    <cellStyle name="40% - Ênfase6 18" xfId="362" xr:uid="{00000000-0005-0000-0000-0000E3210000}"/>
    <cellStyle name="40% - Ênfase6 18 10" xfId="9186" xr:uid="{00000000-0005-0000-0000-0000E4210000}"/>
    <cellStyle name="40% - Ênfase6 18 11" xfId="9187" xr:uid="{00000000-0005-0000-0000-0000E5210000}"/>
    <cellStyle name="40% - Ênfase6 18 12" xfId="9188" xr:uid="{00000000-0005-0000-0000-0000E6210000}"/>
    <cellStyle name="40% - Ênfase6 18 13" xfId="9189" xr:uid="{00000000-0005-0000-0000-0000E7210000}"/>
    <cellStyle name="40% - Ênfase6 18 14" xfId="9190" xr:uid="{00000000-0005-0000-0000-0000E8210000}"/>
    <cellStyle name="40% - Ênfase6 18 15" xfId="9191" xr:uid="{00000000-0005-0000-0000-0000E9210000}"/>
    <cellStyle name="40% - Ênfase6 18 16" xfId="9192" xr:uid="{00000000-0005-0000-0000-0000EA210000}"/>
    <cellStyle name="40% - Ênfase6 18 17" xfId="9193" xr:uid="{00000000-0005-0000-0000-0000EB210000}"/>
    <cellStyle name="40% - Ênfase6 18 18" xfId="9194" xr:uid="{00000000-0005-0000-0000-0000EC210000}"/>
    <cellStyle name="40% - Ênfase6 18 19" xfId="9195" xr:uid="{00000000-0005-0000-0000-0000ED210000}"/>
    <cellStyle name="40% - Ênfase6 18 2" xfId="9196" xr:uid="{00000000-0005-0000-0000-0000EE210000}"/>
    <cellStyle name="40% - Ênfase6 18 20" xfId="9197" xr:uid="{00000000-0005-0000-0000-0000EF210000}"/>
    <cellStyle name="40% - Ênfase6 18 3" xfId="9198" xr:uid="{00000000-0005-0000-0000-0000F0210000}"/>
    <cellStyle name="40% - Ênfase6 18 4" xfId="9199" xr:uid="{00000000-0005-0000-0000-0000F1210000}"/>
    <cellStyle name="40% - Ênfase6 18 5" xfId="9200" xr:uid="{00000000-0005-0000-0000-0000F2210000}"/>
    <cellStyle name="40% - Ênfase6 18 6" xfId="9201" xr:uid="{00000000-0005-0000-0000-0000F3210000}"/>
    <cellStyle name="40% - Ênfase6 18 7" xfId="9202" xr:uid="{00000000-0005-0000-0000-0000F4210000}"/>
    <cellStyle name="40% - Ênfase6 18 8" xfId="9203" xr:uid="{00000000-0005-0000-0000-0000F5210000}"/>
    <cellStyle name="40% - Ênfase6 18 9" xfId="9204" xr:uid="{00000000-0005-0000-0000-0000F6210000}"/>
    <cellStyle name="40% - Ênfase6 19" xfId="382" xr:uid="{00000000-0005-0000-0000-0000F7210000}"/>
    <cellStyle name="40% - Ênfase6 19 10" xfId="9205" xr:uid="{00000000-0005-0000-0000-0000F8210000}"/>
    <cellStyle name="40% - Ênfase6 19 11" xfId="9206" xr:uid="{00000000-0005-0000-0000-0000F9210000}"/>
    <cellStyle name="40% - Ênfase6 19 12" xfId="9207" xr:uid="{00000000-0005-0000-0000-0000FA210000}"/>
    <cellStyle name="40% - Ênfase6 19 13" xfId="9208" xr:uid="{00000000-0005-0000-0000-0000FB210000}"/>
    <cellStyle name="40% - Ênfase6 19 14" xfId="9209" xr:uid="{00000000-0005-0000-0000-0000FC210000}"/>
    <cellStyle name="40% - Ênfase6 19 15" xfId="9210" xr:uid="{00000000-0005-0000-0000-0000FD210000}"/>
    <cellStyle name="40% - Ênfase6 19 16" xfId="9211" xr:uid="{00000000-0005-0000-0000-0000FE210000}"/>
    <cellStyle name="40% - Ênfase6 19 17" xfId="9212" xr:uid="{00000000-0005-0000-0000-0000FF210000}"/>
    <cellStyle name="40% - Ênfase6 19 18" xfId="9213" xr:uid="{00000000-0005-0000-0000-000000220000}"/>
    <cellStyle name="40% - Ênfase6 19 19" xfId="9214" xr:uid="{00000000-0005-0000-0000-000001220000}"/>
    <cellStyle name="40% - Ênfase6 19 2" xfId="9215" xr:uid="{00000000-0005-0000-0000-000002220000}"/>
    <cellStyle name="40% - Ênfase6 19 20" xfId="9216" xr:uid="{00000000-0005-0000-0000-000003220000}"/>
    <cellStyle name="40% - Ênfase6 19 3" xfId="9217" xr:uid="{00000000-0005-0000-0000-000004220000}"/>
    <cellStyle name="40% - Ênfase6 19 4" xfId="9218" xr:uid="{00000000-0005-0000-0000-000005220000}"/>
    <cellStyle name="40% - Ênfase6 19 5" xfId="9219" xr:uid="{00000000-0005-0000-0000-000006220000}"/>
    <cellStyle name="40% - Ênfase6 19 6" xfId="9220" xr:uid="{00000000-0005-0000-0000-000007220000}"/>
    <cellStyle name="40% - Ênfase6 19 7" xfId="9221" xr:uid="{00000000-0005-0000-0000-000008220000}"/>
    <cellStyle name="40% - Ênfase6 19 8" xfId="9222" xr:uid="{00000000-0005-0000-0000-000009220000}"/>
    <cellStyle name="40% - Ênfase6 19 9" xfId="9223" xr:uid="{00000000-0005-0000-0000-00000A220000}"/>
    <cellStyle name="40% - Ênfase6 2" xfId="89" xr:uid="{00000000-0005-0000-0000-00000B220000}"/>
    <cellStyle name="40% - Ênfase6 2 10" xfId="9224" xr:uid="{00000000-0005-0000-0000-00000C220000}"/>
    <cellStyle name="40% - Ênfase6 2 11" xfId="9225" xr:uid="{00000000-0005-0000-0000-00000D220000}"/>
    <cellStyle name="40% - Ênfase6 2 12" xfId="9226" xr:uid="{00000000-0005-0000-0000-00000E220000}"/>
    <cellStyle name="40% - Ênfase6 2 13" xfId="9227" xr:uid="{00000000-0005-0000-0000-00000F220000}"/>
    <cellStyle name="40% - Ênfase6 2 14" xfId="9228" xr:uid="{00000000-0005-0000-0000-000010220000}"/>
    <cellStyle name="40% - Ênfase6 2 15" xfId="9229" xr:uid="{00000000-0005-0000-0000-000011220000}"/>
    <cellStyle name="40% - Ênfase6 2 16" xfId="9230" xr:uid="{00000000-0005-0000-0000-000012220000}"/>
    <cellStyle name="40% - Ênfase6 2 17" xfId="9231" xr:uid="{00000000-0005-0000-0000-000013220000}"/>
    <cellStyle name="40% - Ênfase6 2 18" xfId="9232" xr:uid="{00000000-0005-0000-0000-000014220000}"/>
    <cellStyle name="40% - Ênfase6 2 19" xfId="9233" xr:uid="{00000000-0005-0000-0000-000015220000}"/>
    <cellStyle name="40% - Ênfase6 2 2" xfId="9234" xr:uid="{00000000-0005-0000-0000-000016220000}"/>
    <cellStyle name="40% - Ênfase6 2 20" xfId="9235" xr:uid="{00000000-0005-0000-0000-000017220000}"/>
    <cellStyle name="40% - Ênfase6 2 3" xfId="9236" xr:uid="{00000000-0005-0000-0000-000018220000}"/>
    <cellStyle name="40% - Ênfase6 2 4" xfId="9237" xr:uid="{00000000-0005-0000-0000-000019220000}"/>
    <cellStyle name="40% - Ênfase6 2 5" xfId="9238" xr:uid="{00000000-0005-0000-0000-00001A220000}"/>
    <cellStyle name="40% - Ênfase6 2 6" xfId="9239" xr:uid="{00000000-0005-0000-0000-00001B220000}"/>
    <cellStyle name="40% - Ênfase6 2 7" xfId="9240" xr:uid="{00000000-0005-0000-0000-00001C220000}"/>
    <cellStyle name="40% - Ênfase6 2 8" xfId="9241" xr:uid="{00000000-0005-0000-0000-00001D220000}"/>
    <cellStyle name="40% - Ênfase6 2 9" xfId="9242" xr:uid="{00000000-0005-0000-0000-00001E220000}"/>
    <cellStyle name="40% - Ênfase6 20" xfId="400" xr:uid="{00000000-0005-0000-0000-00001F220000}"/>
    <cellStyle name="40% - Ênfase6 20 10" xfId="9243" xr:uid="{00000000-0005-0000-0000-000020220000}"/>
    <cellStyle name="40% - Ênfase6 20 11" xfId="9244" xr:uid="{00000000-0005-0000-0000-000021220000}"/>
    <cellStyle name="40% - Ênfase6 20 12" xfId="9245" xr:uid="{00000000-0005-0000-0000-000022220000}"/>
    <cellStyle name="40% - Ênfase6 20 13" xfId="9246" xr:uid="{00000000-0005-0000-0000-000023220000}"/>
    <cellStyle name="40% - Ênfase6 20 14" xfId="9247" xr:uid="{00000000-0005-0000-0000-000024220000}"/>
    <cellStyle name="40% - Ênfase6 20 15" xfId="9248" xr:uid="{00000000-0005-0000-0000-000025220000}"/>
    <cellStyle name="40% - Ênfase6 20 16" xfId="9249" xr:uid="{00000000-0005-0000-0000-000026220000}"/>
    <cellStyle name="40% - Ênfase6 20 17" xfId="9250" xr:uid="{00000000-0005-0000-0000-000027220000}"/>
    <cellStyle name="40% - Ênfase6 20 18" xfId="9251" xr:uid="{00000000-0005-0000-0000-000028220000}"/>
    <cellStyle name="40% - Ênfase6 20 19" xfId="9252" xr:uid="{00000000-0005-0000-0000-000029220000}"/>
    <cellStyle name="40% - Ênfase6 20 2" xfId="9253" xr:uid="{00000000-0005-0000-0000-00002A220000}"/>
    <cellStyle name="40% - Ênfase6 20 20" xfId="9254" xr:uid="{00000000-0005-0000-0000-00002B220000}"/>
    <cellStyle name="40% - Ênfase6 20 3" xfId="9255" xr:uid="{00000000-0005-0000-0000-00002C220000}"/>
    <cellStyle name="40% - Ênfase6 20 4" xfId="9256" xr:uid="{00000000-0005-0000-0000-00002D220000}"/>
    <cellStyle name="40% - Ênfase6 20 5" xfId="9257" xr:uid="{00000000-0005-0000-0000-00002E220000}"/>
    <cellStyle name="40% - Ênfase6 20 6" xfId="9258" xr:uid="{00000000-0005-0000-0000-00002F220000}"/>
    <cellStyle name="40% - Ênfase6 20 7" xfId="9259" xr:uid="{00000000-0005-0000-0000-000030220000}"/>
    <cellStyle name="40% - Ênfase6 20 8" xfId="9260" xr:uid="{00000000-0005-0000-0000-000031220000}"/>
    <cellStyle name="40% - Ênfase6 20 9" xfId="9261" xr:uid="{00000000-0005-0000-0000-000032220000}"/>
    <cellStyle name="40% - Ênfase6 21" xfId="418" xr:uid="{00000000-0005-0000-0000-000033220000}"/>
    <cellStyle name="40% - Ênfase6 21 10" xfId="9262" xr:uid="{00000000-0005-0000-0000-000034220000}"/>
    <cellStyle name="40% - Ênfase6 21 11" xfId="9263" xr:uid="{00000000-0005-0000-0000-000035220000}"/>
    <cellStyle name="40% - Ênfase6 21 12" xfId="9264" xr:uid="{00000000-0005-0000-0000-000036220000}"/>
    <cellStyle name="40% - Ênfase6 21 13" xfId="9265" xr:uid="{00000000-0005-0000-0000-000037220000}"/>
    <cellStyle name="40% - Ênfase6 21 14" xfId="9266" xr:uid="{00000000-0005-0000-0000-000038220000}"/>
    <cellStyle name="40% - Ênfase6 21 15" xfId="9267" xr:uid="{00000000-0005-0000-0000-000039220000}"/>
    <cellStyle name="40% - Ênfase6 21 16" xfId="9268" xr:uid="{00000000-0005-0000-0000-00003A220000}"/>
    <cellStyle name="40% - Ênfase6 21 17" xfId="9269" xr:uid="{00000000-0005-0000-0000-00003B220000}"/>
    <cellStyle name="40% - Ênfase6 21 18" xfId="9270" xr:uid="{00000000-0005-0000-0000-00003C220000}"/>
    <cellStyle name="40% - Ênfase6 21 19" xfId="9271" xr:uid="{00000000-0005-0000-0000-00003D220000}"/>
    <cellStyle name="40% - Ênfase6 21 2" xfId="9272" xr:uid="{00000000-0005-0000-0000-00003E220000}"/>
    <cellStyle name="40% - Ênfase6 21 20" xfId="9273" xr:uid="{00000000-0005-0000-0000-00003F220000}"/>
    <cellStyle name="40% - Ênfase6 21 3" xfId="9274" xr:uid="{00000000-0005-0000-0000-000040220000}"/>
    <cellStyle name="40% - Ênfase6 21 4" xfId="9275" xr:uid="{00000000-0005-0000-0000-000041220000}"/>
    <cellStyle name="40% - Ênfase6 21 5" xfId="9276" xr:uid="{00000000-0005-0000-0000-000042220000}"/>
    <cellStyle name="40% - Ênfase6 21 6" xfId="9277" xr:uid="{00000000-0005-0000-0000-000043220000}"/>
    <cellStyle name="40% - Ênfase6 21 7" xfId="9278" xr:uid="{00000000-0005-0000-0000-000044220000}"/>
    <cellStyle name="40% - Ênfase6 21 8" xfId="9279" xr:uid="{00000000-0005-0000-0000-000045220000}"/>
    <cellStyle name="40% - Ênfase6 21 9" xfId="9280" xr:uid="{00000000-0005-0000-0000-000046220000}"/>
    <cellStyle name="40% - Ênfase6 22" xfId="436" xr:uid="{00000000-0005-0000-0000-000047220000}"/>
    <cellStyle name="40% - Ênfase6 22 10" xfId="9281" xr:uid="{00000000-0005-0000-0000-000048220000}"/>
    <cellStyle name="40% - Ênfase6 22 11" xfId="9282" xr:uid="{00000000-0005-0000-0000-000049220000}"/>
    <cellStyle name="40% - Ênfase6 22 12" xfId="9283" xr:uid="{00000000-0005-0000-0000-00004A220000}"/>
    <cellStyle name="40% - Ênfase6 22 13" xfId="9284" xr:uid="{00000000-0005-0000-0000-00004B220000}"/>
    <cellStyle name="40% - Ênfase6 22 14" xfId="9285" xr:uid="{00000000-0005-0000-0000-00004C220000}"/>
    <cellStyle name="40% - Ênfase6 22 15" xfId="9286" xr:uid="{00000000-0005-0000-0000-00004D220000}"/>
    <cellStyle name="40% - Ênfase6 22 16" xfId="9287" xr:uid="{00000000-0005-0000-0000-00004E220000}"/>
    <cellStyle name="40% - Ênfase6 22 17" xfId="9288" xr:uid="{00000000-0005-0000-0000-00004F220000}"/>
    <cellStyle name="40% - Ênfase6 22 18" xfId="9289" xr:uid="{00000000-0005-0000-0000-000050220000}"/>
    <cellStyle name="40% - Ênfase6 22 19" xfId="9290" xr:uid="{00000000-0005-0000-0000-000051220000}"/>
    <cellStyle name="40% - Ênfase6 22 2" xfId="9291" xr:uid="{00000000-0005-0000-0000-000052220000}"/>
    <cellStyle name="40% - Ênfase6 22 20" xfId="9292" xr:uid="{00000000-0005-0000-0000-000053220000}"/>
    <cellStyle name="40% - Ênfase6 22 3" xfId="9293" xr:uid="{00000000-0005-0000-0000-000054220000}"/>
    <cellStyle name="40% - Ênfase6 22 4" xfId="9294" xr:uid="{00000000-0005-0000-0000-000055220000}"/>
    <cellStyle name="40% - Ênfase6 22 5" xfId="9295" xr:uid="{00000000-0005-0000-0000-000056220000}"/>
    <cellStyle name="40% - Ênfase6 22 6" xfId="9296" xr:uid="{00000000-0005-0000-0000-000057220000}"/>
    <cellStyle name="40% - Ênfase6 22 7" xfId="9297" xr:uid="{00000000-0005-0000-0000-000058220000}"/>
    <cellStyle name="40% - Ênfase6 22 8" xfId="9298" xr:uid="{00000000-0005-0000-0000-000059220000}"/>
    <cellStyle name="40% - Ênfase6 22 9" xfId="9299" xr:uid="{00000000-0005-0000-0000-00005A220000}"/>
    <cellStyle name="40% - Ênfase6 23" xfId="454" xr:uid="{00000000-0005-0000-0000-00005B220000}"/>
    <cellStyle name="40% - Ênfase6 23 10" xfId="9300" xr:uid="{00000000-0005-0000-0000-00005C220000}"/>
    <cellStyle name="40% - Ênfase6 23 11" xfId="9301" xr:uid="{00000000-0005-0000-0000-00005D220000}"/>
    <cellStyle name="40% - Ênfase6 23 12" xfId="9302" xr:uid="{00000000-0005-0000-0000-00005E220000}"/>
    <cellStyle name="40% - Ênfase6 23 13" xfId="9303" xr:uid="{00000000-0005-0000-0000-00005F220000}"/>
    <cellStyle name="40% - Ênfase6 23 14" xfId="9304" xr:uid="{00000000-0005-0000-0000-000060220000}"/>
    <cellStyle name="40% - Ênfase6 23 15" xfId="9305" xr:uid="{00000000-0005-0000-0000-000061220000}"/>
    <cellStyle name="40% - Ênfase6 23 16" xfId="9306" xr:uid="{00000000-0005-0000-0000-000062220000}"/>
    <cellStyle name="40% - Ênfase6 23 17" xfId="9307" xr:uid="{00000000-0005-0000-0000-000063220000}"/>
    <cellStyle name="40% - Ênfase6 23 18" xfId="9308" xr:uid="{00000000-0005-0000-0000-000064220000}"/>
    <cellStyle name="40% - Ênfase6 23 19" xfId="9309" xr:uid="{00000000-0005-0000-0000-000065220000}"/>
    <cellStyle name="40% - Ênfase6 23 2" xfId="9310" xr:uid="{00000000-0005-0000-0000-000066220000}"/>
    <cellStyle name="40% - Ênfase6 23 20" xfId="9311" xr:uid="{00000000-0005-0000-0000-000067220000}"/>
    <cellStyle name="40% - Ênfase6 23 3" xfId="9312" xr:uid="{00000000-0005-0000-0000-000068220000}"/>
    <cellStyle name="40% - Ênfase6 23 4" xfId="9313" xr:uid="{00000000-0005-0000-0000-000069220000}"/>
    <cellStyle name="40% - Ênfase6 23 5" xfId="9314" xr:uid="{00000000-0005-0000-0000-00006A220000}"/>
    <cellStyle name="40% - Ênfase6 23 6" xfId="9315" xr:uid="{00000000-0005-0000-0000-00006B220000}"/>
    <cellStyle name="40% - Ênfase6 23 7" xfId="9316" xr:uid="{00000000-0005-0000-0000-00006C220000}"/>
    <cellStyle name="40% - Ênfase6 23 8" xfId="9317" xr:uid="{00000000-0005-0000-0000-00006D220000}"/>
    <cellStyle name="40% - Ênfase6 23 9" xfId="9318" xr:uid="{00000000-0005-0000-0000-00006E220000}"/>
    <cellStyle name="40% - Ênfase6 24" xfId="472" xr:uid="{00000000-0005-0000-0000-00006F220000}"/>
    <cellStyle name="40% - Ênfase6 24 10" xfId="9319" xr:uid="{00000000-0005-0000-0000-000070220000}"/>
    <cellStyle name="40% - Ênfase6 24 11" xfId="9320" xr:uid="{00000000-0005-0000-0000-000071220000}"/>
    <cellStyle name="40% - Ênfase6 24 12" xfId="9321" xr:uid="{00000000-0005-0000-0000-000072220000}"/>
    <cellStyle name="40% - Ênfase6 24 13" xfId="9322" xr:uid="{00000000-0005-0000-0000-000073220000}"/>
    <cellStyle name="40% - Ênfase6 24 14" xfId="9323" xr:uid="{00000000-0005-0000-0000-000074220000}"/>
    <cellStyle name="40% - Ênfase6 24 15" xfId="9324" xr:uid="{00000000-0005-0000-0000-000075220000}"/>
    <cellStyle name="40% - Ênfase6 24 16" xfId="9325" xr:uid="{00000000-0005-0000-0000-000076220000}"/>
    <cellStyle name="40% - Ênfase6 24 17" xfId="9326" xr:uid="{00000000-0005-0000-0000-000077220000}"/>
    <cellStyle name="40% - Ênfase6 24 18" xfId="9327" xr:uid="{00000000-0005-0000-0000-000078220000}"/>
    <cellStyle name="40% - Ênfase6 24 19" xfId="9328" xr:uid="{00000000-0005-0000-0000-000079220000}"/>
    <cellStyle name="40% - Ênfase6 24 2" xfId="9329" xr:uid="{00000000-0005-0000-0000-00007A220000}"/>
    <cellStyle name="40% - Ênfase6 24 20" xfId="9330" xr:uid="{00000000-0005-0000-0000-00007B220000}"/>
    <cellStyle name="40% - Ênfase6 24 3" xfId="9331" xr:uid="{00000000-0005-0000-0000-00007C220000}"/>
    <cellStyle name="40% - Ênfase6 24 4" xfId="9332" xr:uid="{00000000-0005-0000-0000-00007D220000}"/>
    <cellStyle name="40% - Ênfase6 24 5" xfId="9333" xr:uid="{00000000-0005-0000-0000-00007E220000}"/>
    <cellStyle name="40% - Ênfase6 24 6" xfId="9334" xr:uid="{00000000-0005-0000-0000-00007F220000}"/>
    <cellStyle name="40% - Ênfase6 24 7" xfId="9335" xr:uid="{00000000-0005-0000-0000-000080220000}"/>
    <cellStyle name="40% - Ênfase6 24 8" xfId="9336" xr:uid="{00000000-0005-0000-0000-000081220000}"/>
    <cellStyle name="40% - Ênfase6 24 9" xfId="9337" xr:uid="{00000000-0005-0000-0000-000082220000}"/>
    <cellStyle name="40% - Ênfase6 25" xfId="490" xr:uid="{00000000-0005-0000-0000-000083220000}"/>
    <cellStyle name="40% - Ênfase6 25 10" xfId="9338" xr:uid="{00000000-0005-0000-0000-000084220000}"/>
    <cellStyle name="40% - Ênfase6 25 11" xfId="9339" xr:uid="{00000000-0005-0000-0000-000085220000}"/>
    <cellStyle name="40% - Ênfase6 25 12" xfId="9340" xr:uid="{00000000-0005-0000-0000-000086220000}"/>
    <cellStyle name="40% - Ênfase6 25 13" xfId="9341" xr:uid="{00000000-0005-0000-0000-000087220000}"/>
    <cellStyle name="40% - Ênfase6 25 14" xfId="9342" xr:uid="{00000000-0005-0000-0000-000088220000}"/>
    <cellStyle name="40% - Ênfase6 25 15" xfId="9343" xr:uid="{00000000-0005-0000-0000-000089220000}"/>
    <cellStyle name="40% - Ênfase6 25 16" xfId="9344" xr:uid="{00000000-0005-0000-0000-00008A220000}"/>
    <cellStyle name="40% - Ênfase6 25 17" xfId="9345" xr:uid="{00000000-0005-0000-0000-00008B220000}"/>
    <cellStyle name="40% - Ênfase6 25 18" xfId="9346" xr:uid="{00000000-0005-0000-0000-00008C220000}"/>
    <cellStyle name="40% - Ênfase6 25 19" xfId="9347" xr:uid="{00000000-0005-0000-0000-00008D220000}"/>
    <cellStyle name="40% - Ênfase6 25 2" xfId="9348" xr:uid="{00000000-0005-0000-0000-00008E220000}"/>
    <cellStyle name="40% - Ênfase6 25 20" xfId="9349" xr:uid="{00000000-0005-0000-0000-00008F220000}"/>
    <cellStyle name="40% - Ênfase6 25 3" xfId="9350" xr:uid="{00000000-0005-0000-0000-000090220000}"/>
    <cellStyle name="40% - Ênfase6 25 4" xfId="9351" xr:uid="{00000000-0005-0000-0000-000091220000}"/>
    <cellStyle name="40% - Ênfase6 25 5" xfId="9352" xr:uid="{00000000-0005-0000-0000-000092220000}"/>
    <cellStyle name="40% - Ênfase6 25 6" xfId="9353" xr:uid="{00000000-0005-0000-0000-000093220000}"/>
    <cellStyle name="40% - Ênfase6 25 7" xfId="9354" xr:uid="{00000000-0005-0000-0000-000094220000}"/>
    <cellStyle name="40% - Ênfase6 25 8" xfId="9355" xr:uid="{00000000-0005-0000-0000-000095220000}"/>
    <cellStyle name="40% - Ênfase6 25 9" xfId="9356" xr:uid="{00000000-0005-0000-0000-000096220000}"/>
    <cellStyle name="40% - Ênfase6 26" xfId="508" xr:uid="{00000000-0005-0000-0000-000097220000}"/>
    <cellStyle name="40% - Ênfase6 26 10" xfId="9357" xr:uid="{00000000-0005-0000-0000-000098220000}"/>
    <cellStyle name="40% - Ênfase6 26 11" xfId="9358" xr:uid="{00000000-0005-0000-0000-000099220000}"/>
    <cellStyle name="40% - Ênfase6 26 12" xfId="9359" xr:uid="{00000000-0005-0000-0000-00009A220000}"/>
    <cellStyle name="40% - Ênfase6 26 13" xfId="9360" xr:uid="{00000000-0005-0000-0000-00009B220000}"/>
    <cellStyle name="40% - Ênfase6 26 14" xfId="9361" xr:uid="{00000000-0005-0000-0000-00009C220000}"/>
    <cellStyle name="40% - Ênfase6 26 15" xfId="9362" xr:uid="{00000000-0005-0000-0000-00009D220000}"/>
    <cellStyle name="40% - Ênfase6 26 16" xfId="9363" xr:uid="{00000000-0005-0000-0000-00009E220000}"/>
    <cellStyle name="40% - Ênfase6 26 17" xfId="9364" xr:uid="{00000000-0005-0000-0000-00009F220000}"/>
    <cellStyle name="40% - Ênfase6 26 18" xfId="9365" xr:uid="{00000000-0005-0000-0000-0000A0220000}"/>
    <cellStyle name="40% - Ênfase6 26 19" xfId="9366" xr:uid="{00000000-0005-0000-0000-0000A1220000}"/>
    <cellStyle name="40% - Ênfase6 26 2" xfId="9367" xr:uid="{00000000-0005-0000-0000-0000A2220000}"/>
    <cellStyle name="40% - Ênfase6 26 20" xfId="9368" xr:uid="{00000000-0005-0000-0000-0000A3220000}"/>
    <cellStyle name="40% - Ênfase6 26 3" xfId="9369" xr:uid="{00000000-0005-0000-0000-0000A4220000}"/>
    <cellStyle name="40% - Ênfase6 26 4" xfId="9370" xr:uid="{00000000-0005-0000-0000-0000A5220000}"/>
    <cellStyle name="40% - Ênfase6 26 5" xfId="9371" xr:uid="{00000000-0005-0000-0000-0000A6220000}"/>
    <cellStyle name="40% - Ênfase6 26 6" xfId="9372" xr:uid="{00000000-0005-0000-0000-0000A7220000}"/>
    <cellStyle name="40% - Ênfase6 26 7" xfId="9373" xr:uid="{00000000-0005-0000-0000-0000A8220000}"/>
    <cellStyle name="40% - Ênfase6 26 8" xfId="9374" xr:uid="{00000000-0005-0000-0000-0000A9220000}"/>
    <cellStyle name="40% - Ênfase6 26 9" xfId="9375" xr:uid="{00000000-0005-0000-0000-0000AA220000}"/>
    <cellStyle name="40% - Ênfase6 27" xfId="526" xr:uid="{00000000-0005-0000-0000-0000AB220000}"/>
    <cellStyle name="40% - Ênfase6 27 10" xfId="9376" xr:uid="{00000000-0005-0000-0000-0000AC220000}"/>
    <cellStyle name="40% - Ênfase6 27 11" xfId="9377" xr:uid="{00000000-0005-0000-0000-0000AD220000}"/>
    <cellStyle name="40% - Ênfase6 27 12" xfId="9378" xr:uid="{00000000-0005-0000-0000-0000AE220000}"/>
    <cellStyle name="40% - Ênfase6 27 13" xfId="9379" xr:uid="{00000000-0005-0000-0000-0000AF220000}"/>
    <cellStyle name="40% - Ênfase6 27 14" xfId="9380" xr:uid="{00000000-0005-0000-0000-0000B0220000}"/>
    <cellStyle name="40% - Ênfase6 27 15" xfId="9381" xr:uid="{00000000-0005-0000-0000-0000B1220000}"/>
    <cellStyle name="40% - Ênfase6 27 16" xfId="9382" xr:uid="{00000000-0005-0000-0000-0000B2220000}"/>
    <cellStyle name="40% - Ênfase6 27 17" xfId="9383" xr:uid="{00000000-0005-0000-0000-0000B3220000}"/>
    <cellStyle name="40% - Ênfase6 27 18" xfId="9384" xr:uid="{00000000-0005-0000-0000-0000B4220000}"/>
    <cellStyle name="40% - Ênfase6 27 19" xfId="9385" xr:uid="{00000000-0005-0000-0000-0000B5220000}"/>
    <cellStyle name="40% - Ênfase6 27 2" xfId="9386" xr:uid="{00000000-0005-0000-0000-0000B6220000}"/>
    <cellStyle name="40% - Ênfase6 27 20" xfId="9387" xr:uid="{00000000-0005-0000-0000-0000B7220000}"/>
    <cellStyle name="40% - Ênfase6 27 3" xfId="9388" xr:uid="{00000000-0005-0000-0000-0000B8220000}"/>
    <cellStyle name="40% - Ênfase6 27 4" xfId="9389" xr:uid="{00000000-0005-0000-0000-0000B9220000}"/>
    <cellStyle name="40% - Ênfase6 27 5" xfId="9390" xr:uid="{00000000-0005-0000-0000-0000BA220000}"/>
    <cellStyle name="40% - Ênfase6 27 6" xfId="9391" xr:uid="{00000000-0005-0000-0000-0000BB220000}"/>
    <cellStyle name="40% - Ênfase6 27 7" xfId="9392" xr:uid="{00000000-0005-0000-0000-0000BC220000}"/>
    <cellStyle name="40% - Ênfase6 27 8" xfId="9393" xr:uid="{00000000-0005-0000-0000-0000BD220000}"/>
    <cellStyle name="40% - Ênfase6 27 9" xfId="9394" xr:uid="{00000000-0005-0000-0000-0000BE220000}"/>
    <cellStyle name="40% - Ênfase6 28" xfId="544" xr:uid="{00000000-0005-0000-0000-0000BF220000}"/>
    <cellStyle name="40% - Ênfase6 28 10" xfId="9395" xr:uid="{00000000-0005-0000-0000-0000C0220000}"/>
    <cellStyle name="40% - Ênfase6 28 11" xfId="9396" xr:uid="{00000000-0005-0000-0000-0000C1220000}"/>
    <cellStyle name="40% - Ênfase6 28 12" xfId="9397" xr:uid="{00000000-0005-0000-0000-0000C2220000}"/>
    <cellStyle name="40% - Ênfase6 28 13" xfId="9398" xr:uid="{00000000-0005-0000-0000-0000C3220000}"/>
    <cellStyle name="40% - Ênfase6 28 14" xfId="9399" xr:uid="{00000000-0005-0000-0000-0000C4220000}"/>
    <cellStyle name="40% - Ênfase6 28 15" xfId="9400" xr:uid="{00000000-0005-0000-0000-0000C5220000}"/>
    <cellStyle name="40% - Ênfase6 28 16" xfId="9401" xr:uid="{00000000-0005-0000-0000-0000C6220000}"/>
    <cellStyle name="40% - Ênfase6 28 17" xfId="9402" xr:uid="{00000000-0005-0000-0000-0000C7220000}"/>
    <cellStyle name="40% - Ênfase6 28 18" xfId="9403" xr:uid="{00000000-0005-0000-0000-0000C8220000}"/>
    <cellStyle name="40% - Ênfase6 28 19" xfId="9404" xr:uid="{00000000-0005-0000-0000-0000C9220000}"/>
    <cellStyle name="40% - Ênfase6 28 2" xfId="9405" xr:uid="{00000000-0005-0000-0000-0000CA220000}"/>
    <cellStyle name="40% - Ênfase6 28 20" xfId="9406" xr:uid="{00000000-0005-0000-0000-0000CB220000}"/>
    <cellStyle name="40% - Ênfase6 28 3" xfId="9407" xr:uid="{00000000-0005-0000-0000-0000CC220000}"/>
    <cellStyle name="40% - Ênfase6 28 4" xfId="9408" xr:uid="{00000000-0005-0000-0000-0000CD220000}"/>
    <cellStyle name="40% - Ênfase6 28 5" xfId="9409" xr:uid="{00000000-0005-0000-0000-0000CE220000}"/>
    <cellStyle name="40% - Ênfase6 28 6" xfId="9410" xr:uid="{00000000-0005-0000-0000-0000CF220000}"/>
    <cellStyle name="40% - Ênfase6 28 7" xfId="9411" xr:uid="{00000000-0005-0000-0000-0000D0220000}"/>
    <cellStyle name="40% - Ênfase6 28 8" xfId="9412" xr:uid="{00000000-0005-0000-0000-0000D1220000}"/>
    <cellStyle name="40% - Ênfase6 28 9" xfId="9413" xr:uid="{00000000-0005-0000-0000-0000D2220000}"/>
    <cellStyle name="40% - Ênfase6 29" xfId="562" xr:uid="{00000000-0005-0000-0000-0000D3220000}"/>
    <cellStyle name="40% - Ênfase6 29 10" xfId="9414" xr:uid="{00000000-0005-0000-0000-0000D4220000}"/>
    <cellStyle name="40% - Ênfase6 29 11" xfId="9415" xr:uid="{00000000-0005-0000-0000-0000D5220000}"/>
    <cellStyle name="40% - Ênfase6 29 12" xfId="9416" xr:uid="{00000000-0005-0000-0000-0000D6220000}"/>
    <cellStyle name="40% - Ênfase6 29 13" xfId="9417" xr:uid="{00000000-0005-0000-0000-0000D7220000}"/>
    <cellStyle name="40% - Ênfase6 29 14" xfId="9418" xr:uid="{00000000-0005-0000-0000-0000D8220000}"/>
    <cellStyle name="40% - Ênfase6 29 15" xfId="9419" xr:uid="{00000000-0005-0000-0000-0000D9220000}"/>
    <cellStyle name="40% - Ênfase6 29 16" xfId="9420" xr:uid="{00000000-0005-0000-0000-0000DA220000}"/>
    <cellStyle name="40% - Ênfase6 29 17" xfId="9421" xr:uid="{00000000-0005-0000-0000-0000DB220000}"/>
    <cellStyle name="40% - Ênfase6 29 18" xfId="9422" xr:uid="{00000000-0005-0000-0000-0000DC220000}"/>
    <cellStyle name="40% - Ênfase6 29 19" xfId="9423" xr:uid="{00000000-0005-0000-0000-0000DD220000}"/>
    <cellStyle name="40% - Ênfase6 29 2" xfId="9424" xr:uid="{00000000-0005-0000-0000-0000DE220000}"/>
    <cellStyle name="40% - Ênfase6 29 20" xfId="9425" xr:uid="{00000000-0005-0000-0000-0000DF220000}"/>
    <cellStyle name="40% - Ênfase6 29 3" xfId="9426" xr:uid="{00000000-0005-0000-0000-0000E0220000}"/>
    <cellStyle name="40% - Ênfase6 29 4" xfId="9427" xr:uid="{00000000-0005-0000-0000-0000E1220000}"/>
    <cellStyle name="40% - Ênfase6 29 5" xfId="9428" xr:uid="{00000000-0005-0000-0000-0000E2220000}"/>
    <cellStyle name="40% - Ênfase6 29 6" xfId="9429" xr:uid="{00000000-0005-0000-0000-0000E3220000}"/>
    <cellStyle name="40% - Ênfase6 29 7" xfId="9430" xr:uid="{00000000-0005-0000-0000-0000E4220000}"/>
    <cellStyle name="40% - Ênfase6 29 8" xfId="9431" xr:uid="{00000000-0005-0000-0000-0000E5220000}"/>
    <cellStyle name="40% - Ênfase6 29 9" xfId="9432" xr:uid="{00000000-0005-0000-0000-0000E6220000}"/>
    <cellStyle name="40% - Ênfase6 3" xfId="106" xr:uid="{00000000-0005-0000-0000-0000E7220000}"/>
    <cellStyle name="40% - Ênfase6 3 10" xfId="9433" xr:uid="{00000000-0005-0000-0000-0000E8220000}"/>
    <cellStyle name="40% - Ênfase6 3 11" xfId="9434" xr:uid="{00000000-0005-0000-0000-0000E9220000}"/>
    <cellStyle name="40% - Ênfase6 3 12" xfId="9435" xr:uid="{00000000-0005-0000-0000-0000EA220000}"/>
    <cellStyle name="40% - Ênfase6 3 13" xfId="9436" xr:uid="{00000000-0005-0000-0000-0000EB220000}"/>
    <cellStyle name="40% - Ênfase6 3 14" xfId="9437" xr:uid="{00000000-0005-0000-0000-0000EC220000}"/>
    <cellStyle name="40% - Ênfase6 3 15" xfId="9438" xr:uid="{00000000-0005-0000-0000-0000ED220000}"/>
    <cellStyle name="40% - Ênfase6 3 16" xfId="9439" xr:uid="{00000000-0005-0000-0000-0000EE220000}"/>
    <cellStyle name="40% - Ênfase6 3 17" xfId="9440" xr:uid="{00000000-0005-0000-0000-0000EF220000}"/>
    <cellStyle name="40% - Ênfase6 3 18" xfId="9441" xr:uid="{00000000-0005-0000-0000-0000F0220000}"/>
    <cellStyle name="40% - Ênfase6 3 19" xfId="9442" xr:uid="{00000000-0005-0000-0000-0000F1220000}"/>
    <cellStyle name="40% - Ênfase6 3 2" xfId="9443" xr:uid="{00000000-0005-0000-0000-0000F2220000}"/>
    <cellStyle name="40% - Ênfase6 3 20" xfId="9444" xr:uid="{00000000-0005-0000-0000-0000F3220000}"/>
    <cellStyle name="40% - Ênfase6 3 3" xfId="9445" xr:uid="{00000000-0005-0000-0000-0000F4220000}"/>
    <cellStyle name="40% - Ênfase6 3 4" xfId="9446" xr:uid="{00000000-0005-0000-0000-0000F5220000}"/>
    <cellStyle name="40% - Ênfase6 3 5" xfId="9447" xr:uid="{00000000-0005-0000-0000-0000F6220000}"/>
    <cellStyle name="40% - Ênfase6 3 6" xfId="9448" xr:uid="{00000000-0005-0000-0000-0000F7220000}"/>
    <cellStyle name="40% - Ênfase6 3 7" xfId="9449" xr:uid="{00000000-0005-0000-0000-0000F8220000}"/>
    <cellStyle name="40% - Ênfase6 3 8" xfId="9450" xr:uid="{00000000-0005-0000-0000-0000F9220000}"/>
    <cellStyle name="40% - Ênfase6 3 9" xfId="9451" xr:uid="{00000000-0005-0000-0000-0000FA220000}"/>
    <cellStyle name="40% - Ênfase6 30" xfId="580" xr:uid="{00000000-0005-0000-0000-0000FB220000}"/>
    <cellStyle name="40% - Ênfase6 30 10" xfId="9452" xr:uid="{00000000-0005-0000-0000-0000FC220000}"/>
    <cellStyle name="40% - Ênfase6 30 11" xfId="9453" xr:uid="{00000000-0005-0000-0000-0000FD220000}"/>
    <cellStyle name="40% - Ênfase6 30 12" xfId="9454" xr:uid="{00000000-0005-0000-0000-0000FE220000}"/>
    <cellStyle name="40% - Ênfase6 30 13" xfId="9455" xr:uid="{00000000-0005-0000-0000-0000FF220000}"/>
    <cellStyle name="40% - Ênfase6 30 14" xfId="9456" xr:uid="{00000000-0005-0000-0000-000000230000}"/>
    <cellStyle name="40% - Ênfase6 30 15" xfId="9457" xr:uid="{00000000-0005-0000-0000-000001230000}"/>
    <cellStyle name="40% - Ênfase6 30 16" xfId="9458" xr:uid="{00000000-0005-0000-0000-000002230000}"/>
    <cellStyle name="40% - Ênfase6 30 17" xfId="9459" xr:uid="{00000000-0005-0000-0000-000003230000}"/>
    <cellStyle name="40% - Ênfase6 30 18" xfId="9460" xr:uid="{00000000-0005-0000-0000-000004230000}"/>
    <cellStyle name="40% - Ênfase6 30 19" xfId="9461" xr:uid="{00000000-0005-0000-0000-000005230000}"/>
    <cellStyle name="40% - Ênfase6 30 2" xfId="9462" xr:uid="{00000000-0005-0000-0000-000006230000}"/>
    <cellStyle name="40% - Ênfase6 30 20" xfId="9463" xr:uid="{00000000-0005-0000-0000-000007230000}"/>
    <cellStyle name="40% - Ênfase6 30 3" xfId="9464" xr:uid="{00000000-0005-0000-0000-000008230000}"/>
    <cellStyle name="40% - Ênfase6 30 4" xfId="9465" xr:uid="{00000000-0005-0000-0000-000009230000}"/>
    <cellStyle name="40% - Ênfase6 30 5" xfId="9466" xr:uid="{00000000-0005-0000-0000-00000A230000}"/>
    <cellStyle name="40% - Ênfase6 30 6" xfId="9467" xr:uid="{00000000-0005-0000-0000-00000B230000}"/>
    <cellStyle name="40% - Ênfase6 30 7" xfId="9468" xr:uid="{00000000-0005-0000-0000-00000C230000}"/>
    <cellStyle name="40% - Ênfase6 30 8" xfId="9469" xr:uid="{00000000-0005-0000-0000-00000D230000}"/>
    <cellStyle name="40% - Ênfase6 30 9" xfId="9470" xr:uid="{00000000-0005-0000-0000-00000E230000}"/>
    <cellStyle name="40% - Ênfase6 31" xfId="598" xr:uid="{00000000-0005-0000-0000-00000F230000}"/>
    <cellStyle name="40% - Ênfase6 31 10" xfId="9471" xr:uid="{00000000-0005-0000-0000-000010230000}"/>
    <cellStyle name="40% - Ênfase6 31 11" xfId="9472" xr:uid="{00000000-0005-0000-0000-000011230000}"/>
    <cellStyle name="40% - Ênfase6 31 12" xfId="9473" xr:uid="{00000000-0005-0000-0000-000012230000}"/>
    <cellStyle name="40% - Ênfase6 31 13" xfId="9474" xr:uid="{00000000-0005-0000-0000-000013230000}"/>
    <cellStyle name="40% - Ênfase6 31 14" xfId="9475" xr:uid="{00000000-0005-0000-0000-000014230000}"/>
    <cellStyle name="40% - Ênfase6 31 15" xfId="9476" xr:uid="{00000000-0005-0000-0000-000015230000}"/>
    <cellStyle name="40% - Ênfase6 31 16" xfId="9477" xr:uid="{00000000-0005-0000-0000-000016230000}"/>
    <cellStyle name="40% - Ênfase6 31 17" xfId="9478" xr:uid="{00000000-0005-0000-0000-000017230000}"/>
    <cellStyle name="40% - Ênfase6 31 18" xfId="9479" xr:uid="{00000000-0005-0000-0000-000018230000}"/>
    <cellStyle name="40% - Ênfase6 31 19" xfId="9480" xr:uid="{00000000-0005-0000-0000-000019230000}"/>
    <cellStyle name="40% - Ênfase6 31 2" xfId="9481" xr:uid="{00000000-0005-0000-0000-00001A230000}"/>
    <cellStyle name="40% - Ênfase6 31 20" xfId="9482" xr:uid="{00000000-0005-0000-0000-00001B230000}"/>
    <cellStyle name="40% - Ênfase6 31 3" xfId="9483" xr:uid="{00000000-0005-0000-0000-00001C230000}"/>
    <cellStyle name="40% - Ênfase6 31 4" xfId="9484" xr:uid="{00000000-0005-0000-0000-00001D230000}"/>
    <cellStyle name="40% - Ênfase6 31 5" xfId="9485" xr:uid="{00000000-0005-0000-0000-00001E230000}"/>
    <cellStyle name="40% - Ênfase6 31 6" xfId="9486" xr:uid="{00000000-0005-0000-0000-00001F230000}"/>
    <cellStyle name="40% - Ênfase6 31 7" xfId="9487" xr:uid="{00000000-0005-0000-0000-000020230000}"/>
    <cellStyle name="40% - Ênfase6 31 8" xfId="9488" xr:uid="{00000000-0005-0000-0000-000021230000}"/>
    <cellStyle name="40% - Ênfase6 31 9" xfId="9489" xr:uid="{00000000-0005-0000-0000-000022230000}"/>
    <cellStyle name="40% - Ênfase6 32" xfId="616" xr:uid="{00000000-0005-0000-0000-000023230000}"/>
    <cellStyle name="40% - Ênfase6 32 10" xfId="9490" xr:uid="{00000000-0005-0000-0000-000024230000}"/>
    <cellStyle name="40% - Ênfase6 32 11" xfId="9491" xr:uid="{00000000-0005-0000-0000-000025230000}"/>
    <cellStyle name="40% - Ênfase6 32 12" xfId="9492" xr:uid="{00000000-0005-0000-0000-000026230000}"/>
    <cellStyle name="40% - Ênfase6 32 13" xfId="9493" xr:uid="{00000000-0005-0000-0000-000027230000}"/>
    <cellStyle name="40% - Ênfase6 32 14" xfId="9494" xr:uid="{00000000-0005-0000-0000-000028230000}"/>
    <cellStyle name="40% - Ênfase6 32 15" xfId="9495" xr:uid="{00000000-0005-0000-0000-000029230000}"/>
    <cellStyle name="40% - Ênfase6 32 16" xfId="9496" xr:uid="{00000000-0005-0000-0000-00002A230000}"/>
    <cellStyle name="40% - Ênfase6 32 17" xfId="9497" xr:uid="{00000000-0005-0000-0000-00002B230000}"/>
    <cellStyle name="40% - Ênfase6 32 18" xfId="9498" xr:uid="{00000000-0005-0000-0000-00002C230000}"/>
    <cellStyle name="40% - Ênfase6 32 19" xfId="9499" xr:uid="{00000000-0005-0000-0000-00002D230000}"/>
    <cellStyle name="40% - Ênfase6 32 2" xfId="9500" xr:uid="{00000000-0005-0000-0000-00002E230000}"/>
    <cellStyle name="40% - Ênfase6 32 20" xfId="9501" xr:uid="{00000000-0005-0000-0000-00002F230000}"/>
    <cellStyle name="40% - Ênfase6 32 3" xfId="9502" xr:uid="{00000000-0005-0000-0000-000030230000}"/>
    <cellStyle name="40% - Ênfase6 32 4" xfId="9503" xr:uid="{00000000-0005-0000-0000-000031230000}"/>
    <cellStyle name="40% - Ênfase6 32 5" xfId="9504" xr:uid="{00000000-0005-0000-0000-000032230000}"/>
    <cellStyle name="40% - Ênfase6 32 6" xfId="9505" xr:uid="{00000000-0005-0000-0000-000033230000}"/>
    <cellStyle name="40% - Ênfase6 32 7" xfId="9506" xr:uid="{00000000-0005-0000-0000-000034230000}"/>
    <cellStyle name="40% - Ênfase6 32 8" xfId="9507" xr:uid="{00000000-0005-0000-0000-000035230000}"/>
    <cellStyle name="40% - Ênfase6 32 9" xfId="9508" xr:uid="{00000000-0005-0000-0000-000036230000}"/>
    <cellStyle name="40% - Ênfase6 33" xfId="634" xr:uid="{00000000-0005-0000-0000-000037230000}"/>
    <cellStyle name="40% - Ênfase6 33 10" xfId="9509" xr:uid="{00000000-0005-0000-0000-000038230000}"/>
    <cellStyle name="40% - Ênfase6 33 11" xfId="9510" xr:uid="{00000000-0005-0000-0000-000039230000}"/>
    <cellStyle name="40% - Ênfase6 33 12" xfId="9511" xr:uid="{00000000-0005-0000-0000-00003A230000}"/>
    <cellStyle name="40% - Ênfase6 33 13" xfId="9512" xr:uid="{00000000-0005-0000-0000-00003B230000}"/>
    <cellStyle name="40% - Ênfase6 33 14" xfId="9513" xr:uid="{00000000-0005-0000-0000-00003C230000}"/>
    <cellStyle name="40% - Ênfase6 33 15" xfId="9514" xr:uid="{00000000-0005-0000-0000-00003D230000}"/>
    <cellStyle name="40% - Ênfase6 33 16" xfId="9515" xr:uid="{00000000-0005-0000-0000-00003E230000}"/>
    <cellStyle name="40% - Ênfase6 33 17" xfId="9516" xr:uid="{00000000-0005-0000-0000-00003F230000}"/>
    <cellStyle name="40% - Ênfase6 33 18" xfId="9517" xr:uid="{00000000-0005-0000-0000-000040230000}"/>
    <cellStyle name="40% - Ênfase6 33 19" xfId="9518" xr:uid="{00000000-0005-0000-0000-000041230000}"/>
    <cellStyle name="40% - Ênfase6 33 2" xfId="9519" xr:uid="{00000000-0005-0000-0000-000042230000}"/>
    <cellStyle name="40% - Ênfase6 33 20" xfId="9520" xr:uid="{00000000-0005-0000-0000-000043230000}"/>
    <cellStyle name="40% - Ênfase6 33 3" xfId="9521" xr:uid="{00000000-0005-0000-0000-000044230000}"/>
    <cellStyle name="40% - Ênfase6 33 4" xfId="9522" xr:uid="{00000000-0005-0000-0000-000045230000}"/>
    <cellStyle name="40% - Ênfase6 33 5" xfId="9523" xr:uid="{00000000-0005-0000-0000-000046230000}"/>
    <cellStyle name="40% - Ênfase6 33 6" xfId="9524" xr:uid="{00000000-0005-0000-0000-000047230000}"/>
    <cellStyle name="40% - Ênfase6 33 7" xfId="9525" xr:uid="{00000000-0005-0000-0000-000048230000}"/>
    <cellStyle name="40% - Ênfase6 33 8" xfId="9526" xr:uid="{00000000-0005-0000-0000-000049230000}"/>
    <cellStyle name="40% - Ênfase6 33 9" xfId="9527" xr:uid="{00000000-0005-0000-0000-00004A230000}"/>
    <cellStyle name="40% - Ênfase6 34" xfId="652" xr:uid="{00000000-0005-0000-0000-00004B230000}"/>
    <cellStyle name="40% - Ênfase6 34 10" xfId="9528" xr:uid="{00000000-0005-0000-0000-00004C230000}"/>
    <cellStyle name="40% - Ênfase6 34 11" xfId="9529" xr:uid="{00000000-0005-0000-0000-00004D230000}"/>
    <cellStyle name="40% - Ênfase6 34 12" xfId="9530" xr:uid="{00000000-0005-0000-0000-00004E230000}"/>
    <cellStyle name="40% - Ênfase6 34 13" xfId="9531" xr:uid="{00000000-0005-0000-0000-00004F230000}"/>
    <cellStyle name="40% - Ênfase6 34 14" xfId="9532" xr:uid="{00000000-0005-0000-0000-000050230000}"/>
    <cellStyle name="40% - Ênfase6 34 15" xfId="9533" xr:uid="{00000000-0005-0000-0000-000051230000}"/>
    <cellStyle name="40% - Ênfase6 34 16" xfId="9534" xr:uid="{00000000-0005-0000-0000-000052230000}"/>
    <cellStyle name="40% - Ênfase6 34 17" xfId="9535" xr:uid="{00000000-0005-0000-0000-000053230000}"/>
    <cellStyle name="40% - Ênfase6 34 18" xfId="9536" xr:uid="{00000000-0005-0000-0000-000054230000}"/>
    <cellStyle name="40% - Ênfase6 34 19" xfId="9537" xr:uid="{00000000-0005-0000-0000-000055230000}"/>
    <cellStyle name="40% - Ênfase6 34 2" xfId="9538" xr:uid="{00000000-0005-0000-0000-000056230000}"/>
    <cellStyle name="40% - Ênfase6 34 20" xfId="9539" xr:uid="{00000000-0005-0000-0000-000057230000}"/>
    <cellStyle name="40% - Ênfase6 34 3" xfId="9540" xr:uid="{00000000-0005-0000-0000-000058230000}"/>
    <cellStyle name="40% - Ênfase6 34 4" xfId="9541" xr:uid="{00000000-0005-0000-0000-000059230000}"/>
    <cellStyle name="40% - Ênfase6 34 5" xfId="9542" xr:uid="{00000000-0005-0000-0000-00005A230000}"/>
    <cellStyle name="40% - Ênfase6 34 6" xfId="9543" xr:uid="{00000000-0005-0000-0000-00005B230000}"/>
    <cellStyle name="40% - Ênfase6 34 7" xfId="9544" xr:uid="{00000000-0005-0000-0000-00005C230000}"/>
    <cellStyle name="40% - Ênfase6 34 8" xfId="9545" xr:uid="{00000000-0005-0000-0000-00005D230000}"/>
    <cellStyle name="40% - Ênfase6 34 9" xfId="9546" xr:uid="{00000000-0005-0000-0000-00005E230000}"/>
    <cellStyle name="40% - Ênfase6 35" xfId="670" xr:uid="{00000000-0005-0000-0000-00005F230000}"/>
    <cellStyle name="40% - Ênfase6 35 10" xfId="9547" xr:uid="{00000000-0005-0000-0000-000060230000}"/>
    <cellStyle name="40% - Ênfase6 35 11" xfId="9548" xr:uid="{00000000-0005-0000-0000-000061230000}"/>
    <cellStyle name="40% - Ênfase6 35 12" xfId="9549" xr:uid="{00000000-0005-0000-0000-000062230000}"/>
    <cellStyle name="40% - Ênfase6 35 13" xfId="9550" xr:uid="{00000000-0005-0000-0000-000063230000}"/>
    <cellStyle name="40% - Ênfase6 35 14" xfId="9551" xr:uid="{00000000-0005-0000-0000-000064230000}"/>
    <cellStyle name="40% - Ênfase6 35 15" xfId="9552" xr:uid="{00000000-0005-0000-0000-000065230000}"/>
    <cellStyle name="40% - Ênfase6 35 16" xfId="9553" xr:uid="{00000000-0005-0000-0000-000066230000}"/>
    <cellStyle name="40% - Ênfase6 35 17" xfId="9554" xr:uid="{00000000-0005-0000-0000-000067230000}"/>
    <cellStyle name="40% - Ênfase6 35 18" xfId="9555" xr:uid="{00000000-0005-0000-0000-000068230000}"/>
    <cellStyle name="40% - Ênfase6 35 19" xfId="9556" xr:uid="{00000000-0005-0000-0000-000069230000}"/>
    <cellStyle name="40% - Ênfase6 35 2" xfId="9557" xr:uid="{00000000-0005-0000-0000-00006A230000}"/>
    <cellStyle name="40% - Ênfase6 35 20" xfId="9558" xr:uid="{00000000-0005-0000-0000-00006B230000}"/>
    <cellStyle name="40% - Ênfase6 35 3" xfId="9559" xr:uid="{00000000-0005-0000-0000-00006C230000}"/>
    <cellStyle name="40% - Ênfase6 35 4" xfId="9560" xr:uid="{00000000-0005-0000-0000-00006D230000}"/>
    <cellStyle name="40% - Ênfase6 35 5" xfId="9561" xr:uid="{00000000-0005-0000-0000-00006E230000}"/>
    <cellStyle name="40% - Ênfase6 35 6" xfId="9562" xr:uid="{00000000-0005-0000-0000-00006F230000}"/>
    <cellStyle name="40% - Ênfase6 35 7" xfId="9563" xr:uid="{00000000-0005-0000-0000-000070230000}"/>
    <cellStyle name="40% - Ênfase6 35 8" xfId="9564" xr:uid="{00000000-0005-0000-0000-000071230000}"/>
    <cellStyle name="40% - Ênfase6 35 9" xfId="9565" xr:uid="{00000000-0005-0000-0000-000072230000}"/>
    <cellStyle name="40% - Ênfase6 36" xfId="688" xr:uid="{00000000-0005-0000-0000-000073230000}"/>
    <cellStyle name="40% - Ênfase6 36 10" xfId="9566" xr:uid="{00000000-0005-0000-0000-000074230000}"/>
    <cellStyle name="40% - Ênfase6 36 11" xfId="9567" xr:uid="{00000000-0005-0000-0000-000075230000}"/>
    <cellStyle name="40% - Ênfase6 36 12" xfId="9568" xr:uid="{00000000-0005-0000-0000-000076230000}"/>
    <cellStyle name="40% - Ênfase6 36 13" xfId="9569" xr:uid="{00000000-0005-0000-0000-000077230000}"/>
    <cellStyle name="40% - Ênfase6 36 14" xfId="9570" xr:uid="{00000000-0005-0000-0000-000078230000}"/>
    <cellStyle name="40% - Ênfase6 36 15" xfId="9571" xr:uid="{00000000-0005-0000-0000-000079230000}"/>
    <cellStyle name="40% - Ênfase6 36 16" xfId="9572" xr:uid="{00000000-0005-0000-0000-00007A230000}"/>
    <cellStyle name="40% - Ênfase6 36 17" xfId="9573" xr:uid="{00000000-0005-0000-0000-00007B230000}"/>
    <cellStyle name="40% - Ênfase6 36 18" xfId="9574" xr:uid="{00000000-0005-0000-0000-00007C230000}"/>
    <cellStyle name="40% - Ênfase6 36 19" xfId="9575" xr:uid="{00000000-0005-0000-0000-00007D230000}"/>
    <cellStyle name="40% - Ênfase6 36 2" xfId="9576" xr:uid="{00000000-0005-0000-0000-00007E230000}"/>
    <cellStyle name="40% - Ênfase6 36 20" xfId="9577" xr:uid="{00000000-0005-0000-0000-00007F230000}"/>
    <cellStyle name="40% - Ênfase6 36 3" xfId="9578" xr:uid="{00000000-0005-0000-0000-000080230000}"/>
    <cellStyle name="40% - Ênfase6 36 4" xfId="9579" xr:uid="{00000000-0005-0000-0000-000081230000}"/>
    <cellStyle name="40% - Ênfase6 36 5" xfId="9580" xr:uid="{00000000-0005-0000-0000-000082230000}"/>
    <cellStyle name="40% - Ênfase6 36 6" xfId="9581" xr:uid="{00000000-0005-0000-0000-000083230000}"/>
    <cellStyle name="40% - Ênfase6 36 7" xfId="9582" xr:uid="{00000000-0005-0000-0000-000084230000}"/>
    <cellStyle name="40% - Ênfase6 36 8" xfId="9583" xr:uid="{00000000-0005-0000-0000-000085230000}"/>
    <cellStyle name="40% - Ênfase6 36 9" xfId="9584" xr:uid="{00000000-0005-0000-0000-000086230000}"/>
    <cellStyle name="40% - Ênfase6 37" xfId="706" xr:uid="{00000000-0005-0000-0000-000087230000}"/>
    <cellStyle name="40% - Ênfase6 37 10" xfId="9585" xr:uid="{00000000-0005-0000-0000-000088230000}"/>
    <cellStyle name="40% - Ênfase6 37 11" xfId="9586" xr:uid="{00000000-0005-0000-0000-000089230000}"/>
    <cellStyle name="40% - Ênfase6 37 12" xfId="9587" xr:uid="{00000000-0005-0000-0000-00008A230000}"/>
    <cellStyle name="40% - Ênfase6 37 13" xfId="9588" xr:uid="{00000000-0005-0000-0000-00008B230000}"/>
    <cellStyle name="40% - Ênfase6 37 14" xfId="9589" xr:uid="{00000000-0005-0000-0000-00008C230000}"/>
    <cellStyle name="40% - Ênfase6 37 15" xfId="9590" xr:uid="{00000000-0005-0000-0000-00008D230000}"/>
    <cellStyle name="40% - Ênfase6 37 16" xfId="9591" xr:uid="{00000000-0005-0000-0000-00008E230000}"/>
    <cellStyle name="40% - Ênfase6 37 17" xfId="9592" xr:uid="{00000000-0005-0000-0000-00008F230000}"/>
    <cellStyle name="40% - Ênfase6 37 18" xfId="9593" xr:uid="{00000000-0005-0000-0000-000090230000}"/>
    <cellStyle name="40% - Ênfase6 37 19" xfId="9594" xr:uid="{00000000-0005-0000-0000-000091230000}"/>
    <cellStyle name="40% - Ênfase6 37 2" xfId="9595" xr:uid="{00000000-0005-0000-0000-000092230000}"/>
    <cellStyle name="40% - Ênfase6 37 20" xfId="9596" xr:uid="{00000000-0005-0000-0000-000093230000}"/>
    <cellStyle name="40% - Ênfase6 37 3" xfId="9597" xr:uid="{00000000-0005-0000-0000-000094230000}"/>
    <cellStyle name="40% - Ênfase6 37 4" xfId="9598" xr:uid="{00000000-0005-0000-0000-000095230000}"/>
    <cellStyle name="40% - Ênfase6 37 5" xfId="9599" xr:uid="{00000000-0005-0000-0000-000096230000}"/>
    <cellStyle name="40% - Ênfase6 37 6" xfId="9600" xr:uid="{00000000-0005-0000-0000-000097230000}"/>
    <cellStyle name="40% - Ênfase6 37 7" xfId="9601" xr:uid="{00000000-0005-0000-0000-000098230000}"/>
    <cellStyle name="40% - Ênfase6 37 8" xfId="9602" xr:uid="{00000000-0005-0000-0000-000099230000}"/>
    <cellStyle name="40% - Ênfase6 37 9" xfId="9603" xr:uid="{00000000-0005-0000-0000-00009A230000}"/>
    <cellStyle name="40% - Ênfase6 38" xfId="722" xr:uid="{00000000-0005-0000-0000-00009B230000}"/>
    <cellStyle name="40% - Ênfase6 39" xfId="739" xr:uid="{00000000-0005-0000-0000-00009C230000}"/>
    <cellStyle name="40% - Ênfase6 4" xfId="123" xr:uid="{00000000-0005-0000-0000-00009D230000}"/>
    <cellStyle name="40% - Ênfase6 4 10" xfId="9604" xr:uid="{00000000-0005-0000-0000-00009E230000}"/>
    <cellStyle name="40% - Ênfase6 4 11" xfId="9605" xr:uid="{00000000-0005-0000-0000-00009F230000}"/>
    <cellStyle name="40% - Ênfase6 4 12" xfId="9606" xr:uid="{00000000-0005-0000-0000-0000A0230000}"/>
    <cellStyle name="40% - Ênfase6 4 13" xfId="9607" xr:uid="{00000000-0005-0000-0000-0000A1230000}"/>
    <cellStyle name="40% - Ênfase6 4 14" xfId="9608" xr:uid="{00000000-0005-0000-0000-0000A2230000}"/>
    <cellStyle name="40% - Ênfase6 4 15" xfId="9609" xr:uid="{00000000-0005-0000-0000-0000A3230000}"/>
    <cellStyle name="40% - Ênfase6 4 16" xfId="9610" xr:uid="{00000000-0005-0000-0000-0000A4230000}"/>
    <cellStyle name="40% - Ênfase6 4 17" xfId="9611" xr:uid="{00000000-0005-0000-0000-0000A5230000}"/>
    <cellStyle name="40% - Ênfase6 4 18" xfId="9612" xr:uid="{00000000-0005-0000-0000-0000A6230000}"/>
    <cellStyle name="40% - Ênfase6 4 19" xfId="9613" xr:uid="{00000000-0005-0000-0000-0000A7230000}"/>
    <cellStyle name="40% - Ênfase6 4 2" xfId="9614" xr:uid="{00000000-0005-0000-0000-0000A8230000}"/>
    <cellStyle name="40% - Ênfase6 4 20" xfId="9615" xr:uid="{00000000-0005-0000-0000-0000A9230000}"/>
    <cellStyle name="40% - Ênfase6 4 3" xfId="9616" xr:uid="{00000000-0005-0000-0000-0000AA230000}"/>
    <cellStyle name="40% - Ênfase6 4 4" xfId="9617" xr:uid="{00000000-0005-0000-0000-0000AB230000}"/>
    <cellStyle name="40% - Ênfase6 4 5" xfId="9618" xr:uid="{00000000-0005-0000-0000-0000AC230000}"/>
    <cellStyle name="40% - Ênfase6 4 6" xfId="9619" xr:uid="{00000000-0005-0000-0000-0000AD230000}"/>
    <cellStyle name="40% - Ênfase6 4 7" xfId="9620" xr:uid="{00000000-0005-0000-0000-0000AE230000}"/>
    <cellStyle name="40% - Ênfase6 4 8" xfId="9621" xr:uid="{00000000-0005-0000-0000-0000AF230000}"/>
    <cellStyle name="40% - Ênfase6 4 9" xfId="9622" xr:uid="{00000000-0005-0000-0000-0000B0230000}"/>
    <cellStyle name="40% - Ênfase6 40" xfId="760" xr:uid="{00000000-0005-0000-0000-0000B1230000}"/>
    <cellStyle name="40% - Ênfase6 41" xfId="778" xr:uid="{00000000-0005-0000-0000-0000B2230000}"/>
    <cellStyle name="40% - Ênfase6 42" xfId="796" xr:uid="{00000000-0005-0000-0000-0000B3230000}"/>
    <cellStyle name="40% - Ênfase6 43" xfId="814" xr:uid="{00000000-0005-0000-0000-0000B4230000}"/>
    <cellStyle name="40% - Ênfase6 44" xfId="832" xr:uid="{00000000-0005-0000-0000-0000B5230000}"/>
    <cellStyle name="40% - Ênfase6 45" xfId="850" xr:uid="{00000000-0005-0000-0000-0000B6230000}"/>
    <cellStyle name="40% - Ênfase6 46" xfId="868" xr:uid="{00000000-0005-0000-0000-0000B7230000}"/>
    <cellStyle name="40% - Ênfase6 47" xfId="886" xr:uid="{00000000-0005-0000-0000-0000B8230000}"/>
    <cellStyle name="40% - Ênfase6 48" xfId="903" xr:uid="{00000000-0005-0000-0000-0000B9230000}"/>
    <cellStyle name="40% - Ênfase6 49" xfId="921" xr:uid="{00000000-0005-0000-0000-0000BA230000}"/>
    <cellStyle name="40% - Ênfase6 5" xfId="140" xr:uid="{00000000-0005-0000-0000-0000BB230000}"/>
    <cellStyle name="40% - Ênfase6 5 10" xfId="9623" xr:uid="{00000000-0005-0000-0000-0000BC230000}"/>
    <cellStyle name="40% - Ênfase6 5 11" xfId="9624" xr:uid="{00000000-0005-0000-0000-0000BD230000}"/>
    <cellStyle name="40% - Ênfase6 5 12" xfId="9625" xr:uid="{00000000-0005-0000-0000-0000BE230000}"/>
    <cellStyle name="40% - Ênfase6 5 13" xfId="9626" xr:uid="{00000000-0005-0000-0000-0000BF230000}"/>
    <cellStyle name="40% - Ênfase6 5 14" xfId="9627" xr:uid="{00000000-0005-0000-0000-0000C0230000}"/>
    <cellStyle name="40% - Ênfase6 5 15" xfId="9628" xr:uid="{00000000-0005-0000-0000-0000C1230000}"/>
    <cellStyle name="40% - Ênfase6 5 16" xfId="9629" xr:uid="{00000000-0005-0000-0000-0000C2230000}"/>
    <cellStyle name="40% - Ênfase6 5 17" xfId="9630" xr:uid="{00000000-0005-0000-0000-0000C3230000}"/>
    <cellStyle name="40% - Ênfase6 5 18" xfId="9631" xr:uid="{00000000-0005-0000-0000-0000C4230000}"/>
    <cellStyle name="40% - Ênfase6 5 19" xfId="9632" xr:uid="{00000000-0005-0000-0000-0000C5230000}"/>
    <cellStyle name="40% - Ênfase6 5 2" xfId="9633" xr:uid="{00000000-0005-0000-0000-0000C6230000}"/>
    <cellStyle name="40% - Ênfase6 5 20" xfId="9634" xr:uid="{00000000-0005-0000-0000-0000C7230000}"/>
    <cellStyle name="40% - Ênfase6 5 3" xfId="9635" xr:uid="{00000000-0005-0000-0000-0000C8230000}"/>
    <cellStyle name="40% - Ênfase6 5 4" xfId="9636" xr:uid="{00000000-0005-0000-0000-0000C9230000}"/>
    <cellStyle name="40% - Ênfase6 5 5" xfId="9637" xr:uid="{00000000-0005-0000-0000-0000CA230000}"/>
    <cellStyle name="40% - Ênfase6 5 6" xfId="9638" xr:uid="{00000000-0005-0000-0000-0000CB230000}"/>
    <cellStyle name="40% - Ênfase6 5 7" xfId="9639" xr:uid="{00000000-0005-0000-0000-0000CC230000}"/>
    <cellStyle name="40% - Ênfase6 5 8" xfId="9640" xr:uid="{00000000-0005-0000-0000-0000CD230000}"/>
    <cellStyle name="40% - Ênfase6 5 9" xfId="9641" xr:uid="{00000000-0005-0000-0000-0000CE230000}"/>
    <cellStyle name="40% - Ênfase6 50" xfId="940" xr:uid="{00000000-0005-0000-0000-0000CF230000}"/>
    <cellStyle name="40% - Ênfase6 51" xfId="958" xr:uid="{00000000-0005-0000-0000-0000D0230000}"/>
    <cellStyle name="40% - Ênfase6 52" xfId="976" xr:uid="{00000000-0005-0000-0000-0000D1230000}"/>
    <cellStyle name="40% - Ênfase6 53" xfId="994" xr:uid="{00000000-0005-0000-0000-0000D2230000}"/>
    <cellStyle name="40% - Ênfase6 54" xfId="1012" xr:uid="{00000000-0005-0000-0000-0000D3230000}"/>
    <cellStyle name="40% - Ênfase6 55" xfId="1028" xr:uid="{00000000-0005-0000-0000-0000D4230000}"/>
    <cellStyle name="40% - Ênfase6 56" xfId="1046" xr:uid="{00000000-0005-0000-0000-0000D5230000}"/>
    <cellStyle name="40% - Ênfase6 57" xfId="1064" xr:uid="{00000000-0005-0000-0000-0000D6230000}"/>
    <cellStyle name="40% - Ênfase6 58" xfId="1082" xr:uid="{00000000-0005-0000-0000-0000D7230000}"/>
    <cellStyle name="40% - Ênfase6 59" xfId="1101" xr:uid="{00000000-0005-0000-0000-0000D8230000}"/>
    <cellStyle name="40% - Ênfase6 6" xfId="157" xr:uid="{00000000-0005-0000-0000-0000D9230000}"/>
    <cellStyle name="40% - Ênfase6 6 10" xfId="9642" xr:uid="{00000000-0005-0000-0000-0000DA230000}"/>
    <cellStyle name="40% - Ênfase6 6 11" xfId="9643" xr:uid="{00000000-0005-0000-0000-0000DB230000}"/>
    <cellStyle name="40% - Ênfase6 6 12" xfId="9644" xr:uid="{00000000-0005-0000-0000-0000DC230000}"/>
    <cellStyle name="40% - Ênfase6 6 13" xfId="9645" xr:uid="{00000000-0005-0000-0000-0000DD230000}"/>
    <cellStyle name="40% - Ênfase6 6 14" xfId="9646" xr:uid="{00000000-0005-0000-0000-0000DE230000}"/>
    <cellStyle name="40% - Ênfase6 6 15" xfId="9647" xr:uid="{00000000-0005-0000-0000-0000DF230000}"/>
    <cellStyle name="40% - Ênfase6 6 16" xfId="9648" xr:uid="{00000000-0005-0000-0000-0000E0230000}"/>
    <cellStyle name="40% - Ênfase6 6 17" xfId="9649" xr:uid="{00000000-0005-0000-0000-0000E1230000}"/>
    <cellStyle name="40% - Ênfase6 6 18" xfId="9650" xr:uid="{00000000-0005-0000-0000-0000E2230000}"/>
    <cellStyle name="40% - Ênfase6 6 19" xfId="9651" xr:uid="{00000000-0005-0000-0000-0000E3230000}"/>
    <cellStyle name="40% - Ênfase6 6 2" xfId="9652" xr:uid="{00000000-0005-0000-0000-0000E4230000}"/>
    <cellStyle name="40% - Ênfase6 6 20" xfId="9653" xr:uid="{00000000-0005-0000-0000-0000E5230000}"/>
    <cellStyle name="40% - Ênfase6 6 3" xfId="9654" xr:uid="{00000000-0005-0000-0000-0000E6230000}"/>
    <cellStyle name="40% - Ênfase6 6 4" xfId="9655" xr:uid="{00000000-0005-0000-0000-0000E7230000}"/>
    <cellStyle name="40% - Ênfase6 6 5" xfId="9656" xr:uid="{00000000-0005-0000-0000-0000E8230000}"/>
    <cellStyle name="40% - Ênfase6 6 6" xfId="9657" xr:uid="{00000000-0005-0000-0000-0000E9230000}"/>
    <cellStyle name="40% - Ênfase6 6 7" xfId="9658" xr:uid="{00000000-0005-0000-0000-0000EA230000}"/>
    <cellStyle name="40% - Ênfase6 6 8" xfId="9659" xr:uid="{00000000-0005-0000-0000-0000EB230000}"/>
    <cellStyle name="40% - Ênfase6 6 9" xfId="9660" xr:uid="{00000000-0005-0000-0000-0000EC230000}"/>
    <cellStyle name="40% - Ênfase6 60" xfId="1119" xr:uid="{00000000-0005-0000-0000-0000ED230000}"/>
    <cellStyle name="40% - Ênfase6 61" xfId="1137" xr:uid="{00000000-0005-0000-0000-0000EE230000}"/>
    <cellStyle name="40% - Ênfase6 62" xfId="1153" xr:uid="{00000000-0005-0000-0000-0000EF230000}"/>
    <cellStyle name="40% - Ênfase6 63" xfId="1171" xr:uid="{00000000-0005-0000-0000-0000F0230000}"/>
    <cellStyle name="40% - Ênfase6 64" xfId="1190" xr:uid="{00000000-0005-0000-0000-0000F1230000}"/>
    <cellStyle name="40% - Ênfase6 65" xfId="1208" xr:uid="{00000000-0005-0000-0000-0000F2230000}"/>
    <cellStyle name="40% - Ênfase6 66" xfId="1224" xr:uid="{00000000-0005-0000-0000-0000F3230000}"/>
    <cellStyle name="40% - Ênfase6 67" xfId="1240" xr:uid="{00000000-0005-0000-0000-0000F4230000}"/>
    <cellStyle name="40% - Ênfase6 68" xfId="1256" xr:uid="{00000000-0005-0000-0000-0000F5230000}"/>
    <cellStyle name="40% - Ênfase6 69" xfId="1273" xr:uid="{00000000-0005-0000-0000-0000F6230000}"/>
    <cellStyle name="40% - Ênfase6 7" xfId="174" xr:uid="{00000000-0005-0000-0000-0000F7230000}"/>
    <cellStyle name="40% - Ênfase6 7 10" xfId="9661" xr:uid="{00000000-0005-0000-0000-0000F8230000}"/>
    <cellStyle name="40% - Ênfase6 7 11" xfId="9662" xr:uid="{00000000-0005-0000-0000-0000F9230000}"/>
    <cellStyle name="40% - Ênfase6 7 12" xfId="9663" xr:uid="{00000000-0005-0000-0000-0000FA230000}"/>
    <cellStyle name="40% - Ênfase6 7 13" xfId="9664" xr:uid="{00000000-0005-0000-0000-0000FB230000}"/>
    <cellStyle name="40% - Ênfase6 7 14" xfId="9665" xr:uid="{00000000-0005-0000-0000-0000FC230000}"/>
    <cellStyle name="40% - Ênfase6 7 15" xfId="9666" xr:uid="{00000000-0005-0000-0000-0000FD230000}"/>
    <cellStyle name="40% - Ênfase6 7 16" xfId="9667" xr:uid="{00000000-0005-0000-0000-0000FE230000}"/>
    <cellStyle name="40% - Ênfase6 7 17" xfId="9668" xr:uid="{00000000-0005-0000-0000-0000FF230000}"/>
    <cellStyle name="40% - Ênfase6 7 18" xfId="9669" xr:uid="{00000000-0005-0000-0000-000000240000}"/>
    <cellStyle name="40% - Ênfase6 7 19" xfId="9670" xr:uid="{00000000-0005-0000-0000-000001240000}"/>
    <cellStyle name="40% - Ênfase6 7 2" xfId="9671" xr:uid="{00000000-0005-0000-0000-000002240000}"/>
    <cellStyle name="40% - Ênfase6 7 20" xfId="9672" xr:uid="{00000000-0005-0000-0000-000003240000}"/>
    <cellStyle name="40% - Ênfase6 7 3" xfId="9673" xr:uid="{00000000-0005-0000-0000-000004240000}"/>
    <cellStyle name="40% - Ênfase6 7 4" xfId="9674" xr:uid="{00000000-0005-0000-0000-000005240000}"/>
    <cellStyle name="40% - Ênfase6 7 5" xfId="9675" xr:uid="{00000000-0005-0000-0000-000006240000}"/>
    <cellStyle name="40% - Ênfase6 7 6" xfId="9676" xr:uid="{00000000-0005-0000-0000-000007240000}"/>
    <cellStyle name="40% - Ênfase6 7 7" xfId="9677" xr:uid="{00000000-0005-0000-0000-000008240000}"/>
    <cellStyle name="40% - Ênfase6 7 8" xfId="9678" xr:uid="{00000000-0005-0000-0000-000009240000}"/>
    <cellStyle name="40% - Ênfase6 7 9" xfId="9679" xr:uid="{00000000-0005-0000-0000-00000A240000}"/>
    <cellStyle name="40% - Ênfase6 70" xfId="1284" xr:uid="{00000000-0005-0000-0000-00000B240000}"/>
    <cellStyle name="40% - Ênfase6 71" xfId="1293" xr:uid="{00000000-0005-0000-0000-00000C240000}"/>
    <cellStyle name="40% - Ênfase6 72" xfId="9680" xr:uid="{00000000-0005-0000-0000-00000D240000}"/>
    <cellStyle name="40% - Ênfase6 73" xfId="9681" xr:uid="{00000000-0005-0000-0000-00000E240000}"/>
    <cellStyle name="40% - Ênfase6 74" xfId="9682" xr:uid="{00000000-0005-0000-0000-00000F240000}"/>
    <cellStyle name="40% - Ênfase6 75" xfId="9683" xr:uid="{00000000-0005-0000-0000-000010240000}"/>
    <cellStyle name="40% - Ênfase6 76" xfId="9684" xr:uid="{00000000-0005-0000-0000-000011240000}"/>
    <cellStyle name="40% - Ênfase6 77" xfId="9685" xr:uid="{00000000-0005-0000-0000-000012240000}"/>
    <cellStyle name="40% - Ênfase6 78" xfId="9686" xr:uid="{00000000-0005-0000-0000-000013240000}"/>
    <cellStyle name="40% - Ênfase6 79" xfId="9687" xr:uid="{00000000-0005-0000-0000-000014240000}"/>
    <cellStyle name="40% - Ênfase6 8" xfId="191" xr:uid="{00000000-0005-0000-0000-000015240000}"/>
    <cellStyle name="40% - Ênfase6 8 10" xfId="9688" xr:uid="{00000000-0005-0000-0000-000016240000}"/>
    <cellStyle name="40% - Ênfase6 8 11" xfId="9689" xr:uid="{00000000-0005-0000-0000-000017240000}"/>
    <cellStyle name="40% - Ênfase6 8 12" xfId="9690" xr:uid="{00000000-0005-0000-0000-000018240000}"/>
    <cellStyle name="40% - Ênfase6 8 13" xfId="9691" xr:uid="{00000000-0005-0000-0000-000019240000}"/>
    <cellStyle name="40% - Ênfase6 8 14" xfId="9692" xr:uid="{00000000-0005-0000-0000-00001A240000}"/>
    <cellStyle name="40% - Ênfase6 8 15" xfId="9693" xr:uid="{00000000-0005-0000-0000-00001B240000}"/>
    <cellStyle name="40% - Ênfase6 8 16" xfId="9694" xr:uid="{00000000-0005-0000-0000-00001C240000}"/>
    <cellStyle name="40% - Ênfase6 8 17" xfId="9695" xr:uid="{00000000-0005-0000-0000-00001D240000}"/>
    <cellStyle name="40% - Ênfase6 8 18" xfId="9696" xr:uid="{00000000-0005-0000-0000-00001E240000}"/>
    <cellStyle name="40% - Ênfase6 8 19" xfId="9697" xr:uid="{00000000-0005-0000-0000-00001F240000}"/>
    <cellStyle name="40% - Ênfase6 8 2" xfId="9698" xr:uid="{00000000-0005-0000-0000-000020240000}"/>
    <cellStyle name="40% - Ênfase6 8 20" xfId="9699" xr:uid="{00000000-0005-0000-0000-000021240000}"/>
    <cellStyle name="40% - Ênfase6 8 3" xfId="9700" xr:uid="{00000000-0005-0000-0000-000022240000}"/>
    <cellStyle name="40% - Ênfase6 8 4" xfId="9701" xr:uid="{00000000-0005-0000-0000-000023240000}"/>
    <cellStyle name="40% - Ênfase6 8 5" xfId="9702" xr:uid="{00000000-0005-0000-0000-000024240000}"/>
    <cellStyle name="40% - Ênfase6 8 6" xfId="9703" xr:uid="{00000000-0005-0000-0000-000025240000}"/>
    <cellStyle name="40% - Ênfase6 8 7" xfId="9704" xr:uid="{00000000-0005-0000-0000-000026240000}"/>
    <cellStyle name="40% - Ênfase6 8 8" xfId="9705" xr:uid="{00000000-0005-0000-0000-000027240000}"/>
    <cellStyle name="40% - Ênfase6 8 9" xfId="9706" xr:uid="{00000000-0005-0000-0000-000028240000}"/>
    <cellStyle name="40% - Ênfase6 80" xfId="9707" xr:uid="{00000000-0005-0000-0000-000029240000}"/>
    <cellStyle name="40% - Ênfase6 81" xfId="9708" xr:uid="{00000000-0005-0000-0000-00002A240000}"/>
    <cellStyle name="40% - Ênfase6 82" xfId="9709" xr:uid="{00000000-0005-0000-0000-00002B240000}"/>
    <cellStyle name="40% - Ênfase6 83" xfId="9710" xr:uid="{00000000-0005-0000-0000-00002C240000}"/>
    <cellStyle name="40% - Ênfase6 84" xfId="9711" xr:uid="{00000000-0005-0000-0000-00002D240000}"/>
    <cellStyle name="40% - Ênfase6 85" xfId="9712" xr:uid="{00000000-0005-0000-0000-00002E240000}"/>
    <cellStyle name="40% - Ênfase6 86" xfId="9713" xr:uid="{00000000-0005-0000-0000-00002F240000}"/>
    <cellStyle name="40% - Ênfase6 87" xfId="9714" xr:uid="{00000000-0005-0000-0000-000030240000}"/>
    <cellStyle name="40% - Ênfase6 88" xfId="9715" xr:uid="{00000000-0005-0000-0000-000031240000}"/>
    <cellStyle name="40% - Ênfase6 89" xfId="9716" xr:uid="{00000000-0005-0000-0000-000032240000}"/>
    <cellStyle name="40% - Ênfase6 9" xfId="208" xr:uid="{00000000-0005-0000-0000-000033240000}"/>
    <cellStyle name="40% - Ênfase6 9 10" xfId="9717" xr:uid="{00000000-0005-0000-0000-000034240000}"/>
    <cellStyle name="40% - Ênfase6 9 11" xfId="9718" xr:uid="{00000000-0005-0000-0000-000035240000}"/>
    <cellStyle name="40% - Ênfase6 9 12" xfId="9719" xr:uid="{00000000-0005-0000-0000-000036240000}"/>
    <cellStyle name="40% - Ênfase6 9 13" xfId="9720" xr:uid="{00000000-0005-0000-0000-000037240000}"/>
    <cellStyle name="40% - Ênfase6 9 14" xfId="9721" xr:uid="{00000000-0005-0000-0000-000038240000}"/>
    <cellStyle name="40% - Ênfase6 9 15" xfId="9722" xr:uid="{00000000-0005-0000-0000-000039240000}"/>
    <cellStyle name="40% - Ênfase6 9 16" xfId="9723" xr:uid="{00000000-0005-0000-0000-00003A240000}"/>
    <cellStyle name="40% - Ênfase6 9 17" xfId="9724" xr:uid="{00000000-0005-0000-0000-00003B240000}"/>
    <cellStyle name="40% - Ênfase6 9 18" xfId="9725" xr:uid="{00000000-0005-0000-0000-00003C240000}"/>
    <cellStyle name="40% - Ênfase6 9 19" xfId="9726" xr:uid="{00000000-0005-0000-0000-00003D240000}"/>
    <cellStyle name="40% - Ênfase6 9 2" xfId="9727" xr:uid="{00000000-0005-0000-0000-00003E240000}"/>
    <cellStyle name="40% - Ênfase6 9 20" xfId="9728" xr:uid="{00000000-0005-0000-0000-00003F240000}"/>
    <cellStyle name="40% - Ênfase6 9 3" xfId="9729" xr:uid="{00000000-0005-0000-0000-000040240000}"/>
    <cellStyle name="40% - Ênfase6 9 4" xfId="9730" xr:uid="{00000000-0005-0000-0000-000041240000}"/>
    <cellStyle name="40% - Ênfase6 9 5" xfId="9731" xr:uid="{00000000-0005-0000-0000-000042240000}"/>
    <cellStyle name="40% - Ênfase6 9 6" xfId="9732" xr:uid="{00000000-0005-0000-0000-000043240000}"/>
    <cellStyle name="40% - Ênfase6 9 7" xfId="9733" xr:uid="{00000000-0005-0000-0000-000044240000}"/>
    <cellStyle name="40% - Ênfase6 9 8" xfId="9734" xr:uid="{00000000-0005-0000-0000-000045240000}"/>
    <cellStyle name="40% - Ênfase6 9 9" xfId="9735" xr:uid="{00000000-0005-0000-0000-000046240000}"/>
    <cellStyle name="40% - Ênfase6 90" xfId="9736" xr:uid="{00000000-0005-0000-0000-000047240000}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10" builtinId="20" customBuiltin="1"/>
    <cellStyle name="Moeda 2" xfId="47" xr:uid="{00000000-0005-0000-0000-00005A240000}"/>
    <cellStyle name="Moeda 2 2" xfId="10498" xr:uid="{00000000-0005-0000-0000-00005B240000}"/>
    <cellStyle name="Moeda 2 3" xfId="10499" xr:uid="{00000000-0005-0000-0000-00005C240000}"/>
    <cellStyle name="Moeda 2 4" xfId="10500" xr:uid="{00000000-0005-0000-0000-00005D240000}"/>
    <cellStyle name="Moeda 3" xfId="11023" xr:uid="{00000000-0005-0000-0000-00005E240000}"/>
    <cellStyle name="Neutro" xfId="9" builtinId="28" customBuiltin="1"/>
    <cellStyle name="Normal" xfId="0" builtinId="0"/>
    <cellStyle name="Normal 10" xfId="1300" xr:uid="{00000000-0005-0000-0000-000061240000}"/>
    <cellStyle name="Normal 10 2" xfId="11018" xr:uid="{00000000-0005-0000-0000-000062240000}"/>
    <cellStyle name="Normal 11" xfId="11016" xr:uid="{00000000-0005-0000-0000-000063240000}"/>
    <cellStyle name="Normal 11 2" xfId="10497" xr:uid="{00000000-0005-0000-0000-000064240000}"/>
    <cellStyle name="Normal 11 3" xfId="10501" xr:uid="{00000000-0005-0000-0000-000065240000}"/>
    <cellStyle name="Normal 11 4" xfId="10502" xr:uid="{00000000-0005-0000-0000-000066240000}"/>
    <cellStyle name="Normal 12" xfId="10503" xr:uid="{00000000-0005-0000-0000-000067240000}"/>
    <cellStyle name="Normal 13" xfId="11026" xr:uid="{00000000-0005-0000-0000-000068240000}"/>
    <cellStyle name="Normal 14" xfId="11025" xr:uid="{00000000-0005-0000-0000-000069240000}"/>
    <cellStyle name="Normal 2" xfId="1" xr:uid="{00000000-0005-0000-0000-00006A240000}"/>
    <cellStyle name="Normal 2 10" xfId="210" xr:uid="{00000000-0005-0000-0000-00006B240000}"/>
    <cellStyle name="Normal 2 10 2" xfId="10504" xr:uid="{00000000-0005-0000-0000-00006C240000}"/>
    <cellStyle name="Normal 2 10 3" xfId="10505" xr:uid="{00000000-0005-0000-0000-00006D240000}"/>
    <cellStyle name="Normal 2 10 4" xfId="10506" xr:uid="{00000000-0005-0000-0000-00006E240000}"/>
    <cellStyle name="Normal 2 11" xfId="227" xr:uid="{00000000-0005-0000-0000-00006F240000}"/>
    <cellStyle name="Normal 2 11 2" xfId="10507" xr:uid="{00000000-0005-0000-0000-000070240000}"/>
    <cellStyle name="Normal 2 11 3" xfId="10508" xr:uid="{00000000-0005-0000-0000-000071240000}"/>
    <cellStyle name="Normal 2 11 4" xfId="10509" xr:uid="{00000000-0005-0000-0000-000072240000}"/>
    <cellStyle name="Normal 2 12" xfId="244" xr:uid="{00000000-0005-0000-0000-000073240000}"/>
    <cellStyle name="Normal 2 12 2" xfId="10510" xr:uid="{00000000-0005-0000-0000-000074240000}"/>
    <cellStyle name="Normal 2 12 3" xfId="10511" xr:uid="{00000000-0005-0000-0000-000075240000}"/>
    <cellStyle name="Normal 2 12 4" xfId="10512" xr:uid="{00000000-0005-0000-0000-000076240000}"/>
    <cellStyle name="Normal 2 13" xfId="261" xr:uid="{00000000-0005-0000-0000-000077240000}"/>
    <cellStyle name="Normal 2 13 2" xfId="10513" xr:uid="{00000000-0005-0000-0000-000078240000}"/>
    <cellStyle name="Normal 2 13 3" xfId="10514" xr:uid="{00000000-0005-0000-0000-000079240000}"/>
    <cellStyle name="Normal 2 13 4" xfId="10515" xr:uid="{00000000-0005-0000-0000-00007A240000}"/>
    <cellStyle name="Normal 2 14" xfId="278" xr:uid="{00000000-0005-0000-0000-00007B240000}"/>
    <cellStyle name="Normal 2 14 2" xfId="10516" xr:uid="{00000000-0005-0000-0000-00007C240000}"/>
    <cellStyle name="Normal 2 14 3" xfId="10517" xr:uid="{00000000-0005-0000-0000-00007D240000}"/>
    <cellStyle name="Normal 2 14 4" xfId="10518" xr:uid="{00000000-0005-0000-0000-00007E240000}"/>
    <cellStyle name="Normal 2 15" xfId="295" xr:uid="{00000000-0005-0000-0000-00007F240000}"/>
    <cellStyle name="Normal 2 15 2" xfId="10519" xr:uid="{00000000-0005-0000-0000-000080240000}"/>
    <cellStyle name="Normal 2 15 3" xfId="10520" xr:uid="{00000000-0005-0000-0000-000081240000}"/>
    <cellStyle name="Normal 2 15 4" xfId="10521" xr:uid="{00000000-0005-0000-0000-000082240000}"/>
    <cellStyle name="Normal 2 16" xfId="312" xr:uid="{00000000-0005-0000-0000-000083240000}"/>
    <cellStyle name="Normal 2 16 2" xfId="10522" xr:uid="{00000000-0005-0000-0000-000084240000}"/>
    <cellStyle name="Normal 2 16 3" xfId="10523" xr:uid="{00000000-0005-0000-0000-000085240000}"/>
    <cellStyle name="Normal 2 16 4" xfId="10524" xr:uid="{00000000-0005-0000-0000-000086240000}"/>
    <cellStyle name="Normal 2 17" xfId="330" xr:uid="{00000000-0005-0000-0000-000087240000}"/>
    <cellStyle name="Normal 2 17 2" xfId="10525" xr:uid="{00000000-0005-0000-0000-000088240000}"/>
    <cellStyle name="Normal 2 17 3" xfId="10526" xr:uid="{00000000-0005-0000-0000-000089240000}"/>
    <cellStyle name="Normal 2 17 4" xfId="10527" xr:uid="{00000000-0005-0000-0000-00008A240000}"/>
    <cellStyle name="Normal 2 18" xfId="346" xr:uid="{00000000-0005-0000-0000-00008B240000}"/>
    <cellStyle name="Normal 2 18 2" xfId="10528" xr:uid="{00000000-0005-0000-0000-00008C240000}"/>
    <cellStyle name="Normal 2 18 3" xfId="10529" xr:uid="{00000000-0005-0000-0000-00008D240000}"/>
    <cellStyle name="Normal 2 18 4" xfId="10530" xr:uid="{00000000-0005-0000-0000-00008E240000}"/>
    <cellStyle name="Normal 2 19" xfId="364" xr:uid="{00000000-0005-0000-0000-00008F240000}"/>
    <cellStyle name="Normal 2 19 2" xfId="10531" xr:uid="{00000000-0005-0000-0000-000090240000}"/>
    <cellStyle name="Normal 2 19 3" xfId="10532" xr:uid="{00000000-0005-0000-0000-000091240000}"/>
    <cellStyle name="Normal 2 19 4" xfId="10533" xr:uid="{00000000-0005-0000-0000-000092240000}"/>
    <cellStyle name="Normal 2 2" xfId="48" xr:uid="{00000000-0005-0000-0000-000093240000}"/>
    <cellStyle name="Normal 2 2 10" xfId="234" xr:uid="{00000000-0005-0000-0000-000094240000}"/>
    <cellStyle name="Normal 2 2 11" xfId="251" xr:uid="{00000000-0005-0000-0000-000095240000}"/>
    <cellStyle name="Normal 2 2 12" xfId="268" xr:uid="{00000000-0005-0000-0000-000096240000}"/>
    <cellStyle name="Normal 2 2 13" xfId="285" xr:uid="{00000000-0005-0000-0000-000097240000}"/>
    <cellStyle name="Normal 2 2 14" xfId="302" xr:uid="{00000000-0005-0000-0000-000098240000}"/>
    <cellStyle name="Normal 2 2 15" xfId="319" xr:uid="{00000000-0005-0000-0000-000099240000}"/>
    <cellStyle name="Normal 2 2 16" xfId="337" xr:uid="{00000000-0005-0000-0000-00009A240000}"/>
    <cellStyle name="Normal 2 2 17" xfId="353" xr:uid="{00000000-0005-0000-0000-00009B240000}"/>
    <cellStyle name="Normal 2 2 18" xfId="368" xr:uid="{00000000-0005-0000-0000-00009C240000}"/>
    <cellStyle name="Normal 2 2 19" xfId="391" xr:uid="{00000000-0005-0000-0000-00009D240000}"/>
    <cellStyle name="Normal 2 2 2" xfId="98" xr:uid="{00000000-0005-0000-0000-00009E240000}"/>
    <cellStyle name="Normal 2 2 20" xfId="409" xr:uid="{00000000-0005-0000-0000-00009F240000}"/>
    <cellStyle name="Normal 2 2 21" xfId="427" xr:uid="{00000000-0005-0000-0000-0000A0240000}"/>
    <cellStyle name="Normal 2 2 22" xfId="445" xr:uid="{00000000-0005-0000-0000-0000A1240000}"/>
    <cellStyle name="Normal 2 2 23" xfId="463" xr:uid="{00000000-0005-0000-0000-0000A2240000}"/>
    <cellStyle name="Normal 2 2 24" xfId="481" xr:uid="{00000000-0005-0000-0000-0000A3240000}"/>
    <cellStyle name="Normal 2 2 25" xfId="499" xr:uid="{00000000-0005-0000-0000-0000A4240000}"/>
    <cellStyle name="Normal 2 2 26" xfId="517" xr:uid="{00000000-0005-0000-0000-0000A5240000}"/>
    <cellStyle name="Normal 2 2 27" xfId="535" xr:uid="{00000000-0005-0000-0000-0000A6240000}"/>
    <cellStyle name="Normal 2 2 28" xfId="553" xr:uid="{00000000-0005-0000-0000-0000A7240000}"/>
    <cellStyle name="Normal 2 2 29" xfId="571" xr:uid="{00000000-0005-0000-0000-0000A8240000}"/>
    <cellStyle name="Normal 2 2 3" xfId="115" xr:uid="{00000000-0005-0000-0000-0000A9240000}"/>
    <cellStyle name="Normal 2 2 30" xfId="589" xr:uid="{00000000-0005-0000-0000-0000AA240000}"/>
    <cellStyle name="Normal 2 2 31" xfId="607" xr:uid="{00000000-0005-0000-0000-0000AB240000}"/>
    <cellStyle name="Normal 2 2 32" xfId="625" xr:uid="{00000000-0005-0000-0000-0000AC240000}"/>
    <cellStyle name="Normal 2 2 33" xfId="643" xr:uid="{00000000-0005-0000-0000-0000AD240000}"/>
    <cellStyle name="Normal 2 2 34" xfId="661" xr:uid="{00000000-0005-0000-0000-0000AE240000}"/>
    <cellStyle name="Normal 2 2 35" xfId="679" xr:uid="{00000000-0005-0000-0000-0000AF240000}"/>
    <cellStyle name="Normal 2 2 36" xfId="697" xr:uid="{00000000-0005-0000-0000-0000B0240000}"/>
    <cellStyle name="Normal 2 2 37" xfId="714" xr:uid="{00000000-0005-0000-0000-0000B1240000}"/>
    <cellStyle name="Normal 2 2 38" xfId="730" xr:uid="{00000000-0005-0000-0000-0000B2240000}"/>
    <cellStyle name="Normal 2 2 39" xfId="747" xr:uid="{00000000-0005-0000-0000-0000B3240000}"/>
    <cellStyle name="Normal 2 2 4" xfId="132" xr:uid="{00000000-0005-0000-0000-0000B4240000}"/>
    <cellStyle name="Normal 2 2 40" xfId="769" xr:uid="{00000000-0005-0000-0000-0000B5240000}"/>
    <cellStyle name="Normal 2 2 41" xfId="787" xr:uid="{00000000-0005-0000-0000-0000B6240000}"/>
    <cellStyle name="Normal 2 2 42" xfId="805" xr:uid="{00000000-0005-0000-0000-0000B7240000}"/>
    <cellStyle name="Normal 2 2 43" xfId="823" xr:uid="{00000000-0005-0000-0000-0000B8240000}"/>
    <cellStyle name="Normal 2 2 44" xfId="841" xr:uid="{00000000-0005-0000-0000-0000B9240000}"/>
    <cellStyle name="Normal 2 2 45" xfId="859" xr:uid="{00000000-0005-0000-0000-0000BA240000}"/>
    <cellStyle name="Normal 2 2 46" xfId="877" xr:uid="{00000000-0005-0000-0000-0000BB240000}"/>
    <cellStyle name="Normal 2 2 47" xfId="895" xr:uid="{00000000-0005-0000-0000-0000BC240000}"/>
    <cellStyle name="Normal 2 2 48" xfId="912" xr:uid="{00000000-0005-0000-0000-0000BD240000}"/>
    <cellStyle name="Normal 2 2 49" xfId="930" xr:uid="{00000000-0005-0000-0000-0000BE240000}"/>
    <cellStyle name="Normal 2 2 5" xfId="149" xr:uid="{00000000-0005-0000-0000-0000BF240000}"/>
    <cellStyle name="Normal 2 2 50" xfId="949" xr:uid="{00000000-0005-0000-0000-0000C0240000}"/>
    <cellStyle name="Normal 2 2 51" xfId="967" xr:uid="{00000000-0005-0000-0000-0000C1240000}"/>
    <cellStyle name="Normal 2 2 52" xfId="985" xr:uid="{00000000-0005-0000-0000-0000C2240000}"/>
    <cellStyle name="Normal 2 2 53" xfId="1003" xr:uid="{00000000-0005-0000-0000-0000C3240000}"/>
    <cellStyle name="Normal 2 2 54" xfId="1020" xr:uid="{00000000-0005-0000-0000-0000C4240000}"/>
    <cellStyle name="Normal 2 2 55" xfId="1037" xr:uid="{00000000-0005-0000-0000-0000C5240000}"/>
    <cellStyle name="Normal 2 2 56" xfId="1055" xr:uid="{00000000-0005-0000-0000-0000C6240000}"/>
    <cellStyle name="Normal 2 2 57" xfId="1073" xr:uid="{00000000-0005-0000-0000-0000C7240000}"/>
    <cellStyle name="Normal 2 2 58" xfId="1091" xr:uid="{00000000-0005-0000-0000-0000C8240000}"/>
    <cellStyle name="Normal 2 2 59" xfId="1110" xr:uid="{00000000-0005-0000-0000-0000C9240000}"/>
    <cellStyle name="Normal 2 2 6" xfId="166" xr:uid="{00000000-0005-0000-0000-0000CA240000}"/>
    <cellStyle name="Normal 2 2 60" xfId="1128" xr:uid="{00000000-0005-0000-0000-0000CB240000}"/>
    <cellStyle name="Normal 2 2 61" xfId="1145" xr:uid="{00000000-0005-0000-0000-0000CC240000}"/>
    <cellStyle name="Normal 2 2 62" xfId="1162" xr:uid="{00000000-0005-0000-0000-0000CD240000}"/>
    <cellStyle name="Normal 2 2 63" xfId="1180" xr:uid="{00000000-0005-0000-0000-0000CE240000}"/>
    <cellStyle name="Normal 2 2 64" xfId="1199" xr:uid="{00000000-0005-0000-0000-0000CF240000}"/>
    <cellStyle name="Normal 2 2 65" xfId="1217" xr:uid="{00000000-0005-0000-0000-0000D0240000}"/>
    <cellStyle name="Normal 2 2 66" xfId="1232" xr:uid="{00000000-0005-0000-0000-0000D1240000}"/>
    <cellStyle name="Normal 2 2 67" xfId="1247" xr:uid="{00000000-0005-0000-0000-0000D2240000}"/>
    <cellStyle name="Normal 2 2 68" xfId="1263" xr:uid="{00000000-0005-0000-0000-0000D3240000}"/>
    <cellStyle name="Normal 2 2 69" xfId="1278" xr:uid="{00000000-0005-0000-0000-0000D4240000}"/>
    <cellStyle name="Normal 2 2 7" xfId="183" xr:uid="{00000000-0005-0000-0000-0000D5240000}"/>
    <cellStyle name="Normal 2 2 70" xfId="1288" xr:uid="{00000000-0005-0000-0000-0000D6240000}"/>
    <cellStyle name="Normal 2 2 71" xfId="1296" xr:uid="{00000000-0005-0000-0000-0000D7240000}"/>
    <cellStyle name="Normal 2 2 72" xfId="1298" xr:uid="{00000000-0005-0000-0000-0000D8240000}"/>
    <cellStyle name="Normal 2 2 73" xfId="9737" xr:uid="{00000000-0005-0000-0000-0000D9240000}"/>
    <cellStyle name="Normal 2 2 73 2" xfId="10534" xr:uid="{00000000-0005-0000-0000-0000DA240000}"/>
    <cellStyle name="Normal 2 2 73 3" xfId="10535" xr:uid="{00000000-0005-0000-0000-0000DB240000}"/>
    <cellStyle name="Normal 2 2 73 4" xfId="10536" xr:uid="{00000000-0005-0000-0000-0000DC240000}"/>
    <cellStyle name="Normal 2 2 74" xfId="9738" xr:uid="{00000000-0005-0000-0000-0000DD240000}"/>
    <cellStyle name="Normal 2 2 74 2" xfId="10537" xr:uid="{00000000-0005-0000-0000-0000DE240000}"/>
    <cellStyle name="Normal 2 2 74 3" xfId="10538" xr:uid="{00000000-0005-0000-0000-0000DF240000}"/>
    <cellStyle name="Normal 2 2 74 4" xfId="10539" xr:uid="{00000000-0005-0000-0000-0000E0240000}"/>
    <cellStyle name="Normal 2 2 75" xfId="9739" xr:uid="{00000000-0005-0000-0000-0000E1240000}"/>
    <cellStyle name="Normal 2 2 75 2" xfId="10540" xr:uid="{00000000-0005-0000-0000-0000E2240000}"/>
    <cellStyle name="Normal 2 2 75 3" xfId="10541" xr:uid="{00000000-0005-0000-0000-0000E3240000}"/>
    <cellStyle name="Normal 2 2 75 4" xfId="10542" xr:uid="{00000000-0005-0000-0000-0000E4240000}"/>
    <cellStyle name="Normal 2 2 76" xfId="9740" xr:uid="{00000000-0005-0000-0000-0000E5240000}"/>
    <cellStyle name="Normal 2 2 76 2" xfId="10543" xr:uid="{00000000-0005-0000-0000-0000E6240000}"/>
    <cellStyle name="Normal 2 2 76 3" xfId="10544" xr:uid="{00000000-0005-0000-0000-0000E7240000}"/>
    <cellStyle name="Normal 2 2 76 4" xfId="10545" xr:uid="{00000000-0005-0000-0000-0000E8240000}"/>
    <cellStyle name="Normal 2 2 77" xfId="9741" xr:uid="{00000000-0005-0000-0000-0000E9240000}"/>
    <cellStyle name="Normal 2 2 77 2" xfId="10546" xr:uid="{00000000-0005-0000-0000-0000EA240000}"/>
    <cellStyle name="Normal 2 2 77 3" xfId="10547" xr:uid="{00000000-0005-0000-0000-0000EB240000}"/>
    <cellStyle name="Normal 2 2 77 4" xfId="10548" xr:uid="{00000000-0005-0000-0000-0000EC240000}"/>
    <cellStyle name="Normal 2 2 78" xfId="9742" xr:uid="{00000000-0005-0000-0000-0000ED240000}"/>
    <cellStyle name="Normal 2 2 78 2" xfId="10549" xr:uid="{00000000-0005-0000-0000-0000EE240000}"/>
    <cellStyle name="Normal 2 2 78 3" xfId="10550" xr:uid="{00000000-0005-0000-0000-0000EF240000}"/>
    <cellStyle name="Normal 2 2 78 4" xfId="10551" xr:uid="{00000000-0005-0000-0000-0000F0240000}"/>
    <cellStyle name="Normal 2 2 79" xfId="9743" xr:uid="{00000000-0005-0000-0000-0000F1240000}"/>
    <cellStyle name="Normal 2 2 79 2" xfId="10552" xr:uid="{00000000-0005-0000-0000-0000F2240000}"/>
    <cellStyle name="Normal 2 2 79 3" xfId="10553" xr:uid="{00000000-0005-0000-0000-0000F3240000}"/>
    <cellStyle name="Normal 2 2 79 4" xfId="10554" xr:uid="{00000000-0005-0000-0000-0000F4240000}"/>
    <cellStyle name="Normal 2 2 8" xfId="200" xr:uid="{00000000-0005-0000-0000-0000F5240000}"/>
    <cellStyle name="Normal 2 2 80" xfId="9744" xr:uid="{00000000-0005-0000-0000-0000F6240000}"/>
    <cellStyle name="Normal 2 2 80 2" xfId="10555" xr:uid="{00000000-0005-0000-0000-0000F7240000}"/>
    <cellStyle name="Normal 2 2 80 3" xfId="10556" xr:uid="{00000000-0005-0000-0000-0000F8240000}"/>
    <cellStyle name="Normal 2 2 80 4" xfId="10557" xr:uid="{00000000-0005-0000-0000-0000F9240000}"/>
    <cellStyle name="Normal 2 2 81" xfId="9745" xr:uid="{00000000-0005-0000-0000-0000FA240000}"/>
    <cellStyle name="Normal 2 2 81 2" xfId="10558" xr:uid="{00000000-0005-0000-0000-0000FB240000}"/>
    <cellStyle name="Normal 2 2 81 3" xfId="10559" xr:uid="{00000000-0005-0000-0000-0000FC240000}"/>
    <cellStyle name="Normal 2 2 81 4" xfId="10560" xr:uid="{00000000-0005-0000-0000-0000FD240000}"/>
    <cellStyle name="Normal 2 2 82" xfId="9746" xr:uid="{00000000-0005-0000-0000-0000FE240000}"/>
    <cellStyle name="Normal 2 2 82 2" xfId="10561" xr:uid="{00000000-0005-0000-0000-0000FF240000}"/>
    <cellStyle name="Normal 2 2 82 3" xfId="10562" xr:uid="{00000000-0005-0000-0000-000000250000}"/>
    <cellStyle name="Normal 2 2 82 4" xfId="10563" xr:uid="{00000000-0005-0000-0000-000001250000}"/>
    <cellStyle name="Normal 2 2 83" xfId="9747" xr:uid="{00000000-0005-0000-0000-000002250000}"/>
    <cellStyle name="Normal 2 2 83 2" xfId="10564" xr:uid="{00000000-0005-0000-0000-000003250000}"/>
    <cellStyle name="Normal 2 2 83 3" xfId="10565" xr:uid="{00000000-0005-0000-0000-000004250000}"/>
    <cellStyle name="Normal 2 2 83 4" xfId="10566" xr:uid="{00000000-0005-0000-0000-000005250000}"/>
    <cellStyle name="Normal 2 2 84" xfId="9748" xr:uid="{00000000-0005-0000-0000-000006250000}"/>
    <cellStyle name="Normal 2 2 84 2" xfId="10567" xr:uid="{00000000-0005-0000-0000-000007250000}"/>
    <cellStyle name="Normal 2 2 84 3" xfId="10568" xr:uid="{00000000-0005-0000-0000-000008250000}"/>
    <cellStyle name="Normal 2 2 84 4" xfId="10569" xr:uid="{00000000-0005-0000-0000-000009250000}"/>
    <cellStyle name="Normal 2 2 85" xfId="9749" xr:uid="{00000000-0005-0000-0000-00000A250000}"/>
    <cellStyle name="Normal 2 2 85 2" xfId="10570" xr:uid="{00000000-0005-0000-0000-00000B250000}"/>
    <cellStyle name="Normal 2 2 85 3" xfId="10571" xr:uid="{00000000-0005-0000-0000-00000C250000}"/>
    <cellStyle name="Normal 2 2 85 4" xfId="10572" xr:uid="{00000000-0005-0000-0000-00000D250000}"/>
    <cellStyle name="Normal 2 2 86" xfId="9750" xr:uid="{00000000-0005-0000-0000-00000E250000}"/>
    <cellStyle name="Normal 2 2 86 2" xfId="10573" xr:uid="{00000000-0005-0000-0000-00000F250000}"/>
    <cellStyle name="Normal 2 2 86 3" xfId="10574" xr:uid="{00000000-0005-0000-0000-000010250000}"/>
    <cellStyle name="Normal 2 2 86 4" xfId="10575" xr:uid="{00000000-0005-0000-0000-000011250000}"/>
    <cellStyle name="Normal 2 2 87" xfId="9751" xr:uid="{00000000-0005-0000-0000-000012250000}"/>
    <cellStyle name="Normal 2 2 87 2" xfId="10576" xr:uid="{00000000-0005-0000-0000-000013250000}"/>
    <cellStyle name="Normal 2 2 87 3" xfId="10577" xr:uid="{00000000-0005-0000-0000-000014250000}"/>
    <cellStyle name="Normal 2 2 87 4" xfId="10578" xr:uid="{00000000-0005-0000-0000-000015250000}"/>
    <cellStyle name="Normal 2 2 88" xfId="9752" xr:uid="{00000000-0005-0000-0000-000016250000}"/>
    <cellStyle name="Normal 2 2 88 2" xfId="10579" xr:uid="{00000000-0005-0000-0000-000017250000}"/>
    <cellStyle name="Normal 2 2 88 3" xfId="10580" xr:uid="{00000000-0005-0000-0000-000018250000}"/>
    <cellStyle name="Normal 2 2 88 4" xfId="10581" xr:uid="{00000000-0005-0000-0000-000019250000}"/>
    <cellStyle name="Normal 2 2 89" xfId="9753" xr:uid="{00000000-0005-0000-0000-00001A250000}"/>
    <cellStyle name="Normal 2 2 89 2" xfId="10582" xr:uid="{00000000-0005-0000-0000-00001B250000}"/>
    <cellStyle name="Normal 2 2 89 3" xfId="10583" xr:uid="{00000000-0005-0000-0000-00001C250000}"/>
    <cellStyle name="Normal 2 2 89 4" xfId="10584" xr:uid="{00000000-0005-0000-0000-00001D250000}"/>
    <cellStyle name="Normal 2 2 9" xfId="217" xr:uid="{00000000-0005-0000-0000-00001E250000}"/>
    <cellStyle name="Normal 2 2 90" xfId="9754" xr:uid="{00000000-0005-0000-0000-00001F250000}"/>
    <cellStyle name="Normal 2 2 90 2" xfId="10585" xr:uid="{00000000-0005-0000-0000-000020250000}"/>
    <cellStyle name="Normal 2 2 90 3" xfId="10586" xr:uid="{00000000-0005-0000-0000-000021250000}"/>
    <cellStyle name="Normal 2 2 90 4" xfId="10587" xr:uid="{00000000-0005-0000-0000-000022250000}"/>
    <cellStyle name="Normal 2 2 91" xfId="10588" xr:uid="{00000000-0005-0000-0000-000023250000}"/>
    <cellStyle name="Normal 2 2 91 2" xfId="10589" xr:uid="{00000000-0005-0000-0000-000024250000}"/>
    <cellStyle name="Normal 2 2 91 2 2" xfId="10590" xr:uid="{00000000-0005-0000-0000-000025250000}"/>
    <cellStyle name="Normal 2 2 91 2 3" xfId="10591" xr:uid="{00000000-0005-0000-0000-000026250000}"/>
    <cellStyle name="Normal 2 2 91 2 4" xfId="10592" xr:uid="{00000000-0005-0000-0000-000027250000}"/>
    <cellStyle name="Normal 2 2 91 3" xfId="10593" xr:uid="{00000000-0005-0000-0000-000028250000}"/>
    <cellStyle name="Normal 2 2 91 4" xfId="10594" xr:uid="{00000000-0005-0000-0000-000029250000}"/>
    <cellStyle name="Normal 2 2 91 5" xfId="10595" xr:uid="{00000000-0005-0000-0000-00002A250000}"/>
    <cellStyle name="Normal 2 2 91 6" xfId="10596" xr:uid="{00000000-0005-0000-0000-00002B250000}"/>
    <cellStyle name="Normal 2 2 92" xfId="10597" xr:uid="{00000000-0005-0000-0000-00002C250000}"/>
    <cellStyle name="Normal 2 2 92 2" xfId="10598" xr:uid="{00000000-0005-0000-0000-00002D250000}"/>
    <cellStyle name="Normal 2 2 92 3" xfId="10599" xr:uid="{00000000-0005-0000-0000-00002E250000}"/>
    <cellStyle name="Normal 2 2 92 4" xfId="10600" xr:uid="{00000000-0005-0000-0000-00002F250000}"/>
    <cellStyle name="Normal 2 2 93" xfId="10601" xr:uid="{00000000-0005-0000-0000-000030250000}"/>
    <cellStyle name="Normal 2 2 94" xfId="10602" xr:uid="{00000000-0005-0000-0000-000031250000}"/>
    <cellStyle name="Normal 2 2 95" xfId="10603" xr:uid="{00000000-0005-0000-0000-000032250000}"/>
    <cellStyle name="Normal 2 20" xfId="384" xr:uid="{00000000-0005-0000-0000-000033250000}"/>
    <cellStyle name="Normal 2 20 2" xfId="10604" xr:uid="{00000000-0005-0000-0000-000034250000}"/>
    <cellStyle name="Normal 2 20 3" xfId="10605" xr:uid="{00000000-0005-0000-0000-000035250000}"/>
    <cellStyle name="Normal 2 20 4" xfId="10606" xr:uid="{00000000-0005-0000-0000-000036250000}"/>
    <cellStyle name="Normal 2 21" xfId="402" xr:uid="{00000000-0005-0000-0000-000037250000}"/>
    <cellStyle name="Normal 2 21 2" xfId="10607" xr:uid="{00000000-0005-0000-0000-000038250000}"/>
    <cellStyle name="Normal 2 21 3" xfId="10608" xr:uid="{00000000-0005-0000-0000-000039250000}"/>
    <cellStyle name="Normal 2 21 4" xfId="10609" xr:uid="{00000000-0005-0000-0000-00003A250000}"/>
    <cellStyle name="Normal 2 22" xfId="420" xr:uid="{00000000-0005-0000-0000-00003B250000}"/>
    <cellStyle name="Normal 2 22 2" xfId="10610" xr:uid="{00000000-0005-0000-0000-00003C250000}"/>
    <cellStyle name="Normal 2 22 3" xfId="10611" xr:uid="{00000000-0005-0000-0000-00003D250000}"/>
    <cellStyle name="Normal 2 22 4" xfId="10612" xr:uid="{00000000-0005-0000-0000-00003E250000}"/>
    <cellStyle name="Normal 2 23" xfId="438" xr:uid="{00000000-0005-0000-0000-00003F250000}"/>
    <cellStyle name="Normal 2 23 2" xfId="10613" xr:uid="{00000000-0005-0000-0000-000040250000}"/>
    <cellStyle name="Normal 2 23 3" xfId="10614" xr:uid="{00000000-0005-0000-0000-000041250000}"/>
    <cellStyle name="Normal 2 23 4" xfId="10615" xr:uid="{00000000-0005-0000-0000-000042250000}"/>
    <cellStyle name="Normal 2 24" xfId="456" xr:uid="{00000000-0005-0000-0000-000043250000}"/>
    <cellStyle name="Normal 2 24 2" xfId="10616" xr:uid="{00000000-0005-0000-0000-000044250000}"/>
    <cellStyle name="Normal 2 24 3" xfId="10617" xr:uid="{00000000-0005-0000-0000-000045250000}"/>
    <cellStyle name="Normal 2 24 4" xfId="10618" xr:uid="{00000000-0005-0000-0000-000046250000}"/>
    <cellStyle name="Normal 2 25" xfId="474" xr:uid="{00000000-0005-0000-0000-000047250000}"/>
    <cellStyle name="Normal 2 25 2" xfId="10619" xr:uid="{00000000-0005-0000-0000-000048250000}"/>
    <cellStyle name="Normal 2 25 3" xfId="10620" xr:uid="{00000000-0005-0000-0000-000049250000}"/>
    <cellStyle name="Normal 2 25 4" xfId="10621" xr:uid="{00000000-0005-0000-0000-00004A250000}"/>
    <cellStyle name="Normal 2 26" xfId="492" xr:uid="{00000000-0005-0000-0000-00004B250000}"/>
    <cellStyle name="Normal 2 26 2" xfId="10622" xr:uid="{00000000-0005-0000-0000-00004C250000}"/>
    <cellStyle name="Normal 2 26 3" xfId="10623" xr:uid="{00000000-0005-0000-0000-00004D250000}"/>
    <cellStyle name="Normal 2 26 4" xfId="10624" xr:uid="{00000000-0005-0000-0000-00004E250000}"/>
    <cellStyle name="Normal 2 27" xfId="510" xr:uid="{00000000-0005-0000-0000-00004F250000}"/>
    <cellStyle name="Normal 2 27 2" xfId="10625" xr:uid="{00000000-0005-0000-0000-000050250000}"/>
    <cellStyle name="Normal 2 27 3" xfId="10626" xr:uid="{00000000-0005-0000-0000-000051250000}"/>
    <cellStyle name="Normal 2 27 4" xfId="10627" xr:uid="{00000000-0005-0000-0000-000052250000}"/>
    <cellStyle name="Normal 2 28" xfId="528" xr:uid="{00000000-0005-0000-0000-000053250000}"/>
    <cellStyle name="Normal 2 28 2" xfId="10628" xr:uid="{00000000-0005-0000-0000-000054250000}"/>
    <cellStyle name="Normal 2 28 3" xfId="10629" xr:uid="{00000000-0005-0000-0000-000055250000}"/>
    <cellStyle name="Normal 2 28 4" xfId="10630" xr:uid="{00000000-0005-0000-0000-000056250000}"/>
    <cellStyle name="Normal 2 29" xfId="546" xr:uid="{00000000-0005-0000-0000-000057250000}"/>
    <cellStyle name="Normal 2 29 2" xfId="10631" xr:uid="{00000000-0005-0000-0000-000058250000}"/>
    <cellStyle name="Normal 2 29 3" xfId="10632" xr:uid="{00000000-0005-0000-0000-000059250000}"/>
    <cellStyle name="Normal 2 29 4" xfId="10633" xr:uid="{00000000-0005-0000-0000-00005A250000}"/>
    <cellStyle name="Normal 2 3" xfId="91" xr:uid="{00000000-0005-0000-0000-00005B250000}"/>
    <cellStyle name="Normal 2 3 2" xfId="10634" xr:uid="{00000000-0005-0000-0000-00005C250000}"/>
    <cellStyle name="Normal 2 3 3" xfId="10635" xr:uid="{00000000-0005-0000-0000-00005D250000}"/>
    <cellStyle name="Normal 2 3 4" xfId="10636" xr:uid="{00000000-0005-0000-0000-00005E250000}"/>
    <cellStyle name="Normal 2 30" xfId="564" xr:uid="{00000000-0005-0000-0000-00005F250000}"/>
    <cellStyle name="Normal 2 30 2" xfId="10637" xr:uid="{00000000-0005-0000-0000-000060250000}"/>
    <cellStyle name="Normal 2 30 3" xfId="10638" xr:uid="{00000000-0005-0000-0000-000061250000}"/>
    <cellStyle name="Normal 2 30 4" xfId="10639" xr:uid="{00000000-0005-0000-0000-000062250000}"/>
    <cellStyle name="Normal 2 31" xfId="582" xr:uid="{00000000-0005-0000-0000-000063250000}"/>
    <cellStyle name="Normal 2 31 2" xfId="10640" xr:uid="{00000000-0005-0000-0000-000064250000}"/>
    <cellStyle name="Normal 2 31 3" xfId="10641" xr:uid="{00000000-0005-0000-0000-000065250000}"/>
    <cellStyle name="Normal 2 31 4" xfId="10642" xr:uid="{00000000-0005-0000-0000-000066250000}"/>
    <cellStyle name="Normal 2 32" xfId="600" xr:uid="{00000000-0005-0000-0000-000067250000}"/>
    <cellStyle name="Normal 2 32 2" xfId="10643" xr:uid="{00000000-0005-0000-0000-000068250000}"/>
    <cellStyle name="Normal 2 32 3" xfId="10644" xr:uid="{00000000-0005-0000-0000-000069250000}"/>
    <cellStyle name="Normal 2 32 4" xfId="10645" xr:uid="{00000000-0005-0000-0000-00006A250000}"/>
    <cellStyle name="Normal 2 33" xfId="618" xr:uid="{00000000-0005-0000-0000-00006B250000}"/>
    <cellStyle name="Normal 2 33 2" xfId="10646" xr:uid="{00000000-0005-0000-0000-00006C250000}"/>
    <cellStyle name="Normal 2 33 3" xfId="10647" xr:uid="{00000000-0005-0000-0000-00006D250000}"/>
    <cellStyle name="Normal 2 33 4" xfId="10648" xr:uid="{00000000-0005-0000-0000-00006E250000}"/>
    <cellStyle name="Normal 2 34" xfId="636" xr:uid="{00000000-0005-0000-0000-00006F250000}"/>
    <cellStyle name="Normal 2 34 2" xfId="10649" xr:uid="{00000000-0005-0000-0000-000070250000}"/>
    <cellStyle name="Normal 2 34 3" xfId="10650" xr:uid="{00000000-0005-0000-0000-000071250000}"/>
    <cellStyle name="Normal 2 34 4" xfId="10651" xr:uid="{00000000-0005-0000-0000-000072250000}"/>
    <cellStyle name="Normal 2 35" xfId="654" xr:uid="{00000000-0005-0000-0000-000073250000}"/>
    <cellStyle name="Normal 2 35 2" xfId="10652" xr:uid="{00000000-0005-0000-0000-000074250000}"/>
    <cellStyle name="Normal 2 35 3" xfId="10653" xr:uid="{00000000-0005-0000-0000-000075250000}"/>
    <cellStyle name="Normal 2 35 4" xfId="10654" xr:uid="{00000000-0005-0000-0000-000076250000}"/>
    <cellStyle name="Normal 2 36" xfId="672" xr:uid="{00000000-0005-0000-0000-000077250000}"/>
    <cellStyle name="Normal 2 36 2" xfId="10655" xr:uid="{00000000-0005-0000-0000-000078250000}"/>
    <cellStyle name="Normal 2 36 3" xfId="10656" xr:uid="{00000000-0005-0000-0000-000079250000}"/>
    <cellStyle name="Normal 2 36 4" xfId="10657" xr:uid="{00000000-0005-0000-0000-00007A250000}"/>
    <cellStyle name="Normal 2 37" xfId="690" xr:uid="{00000000-0005-0000-0000-00007B250000}"/>
    <cellStyle name="Normal 2 37 2" xfId="10658" xr:uid="{00000000-0005-0000-0000-00007C250000}"/>
    <cellStyle name="Normal 2 37 3" xfId="10659" xr:uid="{00000000-0005-0000-0000-00007D250000}"/>
    <cellStyle name="Normal 2 37 4" xfId="10660" xr:uid="{00000000-0005-0000-0000-00007E250000}"/>
    <cellStyle name="Normal 2 38" xfId="708" xr:uid="{00000000-0005-0000-0000-00007F250000}"/>
    <cellStyle name="Normal 2 38 2" xfId="10661" xr:uid="{00000000-0005-0000-0000-000080250000}"/>
    <cellStyle name="Normal 2 38 3" xfId="10662" xr:uid="{00000000-0005-0000-0000-000081250000}"/>
    <cellStyle name="Normal 2 38 4" xfId="10663" xr:uid="{00000000-0005-0000-0000-000082250000}"/>
    <cellStyle name="Normal 2 39" xfId="724" xr:uid="{00000000-0005-0000-0000-000083250000}"/>
    <cellStyle name="Normal 2 39 2" xfId="10664" xr:uid="{00000000-0005-0000-0000-000084250000}"/>
    <cellStyle name="Normal 2 39 3" xfId="10665" xr:uid="{00000000-0005-0000-0000-000085250000}"/>
    <cellStyle name="Normal 2 39 4" xfId="10666" xr:uid="{00000000-0005-0000-0000-000086250000}"/>
    <cellStyle name="Normal 2 4" xfId="108" xr:uid="{00000000-0005-0000-0000-000087250000}"/>
    <cellStyle name="Normal 2 4 2" xfId="10667" xr:uid="{00000000-0005-0000-0000-000088250000}"/>
    <cellStyle name="Normal 2 4 3" xfId="10668" xr:uid="{00000000-0005-0000-0000-000089250000}"/>
    <cellStyle name="Normal 2 4 4" xfId="10669" xr:uid="{00000000-0005-0000-0000-00008A250000}"/>
    <cellStyle name="Normal 2 40" xfId="741" xr:uid="{00000000-0005-0000-0000-00008B250000}"/>
    <cellStyle name="Normal 2 40 2" xfId="10670" xr:uid="{00000000-0005-0000-0000-00008C250000}"/>
    <cellStyle name="Normal 2 40 3" xfId="10671" xr:uid="{00000000-0005-0000-0000-00008D250000}"/>
    <cellStyle name="Normal 2 40 4" xfId="10672" xr:uid="{00000000-0005-0000-0000-00008E250000}"/>
    <cellStyle name="Normal 2 41" xfId="762" xr:uid="{00000000-0005-0000-0000-00008F250000}"/>
    <cellStyle name="Normal 2 41 2" xfId="10673" xr:uid="{00000000-0005-0000-0000-000090250000}"/>
    <cellStyle name="Normal 2 41 3" xfId="10674" xr:uid="{00000000-0005-0000-0000-000091250000}"/>
    <cellStyle name="Normal 2 41 4" xfId="10675" xr:uid="{00000000-0005-0000-0000-000092250000}"/>
    <cellStyle name="Normal 2 42" xfId="780" xr:uid="{00000000-0005-0000-0000-000093250000}"/>
    <cellStyle name="Normal 2 42 2" xfId="10676" xr:uid="{00000000-0005-0000-0000-000094250000}"/>
    <cellStyle name="Normal 2 42 3" xfId="10677" xr:uid="{00000000-0005-0000-0000-000095250000}"/>
    <cellStyle name="Normal 2 42 4" xfId="10678" xr:uid="{00000000-0005-0000-0000-000096250000}"/>
    <cellStyle name="Normal 2 43" xfId="798" xr:uid="{00000000-0005-0000-0000-000097250000}"/>
    <cellStyle name="Normal 2 43 2" xfId="10679" xr:uid="{00000000-0005-0000-0000-000098250000}"/>
    <cellStyle name="Normal 2 43 3" xfId="10680" xr:uid="{00000000-0005-0000-0000-000099250000}"/>
    <cellStyle name="Normal 2 43 4" xfId="10681" xr:uid="{00000000-0005-0000-0000-00009A250000}"/>
    <cellStyle name="Normal 2 44" xfId="816" xr:uid="{00000000-0005-0000-0000-00009B250000}"/>
    <cellStyle name="Normal 2 44 2" xfId="10682" xr:uid="{00000000-0005-0000-0000-00009C250000}"/>
    <cellStyle name="Normal 2 44 3" xfId="10683" xr:uid="{00000000-0005-0000-0000-00009D250000}"/>
    <cellStyle name="Normal 2 44 4" xfId="10684" xr:uid="{00000000-0005-0000-0000-00009E250000}"/>
    <cellStyle name="Normal 2 45" xfId="834" xr:uid="{00000000-0005-0000-0000-00009F250000}"/>
    <cellStyle name="Normal 2 45 2" xfId="10685" xr:uid="{00000000-0005-0000-0000-0000A0250000}"/>
    <cellStyle name="Normal 2 45 3" xfId="10686" xr:uid="{00000000-0005-0000-0000-0000A1250000}"/>
    <cellStyle name="Normal 2 45 4" xfId="10687" xr:uid="{00000000-0005-0000-0000-0000A2250000}"/>
    <cellStyle name="Normal 2 46" xfId="852" xr:uid="{00000000-0005-0000-0000-0000A3250000}"/>
    <cellStyle name="Normal 2 46 2" xfId="10688" xr:uid="{00000000-0005-0000-0000-0000A4250000}"/>
    <cellStyle name="Normal 2 46 3" xfId="10689" xr:uid="{00000000-0005-0000-0000-0000A5250000}"/>
    <cellStyle name="Normal 2 46 4" xfId="10690" xr:uid="{00000000-0005-0000-0000-0000A6250000}"/>
    <cellStyle name="Normal 2 47" xfId="870" xr:uid="{00000000-0005-0000-0000-0000A7250000}"/>
    <cellStyle name="Normal 2 47 2" xfId="10691" xr:uid="{00000000-0005-0000-0000-0000A8250000}"/>
    <cellStyle name="Normal 2 47 3" xfId="10692" xr:uid="{00000000-0005-0000-0000-0000A9250000}"/>
    <cellStyle name="Normal 2 47 4" xfId="10693" xr:uid="{00000000-0005-0000-0000-0000AA250000}"/>
    <cellStyle name="Normal 2 48" xfId="888" xr:uid="{00000000-0005-0000-0000-0000AB250000}"/>
    <cellStyle name="Normal 2 48 2" xfId="10694" xr:uid="{00000000-0005-0000-0000-0000AC250000}"/>
    <cellStyle name="Normal 2 48 3" xfId="10695" xr:uid="{00000000-0005-0000-0000-0000AD250000}"/>
    <cellStyle name="Normal 2 48 4" xfId="10696" xr:uid="{00000000-0005-0000-0000-0000AE250000}"/>
    <cellStyle name="Normal 2 49" xfId="905" xr:uid="{00000000-0005-0000-0000-0000AF250000}"/>
    <cellStyle name="Normal 2 49 2" xfId="10697" xr:uid="{00000000-0005-0000-0000-0000B0250000}"/>
    <cellStyle name="Normal 2 49 3" xfId="10698" xr:uid="{00000000-0005-0000-0000-0000B1250000}"/>
    <cellStyle name="Normal 2 49 4" xfId="10699" xr:uid="{00000000-0005-0000-0000-0000B2250000}"/>
    <cellStyle name="Normal 2 5" xfId="125" xr:uid="{00000000-0005-0000-0000-0000B3250000}"/>
    <cellStyle name="Normal 2 5 2" xfId="10700" xr:uid="{00000000-0005-0000-0000-0000B4250000}"/>
    <cellStyle name="Normal 2 5 3" xfId="10701" xr:uid="{00000000-0005-0000-0000-0000B5250000}"/>
    <cellStyle name="Normal 2 5 4" xfId="10702" xr:uid="{00000000-0005-0000-0000-0000B6250000}"/>
    <cellStyle name="Normal 2 50" xfId="923" xr:uid="{00000000-0005-0000-0000-0000B7250000}"/>
    <cellStyle name="Normal 2 50 2" xfId="10703" xr:uid="{00000000-0005-0000-0000-0000B8250000}"/>
    <cellStyle name="Normal 2 50 3" xfId="10704" xr:uid="{00000000-0005-0000-0000-0000B9250000}"/>
    <cellStyle name="Normal 2 50 4" xfId="10705" xr:uid="{00000000-0005-0000-0000-0000BA250000}"/>
    <cellStyle name="Normal 2 51" xfId="942" xr:uid="{00000000-0005-0000-0000-0000BB250000}"/>
    <cellStyle name="Normal 2 51 2" xfId="10706" xr:uid="{00000000-0005-0000-0000-0000BC250000}"/>
    <cellStyle name="Normal 2 51 3" xfId="10707" xr:uid="{00000000-0005-0000-0000-0000BD250000}"/>
    <cellStyle name="Normal 2 51 4" xfId="10708" xr:uid="{00000000-0005-0000-0000-0000BE250000}"/>
    <cellStyle name="Normal 2 52" xfId="960" xr:uid="{00000000-0005-0000-0000-0000BF250000}"/>
    <cellStyle name="Normal 2 52 2" xfId="10709" xr:uid="{00000000-0005-0000-0000-0000C0250000}"/>
    <cellStyle name="Normal 2 52 3" xfId="10710" xr:uid="{00000000-0005-0000-0000-0000C1250000}"/>
    <cellStyle name="Normal 2 52 4" xfId="10711" xr:uid="{00000000-0005-0000-0000-0000C2250000}"/>
    <cellStyle name="Normal 2 53" xfId="978" xr:uid="{00000000-0005-0000-0000-0000C3250000}"/>
    <cellStyle name="Normal 2 53 2" xfId="10712" xr:uid="{00000000-0005-0000-0000-0000C4250000}"/>
    <cellStyle name="Normal 2 53 3" xfId="10713" xr:uid="{00000000-0005-0000-0000-0000C5250000}"/>
    <cellStyle name="Normal 2 53 4" xfId="10714" xr:uid="{00000000-0005-0000-0000-0000C6250000}"/>
    <cellStyle name="Normal 2 54" xfId="996" xr:uid="{00000000-0005-0000-0000-0000C7250000}"/>
    <cellStyle name="Normal 2 54 2" xfId="10715" xr:uid="{00000000-0005-0000-0000-0000C8250000}"/>
    <cellStyle name="Normal 2 54 3" xfId="10716" xr:uid="{00000000-0005-0000-0000-0000C9250000}"/>
    <cellStyle name="Normal 2 54 4" xfId="10717" xr:uid="{00000000-0005-0000-0000-0000CA250000}"/>
    <cellStyle name="Normal 2 55" xfId="1014" xr:uid="{00000000-0005-0000-0000-0000CB250000}"/>
    <cellStyle name="Normal 2 55 2" xfId="10718" xr:uid="{00000000-0005-0000-0000-0000CC250000}"/>
    <cellStyle name="Normal 2 55 3" xfId="10719" xr:uid="{00000000-0005-0000-0000-0000CD250000}"/>
    <cellStyle name="Normal 2 55 4" xfId="10720" xr:uid="{00000000-0005-0000-0000-0000CE250000}"/>
    <cellStyle name="Normal 2 56" xfId="1030" xr:uid="{00000000-0005-0000-0000-0000CF250000}"/>
    <cellStyle name="Normal 2 56 2" xfId="10721" xr:uid="{00000000-0005-0000-0000-0000D0250000}"/>
    <cellStyle name="Normal 2 56 3" xfId="10722" xr:uid="{00000000-0005-0000-0000-0000D1250000}"/>
    <cellStyle name="Normal 2 56 4" xfId="10723" xr:uid="{00000000-0005-0000-0000-0000D2250000}"/>
    <cellStyle name="Normal 2 57" xfId="1048" xr:uid="{00000000-0005-0000-0000-0000D3250000}"/>
    <cellStyle name="Normal 2 57 2" xfId="10724" xr:uid="{00000000-0005-0000-0000-0000D4250000}"/>
    <cellStyle name="Normal 2 57 3" xfId="10725" xr:uid="{00000000-0005-0000-0000-0000D5250000}"/>
    <cellStyle name="Normal 2 57 4" xfId="10726" xr:uid="{00000000-0005-0000-0000-0000D6250000}"/>
    <cellStyle name="Normal 2 58" xfId="1066" xr:uid="{00000000-0005-0000-0000-0000D7250000}"/>
    <cellStyle name="Normal 2 58 2" xfId="10727" xr:uid="{00000000-0005-0000-0000-0000D8250000}"/>
    <cellStyle name="Normal 2 58 3" xfId="10728" xr:uid="{00000000-0005-0000-0000-0000D9250000}"/>
    <cellStyle name="Normal 2 58 4" xfId="10729" xr:uid="{00000000-0005-0000-0000-0000DA250000}"/>
    <cellStyle name="Normal 2 59" xfId="1084" xr:uid="{00000000-0005-0000-0000-0000DB250000}"/>
    <cellStyle name="Normal 2 59 2" xfId="10730" xr:uid="{00000000-0005-0000-0000-0000DC250000}"/>
    <cellStyle name="Normal 2 59 3" xfId="10731" xr:uid="{00000000-0005-0000-0000-0000DD250000}"/>
    <cellStyle name="Normal 2 59 4" xfId="10732" xr:uid="{00000000-0005-0000-0000-0000DE250000}"/>
    <cellStyle name="Normal 2 6" xfId="142" xr:uid="{00000000-0005-0000-0000-0000DF250000}"/>
    <cellStyle name="Normal 2 6 2" xfId="10733" xr:uid="{00000000-0005-0000-0000-0000E0250000}"/>
    <cellStyle name="Normal 2 6 3" xfId="10734" xr:uid="{00000000-0005-0000-0000-0000E1250000}"/>
    <cellStyle name="Normal 2 6 4" xfId="10735" xr:uid="{00000000-0005-0000-0000-0000E2250000}"/>
    <cellStyle name="Normal 2 60" xfId="1103" xr:uid="{00000000-0005-0000-0000-0000E3250000}"/>
    <cellStyle name="Normal 2 60 2" xfId="10736" xr:uid="{00000000-0005-0000-0000-0000E4250000}"/>
    <cellStyle name="Normal 2 60 3" xfId="10737" xr:uid="{00000000-0005-0000-0000-0000E5250000}"/>
    <cellStyle name="Normal 2 60 4" xfId="10738" xr:uid="{00000000-0005-0000-0000-0000E6250000}"/>
    <cellStyle name="Normal 2 61" xfId="1121" xr:uid="{00000000-0005-0000-0000-0000E7250000}"/>
    <cellStyle name="Normal 2 61 2" xfId="10739" xr:uid="{00000000-0005-0000-0000-0000E8250000}"/>
    <cellStyle name="Normal 2 61 3" xfId="10740" xr:uid="{00000000-0005-0000-0000-0000E9250000}"/>
    <cellStyle name="Normal 2 61 4" xfId="10741" xr:uid="{00000000-0005-0000-0000-0000EA250000}"/>
    <cellStyle name="Normal 2 62" xfId="1139" xr:uid="{00000000-0005-0000-0000-0000EB250000}"/>
    <cellStyle name="Normal 2 62 2" xfId="10742" xr:uid="{00000000-0005-0000-0000-0000EC250000}"/>
    <cellStyle name="Normal 2 62 3" xfId="10743" xr:uid="{00000000-0005-0000-0000-0000ED250000}"/>
    <cellStyle name="Normal 2 62 4" xfId="10744" xr:uid="{00000000-0005-0000-0000-0000EE250000}"/>
    <cellStyle name="Normal 2 63" xfId="1155" xr:uid="{00000000-0005-0000-0000-0000EF250000}"/>
    <cellStyle name="Normal 2 63 2" xfId="10745" xr:uid="{00000000-0005-0000-0000-0000F0250000}"/>
    <cellStyle name="Normal 2 63 3" xfId="10746" xr:uid="{00000000-0005-0000-0000-0000F1250000}"/>
    <cellStyle name="Normal 2 63 4" xfId="10747" xr:uid="{00000000-0005-0000-0000-0000F2250000}"/>
    <cellStyle name="Normal 2 64" xfId="1173" xr:uid="{00000000-0005-0000-0000-0000F3250000}"/>
    <cellStyle name="Normal 2 64 2" xfId="10748" xr:uid="{00000000-0005-0000-0000-0000F4250000}"/>
    <cellStyle name="Normal 2 64 3" xfId="10749" xr:uid="{00000000-0005-0000-0000-0000F5250000}"/>
    <cellStyle name="Normal 2 64 4" xfId="10750" xr:uid="{00000000-0005-0000-0000-0000F6250000}"/>
    <cellStyle name="Normal 2 65" xfId="1192" xr:uid="{00000000-0005-0000-0000-0000F7250000}"/>
    <cellStyle name="Normal 2 65 2" xfId="10751" xr:uid="{00000000-0005-0000-0000-0000F8250000}"/>
    <cellStyle name="Normal 2 65 3" xfId="10752" xr:uid="{00000000-0005-0000-0000-0000F9250000}"/>
    <cellStyle name="Normal 2 65 4" xfId="10753" xr:uid="{00000000-0005-0000-0000-0000FA250000}"/>
    <cellStyle name="Normal 2 66" xfId="1210" xr:uid="{00000000-0005-0000-0000-0000FB250000}"/>
    <cellStyle name="Normal 2 66 2" xfId="10754" xr:uid="{00000000-0005-0000-0000-0000FC250000}"/>
    <cellStyle name="Normal 2 66 3" xfId="10755" xr:uid="{00000000-0005-0000-0000-0000FD250000}"/>
    <cellStyle name="Normal 2 66 4" xfId="10756" xr:uid="{00000000-0005-0000-0000-0000FE250000}"/>
    <cellStyle name="Normal 2 67" xfId="1226" xr:uid="{00000000-0005-0000-0000-0000FF250000}"/>
    <cellStyle name="Normal 2 67 2" xfId="10757" xr:uid="{00000000-0005-0000-0000-000000260000}"/>
    <cellStyle name="Normal 2 67 3" xfId="10758" xr:uid="{00000000-0005-0000-0000-000001260000}"/>
    <cellStyle name="Normal 2 67 4" xfId="10759" xr:uid="{00000000-0005-0000-0000-000002260000}"/>
    <cellStyle name="Normal 2 68" xfId="1242" xr:uid="{00000000-0005-0000-0000-000003260000}"/>
    <cellStyle name="Normal 2 68 2" xfId="10760" xr:uid="{00000000-0005-0000-0000-000004260000}"/>
    <cellStyle name="Normal 2 68 3" xfId="10761" xr:uid="{00000000-0005-0000-0000-000005260000}"/>
    <cellStyle name="Normal 2 68 4" xfId="10762" xr:uid="{00000000-0005-0000-0000-000006260000}"/>
    <cellStyle name="Normal 2 69" xfId="1258" xr:uid="{00000000-0005-0000-0000-000007260000}"/>
    <cellStyle name="Normal 2 69 2" xfId="10763" xr:uid="{00000000-0005-0000-0000-000008260000}"/>
    <cellStyle name="Normal 2 69 3" xfId="10764" xr:uid="{00000000-0005-0000-0000-000009260000}"/>
    <cellStyle name="Normal 2 69 4" xfId="10765" xr:uid="{00000000-0005-0000-0000-00000A260000}"/>
    <cellStyle name="Normal 2 7" xfId="159" xr:uid="{00000000-0005-0000-0000-00000B260000}"/>
    <cellStyle name="Normal 2 7 2" xfId="10766" xr:uid="{00000000-0005-0000-0000-00000C260000}"/>
    <cellStyle name="Normal 2 7 3" xfId="10767" xr:uid="{00000000-0005-0000-0000-00000D260000}"/>
    <cellStyle name="Normal 2 7 4" xfId="10768" xr:uid="{00000000-0005-0000-0000-00000E260000}"/>
    <cellStyle name="Normal 2 70" xfId="1275" xr:uid="{00000000-0005-0000-0000-00000F260000}"/>
    <cellStyle name="Normal 2 70 2" xfId="10769" xr:uid="{00000000-0005-0000-0000-000010260000}"/>
    <cellStyle name="Normal 2 70 3" xfId="10770" xr:uid="{00000000-0005-0000-0000-000011260000}"/>
    <cellStyle name="Normal 2 70 4" xfId="10771" xr:uid="{00000000-0005-0000-0000-000012260000}"/>
    <cellStyle name="Normal 2 71" xfId="1286" xr:uid="{00000000-0005-0000-0000-000013260000}"/>
    <cellStyle name="Normal 2 71 2" xfId="10772" xr:uid="{00000000-0005-0000-0000-000014260000}"/>
    <cellStyle name="Normal 2 71 3" xfId="10773" xr:uid="{00000000-0005-0000-0000-000015260000}"/>
    <cellStyle name="Normal 2 71 4" xfId="10774" xr:uid="{00000000-0005-0000-0000-000016260000}"/>
    <cellStyle name="Normal 2 72" xfId="1294" xr:uid="{00000000-0005-0000-0000-000017260000}"/>
    <cellStyle name="Normal 2 72 2" xfId="10775" xr:uid="{00000000-0005-0000-0000-000018260000}"/>
    <cellStyle name="Normal 2 72 3" xfId="10776" xr:uid="{00000000-0005-0000-0000-000019260000}"/>
    <cellStyle name="Normal 2 72 4" xfId="10777" xr:uid="{00000000-0005-0000-0000-00001A260000}"/>
    <cellStyle name="Normal 2 73" xfId="9755" xr:uid="{00000000-0005-0000-0000-00001B260000}"/>
    <cellStyle name="Normal 2 74" xfId="9756" xr:uid="{00000000-0005-0000-0000-00001C260000}"/>
    <cellStyle name="Normal 2 75" xfId="9757" xr:uid="{00000000-0005-0000-0000-00001D260000}"/>
    <cellStyle name="Normal 2 76" xfId="9758" xr:uid="{00000000-0005-0000-0000-00001E260000}"/>
    <cellStyle name="Normal 2 77" xfId="9759" xr:uid="{00000000-0005-0000-0000-00001F260000}"/>
    <cellStyle name="Normal 2 78" xfId="9760" xr:uid="{00000000-0005-0000-0000-000020260000}"/>
    <cellStyle name="Normal 2 79" xfId="9761" xr:uid="{00000000-0005-0000-0000-000021260000}"/>
    <cellStyle name="Normal 2 8" xfId="176" xr:uid="{00000000-0005-0000-0000-000022260000}"/>
    <cellStyle name="Normal 2 8 2" xfId="10778" xr:uid="{00000000-0005-0000-0000-000023260000}"/>
    <cellStyle name="Normal 2 8 3" xfId="10779" xr:uid="{00000000-0005-0000-0000-000024260000}"/>
    <cellStyle name="Normal 2 8 4" xfId="10780" xr:uid="{00000000-0005-0000-0000-000025260000}"/>
    <cellStyle name="Normal 2 80" xfId="9762" xr:uid="{00000000-0005-0000-0000-000026260000}"/>
    <cellStyle name="Normal 2 81" xfId="9763" xr:uid="{00000000-0005-0000-0000-000027260000}"/>
    <cellStyle name="Normal 2 82" xfId="9764" xr:uid="{00000000-0005-0000-0000-000028260000}"/>
    <cellStyle name="Normal 2 83" xfId="9765" xr:uid="{00000000-0005-0000-0000-000029260000}"/>
    <cellStyle name="Normal 2 84" xfId="9766" xr:uid="{00000000-0005-0000-0000-00002A260000}"/>
    <cellStyle name="Normal 2 85" xfId="9767" xr:uid="{00000000-0005-0000-0000-00002B260000}"/>
    <cellStyle name="Normal 2 86" xfId="9768" xr:uid="{00000000-0005-0000-0000-00002C260000}"/>
    <cellStyle name="Normal 2 87" xfId="9769" xr:uid="{00000000-0005-0000-0000-00002D260000}"/>
    <cellStyle name="Normal 2 88" xfId="9770" xr:uid="{00000000-0005-0000-0000-00002E260000}"/>
    <cellStyle name="Normal 2 89" xfId="9771" xr:uid="{00000000-0005-0000-0000-00002F260000}"/>
    <cellStyle name="Normal 2 9" xfId="193" xr:uid="{00000000-0005-0000-0000-000030260000}"/>
    <cellStyle name="Normal 2 9 2" xfId="10781" xr:uid="{00000000-0005-0000-0000-000031260000}"/>
    <cellStyle name="Normal 2 9 3" xfId="10782" xr:uid="{00000000-0005-0000-0000-000032260000}"/>
    <cellStyle name="Normal 2 9 4" xfId="10783" xr:uid="{00000000-0005-0000-0000-000033260000}"/>
    <cellStyle name="Normal 2 90" xfId="9772" xr:uid="{00000000-0005-0000-0000-000034260000}"/>
    <cellStyle name="Normal 2 91" xfId="9773" xr:uid="{00000000-0005-0000-0000-000035260000}"/>
    <cellStyle name="Normal 2 92" xfId="10784" xr:uid="{00000000-0005-0000-0000-000036260000}"/>
    <cellStyle name="Normal 2 93" xfId="10785" xr:uid="{00000000-0005-0000-0000-000037260000}"/>
    <cellStyle name="Normal 2 94" xfId="10786" xr:uid="{00000000-0005-0000-0000-000038260000}"/>
    <cellStyle name="Normal 2 95" xfId="10787" xr:uid="{00000000-0005-0000-0000-000039260000}"/>
    <cellStyle name="Normal 2 97" xfId="11019" xr:uid="{00000000-0005-0000-0000-00003A260000}"/>
    <cellStyle name="Normal 22" xfId="326" xr:uid="{00000000-0005-0000-0000-00003B260000}"/>
    <cellStyle name="Normal 25" xfId="380" xr:uid="{00000000-0005-0000-0000-00003C260000}"/>
    <cellStyle name="Normal 26" xfId="398" xr:uid="{00000000-0005-0000-0000-00003D260000}"/>
    <cellStyle name="Normal 27" xfId="416" xr:uid="{00000000-0005-0000-0000-00003E260000}"/>
    <cellStyle name="Normal 28" xfId="434" xr:uid="{00000000-0005-0000-0000-00003F260000}"/>
    <cellStyle name="Normal 29" xfId="452" xr:uid="{00000000-0005-0000-0000-000040260000}"/>
    <cellStyle name="Normal 3" xfId="45" xr:uid="{00000000-0005-0000-0000-000041260000}"/>
    <cellStyle name="Normal 3 10" xfId="211" xr:uid="{00000000-0005-0000-0000-000042260000}"/>
    <cellStyle name="Normal 3 10 2" xfId="10788" xr:uid="{00000000-0005-0000-0000-000043260000}"/>
    <cellStyle name="Normal 3 10 3" xfId="10789" xr:uid="{00000000-0005-0000-0000-000044260000}"/>
    <cellStyle name="Normal 3 10 4" xfId="10790" xr:uid="{00000000-0005-0000-0000-000045260000}"/>
    <cellStyle name="Normal 3 11" xfId="228" xr:uid="{00000000-0005-0000-0000-000046260000}"/>
    <cellStyle name="Normal 3 11 2" xfId="10791" xr:uid="{00000000-0005-0000-0000-000047260000}"/>
    <cellStyle name="Normal 3 11 3" xfId="10792" xr:uid="{00000000-0005-0000-0000-000048260000}"/>
    <cellStyle name="Normal 3 11 4" xfId="10793" xr:uid="{00000000-0005-0000-0000-000049260000}"/>
    <cellStyle name="Normal 3 12" xfId="245" xr:uid="{00000000-0005-0000-0000-00004A260000}"/>
    <cellStyle name="Normal 3 12 2" xfId="10794" xr:uid="{00000000-0005-0000-0000-00004B260000}"/>
    <cellStyle name="Normal 3 12 3" xfId="10795" xr:uid="{00000000-0005-0000-0000-00004C260000}"/>
    <cellStyle name="Normal 3 12 4" xfId="10796" xr:uid="{00000000-0005-0000-0000-00004D260000}"/>
    <cellStyle name="Normal 3 13" xfId="262" xr:uid="{00000000-0005-0000-0000-00004E260000}"/>
    <cellStyle name="Normal 3 13 2" xfId="10797" xr:uid="{00000000-0005-0000-0000-00004F260000}"/>
    <cellStyle name="Normal 3 13 3" xfId="10798" xr:uid="{00000000-0005-0000-0000-000050260000}"/>
    <cellStyle name="Normal 3 13 4" xfId="10799" xr:uid="{00000000-0005-0000-0000-000051260000}"/>
    <cellStyle name="Normal 3 14" xfId="279" xr:uid="{00000000-0005-0000-0000-000052260000}"/>
    <cellStyle name="Normal 3 14 2" xfId="10800" xr:uid="{00000000-0005-0000-0000-000053260000}"/>
    <cellStyle name="Normal 3 14 3" xfId="10801" xr:uid="{00000000-0005-0000-0000-000054260000}"/>
    <cellStyle name="Normal 3 14 4" xfId="10802" xr:uid="{00000000-0005-0000-0000-000055260000}"/>
    <cellStyle name="Normal 3 15" xfId="296" xr:uid="{00000000-0005-0000-0000-000056260000}"/>
    <cellStyle name="Normal 3 15 2" xfId="10803" xr:uid="{00000000-0005-0000-0000-000057260000}"/>
    <cellStyle name="Normal 3 15 3" xfId="10804" xr:uid="{00000000-0005-0000-0000-000058260000}"/>
    <cellStyle name="Normal 3 15 4" xfId="10805" xr:uid="{00000000-0005-0000-0000-000059260000}"/>
    <cellStyle name="Normal 3 16" xfId="313" xr:uid="{00000000-0005-0000-0000-00005A260000}"/>
    <cellStyle name="Normal 3 16 2" xfId="10806" xr:uid="{00000000-0005-0000-0000-00005B260000}"/>
    <cellStyle name="Normal 3 16 3" xfId="10807" xr:uid="{00000000-0005-0000-0000-00005C260000}"/>
    <cellStyle name="Normal 3 16 4" xfId="10808" xr:uid="{00000000-0005-0000-0000-00005D260000}"/>
    <cellStyle name="Normal 3 17" xfId="331" xr:uid="{00000000-0005-0000-0000-00005E260000}"/>
    <cellStyle name="Normal 3 17 2" xfId="10809" xr:uid="{00000000-0005-0000-0000-00005F260000}"/>
    <cellStyle name="Normal 3 17 3" xfId="10810" xr:uid="{00000000-0005-0000-0000-000060260000}"/>
    <cellStyle name="Normal 3 17 4" xfId="10811" xr:uid="{00000000-0005-0000-0000-000061260000}"/>
    <cellStyle name="Normal 3 18" xfId="347" xr:uid="{00000000-0005-0000-0000-000062260000}"/>
    <cellStyle name="Normal 3 18 2" xfId="10812" xr:uid="{00000000-0005-0000-0000-000063260000}"/>
    <cellStyle name="Normal 3 18 3" xfId="10813" xr:uid="{00000000-0005-0000-0000-000064260000}"/>
    <cellStyle name="Normal 3 18 4" xfId="10814" xr:uid="{00000000-0005-0000-0000-000065260000}"/>
    <cellStyle name="Normal 3 19" xfId="365" xr:uid="{00000000-0005-0000-0000-000066260000}"/>
    <cellStyle name="Normal 3 19 2" xfId="10815" xr:uid="{00000000-0005-0000-0000-000067260000}"/>
    <cellStyle name="Normal 3 19 3" xfId="10816" xr:uid="{00000000-0005-0000-0000-000068260000}"/>
    <cellStyle name="Normal 3 19 4" xfId="10817" xr:uid="{00000000-0005-0000-0000-000069260000}"/>
    <cellStyle name="Normal 3 2" xfId="49" xr:uid="{00000000-0005-0000-0000-00006A260000}"/>
    <cellStyle name="Normal 3 2 2" xfId="10818" xr:uid="{00000000-0005-0000-0000-00006B260000}"/>
    <cellStyle name="Normal 3 2 3" xfId="10819" xr:uid="{00000000-0005-0000-0000-00006C260000}"/>
    <cellStyle name="Normal 3 2 4" xfId="10820" xr:uid="{00000000-0005-0000-0000-00006D260000}"/>
    <cellStyle name="Normal 3 2 5" xfId="11022" xr:uid="{00000000-0005-0000-0000-00006E260000}"/>
    <cellStyle name="Normal 3 20" xfId="385" xr:uid="{00000000-0005-0000-0000-00006F260000}"/>
    <cellStyle name="Normal 3 20 2" xfId="10821" xr:uid="{00000000-0005-0000-0000-000070260000}"/>
    <cellStyle name="Normal 3 20 3" xfId="10822" xr:uid="{00000000-0005-0000-0000-000071260000}"/>
    <cellStyle name="Normal 3 20 4" xfId="10823" xr:uid="{00000000-0005-0000-0000-000072260000}"/>
    <cellStyle name="Normal 3 21" xfId="403" xr:uid="{00000000-0005-0000-0000-000073260000}"/>
    <cellStyle name="Normal 3 21 2" xfId="10824" xr:uid="{00000000-0005-0000-0000-000074260000}"/>
    <cellStyle name="Normal 3 21 3" xfId="10825" xr:uid="{00000000-0005-0000-0000-000075260000}"/>
    <cellStyle name="Normal 3 21 4" xfId="10826" xr:uid="{00000000-0005-0000-0000-000076260000}"/>
    <cellStyle name="Normal 3 22" xfId="421" xr:uid="{00000000-0005-0000-0000-000077260000}"/>
    <cellStyle name="Normal 3 22 2" xfId="10827" xr:uid="{00000000-0005-0000-0000-000078260000}"/>
    <cellStyle name="Normal 3 22 3" xfId="10828" xr:uid="{00000000-0005-0000-0000-000079260000}"/>
    <cellStyle name="Normal 3 22 4" xfId="10829" xr:uid="{00000000-0005-0000-0000-00007A260000}"/>
    <cellStyle name="Normal 3 23" xfId="439" xr:uid="{00000000-0005-0000-0000-00007B260000}"/>
    <cellStyle name="Normal 3 23 2" xfId="10830" xr:uid="{00000000-0005-0000-0000-00007C260000}"/>
    <cellStyle name="Normal 3 23 3" xfId="10831" xr:uid="{00000000-0005-0000-0000-00007D260000}"/>
    <cellStyle name="Normal 3 23 4" xfId="10832" xr:uid="{00000000-0005-0000-0000-00007E260000}"/>
    <cellStyle name="Normal 3 24" xfId="457" xr:uid="{00000000-0005-0000-0000-00007F260000}"/>
    <cellStyle name="Normal 3 24 2" xfId="10833" xr:uid="{00000000-0005-0000-0000-000080260000}"/>
    <cellStyle name="Normal 3 24 3" xfId="10834" xr:uid="{00000000-0005-0000-0000-000081260000}"/>
    <cellStyle name="Normal 3 24 4" xfId="10835" xr:uid="{00000000-0005-0000-0000-000082260000}"/>
    <cellStyle name="Normal 3 25" xfId="475" xr:uid="{00000000-0005-0000-0000-000083260000}"/>
    <cellStyle name="Normal 3 25 2" xfId="10836" xr:uid="{00000000-0005-0000-0000-000084260000}"/>
    <cellStyle name="Normal 3 25 3" xfId="10837" xr:uid="{00000000-0005-0000-0000-000085260000}"/>
    <cellStyle name="Normal 3 25 4" xfId="10838" xr:uid="{00000000-0005-0000-0000-000086260000}"/>
    <cellStyle name="Normal 3 26" xfId="493" xr:uid="{00000000-0005-0000-0000-000087260000}"/>
    <cellStyle name="Normal 3 26 2" xfId="10839" xr:uid="{00000000-0005-0000-0000-000088260000}"/>
    <cellStyle name="Normal 3 26 3" xfId="10840" xr:uid="{00000000-0005-0000-0000-000089260000}"/>
    <cellStyle name="Normal 3 26 4" xfId="10841" xr:uid="{00000000-0005-0000-0000-00008A260000}"/>
    <cellStyle name="Normal 3 27" xfId="511" xr:uid="{00000000-0005-0000-0000-00008B260000}"/>
    <cellStyle name="Normal 3 27 2" xfId="10842" xr:uid="{00000000-0005-0000-0000-00008C260000}"/>
    <cellStyle name="Normal 3 27 3" xfId="10843" xr:uid="{00000000-0005-0000-0000-00008D260000}"/>
    <cellStyle name="Normal 3 27 4" xfId="10844" xr:uid="{00000000-0005-0000-0000-00008E260000}"/>
    <cellStyle name="Normal 3 28" xfId="529" xr:uid="{00000000-0005-0000-0000-00008F260000}"/>
    <cellStyle name="Normal 3 28 2" xfId="10845" xr:uid="{00000000-0005-0000-0000-000090260000}"/>
    <cellStyle name="Normal 3 28 3" xfId="10846" xr:uid="{00000000-0005-0000-0000-000091260000}"/>
    <cellStyle name="Normal 3 28 4" xfId="10847" xr:uid="{00000000-0005-0000-0000-000092260000}"/>
    <cellStyle name="Normal 3 29" xfId="547" xr:uid="{00000000-0005-0000-0000-000093260000}"/>
    <cellStyle name="Normal 3 29 2" xfId="10848" xr:uid="{00000000-0005-0000-0000-000094260000}"/>
    <cellStyle name="Normal 3 29 3" xfId="10849" xr:uid="{00000000-0005-0000-0000-000095260000}"/>
    <cellStyle name="Normal 3 29 4" xfId="10850" xr:uid="{00000000-0005-0000-0000-000096260000}"/>
    <cellStyle name="Normal 3 3" xfId="92" xr:uid="{00000000-0005-0000-0000-000097260000}"/>
    <cellStyle name="Normal 3 3 2" xfId="10851" xr:uid="{00000000-0005-0000-0000-000098260000}"/>
    <cellStyle name="Normal 3 3 3" xfId="10852" xr:uid="{00000000-0005-0000-0000-000099260000}"/>
    <cellStyle name="Normal 3 3 4" xfId="10853" xr:uid="{00000000-0005-0000-0000-00009A260000}"/>
    <cellStyle name="Normal 3 30" xfId="565" xr:uid="{00000000-0005-0000-0000-00009B260000}"/>
    <cellStyle name="Normal 3 30 2" xfId="10854" xr:uid="{00000000-0005-0000-0000-00009C260000}"/>
    <cellStyle name="Normal 3 30 3" xfId="10855" xr:uid="{00000000-0005-0000-0000-00009D260000}"/>
    <cellStyle name="Normal 3 30 4" xfId="10856" xr:uid="{00000000-0005-0000-0000-00009E260000}"/>
    <cellStyle name="Normal 3 31" xfId="583" xr:uid="{00000000-0005-0000-0000-00009F260000}"/>
    <cellStyle name="Normal 3 31 2" xfId="10857" xr:uid="{00000000-0005-0000-0000-0000A0260000}"/>
    <cellStyle name="Normal 3 31 3" xfId="10858" xr:uid="{00000000-0005-0000-0000-0000A1260000}"/>
    <cellStyle name="Normal 3 31 4" xfId="10859" xr:uid="{00000000-0005-0000-0000-0000A2260000}"/>
    <cellStyle name="Normal 3 32" xfId="601" xr:uid="{00000000-0005-0000-0000-0000A3260000}"/>
    <cellStyle name="Normal 3 32 2" xfId="10860" xr:uid="{00000000-0005-0000-0000-0000A4260000}"/>
    <cellStyle name="Normal 3 32 3" xfId="10861" xr:uid="{00000000-0005-0000-0000-0000A5260000}"/>
    <cellStyle name="Normal 3 32 4" xfId="10862" xr:uid="{00000000-0005-0000-0000-0000A6260000}"/>
    <cellStyle name="Normal 3 33" xfId="619" xr:uid="{00000000-0005-0000-0000-0000A7260000}"/>
    <cellStyle name="Normal 3 33 2" xfId="10863" xr:uid="{00000000-0005-0000-0000-0000A8260000}"/>
    <cellStyle name="Normal 3 33 3" xfId="10864" xr:uid="{00000000-0005-0000-0000-0000A9260000}"/>
    <cellStyle name="Normal 3 33 4" xfId="10865" xr:uid="{00000000-0005-0000-0000-0000AA260000}"/>
    <cellStyle name="Normal 3 34" xfId="637" xr:uid="{00000000-0005-0000-0000-0000AB260000}"/>
    <cellStyle name="Normal 3 34 2" xfId="10866" xr:uid="{00000000-0005-0000-0000-0000AC260000}"/>
    <cellStyle name="Normal 3 34 3" xfId="10867" xr:uid="{00000000-0005-0000-0000-0000AD260000}"/>
    <cellStyle name="Normal 3 34 4" xfId="10868" xr:uid="{00000000-0005-0000-0000-0000AE260000}"/>
    <cellStyle name="Normal 3 35" xfId="655" xr:uid="{00000000-0005-0000-0000-0000AF260000}"/>
    <cellStyle name="Normal 3 35 2" xfId="10869" xr:uid="{00000000-0005-0000-0000-0000B0260000}"/>
    <cellStyle name="Normal 3 35 3" xfId="10870" xr:uid="{00000000-0005-0000-0000-0000B1260000}"/>
    <cellStyle name="Normal 3 35 4" xfId="10871" xr:uid="{00000000-0005-0000-0000-0000B2260000}"/>
    <cellStyle name="Normal 3 36" xfId="673" xr:uid="{00000000-0005-0000-0000-0000B3260000}"/>
    <cellStyle name="Normal 3 36 2" xfId="10872" xr:uid="{00000000-0005-0000-0000-0000B4260000}"/>
    <cellStyle name="Normal 3 36 3" xfId="10873" xr:uid="{00000000-0005-0000-0000-0000B5260000}"/>
    <cellStyle name="Normal 3 36 4" xfId="10874" xr:uid="{00000000-0005-0000-0000-0000B6260000}"/>
    <cellStyle name="Normal 3 37" xfId="691" xr:uid="{00000000-0005-0000-0000-0000B7260000}"/>
    <cellStyle name="Normal 3 37 2" xfId="10875" xr:uid="{00000000-0005-0000-0000-0000B8260000}"/>
    <cellStyle name="Normal 3 37 3" xfId="10876" xr:uid="{00000000-0005-0000-0000-0000B9260000}"/>
    <cellStyle name="Normal 3 37 4" xfId="10877" xr:uid="{00000000-0005-0000-0000-0000BA260000}"/>
    <cellStyle name="Normal 3 38" xfId="709" xr:uid="{00000000-0005-0000-0000-0000BB260000}"/>
    <cellStyle name="Normal 3 38 2" xfId="10878" xr:uid="{00000000-0005-0000-0000-0000BC260000}"/>
    <cellStyle name="Normal 3 38 3" xfId="10879" xr:uid="{00000000-0005-0000-0000-0000BD260000}"/>
    <cellStyle name="Normal 3 38 4" xfId="10880" xr:uid="{00000000-0005-0000-0000-0000BE260000}"/>
    <cellStyle name="Normal 3 39" xfId="725" xr:uid="{00000000-0005-0000-0000-0000BF260000}"/>
    <cellStyle name="Normal 3 39 2" xfId="10881" xr:uid="{00000000-0005-0000-0000-0000C0260000}"/>
    <cellStyle name="Normal 3 39 3" xfId="10882" xr:uid="{00000000-0005-0000-0000-0000C1260000}"/>
    <cellStyle name="Normal 3 39 4" xfId="10883" xr:uid="{00000000-0005-0000-0000-0000C2260000}"/>
    <cellStyle name="Normal 3 4" xfId="109" xr:uid="{00000000-0005-0000-0000-0000C3260000}"/>
    <cellStyle name="Normal 3 4 2" xfId="10884" xr:uid="{00000000-0005-0000-0000-0000C4260000}"/>
    <cellStyle name="Normal 3 4 3" xfId="10885" xr:uid="{00000000-0005-0000-0000-0000C5260000}"/>
    <cellStyle name="Normal 3 4 4" xfId="10886" xr:uid="{00000000-0005-0000-0000-0000C6260000}"/>
    <cellStyle name="Normal 3 40" xfId="742" xr:uid="{00000000-0005-0000-0000-0000C7260000}"/>
    <cellStyle name="Normal 3 40 2" xfId="10887" xr:uid="{00000000-0005-0000-0000-0000C8260000}"/>
    <cellStyle name="Normal 3 40 3" xfId="10888" xr:uid="{00000000-0005-0000-0000-0000C9260000}"/>
    <cellStyle name="Normal 3 40 4" xfId="10889" xr:uid="{00000000-0005-0000-0000-0000CA260000}"/>
    <cellStyle name="Normal 3 41" xfId="763" xr:uid="{00000000-0005-0000-0000-0000CB260000}"/>
    <cellStyle name="Normal 3 41 2" xfId="10890" xr:uid="{00000000-0005-0000-0000-0000CC260000}"/>
    <cellStyle name="Normal 3 41 3" xfId="10891" xr:uid="{00000000-0005-0000-0000-0000CD260000}"/>
    <cellStyle name="Normal 3 41 4" xfId="10892" xr:uid="{00000000-0005-0000-0000-0000CE260000}"/>
    <cellStyle name="Normal 3 42" xfId="781" xr:uid="{00000000-0005-0000-0000-0000CF260000}"/>
    <cellStyle name="Normal 3 42 2" xfId="10893" xr:uid="{00000000-0005-0000-0000-0000D0260000}"/>
    <cellStyle name="Normal 3 42 3" xfId="10894" xr:uid="{00000000-0005-0000-0000-0000D1260000}"/>
    <cellStyle name="Normal 3 42 4" xfId="10895" xr:uid="{00000000-0005-0000-0000-0000D2260000}"/>
    <cellStyle name="Normal 3 43" xfId="799" xr:uid="{00000000-0005-0000-0000-0000D3260000}"/>
    <cellStyle name="Normal 3 43 2" xfId="10896" xr:uid="{00000000-0005-0000-0000-0000D4260000}"/>
    <cellStyle name="Normal 3 43 3" xfId="10897" xr:uid="{00000000-0005-0000-0000-0000D5260000}"/>
    <cellStyle name="Normal 3 43 4" xfId="10898" xr:uid="{00000000-0005-0000-0000-0000D6260000}"/>
    <cellStyle name="Normal 3 44" xfId="817" xr:uid="{00000000-0005-0000-0000-0000D7260000}"/>
    <cellStyle name="Normal 3 44 2" xfId="10899" xr:uid="{00000000-0005-0000-0000-0000D8260000}"/>
    <cellStyle name="Normal 3 44 3" xfId="10900" xr:uid="{00000000-0005-0000-0000-0000D9260000}"/>
    <cellStyle name="Normal 3 44 4" xfId="10901" xr:uid="{00000000-0005-0000-0000-0000DA260000}"/>
    <cellStyle name="Normal 3 45" xfId="835" xr:uid="{00000000-0005-0000-0000-0000DB260000}"/>
    <cellStyle name="Normal 3 45 2" xfId="10902" xr:uid="{00000000-0005-0000-0000-0000DC260000}"/>
    <cellStyle name="Normal 3 45 3" xfId="10903" xr:uid="{00000000-0005-0000-0000-0000DD260000}"/>
    <cellStyle name="Normal 3 45 4" xfId="10904" xr:uid="{00000000-0005-0000-0000-0000DE260000}"/>
    <cellStyle name="Normal 3 46" xfId="853" xr:uid="{00000000-0005-0000-0000-0000DF260000}"/>
    <cellStyle name="Normal 3 46 2" xfId="10905" xr:uid="{00000000-0005-0000-0000-0000E0260000}"/>
    <cellStyle name="Normal 3 46 3" xfId="10906" xr:uid="{00000000-0005-0000-0000-0000E1260000}"/>
    <cellStyle name="Normal 3 46 4" xfId="10907" xr:uid="{00000000-0005-0000-0000-0000E2260000}"/>
    <cellStyle name="Normal 3 47" xfId="871" xr:uid="{00000000-0005-0000-0000-0000E3260000}"/>
    <cellStyle name="Normal 3 47 2" xfId="10908" xr:uid="{00000000-0005-0000-0000-0000E4260000}"/>
    <cellStyle name="Normal 3 47 3" xfId="10909" xr:uid="{00000000-0005-0000-0000-0000E5260000}"/>
    <cellStyle name="Normal 3 47 4" xfId="10910" xr:uid="{00000000-0005-0000-0000-0000E6260000}"/>
    <cellStyle name="Normal 3 48" xfId="889" xr:uid="{00000000-0005-0000-0000-0000E7260000}"/>
    <cellStyle name="Normal 3 48 2" xfId="10911" xr:uid="{00000000-0005-0000-0000-0000E8260000}"/>
    <cellStyle name="Normal 3 48 3" xfId="10912" xr:uid="{00000000-0005-0000-0000-0000E9260000}"/>
    <cellStyle name="Normal 3 48 4" xfId="10913" xr:uid="{00000000-0005-0000-0000-0000EA260000}"/>
    <cellStyle name="Normal 3 49" xfId="906" xr:uid="{00000000-0005-0000-0000-0000EB260000}"/>
    <cellStyle name="Normal 3 49 2" xfId="10914" xr:uid="{00000000-0005-0000-0000-0000EC260000}"/>
    <cellStyle name="Normal 3 49 3" xfId="10915" xr:uid="{00000000-0005-0000-0000-0000ED260000}"/>
    <cellStyle name="Normal 3 49 4" xfId="10916" xr:uid="{00000000-0005-0000-0000-0000EE260000}"/>
    <cellStyle name="Normal 3 5" xfId="126" xr:uid="{00000000-0005-0000-0000-0000EF260000}"/>
    <cellStyle name="Normal 3 5 2" xfId="10917" xr:uid="{00000000-0005-0000-0000-0000F0260000}"/>
    <cellStyle name="Normal 3 5 3" xfId="10918" xr:uid="{00000000-0005-0000-0000-0000F1260000}"/>
    <cellStyle name="Normal 3 5 4" xfId="10919" xr:uid="{00000000-0005-0000-0000-0000F2260000}"/>
    <cellStyle name="Normal 3 50" xfId="924" xr:uid="{00000000-0005-0000-0000-0000F3260000}"/>
    <cellStyle name="Normal 3 50 2" xfId="10920" xr:uid="{00000000-0005-0000-0000-0000F4260000}"/>
    <cellStyle name="Normal 3 50 3" xfId="10921" xr:uid="{00000000-0005-0000-0000-0000F5260000}"/>
    <cellStyle name="Normal 3 50 4" xfId="10922" xr:uid="{00000000-0005-0000-0000-0000F6260000}"/>
    <cellStyle name="Normal 3 51" xfId="943" xr:uid="{00000000-0005-0000-0000-0000F7260000}"/>
    <cellStyle name="Normal 3 51 2" xfId="10923" xr:uid="{00000000-0005-0000-0000-0000F8260000}"/>
    <cellStyle name="Normal 3 51 3" xfId="10924" xr:uid="{00000000-0005-0000-0000-0000F9260000}"/>
    <cellStyle name="Normal 3 51 4" xfId="10925" xr:uid="{00000000-0005-0000-0000-0000FA260000}"/>
    <cellStyle name="Normal 3 52" xfId="961" xr:uid="{00000000-0005-0000-0000-0000FB260000}"/>
    <cellStyle name="Normal 3 52 2" xfId="10926" xr:uid="{00000000-0005-0000-0000-0000FC260000}"/>
    <cellStyle name="Normal 3 52 3" xfId="10927" xr:uid="{00000000-0005-0000-0000-0000FD260000}"/>
    <cellStyle name="Normal 3 52 4" xfId="10928" xr:uid="{00000000-0005-0000-0000-0000FE260000}"/>
    <cellStyle name="Normal 3 53" xfId="979" xr:uid="{00000000-0005-0000-0000-0000FF260000}"/>
    <cellStyle name="Normal 3 53 2" xfId="10929" xr:uid="{00000000-0005-0000-0000-000000270000}"/>
    <cellStyle name="Normal 3 53 3" xfId="10930" xr:uid="{00000000-0005-0000-0000-000001270000}"/>
    <cellStyle name="Normal 3 53 4" xfId="10931" xr:uid="{00000000-0005-0000-0000-000002270000}"/>
    <cellStyle name="Normal 3 54" xfId="997" xr:uid="{00000000-0005-0000-0000-000003270000}"/>
    <cellStyle name="Normal 3 54 2" xfId="10932" xr:uid="{00000000-0005-0000-0000-000004270000}"/>
    <cellStyle name="Normal 3 54 3" xfId="10933" xr:uid="{00000000-0005-0000-0000-000005270000}"/>
    <cellStyle name="Normal 3 54 4" xfId="10934" xr:uid="{00000000-0005-0000-0000-000006270000}"/>
    <cellStyle name="Normal 3 55" xfId="1015" xr:uid="{00000000-0005-0000-0000-000007270000}"/>
    <cellStyle name="Normal 3 55 2" xfId="10935" xr:uid="{00000000-0005-0000-0000-000008270000}"/>
    <cellStyle name="Normal 3 55 3" xfId="10936" xr:uid="{00000000-0005-0000-0000-000009270000}"/>
    <cellStyle name="Normal 3 55 4" xfId="10937" xr:uid="{00000000-0005-0000-0000-00000A270000}"/>
    <cellStyle name="Normal 3 56" xfId="1031" xr:uid="{00000000-0005-0000-0000-00000B270000}"/>
    <cellStyle name="Normal 3 56 2" xfId="10938" xr:uid="{00000000-0005-0000-0000-00000C270000}"/>
    <cellStyle name="Normal 3 56 3" xfId="10939" xr:uid="{00000000-0005-0000-0000-00000D270000}"/>
    <cellStyle name="Normal 3 56 4" xfId="10940" xr:uid="{00000000-0005-0000-0000-00000E270000}"/>
    <cellStyle name="Normal 3 57" xfId="1049" xr:uid="{00000000-0005-0000-0000-00000F270000}"/>
    <cellStyle name="Normal 3 57 2" xfId="10941" xr:uid="{00000000-0005-0000-0000-000010270000}"/>
    <cellStyle name="Normal 3 57 3" xfId="10942" xr:uid="{00000000-0005-0000-0000-000011270000}"/>
    <cellStyle name="Normal 3 57 4" xfId="10943" xr:uid="{00000000-0005-0000-0000-000012270000}"/>
    <cellStyle name="Normal 3 58" xfId="1067" xr:uid="{00000000-0005-0000-0000-000013270000}"/>
    <cellStyle name="Normal 3 58 2" xfId="10944" xr:uid="{00000000-0005-0000-0000-000014270000}"/>
    <cellStyle name="Normal 3 58 3" xfId="10945" xr:uid="{00000000-0005-0000-0000-000015270000}"/>
    <cellStyle name="Normal 3 58 4" xfId="10946" xr:uid="{00000000-0005-0000-0000-000016270000}"/>
    <cellStyle name="Normal 3 59" xfId="1085" xr:uid="{00000000-0005-0000-0000-000017270000}"/>
    <cellStyle name="Normal 3 59 2" xfId="10947" xr:uid="{00000000-0005-0000-0000-000018270000}"/>
    <cellStyle name="Normal 3 59 3" xfId="10948" xr:uid="{00000000-0005-0000-0000-000019270000}"/>
    <cellStyle name="Normal 3 59 4" xfId="10949" xr:uid="{00000000-0005-0000-0000-00001A270000}"/>
    <cellStyle name="Normal 3 6" xfId="143" xr:uid="{00000000-0005-0000-0000-00001B270000}"/>
    <cellStyle name="Normal 3 6 2" xfId="10950" xr:uid="{00000000-0005-0000-0000-00001C270000}"/>
    <cellStyle name="Normal 3 6 3" xfId="10951" xr:uid="{00000000-0005-0000-0000-00001D270000}"/>
    <cellStyle name="Normal 3 6 4" xfId="10952" xr:uid="{00000000-0005-0000-0000-00001E270000}"/>
    <cellStyle name="Normal 3 60" xfId="1104" xr:uid="{00000000-0005-0000-0000-00001F270000}"/>
    <cellStyle name="Normal 3 60 2" xfId="10953" xr:uid="{00000000-0005-0000-0000-000020270000}"/>
    <cellStyle name="Normal 3 60 3" xfId="10954" xr:uid="{00000000-0005-0000-0000-000021270000}"/>
    <cellStyle name="Normal 3 60 4" xfId="10955" xr:uid="{00000000-0005-0000-0000-000022270000}"/>
    <cellStyle name="Normal 3 61" xfId="1122" xr:uid="{00000000-0005-0000-0000-000023270000}"/>
    <cellStyle name="Normal 3 61 2" xfId="10956" xr:uid="{00000000-0005-0000-0000-000024270000}"/>
    <cellStyle name="Normal 3 61 3" xfId="10957" xr:uid="{00000000-0005-0000-0000-000025270000}"/>
    <cellStyle name="Normal 3 61 4" xfId="10958" xr:uid="{00000000-0005-0000-0000-000026270000}"/>
    <cellStyle name="Normal 3 62" xfId="1140" xr:uid="{00000000-0005-0000-0000-000027270000}"/>
    <cellStyle name="Normal 3 62 2" xfId="10959" xr:uid="{00000000-0005-0000-0000-000028270000}"/>
    <cellStyle name="Normal 3 62 3" xfId="10960" xr:uid="{00000000-0005-0000-0000-000029270000}"/>
    <cellStyle name="Normal 3 62 4" xfId="10961" xr:uid="{00000000-0005-0000-0000-00002A270000}"/>
    <cellStyle name="Normal 3 63" xfId="1156" xr:uid="{00000000-0005-0000-0000-00002B270000}"/>
    <cellStyle name="Normal 3 63 2" xfId="10962" xr:uid="{00000000-0005-0000-0000-00002C270000}"/>
    <cellStyle name="Normal 3 63 3" xfId="10963" xr:uid="{00000000-0005-0000-0000-00002D270000}"/>
    <cellStyle name="Normal 3 63 4" xfId="10964" xr:uid="{00000000-0005-0000-0000-00002E270000}"/>
    <cellStyle name="Normal 3 64" xfId="1174" xr:uid="{00000000-0005-0000-0000-00002F270000}"/>
    <cellStyle name="Normal 3 64 2" xfId="10965" xr:uid="{00000000-0005-0000-0000-000030270000}"/>
    <cellStyle name="Normal 3 64 3" xfId="10966" xr:uid="{00000000-0005-0000-0000-000031270000}"/>
    <cellStyle name="Normal 3 64 4" xfId="10967" xr:uid="{00000000-0005-0000-0000-000032270000}"/>
    <cellStyle name="Normal 3 65" xfId="1193" xr:uid="{00000000-0005-0000-0000-000033270000}"/>
    <cellStyle name="Normal 3 65 2" xfId="10968" xr:uid="{00000000-0005-0000-0000-000034270000}"/>
    <cellStyle name="Normal 3 65 3" xfId="10969" xr:uid="{00000000-0005-0000-0000-000035270000}"/>
    <cellStyle name="Normal 3 65 4" xfId="10970" xr:uid="{00000000-0005-0000-0000-000036270000}"/>
    <cellStyle name="Normal 3 66" xfId="1211" xr:uid="{00000000-0005-0000-0000-000037270000}"/>
    <cellStyle name="Normal 3 66 2" xfId="10971" xr:uid="{00000000-0005-0000-0000-000038270000}"/>
    <cellStyle name="Normal 3 66 3" xfId="10972" xr:uid="{00000000-0005-0000-0000-000039270000}"/>
    <cellStyle name="Normal 3 66 4" xfId="10973" xr:uid="{00000000-0005-0000-0000-00003A270000}"/>
    <cellStyle name="Normal 3 67" xfId="1227" xr:uid="{00000000-0005-0000-0000-00003B270000}"/>
    <cellStyle name="Normal 3 67 2" xfId="10974" xr:uid="{00000000-0005-0000-0000-00003C270000}"/>
    <cellStyle name="Normal 3 67 3" xfId="10975" xr:uid="{00000000-0005-0000-0000-00003D270000}"/>
    <cellStyle name="Normal 3 67 4" xfId="10976" xr:uid="{00000000-0005-0000-0000-00003E270000}"/>
    <cellStyle name="Normal 3 68" xfId="1243" xr:uid="{00000000-0005-0000-0000-00003F270000}"/>
    <cellStyle name="Normal 3 68 2" xfId="10977" xr:uid="{00000000-0005-0000-0000-000040270000}"/>
    <cellStyle name="Normal 3 68 3" xfId="10978" xr:uid="{00000000-0005-0000-0000-000041270000}"/>
    <cellStyle name="Normal 3 68 4" xfId="10979" xr:uid="{00000000-0005-0000-0000-000042270000}"/>
    <cellStyle name="Normal 3 69" xfId="1259" xr:uid="{00000000-0005-0000-0000-000043270000}"/>
    <cellStyle name="Normal 3 69 2" xfId="10980" xr:uid="{00000000-0005-0000-0000-000044270000}"/>
    <cellStyle name="Normal 3 69 3" xfId="10981" xr:uid="{00000000-0005-0000-0000-000045270000}"/>
    <cellStyle name="Normal 3 69 4" xfId="10982" xr:uid="{00000000-0005-0000-0000-000046270000}"/>
    <cellStyle name="Normal 3 7" xfId="160" xr:uid="{00000000-0005-0000-0000-000047270000}"/>
    <cellStyle name="Normal 3 7 2" xfId="10983" xr:uid="{00000000-0005-0000-0000-000048270000}"/>
    <cellStyle name="Normal 3 7 3" xfId="10984" xr:uid="{00000000-0005-0000-0000-000049270000}"/>
    <cellStyle name="Normal 3 7 4" xfId="10985" xr:uid="{00000000-0005-0000-0000-00004A270000}"/>
    <cellStyle name="Normal 3 70" xfId="1276" xr:uid="{00000000-0005-0000-0000-00004B270000}"/>
    <cellStyle name="Normal 3 70 2" xfId="10986" xr:uid="{00000000-0005-0000-0000-00004C270000}"/>
    <cellStyle name="Normal 3 70 3" xfId="10987" xr:uid="{00000000-0005-0000-0000-00004D270000}"/>
    <cellStyle name="Normal 3 70 4" xfId="10988" xr:uid="{00000000-0005-0000-0000-00004E270000}"/>
    <cellStyle name="Normal 3 71" xfId="1287" xr:uid="{00000000-0005-0000-0000-00004F270000}"/>
    <cellStyle name="Normal 3 71 2" xfId="10989" xr:uid="{00000000-0005-0000-0000-000050270000}"/>
    <cellStyle name="Normal 3 71 3" xfId="10990" xr:uid="{00000000-0005-0000-0000-000051270000}"/>
    <cellStyle name="Normal 3 71 4" xfId="10991" xr:uid="{00000000-0005-0000-0000-000052270000}"/>
    <cellStyle name="Normal 3 72" xfId="1295" xr:uid="{00000000-0005-0000-0000-000053270000}"/>
    <cellStyle name="Normal 3 72 2" xfId="10992" xr:uid="{00000000-0005-0000-0000-000054270000}"/>
    <cellStyle name="Normal 3 72 3" xfId="10993" xr:uid="{00000000-0005-0000-0000-000055270000}"/>
    <cellStyle name="Normal 3 72 4" xfId="10994" xr:uid="{00000000-0005-0000-0000-000056270000}"/>
    <cellStyle name="Normal 3 74" xfId="11021" xr:uid="{00000000-0005-0000-0000-000057270000}"/>
    <cellStyle name="Normal 3 8" xfId="177" xr:uid="{00000000-0005-0000-0000-000058270000}"/>
    <cellStyle name="Normal 3 8 2" xfId="10995" xr:uid="{00000000-0005-0000-0000-000059270000}"/>
    <cellStyle name="Normal 3 8 3" xfId="10996" xr:uid="{00000000-0005-0000-0000-00005A270000}"/>
    <cellStyle name="Normal 3 8 4" xfId="10997" xr:uid="{00000000-0005-0000-0000-00005B270000}"/>
    <cellStyle name="Normal 3 9" xfId="194" xr:uid="{00000000-0005-0000-0000-00005C270000}"/>
    <cellStyle name="Normal 3 9 2" xfId="10998" xr:uid="{00000000-0005-0000-0000-00005D270000}"/>
    <cellStyle name="Normal 3 9 3" xfId="10999" xr:uid="{00000000-0005-0000-0000-00005E270000}"/>
    <cellStyle name="Normal 3 9 4" xfId="11000" xr:uid="{00000000-0005-0000-0000-00005F270000}"/>
    <cellStyle name="Normal 30" xfId="470" xr:uid="{00000000-0005-0000-0000-000060270000}"/>
    <cellStyle name="Normal 31" xfId="488" xr:uid="{00000000-0005-0000-0000-000061270000}"/>
    <cellStyle name="Normal 32" xfId="506" xr:uid="{00000000-0005-0000-0000-000062270000}"/>
    <cellStyle name="Normal 33" xfId="524" xr:uid="{00000000-0005-0000-0000-000063270000}"/>
    <cellStyle name="Normal 34" xfId="542" xr:uid="{00000000-0005-0000-0000-000064270000}"/>
    <cellStyle name="Normal 35" xfId="560" xr:uid="{00000000-0005-0000-0000-000065270000}"/>
    <cellStyle name="Normal 36" xfId="578" xr:uid="{00000000-0005-0000-0000-000066270000}"/>
    <cellStyle name="Normal 37" xfId="596" xr:uid="{00000000-0005-0000-0000-000067270000}"/>
    <cellStyle name="Normal 38" xfId="614" xr:uid="{00000000-0005-0000-0000-000068270000}"/>
    <cellStyle name="Normal 39" xfId="632" xr:uid="{00000000-0005-0000-0000-000069270000}"/>
    <cellStyle name="Normal 4" xfId="42" xr:uid="{00000000-0005-0000-0000-00006A270000}"/>
    <cellStyle name="Normal 40" xfId="650" xr:uid="{00000000-0005-0000-0000-00006B270000}"/>
    <cellStyle name="Normal 41" xfId="668" xr:uid="{00000000-0005-0000-0000-00006C270000}"/>
    <cellStyle name="Normal 42" xfId="686" xr:uid="{00000000-0005-0000-0000-00006D270000}"/>
    <cellStyle name="Normal 43" xfId="704" xr:uid="{00000000-0005-0000-0000-00006E270000}"/>
    <cellStyle name="Normal 44" xfId="350" xr:uid="{00000000-0005-0000-0000-00006F270000}"/>
    <cellStyle name="Normal 45" xfId="700" xr:uid="{00000000-0005-0000-0000-000070270000}"/>
    <cellStyle name="Normal 46" xfId="758" xr:uid="{00000000-0005-0000-0000-000071270000}"/>
    <cellStyle name="Normal 47" xfId="776" xr:uid="{00000000-0005-0000-0000-000072270000}"/>
    <cellStyle name="Normal 48" xfId="794" xr:uid="{00000000-0005-0000-0000-000073270000}"/>
    <cellStyle name="Normal 49" xfId="812" xr:uid="{00000000-0005-0000-0000-000074270000}"/>
    <cellStyle name="Normal 5" xfId="46" xr:uid="{00000000-0005-0000-0000-000075270000}"/>
    <cellStyle name="Normal 5 2" xfId="1299" xr:uid="{00000000-0005-0000-0000-000076270000}"/>
    <cellStyle name="Normal 5 2 2" xfId="11017" xr:uid="{00000000-0005-0000-0000-000077270000}"/>
    <cellStyle name="Normal 50" xfId="830" xr:uid="{00000000-0005-0000-0000-000078270000}"/>
    <cellStyle name="Normal 51" xfId="848" xr:uid="{00000000-0005-0000-0000-000079270000}"/>
    <cellStyle name="Normal 52" xfId="866" xr:uid="{00000000-0005-0000-0000-00007A270000}"/>
    <cellStyle name="Normal 53" xfId="884" xr:uid="{00000000-0005-0000-0000-00007B270000}"/>
    <cellStyle name="Normal 54" xfId="333" xr:uid="{00000000-0005-0000-0000-00007C270000}"/>
    <cellStyle name="Normal 55" xfId="915" xr:uid="{00000000-0005-0000-0000-00007D270000}"/>
    <cellStyle name="Normal 56" xfId="938" xr:uid="{00000000-0005-0000-0000-00007E270000}"/>
    <cellStyle name="Normal 57" xfId="956" xr:uid="{00000000-0005-0000-0000-00007F270000}"/>
    <cellStyle name="Normal 58" xfId="974" xr:uid="{00000000-0005-0000-0000-000080270000}"/>
    <cellStyle name="Normal 59" xfId="992" xr:uid="{00000000-0005-0000-0000-000081270000}"/>
    <cellStyle name="Normal 6" xfId="54" xr:uid="{00000000-0005-0000-0000-000082270000}"/>
    <cellStyle name="Normal 6 10" xfId="9774" xr:uid="{00000000-0005-0000-0000-000083270000}"/>
    <cellStyle name="Normal 6 11" xfId="9775" xr:uid="{00000000-0005-0000-0000-000084270000}"/>
    <cellStyle name="Normal 6 12" xfId="9776" xr:uid="{00000000-0005-0000-0000-000085270000}"/>
    <cellStyle name="Normal 6 13" xfId="9777" xr:uid="{00000000-0005-0000-0000-000086270000}"/>
    <cellStyle name="Normal 6 14" xfId="9778" xr:uid="{00000000-0005-0000-0000-000087270000}"/>
    <cellStyle name="Normal 6 15" xfId="9779" xr:uid="{00000000-0005-0000-0000-000088270000}"/>
    <cellStyle name="Normal 6 16" xfId="9780" xr:uid="{00000000-0005-0000-0000-000089270000}"/>
    <cellStyle name="Normal 6 17" xfId="9781" xr:uid="{00000000-0005-0000-0000-00008A270000}"/>
    <cellStyle name="Normal 6 18" xfId="9782" xr:uid="{00000000-0005-0000-0000-00008B270000}"/>
    <cellStyle name="Normal 6 19" xfId="9783" xr:uid="{00000000-0005-0000-0000-00008C270000}"/>
    <cellStyle name="Normal 6 2" xfId="9784" xr:uid="{00000000-0005-0000-0000-00008D270000}"/>
    <cellStyle name="Normal 6 20" xfId="9785" xr:uid="{00000000-0005-0000-0000-00008E270000}"/>
    <cellStyle name="Normal 6 3" xfId="9786" xr:uid="{00000000-0005-0000-0000-00008F270000}"/>
    <cellStyle name="Normal 6 4" xfId="9787" xr:uid="{00000000-0005-0000-0000-000090270000}"/>
    <cellStyle name="Normal 6 5" xfId="9788" xr:uid="{00000000-0005-0000-0000-000091270000}"/>
    <cellStyle name="Normal 6 6" xfId="9789" xr:uid="{00000000-0005-0000-0000-000092270000}"/>
    <cellStyle name="Normal 6 7" xfId="9790" xr:uid="{00000000-0005-0000-0000-000093270000}"/>
    <cellStyle name="Normal 6 8" xfId="9791" xr:uid="{00000000-0005-0000-0000-000094270000}"/>
    <cellStyle name="Normal 6 9" xfId="9792" xr:uid="{00000000-0005-0000-0000-000095270000}"/>
    <cellStyle name="Normal 60" xfId="1010" xr:uid="{00000000-0005-0000-0000-000096270000}"/>
    <cellStyle name="Normal 61" xfId="891" xr:uid="{00000000-0005-0000-0000-000097270000}"/>
    <cellStyle name="Normal 62" xfId="1040" xr:uid="{00000000-0005-0000-0000-000098270000}"/>
    <cellStyle name="Normal 63" xfId="744" xr:uid="{00000000-0005-0000-0000-000099270000}"/>
    <cellStyle name="Normal 64" xfId="1076" xr:uid="{00000000-0005-0000-0000-00009A270000}"/>
    <cellStyle name="Normal 65" xfId="1099" xr:uid="{00000000-0005-0000-0000-00009B270000}"/>
    <cellStyle name="Normal 66" xfId="1117" xr:uid="{00000000-0005-0000-0000-00009C270000}"/>
    <cellStyle name="Normal 67" xfId="1135" xr:uid="{00000000-0005-0000-0000-00009D270000}"/>
    <cellStyle name="Normal 68" xfId="1050" xr:uid="{00000000-0005-0000-0000-00009E270000}"/>
    <cellStyle name="Normal 69" xfId="50" xr:uid="{00000000-0005-0000-0000-00009F270000}"/>
    <cellStyle name="Normal 69 10" xfId="235" xr:uid="{00000000-0005-0000-0000-0000A0270000}"/>
    <cellStyle name="Normal 69 11" xfId="252" xr:uid="{00000000-0005-0000-0000-0000A1270000}"/>
    <cellStyle name="Normal 69 12" xfId="269" xr:uid="{00000000-0005-0000-0000-0000A2270000}"/>
    <cellStyle name="Normal 69 13" xfId="286" xr:uid="{00000000-0005-0000-0000-0000A3270000}"/>
    <cellStyle name="Normal 69 14" xfId="303" xr:uid="{00000000-0005-0000-0000-0000A4270000}"/>
    <cellStyle name="Normal 69 15" xfId="320" xr:uid="{00000000-0005-0000-0000-0000A5270000}"/>
    <cellStyle name="Normal 69 16" xfId="338" xr:uid="{00000000-0005-0000-0000-0000A6270000}"/>
    <cellStyle name="Normal 69 17" xfId="354" xr:uid="{00000000-0005-0000-0000-0000A7270000}"/>
    <cellStyle name="Normal 69 18" xfId="369" xr:uid="{00000000-0005-0000-0000-0000A8270000}"/>
    <cellStyle name="Normal 69 19" xfId="392" xr:uid="{00000000-0005-0000-0000-0000A9270000}"/>
    <cellStyle name="Normal 69 2" xfId="99" xr:uid="{00000000-0005-0000-0000-0000AA270000}"/>
    <cellStyle name="Normal 69 20" xfId="410" xr:uid="{00000000-0005-0000-0000-0000AB270000}"/>
    <cellStyle name="Normal 69 21" xfId="428" xr:uid="{00000000-0005-0000-0000-0000AC270000}"/>
    <cellStyle name="Normal 69 22" xfId="446" xr:uid="{00000000-0005-0000-0000-0000AD270000}"/>
    <cellStyle name="Normal 69 23" xfId="464" xr:uid="{00000000-0005-0000-0000-0000AE270000}"/>
    <cellStyle name="Normal 69 24" xfId="482" xr:uid="{00000000-0005-0000-0000-0000AF270000}"/>
    <cellStyle name="Normal 69 25" xfId="500" xr:uid="{00000000-0005-0000-0000-0000B0270000}"/>
    <cellStyle name="Normal 69 26" xfId="518" xr:uid="{00000000-0005-0000-0000-0000B1270000}"/>
    <cellStyle name="Normal 69 27" xfId="536" xr:uid="{00000000-0005-0000-0000-0000B2270000}"/>
    <cellStyle name="Normal 69 28" xfId="554" xr:uid="{00000000-0005-0000-0000-0000B3270000}"/>
    <cellStyle name="Normal 69 29" xfId="572" xr:uid="{00000000-0005-0000-0000-0000B4270000}"/>
    <cellStyle name="Normal 69 3" xfId="116" xr:uid="{00000000-0005-0000-0000-0000B5270000}"/>
    <cellStyle name="Normal 69 30" xfId="590" xr:uid="{00000000-0005-0000-0000-0000B6270000}"/>
    <cellStyle name="Normal 69 31" xfId="608" xr:uid="{00000000-0005-0000-0000-0000B7270000}"/>
    <cellStyle name="Normal 69 32" xfId="626" xr:uid="{00000000-0005-0000-0000-0000B8270000}"/>
    <cellStyle name="Normal 69 33" xfId="644" xr:uid="{00000000-0005-0000-0000-0000B9270000}"/>
    <cellStyle name="Normal 69 34" xfId="662" xr:uid="{00000000-0005-0000-0000-0000BA270000}"/>
    <cellStyle name="Normal 69 35" xfId="680" xr:uid="{00000000-0005-0000-0000-0000BB270000}"/>
    <cellStyle name="Normal 69 36" xfId="698" xr:uid="{00000000-0005-0000-0000-0000BC270000}"/>
    <cellStyle name="Normal 69 37" xfId="715" xr:uid="{00000000-0005-0000-0000-0000BD270000}"/>
    <cellStyle name="Normal 69 38" xfId="731" xr:uid="{00000000-0005-0000-0000-0000BE270000}"/>
    <cellStyle name="Normal 69 39" xfId="748" xr:uid="{00000000-0005-0000-0000-0000BF270000}"/>
    <cellStyle name="Normal 69 4" xfId="133" xr:uid="{00000000-0005-0000-0000-0000C0270000}"/>
    <cellStyle name="Normal 69 40" xfId="770" xr:uid="{00000000-0005-0000-0000-0000C1270000}"/>
    <cellStyle name="Normal 69 41" xfId="788" xr:uid="{00000000-0005-0000-0000-0000C2270000}"/>
    <cellStyle name="Normal 69 42" xfId="806" xr:uid="{00000000-0005-0000-0000-0000C3270000}"/>
    <cellStyle name="Normal 69 43" xfId="824" xr:uid="{00000000-0005-0000-0000-0000C4270000}"/>
    <cellStyle name="Normal 69 44" xfId="842" xr:uid="{00000000-0005-0000-0000-0000C5270000}"/>
    <cellStyle name="Normal 69 45" xfId="860" xr:uid="{00000000-0005-0000-0000-0000C6270000}"/>
    <cellStyle name="Normal 69 46" xfId="878" xr:uid="{00000000-0005-0000-0000-0000C7270000}"/>
    <cellStyle name="Normal 69 47" xfId="896" xr:uid="{00000000-0005-0000-0000-0000C8270000}"/>
    <cellStyle name="Normal 69 48" xfId="913" xr:uid="{00000000-0005-0000-0000-0000C9270000}"/>
    <cellStyle name="Normal 69 49" xfId="931" xr:uid="{00000000-0005-0000-0000-0000CA270000}"/>
    <cellStyle name="Normal 69 5" xfId="150" xr:uid="{00000000-0005-0000-0000-0000CB270000}"/>
    <cellStyle name="Normal 69 50" xfId="950" xr:uid="{00000000-0005-0000-0000-0000CC270000}"/>
    <cellStyle name="Normal 69 51" xfId="968" xr:uid="{00000000-0005-0000-0000-0000CD270000}"/>
    <cellStyle name="Normal 69 52" xfId="986" xr:uid="{00000000-0005-0000-0000-0000CE270000}"/>
    <cellStyle name="Normal 69 53" xfId="1004" xr:uid="{00000000-0005-0000-0000-0000CF270000}"/>
    <cellStyle name="Normal 69 54" xfId="1021" xr:uid="{00000000-0005-0000-0000-0000D0270000}"/>
    <cellStyle name="Normal 69 55" xfId="1038" xr:uid="{00000000-0005-0000-0000-0000D1270000}"/>
    <cellStyle name="Normal 69 56" xfId="1056" xr:uid="{00000000-0005-0000-0000-0000D2270000}"/>
    <cellStyle name="Normal 69 57" xfId="1074" xr:uid="{00000000-0005-0000-0000-0000D3270000}"/>
    <cellStyle name="Normal 69 58" xfId="1092" xr:uid="{00000000-0005-0000-0000-0000D4270000}"/>
    <cellStyle name="Normal 69 59" xfId="1111" xr:uid="{00000000-0005-0000-0000-0000D5270000}"/>
    <cellStyle name="Normal 69 6" xfId="167" xr:uid="{00000000-0005-0000-0000-0000D6270000}"/>
    <cellStyle name="Normal 69 60" xfId="1129" xr:uid="{00000000-0005-0000-0000-0000D7270000}"/>
    <cellStyle name="Normal 69 61" xfId="1146" xr:uid="{00000000-0005-0000-0000-0000D8270000}"/>
    <cellStyle name="Normal 69 62" xfId="1163" xr:uid="{00000000-0005-0000-0000-0000D9270000}"/>
    <cellStyle name="Normal 69 63" xfId="1181" xr:uid="{00000000-0005-0000-0000-0000DA270000}"/>
    <cellStyle name="Normal 69 64" xfId="1200" xr:uid="{00000000-0005-0000-0000-0000DB270000}"/>
    <cellStyle name="Normal 69 65" xfId="1218" xr:uid="{00000000-0005-0000-0000-0000DC270000}"/>
    <cellStyle name="Normal 69 66" xfId="1233" xr:uid="{00000000-0005-0000-0000-0000DD270000}"/>
    <cellStyle name="Normal 69 67" xfId="1248" xr:uid="{00000000-0005-0000-0000-0000DE270000}"/>
    <cellStyle name="Normal 69 68" xfId="1264" xr:uid="{00000000-0005-0000-0000-0000DF270000}"/>
    <cellStyle name="Normal 69 69" xfId="1279" xr:uid="{00000000-0005-0000-0000-0000E0270000}"/>
    <cellStyle name="Normal 69 7" xfId="184" xr:uid="{00000000-0005-0000-0000-0000E1270000}"/>
    <cellStyle name="Normal 69 70" xfId="1289" xr:uid="{00000000-0005-0000-0000-0000E2270000}"/>
    <cellStyle name="Normal 69 71" xfId="1297" xr:uid="{00000000-0005-0000-0000-0000E3270000}"/>
    <cellStyle name="Normal 69 8" xfId="201" xr:uid="{00000000-0005-0000-0000-0000E4270000}"/>
    <cellStyle name="Normal 69 9" xfId="218" xr:uid="{00000000-0005-0000-0000-0000E5270000}"/>
    <cellStyle name="Normal 7" xfId="66" xr:uid="{00000000-0005-0000-0000-0000E6270000}"/>
    <cellStyle name="Normal 70" xfId="1165" xr:uid="{00000000-0005-0000-0000-0000E7270000}"/>
    <cellStyle name="Normal 71" xfId="1188" xr:uid="{00000000-0005-0000-0000-0000E8270000}"/>
    <cellStyle name="Normal 72" xfId="1206" xr:uid="{00000000-0005-0000-0000-0000E9270000}"/>
    <cellStyle name="Normal 73" xfId="1222" xr:uid="{00000000-0005-0000-0000-0000EA270000}"/>
    <cellStyle name="Normal 75" xfId="1195" xr:uid="{00000000-0005-0000-0000-0000EB270000}"/>
    <cellStyle name="Normal 76" xfId="1271" xr:uid="{00000000-0005-0000-0000-0000EC270000}"/>
    <cellStyle name="Normal 8" xfId="87" xr:uid="{00000000-0005-0000-0000-0000ED270000}"/>
    <cellStyle name="Normal 9" xfId="11015" xr:uid="{00000000-0005-0000-0000-0000EE270000}"/>
    <cellStyle name="Normal 9 2" xfId="11001" xr:uid="{00000000-0005-0000-0000-0000EF270000}"/>
    <cellStyle name="Normal 9 2 2" xfId="11020" xr:uid="{00000000-0005-0000-0000-0000F0270000}"/>
    <cellStyle name="Normal 9 3" xfId="11002" xr:uid="{00000000-0005-0000-0000-0000F1270000}"/>
    <cellStyle name="Normal 9 4" xfId="11003" xr:uid="{00000000-0005-0000-0000-0000F2270000}"/>
    <cellStyle name="Nota 10" xfId="146" xr:uid="{00000000-0005-0000-0000-0000F3270000}"/>
    <cellStyle name="Nota 10 10" xfId="9793" xr:uid="{00000000-0005-0000-0000-0000F4270000}"/>
    <cellStyle name="Nota 10 11" xfId="9794" xr:uid="{00000000-0005-0000-0000-0000F5270000}"/>
    <cellStyle name="Nota 10 12" xfId="9795" xr:uid="{00000000-0005-0000-0000-0000F6270000}"/>
    <cellStyle name="Nota 10 13" xfId="9796" xr:uid="{00000000-0005-0000-0000-0000F7270000}"/>
    <cellStyle name="Nota 10 14" xfId="9797" xr:uid="{00000000-0005-0000-0000-0000F8270000}"/>
    <cellStyle name="Nota 10 15" xfId="9798" xr:uid="{00000000-0005-0000-0000-0000F9270000}"/>
    <cellStyle name="Nota 10 16" xfId="9799" xr:uid="{00000000-0005-0000-0000-0000FA270000}"/>
    <cellStyle name="Nota 10 17" xfId="9800" xr:uid="{00000000-0005-0000-0000-0000FB270000}"/>
    <cellStyle name="Nota 10 18" xfId="9801" xr:uid="{00000000-0005-0000-0000-0000FC270000}"/>
    <cellStyle name="Nota 10 19" xfId="9802" xr:uid="{00000000-0005-0000-0000-0000FD270000}"/>
    <cellStyle name="Nota 10 2" xfId="9803" xr:uid="{00000000-0005-0000-0000-0000FE270000}"/>
    <cellStyle name="Nota 10 20" xfId="9804" xr:uid="{00000000-0005-0000-0000-0000FF270000}"/>
    <cellStyle name="Nota 10 3" xfId="9805" xr:uid="{00000000-0005-0000-0000-000000280000}"/>
    <cellStyle name="Nota 10 4" xfId="9806" xr:uid="{00000000-0005-0000-0000-000001280000}"/>
    <cellStyle name="Nota 10 5" xfId="9807" xr:uid="{00000000-0005-0000-0000-000002280000}"/>
    <cellStyle name="Nota 10 6" xfId="9808" xr:uid="{00000000-0005-0000-0000-000003280000}"/>
    <cellStyle name="Nota 10 7" xfId="9809" xr:uid="{00000000-0005-0000-0000-000004280000}"/>
    <cellStyle name="Nota 10 8" xfId="9810" xr:uid="{00000000-0005-0000-0000-000005280000}"/>
    <cellStyle name="Nota 10 9" xfId="9811" xr:uid="{00000000-0005-0000-0000-000006280000}"/>
    <cellStyle name="Nota 11" xfId="163" xr:uid="{00000000-0005-0000-0000-000007280000}"/>
    <cellStyle name="Nota 11 10" xfId="9812" xr:uid="{00000000-0005-0000-0000-000008280000}"/>
    <cellStyle name="Nota 11 11" xfId="9813" xr:uid="{00000000-0005-0000-0000-000009280000}"/>
    <cellStyle name="Nota 11 12" xfId="9814" xr:uid="{00000000-0005-0000-0000-00000A280000}"/>
    <cellStyle name="Nota 11 13" xfId="9815" xr:uid="{00000000-0005-0000-0000-00000B280000}"/>
    <cellStyle name="Nota 11 14" xfId="9816" xr:uid="{00000000-0005-0000-0000-00000C280000}"/>
    <cellStyle name="Nota 11 15" xfId="9817" xr:uid="{00000000-0005-0000-0000-00000D280000}"/>
    <cellStyle name="Nota 11 16" xfId="9818" xr:uid="{00000000-0005-0000-0000-00000E280000}"/>
    <cellStyle name="Nota 11 17" xfId="9819" xr:uid="{00000000-0005-0000-0000-00000F280000}"/>
    <cellStyle name="Nota 11 18" xfId="9820" xr:uid="{00000000-0005-0000-0000-000010280000}"/>
    <cellStyle name="Nota 11 19" xfId="9821" xr:uid="{00000000-0005-0000-0000-000011280000}"/>
    <cellStyle name="Nota 11 2" xfId="9822" xr:uid="{00000000-0005-0000-0000-000012280000}"/>
    <cellStyle name="Nota 11 20" xfId="9823" xr:uid="{00000000-0005-0000-0000-000013280000}"/>
    <cellStyle name="Nota 11 3" xfId="9824" xr:uid="{00000000-0005-0000-0000-000014280000}"/>
    <cellStyle name="Nota 11 4" xfId="9825" xr:uid="{00000000-0005-0000-0000-000015280000}"/>
    <cellStyle name="Nota 11 5" xfId="9826" xr:uid="{00000000-0005-0000-0000-000016280000}"/>
    <cellStyle name="Nota 11 6" xfId="9827" xr:uid="{00000000-0005-0000-0000-000017280000}"/>
    <cellStyle name="Nota 11 7" xfId="9828" xr:uid="{00000000-0005-0000-0000-000018280000}"/>
    <cellStyle name="Nota 11 8" xfId="9829" xr:uid="{00000000-0005-0000-0000-000019280000}"/>
    <cellStyle name="Nota 11 9" xfId="9830" xr:uid="{00000000-0005-0000-0000-00001A280000}"/>
    <cellStyle name="Nota 12" xfId="180" xr:uid="{00000000-0005-0000-0000-00001B280000}"/>
    <cellStyle name="Nota 12 10" xfId="9831" xr:uid="{00000000-0005-0000-0000-00001C280000}"/>
    <cellStyle name="Nota 12 11" xfId="9832" xr:uid="{00000000-0005-0000-0000-00001D280000}"/>
    <cellStyle name="Nota 12 12" xfId="9833" xr:uid="{00000000-0005-0000-0000-00001E280000}"/>
    <cellStyle name="Nota 12 13" xfId="9834" xr:uid="{00000000-0005-0000-0000-00001F280000}"/>
    <cellStyle name="Nota 12 14" xfId="9835" xr:uid="{00000000-0005-0000-0000-000020280000}"/>
    <cellStyle name="Nota 12 15" xfId="9836" xr:uid="{00000000-0005-0000-0000-000021280000}"/>
    <cellStyle name="Nota 12 16" xfId="9837" xr:uid="{00000000-0005-0000-0000-000022280000}"/>
    <cellStyle name="Nota 12 17" xfId="9838" xr:uid="{00000000-0005-0000-0000-000023280000}"/>
    <cellStyle name="Nota 12 18" xfId="9839" xr:uid="{00000000-0005-0000-0000-000024280000}"/>
    <cellStyle name="Nota 12 19" xfId="9840" xr:uid="{00000000-0005-0000-0000-000025280000}"/>
    <cellStyle name="Nota 12 2" xfId="9841" xr:uid="{00000000-0005-0000-0000-000026280000}"/>
    <cellStyle name="Nota 12 20" xfId="9842" xr:uid="{00000000-0005-0000-0000-000027280000}"/>
    <cellStyle name="Nota 12 3" xfId="9843" xr:uid="{00000000-0005-0000-0000-000028280000}"/>
    <cellStyle name="Nota 12 4" xfId="9844" xr:uid="{00000000-0005-0000-0000-000029280000}"/>
    <cellStyle name="Nota 12 5" xfId="9845" xr:uid="{00000000-0005-0000-0000-00002A280000}"/>
    <cellStyle name="Nota 12 6" xfId="9846" xr:uid="{00000000-0005-0000-0000-00002B280000}"/>
    <cellStyle name="Nota 12 7" xfId="9847" xr:uid="{00000000-0005-0000-0000-00002C280000}"/>
    <cellStyle name="Nota 12 8" xfId="9848" xr:uid="{00000000-0005-0000-0000-00002D280000}"/>
    <cellStyle name="Nota 12 9" xfId="9849" xr:uid="{00000000-0005-0000-0000-00002E280000}"/>
    <cellStyle name="Nota 13" xfId="197" xr:uid="{00000000-0005-0000-0000-00002F280000}"/>
    <cellStyle name="Nota 13 10" xfId="9850" xr:uid="{00000000-0005-0000-0000-000030280000}"/>
    <cellStyle name="Nota 13 11" xfId="9851" xr:uid="{00000000-0005-0000-0000-000031280000}"/>
    <cellStyle name="Nota 13 12" xfId="9852" xr:uid="{00000000-0005-0000-0000-000032280000}"/>
    <cellStyle name="Nota 13 13" xfId="9853" xr:uid="{00000000-0005-0000-0000-000033280000}"/>
    <cellStyle name="Nota 13 14" xfId="9854" xr:uid="{00000000-0005-0000-0000-000034280000}"/>
    <cellStyle name="Nota 13 15" xfId="9855" xr:uid="{00000000-0005-0000-0000-000035280000}"/>
    <cellStyle name="Nota 13 16" xfId="9856" xr:uid="{00000000-0005-0000-0000-000036280000}"/>
    <cellStyle name="Nota 13 17" xfId="9857" xr:uid="{00000000-0005-0000-0000-000037280000}"/>
    <cellStyle name="Nota 13 18" xfId="9858" xr:uid="{00000000-0005-0000-0000-000038280000}"/>
    <cellStyle name="Nota 13 19" xfId="9859" xr:uid="{00000000-0005-0000-0000-000039280000}"/>
    <cellStyle name="Nota 13 2" xfId="9860" xr:uid="{00000000-0005-0000-0000-00003A280000}"/>
    <cellStyle name="Nota 13 20" xfId="9861" xr:uid="{00000000-0005-0000-0000-00003B280000}"/>
    <cellStyle name="Nota 13 3" xfId="9862" xr:uid="{00000000-0005-0000-0000-00003C280000}"/>
    <cellStyle name="Nota 13 4" xfId="9863" xr:uid="{00000000-0005-0000-0000-00003D280000}"/>
    <cellStyle name="Nota 13 5" xfId="9864" xr:uid="{00000000-0005-0000-0000-00003E280000}"/>
    <cellStyle name="Nota 13 6" xfId="9865" xr:uid="{00000000-0005-0000-0000-00003F280000}"/>
    <cellStyle name="Nota 13 7" xfId="9866" xr:uid="{00000000-0005-0000-0000-000040280000}"/>
    <cellStyle name="Nota 13 8" xfId="9867" xr:uid="{00000000-0005-0000-0000-000041280000}"/>
    <cellStyle name="Nota 13 9" xfId="9868" xr:uid="{00000000-0005-0000-0000-000042280000}"/>
    <cellStyle name="Nota 14" xfId="214" xr:uid="{00000000-0005-0000-0000-000043280000}"/>
    <cellStyle name="Nota 14 10" xfId="9869" xr:uid="{00000000-0005-0000-0000-000044280000}"/>
    <cellStyle name="Nota 14 11" xfId="9870" xr:uid="{00000000-0005-0000-0000-000045280000}"/>
    <cellStyle name="Nota 14 12" xfId="9871" xr:uid="{00000000-0005-0000-0000-000046280000}"/>
    <cellStyle name="Nota 14 13" xfId="9872" xr:uid="{00000000-0005-0000-0000-000047280000}"/>
    <cellStyle name="Nota 14 14" xfId="9873" xr:uid="{00000000-0005-0000-0000-000048280000}"/>
    <cellStyle name="Nota 14 15" xfId="9874" xr:uid="{00000000-0005-0000-0000-000049280000}"/>
    <cellStyle name="Nota 14 16" xfId="9875" xr:uid="{00000000-0005-0000-0000-00004A280000}"/>
    <cellStyle name="Nota 14 17" xfId="9876" xr:uid="{00000000-0005-0000-0000-00004B280000}"/>
    <cellStyle name="Nota 14 18" xfId="9877" xr:uid="{00000000-0005-0000-0000-00004C280000}"/>
    <cellStyle name="Nota 14 19" xfId="9878" xr:uid="{00000000-0005-0000-0000-00004D280000}"/>
    <cellStyle name="Nota 14 2" xfId="9879" xr:uid="{00000000-0005-0000-0000-00004E280000}"/>
    <cellStyle name="Nota 14 20" xfId="9880" xr:uid="{00000000-0005-0000-0000-00004F280000}"/>
    <cellStyle name="Nota 14 3" xfId="9881" xr:uid="{00000000-0005-0000-0000-000050280000}"/>
    <cellStyle name="Nota 14 4" xfId="9882" xr:uid="{00000000-0005-0000-0000-000051280000}"/>
    <cellStyle name="Nota 14 5" xfId="9883" xr:uid="{00000000-0005-0000-0000-000052280000}"/>
    <cellStyle name="Nota 14 6" xfId="9884" xr:uid="{00000000-0005-0000-0000-000053280000}"/>
    <cellStyle name="Nota 14 7" xfId="9885" xr:uid="{00000000-0005-0000-0000-000054280000}"/>
    <cellStyle name="Nota 14 8" xfId="9886" xr:uid="{00000000-0005-0000-0000-000055280000}"/>
    <cellStyle name="Nota 14 9" xfId="9887" xr:uid="{00000000-0005-0000-0000-000056280000}"/>
    <cellStyle name="Nota 15" xfId="231" xr:uid="{00000000-0005-0000-0000-000057280000}"/>
    <cellStyle name="Nota 15 10" xfId="9888" xr:uid="{00000000-0005-0000-0000-000058280000}"/>
    <cellStyle name="Nota 15 11" xfId="9889" xr:uid="{00000000-0005-0000-0000-000059280000}"/>
    <cellStyle name="Nota 15 12" xfId="9890" xr:uid="{00000000-0005-0000-0000-00005A280000}"/>
    <cellStyle name="Nota 15 13" xfId="9891" xr:uid="{00000000-0005-0000-0000-00005B280000}"/>
    <cellStyle name="Nota 15 14" xfId="9892" xr:uid="{00000000-0005-0000-0000-00005C280000}"/>
    <cellStyle name="Nota 15 15" xfId="9893" xr:uid="{00000000-0005-0000-0000-00005D280000}"/>
    <cellStyle name="Nota 15 16" xfId="9894" xr:uid="{00000000-0005-0000-0000-00005E280000}"/>
    <cellStyle name="Nota 15 17" xfId="9895" xr:uid="{00000000-0005-0000-0000-00005F280000}"/>
    <cellStyle name="Nota 15 18" xfId="9896" xr:uid="{00000000-0005-0000-0000-000060280000}"/>
    <cellStyle name="Nota 15 19" xfId="9897" xr:uid="{00000000-0005-0000-0000-000061280000}"/>
    <cellStyle name="Nota 15 2" xfId="9898" xr:uid="{00000000-0005-0000-0000-000062280000}"/>
    <cellStyle name="Nota 15 20" xfId="9899" xr:uid="{00000000-0005-0000-0000-000063280000}"/>
    <cellStyle name="Nota 15 3" xfId="9900" xr:uid="{00000000-0005-0000-0000-000064280000}"/>
    <cellStyle name="Nota 15 4" xfId="9901" xr:uid="{00000000-0005-0000-0000-000065280000}"/>
    <cellStyle name="Nota 15 5" xfId="9902" xr:uid="{00000000-0005-0000-0000-000066280000}"/>
    <cellStyle name="Nota 15 6" xfId="9903" xr:uid="{00000000-0005-0000-0000-000067280000}"/>
    <cellStyle name="Nota 15 7" xfId="9904" xr:uid="{00000000-0005-0000-0000-000068280000}"/>
    <cellStyle name="Nota 15 8" xfId="9905" xr:uid="{00000000-0005-0000-0000-000069280000}"/>
    <cellStyle name="Nota 15 9" xfId="9906" xr:uid="{00000000-0005-0000-0000-00006A280000}"/>
    <cellStyle name="Nota 16" xfId="248" xr:uid="{00000000-0005-0000-0000-00006B280000}"/>
    <cellStyle name="Nota 16 10" xfId="9907" xr:uid="{00000000-0005-0000-0000-00006C280000}"/>
    <cellStyle name="Nota 16 11" xfId="9908" xr:uid="{00000000-0005-0000-0000-00006D280000}"/>
    <cellStyle name="Nota 16 12" xfId="9909" xr:uid="{00000000-0005-0000-0000-00006E280000}"/>
    <cellStyle name="Nota 16 13" xfId="9910" xr:uid="{00000000-0005-0000-0000-00006F280000}"/>
    <cellStyle name="Nota 16 14" xfId="9911" xr:uid="{00000000-0005-0000-0000-000070280000}"/>
    <cellStyle name="Nota 16 15" xfId="9912" xr:uid="{00000000-0005-0000-0000-000071280000}"/>
    <cellStyle name="Nota 16 16" xfId="9913" xr:uid="{00000000-0005-0000-0000-000072280000}"/>
    <cellStyle name="Nota 16 17" xfId="9914" xr:uid="{00000000-0005-0000-0000-000073280000}"/>
    <cellStyle name="Nota 16 18" xfId="9915" xr:uid="{00000000-0005-0000-0000-000074280000}"/>
    <cellStyle name="Nota 16 19" xfId="9916" xr:uid="{00000000-0005-0000-0000-000075280000}"/>
    <cellStyle name="Nota 16 2" xfId="9917" xr:uid="{00000000-0005-0000-0000-000076280000}"/>
    <cellStyle name="Nota 16 20" xfId="9918" xr:uid="{00000000-0005-0000-0000-000077280000}"/>
    <cellStyle name="Nota 16 3" xfId="9919" xr:uid="{00000000-0005-0000-0000-000078280000}"/>
    <cellStyle name="Nota 16 4" xfId="9920" xr:uid="{00000000-0005-0000-0000-000079280000}"/>
    <cellStyle name="Nota 16 5" xfId="9921" xr:uid="{00000000-0005-0000-0000-00007A280000}"/>
    <cellStyle name="Nota 16 6" xfId="9922" xr:uid="{00000000-0005-0000-0000-00007B280000}"/>
    <cellStyle name="Nota 16 7" xfId="9923" xr:uid="{00000000-0005-0000-0000-00007C280000}"/>
    <cellStyle name="Nota 16 8" xfId="9924" xr:uid="{00000000-0005-0000-0000-00007D280000}"/>
    <cellStyle name="Nota 16 9" xfId="9925" xr:uid="{00000000-0005-0000-0000-00007E280000}"/>
    <cellStyle name="Nota 17" xfId="265" xr:uid="{00000000-0005-0000-0000-00007F280000}"/>
    <cellStyle name="Nota 17 10" xfId="9926" xr:uid="{00000000-0005-0000-0000-000080280000}"/>
    <cellStyle name="Nota 17 11" xfId="9927" xr:uid="{00000000-0005-0000-0000-000081280000}"/>
    <cellStyle name="Nota 17 12" xfId="9928" xr:uid="{00000000-0005-0000-0000-000082280000}"/>
    <cellStyle name="Nota 17 13" xfId="9929" xr:uid="{00000000-0005-0000-0000-000083280000}"/>
    <cellStyle name="Nota 17 14" xfId="9930" xr:uid="{00000000-0005-0000-0000-000084280000}"/>
    <cellStyle name="Nota 17 15" xfId="9931" xr:uid="{00000000-0005-0000-0000-000085280000}"/>
    <cellStyle name="Nota 17 16" xfId="9932" xr:uid="{00000000-0005-0000-0000-000086280000}"/>
    <cellStyle name="Nota 17 17" xfId="9933" xr:uid="{00000000-0005-0000-0000-000087280000}"/>
    <cellStyle name="Nota 17 18" xfId="9934" xr:uid="{00000000-0005-0000-0000-000088280000}"/>
    <cellStyle name="Nota 17 19" xfId="9935" xr:uid="{00000000-0005-0000-0000-000089280000}"/>
    <cellStyle name="Nota 17 2" xfId="9936" xr:uid="{00000000-0005-0000-0000-00008A280000}"/>
    <cellStyle name="Nota 17 20" xfId="9937" xr:uid="{00000000-0005-0000-0000-00008B280000}"/>
    <cellStyle name="Nota 17 3" xfId="9938" xr:uid="{00000000-0005-0000-0000-00008C280000}"/>
    <cellStyle name="Nota 17 4" xfId="9939" xr:uid="{00000000-0005-0000-0000-00008D280000}"/>
    <cellStyle name="Nota 17 5" xfId="9940" xr:uid="{00000000-0005-0000-0000-00008E280000}"/>
    <cellStyle name="Nota 17 6" xfId="9941" xr:uid="{00000000-0005-0000-0000-00008F280000}"/>
    <cellStyle name="Nota 17 7" xfId="9942" xr:uid="{00000000-0005-0000-0000-000090280000}"/>
    <cellStyle name="Nota 17 8" xfId="9943" xr:uid="{00000000-0005-0000-0000-000091280000}"/>
    <cellStyle name="Nota 17 9" xfId="9944" xr:uid="{00000000-0005-0000-0000-000092280000}"/>
    <cellStyle name="Nota 18" xfId="282" xr:uid="{00000000-0005-0000-0000-000093280000}"/>
    <cellStyle name="Nota 18 10" xfId="9945" xr:uid="{00000000-0005-0000-0000-000094280000}"/>
    <cellStyle name="Nota 18 11" xfId="9946" xr:uid="{00000000-0005-0000-0000-000095280000}"/>
    <cellStyle name="Nota 18 12" xfId="9947" xr:uid="{00000000-0005-0000-0000-000096280000}"/>
    <cellStyle name="Nota 18 13" xfId="9948" xr:uid="{00000000-0005-0000-0000-000097280000}"/>
    <cellStyle name="Nota 18 14" xfId="9949" xr:uid="{00000000-0005-0000-0000-000098280000}"/>
    <cellStyle name="Nota 18 15" xfId="9950" xr:uid="{00000000-0005-0000-0000-000099280000}"/>
    <cellStyle name="Nota 18 16" xfId="9951" xr:uid="{00000000-0005-0000-0000-00009A280000}"/>
    <cellStyle name="Nota 18 17" xfId="9952" xr:uid="{00000000-0005-0000-0000-00009B280000}"/>
    <cellStyle name="Nota 18 18" xfId="9953" xr:uid="{00000000-0005-0000-0000-00009C280000}"/>
    <cellStyle name="Nota 18 19" xfId="9954" xr:uid="{00000000-0005-0000-0000-00009D280000}"/>
    <cellStyle name="Nota 18 2" xfId="9955" xr:uid="{00000000-0005-0000-0000-00009E280000}"/>
    <cellStyle name="Nota 18 20" xfId="9956" xr:uid="{00000000-0005-0000-0000-00009F280000}"/>
    <cellStyle name="Nota 18 3" xfId="9957" xr:uid="{00000000-0005-0000-0000-0000A0280000}"/>
    <cellStyle name="Nota 18 4" xfId="9958" xr:uid="{00000000-0005-0000-0000-0000A1280000}"/>
    <cellStyle name="Nota 18 5" xfId="9959" xr:uid="{00000000-0005-0000-0000-0000A2280000}"/>
    <cellStyle name="Nota 18 6" xfId="9960" xr:uid="{00000000-0005-0000-0000-0000A3280000}"/>
    <cellStyle name="Nota 18 7" xfId="9961" xr:uid="{00000000-0005-0000-0000-0000A4280000}"/>
    <cellStyle name="Nota 18 8" xfId="9962" xr:uid="{00000000-0005-0000-0000-0000A5280000}"/>
    <cellStyle name="Nota 18 9" xfId="9963" xr:uid="{00000000-0005-0000-0000-0000A6280000}"/>
    <cellStyle name="Nota 19" xfId="299" xr:uid="{00000000-0005-0000-0000-0000A7280000}"/>
    <cellStyle name="Nota 19 10" xfId="9964" xr:uid="{00000000-0005-0000-0000-0000A8280000}"/>
    <cellStyle name="Nota 19 11" xfId="9965" xr:uid="{00000000-0005-0000-0000-0000A9280000}"/>
    <cellStyle name="Nota 19 12" xfId="9966" xr:uid="{00000000-0005-0000-0000-0000AA280000}"/>
    <cellStyle name="Nota 19 13" xfId="9967" xr:uid="{00000000-0005-0000-0000-0000AB280000}"/>
    <cellStyle name="Nota 19 14" xfId="9968" xr:uid="{00000000-0005-0000-0000-0000AC280000}"/>
    <cellStyle name="Nota 19 15" xfId="9969" xr:uid="{00000000-0005-0000-0000-0000AD280000}"/>
    <cellStyle name="Nota 19 16" xfId="9970" xr:uid="{00000000-0005-0000-0000-0000AE280000}"/>
    <cellStyle name="Nota 19 17" xfId="9971" xr:uid="{00000000-0005-0000-0000-0000AF280000}"/>
    <cellStyle name="Nota 19 18" xfId="9972" xr:uid="{00000000-0005-0000-0000-0000B0280000}"/>
    <cellStyle name="Nota 19 19" xfId="9973" xr:uid="{00000000-0005-0000-0000-0000B1280000}"/>
    <cellStyle name="Nota 19 2" xfId="9974" xr:uid="{00000000-0005-0000-0000-0000B2280000}"/>
    <cellStyle name="Nota 19 20" xfId="9975" xr:uid="{00000000-0005-0000-0000-0000B3280000}"/>
    <cellStyle name="Nota 19 3" xfId="9976" xr:uid="{00000000-0005-0000-0000-0000B4280000}"/>
    <cellStyle name="Nota 19 4" xfId="9977" xr:uid="{00000000-0005-0000-0000-0000B5280000}"/>
    <cellStyle name="Nota 19 5" xfId="9978" xr:uid="{00000000-0005-0000-0000-0000B6280000}"/>
    <cellStyle name="Nota 19 6" xfId="9979" xr:uid="{00000000-0005-0000-0000-0000B7280000}"/>
    <cellStyle name="Nota 19 7" xfId="9980" xr:uid="{00000000-0005-0000-0000-0000B8280000}"/>
    <cellStyle name="Nota 19 8" xfId="9981" xr:uid="{00000000-0005-0000-0000-0000B9280000}"/>
    <cellStyle name="Nota 19 9" xfId="9982" xr:uid="{00000000-0005-0000-0000-0000BA280000}"/>
    <cellStyle name="Nota 2" xfId="43" xr:uid="{00000000-0005-0000-0000-0000BB280000}"/>
    <cellStyle name="Nota 2 10" xfId="9983" xr:uid="{00000000-0005-0000-0000-0000BC280000}"/>
    <cellStyle name="Nota 2 11" xfId="9984" xr:uid="{00000000-0005-0000-0000-0000BD280000}"/>
    <cellStyle name="Nota 2 12" xfId="9985" xr:uid="{00000000-0005-0000-0000-0000BE280000}"/>
    <cellStyle name="Nota 2 13" xfId="9986" xr:uid="{00000000-0005-0000-0000-0000BF280000}"/>
    <cellStyle name="Nota 2 14" xfId="9987" xr:uid="{00000000-0005-0000-0000-0000C0280000}"/>
    <cellStyle name="Nota 2 15" xfId="9988" xr:uid="{00000000-0005-0000-0000-0000C1280000}"/>
    <cellStyle name="Nota 2 16" xfId="9989" xr:uid="{00000000-0005-0000-0000-0000C2280000}"/>
    <cellStyle name="Nota 2 17" xfId="9990" xr:uid="{00000000-0005-0000-0000-0000C3280000}"/>
    <cellStyle name="Nota 2 18" xfId="9991" xr:uid="{00000000-0005-0000-0000-0000C4280000}"/>
    <cellStyle name="Nota 2 19" xfId="9992" xr:uid="{00000000-0005-0000-0000-0000C5280000}"/>
    <cellStyle name="Nota 2 2" xfId="9993" xr:uid="{00000000-0005-0000-0000-0000C6280000}"/>
    <cellStyle name="Nota 2 20" xfId="9994" xr:uid="{00000000-0005-0000-0000-0000C7280000}"/>
    <cellStyle name="Nota 2 3" xfId="9995" xr:uid="{00000000-0005-0000-0000-0000C8280000}"/>
    <cellStyle name="Nota 2 4" xfId="9996" xr:uid="{00000000-0005-0000-0000-0000C9280000}"/>
    <cellStyle name="Nota 2 5" xfId="9997" xr:uid="{00000000-0005-0000-0000-0000CA280000}"/>
    <cellStyle name="Nota 2 6" xfId="9998" xr:uid="{00000000-0005-0000-0000-0000CB280000}"/>
    <cellStyle name="Nota 2 7" xfId="9999" xr:uid="{00000000-0005-0000-0000-0000CC280000}"/>
    <cellStyle name="Nota 2 8" xfId="10000" xr:uid="{00000000-0005-0000-0000-0000CD280000}"/>
    <cellStyle name="Nota 2 9" xfId="10001" xr:uid="{00000000-0005-0000-0000-0000CE280000}"/>
    <cellStyle name="Nota 20" xfId="316" xr:uid="{00000000-0005-0000-0000-0000CF280000}"/>
    <cellStyle name="Nota 20 10" xfId="10002" xr:uid="{00000000-0005-0000-0000-0000D0280000}"/>
    <cellStyle name="Nota 20 11" xfId="10003" xr:uid="{00000000-0005-0000-0000-0000D1280000}"/>
    <cellStyle name="Nota 20 12" xfId="10004" xr:uid="{00000000-0005-0000-0000-0000D2280000}"/>
    <cellStyle name="Nota 20 13" xfId="10005" xr:uid="{00000000-0005-0000-0000-0000D3280000}"/>
    <cellStyle name="Nota 20 14" xfId="10006" xr:uid="{00000000-0005-0000-0000-0000D4280000}"/>
    <cellStyle name="Nota 20 15" xfId="10007" xr:uid="{00000000-0005-0000-0000-0000D5280000}"/>
    <cellStyle name="Nota 20 16" xfId="10008" xr:uid="{00000000-0005-0000-0000-0000D6280000}"/>
    <cellStyle name="Nota 20 17" xfId="10009" xr:uid="{00000000-0005-0000-0000-0000D7280000}"/>
    <cellStyle name="Nota 20 18" xfId="10010" xr:uid="{00000000-0005-0000-0000-0000D8280000}"/>
    <cellStyle name="Nota 20 19" xfId="10011" xr:uid="{00000000-0005-0000-0000-0000D9280000}"/>
    <cellStyle name="Nota 20 2" xfId="10012" xr:uid="{00000000-0005-0000-0000-0000DA280000}"/>
    <cellStyle name="Nota 20 20" xfId="10013" xr:uid="{00000000-0005-0000-0000-0000DB280000}"/>
    <cellStyle name="Nota 20 3" xfId="10014" xr:uid="{00000000-0005-0000-0000-0000DC280000}"/>
    <cellStyle name="Nota 20 4" xfId="10015" xr:uid="{00000000-0005-0000-0000-0000DD280000}"/>
    <cellStyle name="Nota 20 5" xfId="10016" xr:uid="{00000000-0005-0000-0000-0000DE280000}"/>
    <cellStyle name="Nota 20 6" xfId="10017" xr:uid="{00000000-0005-0000-0000-0000DF280000}"/>
    <cellStyle name="Nota 20 7" xfId="10018" xr:uid="{00000000-0005-0000-0000-0000E0280000}"/>
    <cellStyle name="Nota 20 8" xfId="10019" xr:uid="{00000000-0005-0000-0000-0000E1280000}"/>
    <cellStyle name="Nota 20 9" xfId="10020" xr:uid="{00000000-0005-0000-0000-0000E2280000}"/>
    <cellStyle name="Nota 21" xfId="298" xr:uid="{00000000-0005-0000-0000-0000E3280000}"/>
    <cellStyle name="Nota 21 10" xfId="10021" xr:uid="{00000000-0005-0000-0000-0000E4280000}"/>
    <cellStyle name="Nota 21 11" xfId="10022" xr:uid="{00000000-0005-0000-0000-0000E5280000}"/>
    <cellStyle name="Nota 21 12" xfId="10023" xr:uid="{00000000-0005-0000-0000-0000E6280000}"/>
    <cellStyle name="Nota 21 13" xfId="10024" xr:uid="{00000000-0005-0000-0000-0000E7280000}"/>
    <cellStyle name="Nota 21 14" xfId="10025" xr:uid="{00000000-0005-0000-0000-0000E8280000}"/>
    <cellStyle name="Nota 21 15" xfId="10026" xr:uid="{00000000-0005-0000-0000-0000E9280000}"/>
    <cellStyle name="Nota 21 16" xfId="10027" xr:uid="{00000000-0005-0000-0000-0000EA280000}"/>
    <cellStyle name="Nota 21 17" xfId="10028" xr:uid="{00000000-0005-0000-0000-0000EB280000}"/>
    <cellStyle name="Nota 21 18" xfId="10029" xr:uid="{00000000-0005-0000-0000-0000EC280000}"/>
    <cellStyle name="Nota 21 19" xfId="10030" xr:uid="{00000000-0005-0000-0000-0000ED280000}"/>
    <cellStyle name="Nota 21 2" xfId="10031" xr:uid="{00000000-0005-0000-0000-0000EE280000}"/>
    <cellStyle name="Nota 21 20" xfId="10032" xr:uid="{00000000-0005-0000-0000-0000EF280000}"/>
    <cellStyle name="Nota 21 3" xfId="10033" xr:uid="{00000000-0005-0000-0000-0000F0280000}"/>
    <cellStyle name="Nota 21 4" xfId="10034" xr:uid="{00000000-0005-0000-0000-0000F1280000}"/>
    <cellStyle name="Nota 21 5" xfId="10035" xr:uid="{00000000-0005-0000-0000-0000F2280000}"/>
    <cellStyle name="Nota 21 6" xfId="10036" xr:uid="{00000000-0005-0000-0000-0000F3280000}"/>
    <cellStyle name="Nota 21 7" xfId="10037" xr:uid="{00000000-0005-0000-0000-0000F4280000}"/>
    <cellStyle name="Nota 21 8" xfId="10038" xr:uid="{00000000-0005-0000-0000-0000F5280000}"/>
    <cellStyle name="Nota 21 9" xfId="10039" xr:uid="{00000000-0005-0000-0000-0000F6280000}"/>
    <cellStyle name="Nota 22" xfId="367" xr:uid="{00000000-0005-0000-0000-0000F7280000}"/>
    <cellStyle name="Nota 22 10" xfId="10040" xr:uid="{00000000-0005-0000-0000-0000F8280000}"/>
    <cellStyle name="Nota 22 11" xfId="10041" xr:uid="{00000000-0005-0000-0000-0000F9280000}"/>
    <cellStyle name="Nota 22 12" xfId="10042" xr:uid="{00000000-0005-0000-0000-0000FA280000}"/>
    <cellStyle name="Nota 22 13" xfId="10043" xr:uid="{00000000-0005-0000-0000-0000FB280000}"/>
    <cellStyle name="Nota 22 14" xfId="10044" xr:uid="{00000000-0005-0000-0000-0000FC280000}"/>
    <cellStyle name="Nota 22 15" xfId="10045" xr:uid="{00000000-0005-0000-0000-0000FD280000}"/>
    <cellStyle name="Nota 22 16" xfId="10046" xr:uid="{00000000-0005-0000-0000-0000FE280000}"/>
    <cellStyle name="Nota 22 17" xfId="10047" xr:uid="{00000000-0005-0000-0000-0000FF280000}"/>
    <cellStyle name="Nota 22 18" xfId="10048" xr:uid="{00000000-0005-0000-0000-000000290000}"/>
    <cellStyle name="Nota 22 19" xfId="10049" xr:uid="{00000000-0005-0000-0000-000001290000}"/>
    <cellStyle name="Nota 22 2" xfId="10050" xr:uid="{00000000-0005-0000-0000-000002290000}"/>
    <cellStyle name="Nota 22 20" xfId="10051" xr:uid="{00000000-0005-0000-0000-000003290000}"/>
    <cellStyle name="Nota 22 3" xfId="10052" xr:uid="{00000000-0005-0000-0000-000004290000}"/>
    <cellStyle name="Nota 22 4" xfId="10053" xr:uid="{00000000-0005-0000-0000-000005290000}"/>
    <cellStyle name="Nota 22 5" xfId="10054" xr:uid="{00000000-0005-0000-0000-000006290000}"/>
    <cellStyle name="Nota 22 6" xfId="10055" xr:uid="{00000000-0005-0000-0000-000007290000}"/>
    <cellStyle name="Nota 22 7" xfId="10056" xr:uid="{00000000-0005-0000-0000-000008290000}"/>
    <cellStyle name="Nota 22 8" xfId="10057" xr:uid="{00000000-0005-0000-0000-000009290000}"/>
    <cellStyle name="Nota 22 9" xfId="10058" xr:uid="{00000000-0005-0000-0000-00000A290000}"/>
    <cellStyle name="Nota 23" xfId="321" xr:uid="{00000000-0005-0000-0000-00000B290000}"/>
    <cellStyle name="Nota 23 10" xfId="10059" xr:uid="{00000000-0005-0000-0000-00000C290000}"/>
    <cellStyle name="Nota 23 11" xfId="10060" xr:uid="{00000000-0005-0000-0000-00000D290000}"/>
    <cellStyle name="Nota 23 12" xfId="10061" xr:uid="{00000000-0005-0000-0000-00000E290000}"/>
    <cellStyle name="Nota 23 13" xfId="10062" xr:uid="{00000000-0005-0000-0000-00000F290000}"/>
    <cellStyle name="Nota 23 14" xfId="10063" xr:uid="{00000000-0005-0000-0000-000010290000}"/>
    <cellStyle name="Nota 23 15" xfId="10064" xr:uid="{00000000-0005-0000-0000-000011290000}"/>
    <cellStyle name="Nota 23 16" xfId="10065" xr:uid="{00000000-0005-0000-0000-000012290000}"/>
    <cellStyle name="Nota 23 17" xfId="10066" xr:uid="{00000000-0005-0000-0000-000013290000}"/>
    <cellStyle name="Nota 23 18" xfId="10067" xr:uid="{00000000-0005-0000-0000-000014290000}"/>
    <cellStyle name="Nota 23 19" xfId="10068" xr:uid="{00000000-0005-0000-0000-000015290000}"/>
    <cellStyle name="Nota 23 2" xfId="10069" xr:uid="{00000000-0005-0000-0000-000016290000}"/>
    <cellStyle name="Nota 23 20" xfId="10070" xr:uid="{00000000-0005-0000-0000-000017290000}"/>
    <cellStyle name="Nota 23 3" xfId="10071" xr:uid="{00000000-0005-0000-0000-000018290000}"/>
    <cellStyle name="Nota 23 4" xfId="10072" xr:uid="{00000000-0005-0000-0000-000019290000}"/>
    <cellStyle name="Nota 23 5" xfId="10073" xr:uid="{00000000-0005-0000-0000-00001A290000}"/>
    <cellStyle name="Nota 23 6" xfId="10074" xr:uid="{00000000-0005-0000-0000-00001B290000}"/>
    <cellStyle name="Nota 23 7" xfId="10075" xr:uid="{00000000-0005-0000-0000-00001C290000}"/>
    <cellStyle name="Nota 23 8" xfId="10076" xr:uid="{00000000-0005-0000-0000-00001D290000}"/>
    <cellStyle name="Nota 23 9" xfId="10077" xr:uid="{00000000-0005-0000-0000-00001E290000}"/>
    <cellStyle name="Nota 24" xfId="388" xr:uid="{00000000-0005-0000-0000-00001F290000}"/>
    <cellStyle name="Nota 24 10" xfId="10078" xr:uid="{00000000-0005-0000-0000-000020290000}"/>
    <cellStyle name="Nota 24 11" xfId="10079" xr:uid="{00000000-0005-0000-0000-000021290000}"/>
    <cellStyle name="Nota 24 12" xfId="10080" xr:uid="{00000000-0005-0000-0000-000022290000}"/>
    <cellStyle name="Nota 24 13" xfId="10081" xr:uid="{00000000-0005-0000-0000-000023290000}"/>
    <cellStyle name="Nota 24 14" xfId="10082" xr:uid="{00000000-0005-0000-0000-000024290000}"/>
    <cellStyle name="Nota 24 15" xfId="10083" xr:uid="{00000000-0005-0000-0000-000025290000}"/>
    <cellStyle name="Nota 24 16" xfId="10084" xr:uid="{00000000-0005-0000-0000-000026290000}"/>
    <cellStyle name="Nota 24 17" xfId="10085" xr:uid="{00000000-0005-0000-0000-000027290000}"/>
    <cellStyle name="Nota 24 18" xfId="10086" xr:uid="{00000000-0005-0000-0000-000028290000}"/>
    <cellStyle name="Nota 24 19" xfId="10087" xr:uid="{00000000-0005-0000-0000-000029290000}"/>
    <cellStyle name="Nota 24 2" xfId="10088" xr:uid="{00000000-0005-0000-0000-00002A290000}"/>
    <cellStyle name="Nota 24 20" xfId="10089" xr:uid="{00000000-0005-0000-0000-00002B290000}"/>
    <cellStyle name="Nota 24 3" xfId="10090" xr:uid="{00000000-0005-0000-0000-00002C290000}"/>
    <cellStyle name="Nota 24 4" xfId="10091" xr:uid="{00000000-0005-0000-0000-00002D290000}"/>
    <cellStyle name="Nota 24 5" xfId="10092" xr:uid="{00000000-0005-0000-0000-00002E290000}"/>
    <cellStyle name="Nota 24 6" xfId="10093" xr:uid="{00000000-0005-0000-0000-00002F290000}"/>
    <cellStyle name="Nota 24 7" xfId="10094" xr:uid="{00000000-0005-0000-0000-000030290000}"/>
    <cellStyle name="Nota 24 8" xfId="10095" xr:uid="{00000000-0005-0000-0000-000031290000}"/>
    <cellStyle name="Nota 24 9" xfId="10096" xr:uid="{00000000-0005-0000-0000-000032290000}"/>
    <cellStyle name="Nota 25" xfId="406" xr:uid="{00000000-0005-0000-0000-000033290000}"/>
    <cellStyle name="Nota 25 10" xfId="10097" xr:uid="{00000000-0005-0000-0000-000034290000}"/>
    <cellStyle name="Nota 25 11" xfId="10098" xr:uid="{00000000-0005-0000-0000-000035290000}"/>
    <cellStyle name="Nota 25 12" xfId="10099" xr:uid="{00000000-0005-0000-0000-000036290000}"/>
    <cellStyle name="Nota 25 13" xfId="10100" xr:uid="{00000000-0005-0000-0000-000037290000}"/>
    <cellStyle name="Nota 25 14" xfId="10101" xr:uid="{00000000-0005-0000-0000-000038290000}"/>
    <cellStyle name="Nota 25 15" xfId="10102" xr:uid="{00000000-0005-0000-0000-000039290000}"/>
    <cellStyle name="Nota 25 16" xfId="10103" xr:uid="{00000000-0005-0000-0000-00003A290000}"/>
    <cellStyle name="Nota 25 17" xfId="10104" xr:uid="{00000000-0005-0000-0000-00003B290000}"/>
    <cellStyle name="Nota 25 18" xfId="10105" xr:uid="{00000000-0005-0000-0000-00003C290000}"/>
    <cellStyle name="Nota 25 19" xfId="10106" xr:uid="{00000000-0005-0000-0000-00003D290000}"/>
    <cellStyle name="Nota 25 2" xfId="10107" xr:uid="{00000000-0005-0000-0000-00003E290000}"/>
    <cellStyle name="Nota 25 20" xfId="10108" xr:uid="{00000000-0005-0000-0000-00003F290000}"/>
    <cellStyle name="Nota 25 3" xfId="10109" xr:uid="{00000000-0005-0000-0000-000040290000}"/>
    <cellStyle name="Nota 25 4" xfId="10110" xr:uid="{00000000-0005-0000-0000-000041290000}"/>
    <cellStyle name="Nota 25 5" xfId="10111" xr:uid="{00000000-0005-0000-0000-000042290000}"/>
    <cellStyle name="Nota 25 6" xfId="10112" xr:uid="{00000000-0005-0000-0000-000043290000}"/>
    <cellStyle name="Nota 25 7" xfId="10113" xr:uid="{00000000-0005-0000-0000-000044290000}"/>
    <cellStyle name="Nota 25 8" xfId="10114" xr:uid="{00000000-0005-0000-0000-000045290000}"/>
    <cellStyle name="Nota 25 9" xfId="10115" xr:uid="{00000000-0005-0000-0000-000046290000}"/>
    <cellStyle name="Nota 26" xfId="424" xr:uid="{00000000-0005-0000-0000-000047290000}"/>
    <cellStyle name="Nota 26 10" xfId="10116" xr:uid="{00000000-0005-0000-0000-000048290000}"/>
    <cellStyle name="Nota 26 11" xfId="10117" xr:uid="{00000000-0005-0000-0000-000049290000}"/>
    <cellStyle name="Nota 26 12" xfId="10118" xr:uid="{00000000-0005-0000-0000-00004A290000}"/>
    <cellStyle name="Nota 26 13" xfId="10119" xr:uid="{00000000-0005-0000-0000-00004B290000}"/>
    <cellStyle name="Nota 26 14" xfId="10120" xr:uid="{00000000-0005-0000-0000-00004C290000}"/>
    <cellStyle name="Nota 26 15" xfId="10121" xr:uid="{00000000-0005-0000-0000-00004D290000}"/>
    <cellStyle name="Nota 26 16" xfId="10122" xr:uid="{00000000-0005-0000-0000-00004E290000}"/>
    <cellStyle name="Nota 26 17" xfId="10123" xr:uid="{00000000-0005-0000-0000-00004F290000}"/>
    <cellStyle name="Nota 26 18" xfId="10124" xr:uid="{00000000-0005-0000-0000-000050290000}"/>
    <cellStyle name="Nota 26 19" xfId="10125" xr:uid="{00000000-0005-0000-0000-000051290000}"/>
    <cellStyle name="Nota 26 2" xfId="10126" xr:uid="{00000000-0005-0000-0000-000052290000}"/>
    <cellStyle name="Nota 26 20" xfId="10127" xr:uid="{00000000-0005-0000-0000-000053290000}"/>
    <cellStyle name="Nota 26 3" xfId="10128" xr:uid="{00000000-0005-0000-0000-000054290000}"/>
    <cellStyle name="Nota 26 4" xfId="10129" xr:uid="{00000000-0005-0000-0000-000055290000}"/>
    <cellStyle name="Nota 26 5" xfId="10130" xr:uid="{00000000-0005-0000-0000-000056290000}"/>
    <cellStyle name="Nota 26 6" xfId="10131" xr:uid="{00000000-0005-0000-0000-000057290000}"/>
    <cellStyle name="Nota 26 7" xfId="10132" xr:uid="{00000000-0005-0000-0000-000058290000}"/>
    <cellStyle name="Nota 26 8" xfId="10133" xr:uid="{00000000-0005-0000-0000-000059290000}"/>
    <cellStyle name="Nota 26 9" xfId="10134" xr:uid="{00000000-0005-0000-0000-00005A290000}"/>
    <cellStyle name="Nota 27" xfId="442" xr:uid="{00000000-0005-0000-0000-00005B290000}"/>
    <cellStyle name="Nota 27 10" xfId="10135" xr:uid="{00000000-0005-0000-0000-00005C290000}"/>
    <cellStyle name="Nota 27 11" xfId="10136" xr:uid="{00000000-0005-0000-0000-00005D290000}"/>
    <cellStyle name="Nota 27 12" xfId="10137" xr:uid="{00000000-0005-0000-0000-00005E290000}"/>
    <cellStyle name="Nota 27 13" xfId="10138" xr:uid="{00000000-0005-0000-0000-00005F290000}"/>
    <cellStyle name="Nota 27 14" xfId="10139" xr:uid="{00000000-0005-0000-0000-000060290000}"/>
    <cellStyle name="Nota 27 15" xfId="10140" xr:uid="{00000000-0005-0000-0000-000061290000}"/>
    <cellStyle name="Nota 27 16" xfId="10141" xr:uid="{00000000-0005-0000-0000-000062290000}"/>
    <cellStyle name="Nota 27 17" xfId="10142" xr:uid="{00000000-0005-0000-0000-000063290000}"/>
    <cellStyle name="Nota 27 18" xfId="10143" xr:uid="{00000000-0005-0000-0000-000064290000}"/>
    <cellStyle name="Nota 27 19" xfId="10144" xr:uid="{00000000-0005-0000-0000-000065290000}"/>
    <cellStyle name="Nota 27 2" xfId="10145" xr:uid="{00000000-0005-0000-0000-000066290000}"/>
    <cellStyle name="Nota 27 20" xfId="10146" xr:uid="{00000000-0005-0000-0000-000067290000}"/>
    <cellStyle name="Nota 27 3" xfId="10147" xr:uid="{00000000-0005-0000-0000-000068290000}"/>
    <cellStyle name="Nota 27 4" xfId="10148" xr:uid="{00000000-0005-0000-0000-000069290000}"/>
    <cellStyle name="Nota 27 5" xfId="10149" xr:uid="{00000000-0005-0000-0000-00006A290000}"/>
    <cellStyle name="Nota 27 6" xfId="10150" xr:uid="{00000000-0005-0000-0000-00006B290000}"/>
    <cellStyle name="Nota 27 7" xfId="10151" xr:uid="{00000000-0005-0000-0000-00006C290000}"/>
    <cellStyle name="Nota 27 8" xfId="10152" xr:uid="{00000000-0005-0000-0000-00006D290000}"/>
    <cellStyle name="Nota 27 9" xfId="10153" xr:uid="{00000000-0005-0000-0000-00006E290000}"/>
    <cellStyle name="Nota 28" xfId="460" xr:uid="{00000000-0005-0000-0000-00006F290000}"/>
    <cellStyle name="Nota 28 10" xfId="10154" xr:uid="{00000000-0005-0000-0000-000070290000}"/>
    <cellStyle name="Nota 28 11" xfId="10155" xr:uid="{00000000-0005-0000-0000-000071290000}"/>
    <cellStyle name="Nota 28 12" xfId="10156" xr:uid="{00000000-0005-0000-0000-000072290000}"/>
    <cellStyle name="Nota 28 13" xfId="10157" xr:uid="{00000000-0005-0000-0000-000073290000}"/>
    <cellStyle name="Nota 28 14" xfId="10158" xr:uid="{00000000-0005-0000-0000-000074290000}"/>
    <cellStyle name="Nota 28 15" xfId="10159" xr:uid="{00000000-0005-0000-0000-000075290000}"/>
    <cellStyle name="Nota 28 16" xfId="10160" xr:uid="{00000000-0005-0000-0000-000076290000}"/>
    <cellStyle name="Nota 28 17" xfId="10161" xr:uid="{00000000-0005-0000-0000-000077290000}"/>
    <cellStyle name="Nota 28 18" xfId="10162" xr:uid="{00000000-0005-0000-0000-000078290000}"/>
    <cellStyle name="Nota 28 19" xfId="10163" xr:uid="{00000000-0005-0000-0000-000079290000}"/>
    <cellStyle name="Nota 28 2" xfId="10164" xr:uid="{00000000-0005-0000-0000-00007A290000}"/>
    <cellStyle name="Nota 28 20" xfId="10165" xr:uid="{00000000-0005-0000-0000-00007B290000}"/>
    <cellStyle name="Nota 28 3" xfId="10166" xr:uid="{00000000-0005-0000-0000-00007C290000}"/>
    <cellStyle name="Nota 28 4" xfId="10167" xr:uid="{00000000-0005-0000-0000-00007D290000}"/>
    <cellStyle name="Nota 28 5" xfId="10168" xr:uid="{00000000-0005-0000-0000-00007E290000}"/>
    <cellStyle name="Nota 28 6" xfId="10169" xr:uid="{00000000-0005-0000-0000-00007F290000}"/>
    <cellStyle name="Nota 28 7" xfId="10170" xr:uid="{00000000-0005-0000-0000-000080290000}"/>
    <cellStyle name="Nota 28 8" xfId="10171" xr:uid="{00000000-0005-0000-0000-000081290000}"/>
    <cellStyle name="Nota 28 9" xfId="10172" xr:uid="{00000000-0005-0000-0000-000082290000}"/>
    <cellStyle name="Nota 29" xfId="478" xr:uid="{00000000-0005-0000-0000-000083290000}"/>
    <cellStyle name="Nota 29 10" xfId="10173" xr:uid="{00000000-0005-0000-0000-000084290000}"/>
    <cellStyle name="Nota 29 11" xfId="10174" xr:uid="{00000000-0005-0000-0000-000085290000}"/>
    <cellStyle name="Nota 29 12" xfId="10175" xr:uid="{00000000-0005-0000-0000-000086290000}"/>
    <cellStyle name="Nota 29 13" xfId="10176" xr:uid="{00000000-0005-0000-0000-000087290000}"/>
    <cellStyle name="Nota 29 14" xfId="10177" xr:uid="{00000000-0005-0000-0000-000088290000}"/>
    <cellStyle name="Nota 29 15" xfId="10178" xr:uid="{00000000-0005-0000-0000-000089290000}"/>
    <cellStyle name="Nota 29 16" xfId="10179" xr:uid="{00000000-0005-0000-0000-00008A290000}"/>
    <cellStyle name="Nota 29 17" xfId="10180" xr:uid="{00000000-0005-0000-0000-00008B290000}"/>
    <cellStyle name="Nota 29 18" xfId="10181" xr:uid="{00000000-0005-0000-0000-00008C290000}"/>
    <cellStyle name="Nota 29 19" xfId="10182" xr:uid="{00000000-0005-0000-0000-00008D290000}"/>
    <cellStyle name="Nota 29 2" xfId="10183" xr:uid="{00000000-0005-0000-0000-00008E290000}"/>
    <cellStyle name="Nota 29 20" xfId="10184" xr:uid="{00000000-0005-0000-0000-00008F290000}"/>
    <cellStyle name="Nota 29 3" xfId="10185" xr:uid="{00000000-0005-0000-0000-000090290000}"/>
    <cellStyle name="Nota 29 4" xfId="10186" xr:uid="{00000000-0005-0000-0000-000091290000}"/>
    <cellStyle name="Nota 29 5" xfId="10187" xr:uid="{00000000-0005-0000-0000-000092290000}"/>
    <cellStyle name="Nota 29 6" xfId="10188" xr:uid="{00000000-0005-0000-0000-000093290000}"/>
    <cellStyle name="Nota 29 7" xfId="10189" xr:uid="{00000000-0005-0000-0000-000094290000}"/>
    <cellStyle name="Nota 29 8" xfId="10190" xr:uid="{00000000-0005-0000-0000-000095290000}"/>
    <cellStyle name="Nota 29 9" xfId="10191" xr:uid="{00000000-0005-0000-0000-000096290000}"/>
    <cellStyle name="Nota 3" xfId="44" xr:uid="{00000000-0005-0000-0000-000097290000}"/>
    <cellStyle name="Nota 3 10" xfId="10192" xr:uid="{00000000-0005-0000-0000-000098290000}"/>
    <cellStyle name="Nota 3 11" xfId="10193" xr:uid="{00000000-0005-0000-0000-000099290000}"/>
    <cellStyle name="Nota 3 12" xfId="10194" xr:uid="{00000000-0005-0000-0000-00009A290000}"/>
    <cellStyle name="Nota 3 13" xfId="10195" xr:uid="{00000000-0005-0000-0000-00009B290000}"/>
    <cellStyle name="Nota 3 14" xfId="10196" xr:uid="{00000000-0005-0000-0000-00009C290000}"/>
    <cellStyle name="Nota 3 15" xfId="10197" xr:uid="{00000000-0005-0000-0000-00009D290000}"/>
    <cellStyle name="Nota 3 16" xfId="10198" xr:uid="{00000000-0005-0000-0000-00009E290000}"/>
    <cellStyle name="Nota 3 17" xfId="10199" xr:uid="{00000000-0005-0000-0000-00009F290000}"/>
    <cellStyle name="Nota 3 18" xfId="10200" xr:uid="{00000000-0005-0000-0000-0000A0290000}"/>
    <cellStyle name="Nota 3 19" xfId="10201" xr:uid="{00000000-0005-0000-0000-0000A1290000}"/>
    <cellStyle name="Nota 3 2" xfId="10202" xr:uid="{00000000-0005-0000-0000-0000A2290000}"/>
    <cellStyle name="Nota 3 20" xfId="10203" xr:uid="{00000000-0005-0000-0000-0000A3290000}"/>
    <cellStyle name="Nota 3 3" xfId="10204" xr:uid="{00000000-0005-0000-0000-0000A4290000}"/>
    <cellStyle name="Nota 3 4" xfId="10205" xr:uid="{00000000-0005-0000-0000-0000A5290000}"/>
    <cellStyle name="Nota 3 5" xfId="10206" xr:uid="{00000000-0005-0000-0000-0000A6290000}"/>
    <cellStyle name="Nota 3 6" xfId="10207" xr:uid="{00000000-0005-0000-0000-0000A7290000}"/>
    <cellStyle name="Nota 3 7" xfId="10208" xr:uid="{00000000-0005-0000-0000-0000A8290000}"/>
    <cellStyle name="Nota 3 8" xfId="10209" xr:uid="{00000000-0005-0000-0000-0000A9290000}"/>
    <cellStyle name="Nota 3 9" xfId="10210" xr:uid="{00000000-0005-0000-0000-0000AA290000}"/>
    <cellStyle name="Nota 30" xfId="496" xr:uid="{00000000-0005-0000-0000-0000AB290000}"/>
    <cellStyle name="Nota 30 10" xfId="10211" xr:uid="{00000000-0005-0000-0000-0000AC290000}"/>
    <cellStyle name="Nota 30 11" xfId="10212" xr:uid="{00000000-0005-0000-0000-0000AD290000}"/>
    <cellStyle name="Nota 30 12" xfId="10213" xr:uid="{00000000-0005-0000-0000-0000AE290000}"/>
    <cellStyle name="Nota 30 13" xfId="10214" xr:uid="{00000000-0005-0000-0000-0000AF290000}"/>
    <cellStyle name="Nota 30 14" xfId="10215" xr:uid="{00000000-0005-0000-0000-0000B0290000}"/>
    <cellStyle name="Nota 30 15" xfId="10216" xr:uid="{00000000-0005-0000-0000-0000B1290000}"/>
    <cellStyle name="Nota 30 16" xfId="10217" xr:uid="{00000000-0005-0000-0000-0000B2290000}"/>
    <cellStyle name="Nota 30 17" xfId="10218" xr:uid="{00000000-0005-0000-0000-0000B3290000}"/>
    <cellStyle name="Nota 30 18" xfId="10219" xr:uid="{00000000-0005-0000-0000-0000B4290000}"/>
    <cellStyle name="Nota 30 19" xfId="10220" xr:uid="{00000000-0005-0000-0000-0000B5290000}"/>
    <cellStyle name="Nota 30 2" xfId="10221" xr:uid="{00000000-0005-0000-0000-0000B6290000}"/>
    <cellStyle name="Nota 30 20" xfId="10222" xr:uid="{00000000-0005-0000-0000-0000B7290000}"/>
    <cellStyle name="Nota 30 3" xfId="10223" xr:uid="{00000000-0005-0000-0000-0000B8290000}"/>
    <cellStyle name="Nota 30 4" xfId="10224" xr:uid="{00000000-0005-0000-0000-0000B9290000}"/>
    <cellStyle name="Nota 30 5" xfId="10225" xr:uid="{00000000-0005-0000-0000-0000BA290000}"/>
    <cellStyle name="Nota 30 6" xfId="10226" xr:uid="{00000000-0005-0000-0000-0000BB290000}"/>
    <cellStyle name="Nota 30 7" xfId="10227" xr:uid="{00000000-0005-0000-0000-0000BC290000}"/>
    <cellStyle name="Nota 30 8" xfId="10228" xr:uid="{00000000-0005-0000-0000-0000BD290000}"/>
    <cellStyle name="Nota 30 9" xfId="10229" xr:uid="{00000000-0005-0000-0000-0000BE290000}"/>
    <cellStyle name="Nota 31" xfId="514" xr:uid="{00000000-0005-0000-0000-0000BF290000}"/>
    <cellStyle name="Nota 31 10" xfId="10230" xr:uid="{00000000-0005-0000-0000-0000C0290000}"/>
    <cellStyle name="Nota 31 11" xfId="10231" xr:uid="{00000000-0005-0000-0000-0000C1290000}"/>
    <cellStyle name="Nota 31 12" xfId="10232" xr:uid="{00000000-0005-0000-0000-0000C2290000}"/>
    <cellStyle name="Nota 31 13" xfId="10233" xr:uid="{00000000-0005-0000-0000-0000C3290000}"/>
    <cellStyle name="Nota 31 14" xfId="10234" xr:uid="{00000000-0005-0000-0000-0000C4290000}"/>
    <cellStyle name="Nota 31 15" xfId="10235" xr:uid="{00000000-0005-0000-0000-0000C5290000}"/>
    <cellStyle name="Nota 31 16" xfId="10236" xr:uid="{00000000-0005-0000-0000-0000C6290000}"/>
    <cellStyle name="Nota 31 17" xfId="10237" xr:uid="{00000000-0005-0000-0000-0000C7290000}"/>
    <cellStyle name="Nota 31 18" xfId="10238" xr:uid="{00000000-0005-0000-0000-0000C8290000}"/>
    <cellStyle name="Nota 31 19" xfId="10239" xr:uid="{00000000-0005-0000-0000-0000C9290000}"/>
    <cellStyle name="Nota 31 2" xfId="10240" xr:uid="{00000000-0005-0000-0000-0000CA290000}"/>
    <cellStyle name="Nota 31 20" xfId="10241" xr:uid="{00000000-0005-0000-0000-0000CB290000}"/>
    <cellStyle name="Nota 31 3" xfId="10242" xr:uid="{00000000-0005-0000-0000-0000CC290000}"/>
    <cellStyle name="Nota 31 4" xfId="10243" xr:uid="{00000000-0005-0000-0000-0000CD290000}"/>
    <cellStyle name="Nota 31 5" xfId="10244" xr:uid="{00000000-0005-0000-0000-0000CE290000}"/>
    <cellStyle name="Nota 31 6" xfId="10245" xr:uid="{00000000-0005-0000-0000-0000CF290000}"/>
    <cellStyle name="Nota 31 7" xfId="10246" xr:uid="{00000000-0005-0000-0000-0000D0290000}"/>
    <cellStyle name="Nota 31 8" xfId="10247" xr:uid="{00000000-0005-0000-0000-0000D1290000}"/>
    <cellStyle name="Nota 31 9" xfId="10248" xr:uid="{00000000-0005-0000-0000-0000D2290000}"/>
    <cellStyle name="Nota 32" xfId="532" xr:uid="{00000000-0005-0000-0000-0000D3290000}"/>
    <cellStyle name="Nota 32 10" xfId="10249" xr:uid="{00000000-0005-0000-0000-0000D4290000}"/>
    <cellStyle name="Nota 32 11" xfId="10250" xr:uid="{00000000-0005-0000-0000-0000D5290000}"/>
    <cellStyle name="Nota 32 12" xfId="10251" xr:uid="{00000000-0005-0000-0000-0000D6290000}"/>
    <cellStyle name="Nota 32 13" xfId="10252" xr:uid="{00000000-0005-0000-0000-0000D7290000}"/>
    <cellStyle name="Nota 32 14" xfId="10253" xr:uid="{00000000-0005-0000-0000-0000D8290000}"/>
    <cellStyle name="Nota 32 15" xfId="10254" xr:uid="{00000000-0005-0000-0000-0000D9290000}"/>
    <cellStyle name="Nota 32 16" xfId="10255" xr:uid="{00000000-0005-0000-0000-0000DA290000}"/>
    <cellStyle name="Nota 32 17" xfId="10256" xr:uid="{00000000-0005-0000-0000-0000DB290000}"/>
    <cellStyle name="Nota 32 18" xfId="10257" xr:uid="{00000000-0005-0000-0000-0000DC290000}"/>
    <cellStyle name="Nota 32 19" xfId="10258" xr:uid="{00000000-0005-0000-0000-0000DD290000}"/>
    <cellStyle name="Nota 32 2" xfId="10259" xr:uid="{00000000-0005-0000-0000-0000DE290000}"/>
    <cellStyle name="Nota 32 20" xfId="10260" xr:uid="{00000000-0005-0000-0000-0000DF290000}"/>
    <cellStyle name="Nota 32 3" xfId="10261" xr:uid="{00000000-0005-0000-0000-0000E0290000}"/>
    <cellStyle name="Nota 32 4" xfId="10262" xr:uid="{00000000-0005-0000-0000-0000E1290000}"/>
    <cellStyle name="Nota 32 5" xfId="10263" xr:uid="{00000000-0005-0000-0000-0000E2290000}"/>
    <cellStyle name="Nota 32 6" xfId="10264" xr:uid="{00000000-0005-0000-0000-0000E3290000}"/>
    <cellStyle name="Nota 32 7" xfId="10265" xr:uid="{00000000-0005-0000-0000-0000E4290000}"/>
    <cellStyle name="Nota 32 8" xfId="10266" xr:uid="{00000000-0005-0000-0000-0000E5290000}"/>
    <cellStyle name="Nota 32 9" xfId="10267" xr:uid="{00000000-0005-0000-0000-0000E6290000}"/>
    <cellStyle name="Nota 33" xfId="550" xr:uid="{00000000-0005-0000-0000-0000E7290000}"/>
    <cellStyle name="Nota 33 10" xfId="10268" xr:uid="{00000000-0005-0000-0000-0000E8290000}"/>
    <cellStyle name="Nota 33 11" xfId="10269" xr:uid="{00000000-0005-0000-0000-0000E9290000}"/>
    <cellStyle name="Nota 33 12" xfId="10270" xr:uid="{00000000-0005-0000-0000-0000EA290000}"/>
    <cellStyle name="Nota 33 13" xfId="10271" xr:uid="{00000000-0005-0000-0000-0000EB290000}"/>
    <cellStyle name="Nota 33 14" xfId="10272" xr:uid="{00000000-0005-0000-0000-0000EC290000}"/>
    <cellStyle name="Nota 33 15" xfId="10273" xr:uid="{00000000-0005-0000-0000-0000ED290000}"/>
    <cellStyle name="Nota 33 16" xfId="10274" xr:uid="{00000000-0005-0000-0000-0000EE290000}"/>
    <cellStyle name="Nota 33 17" xfId="10275" xr:uid="{00000000-0005-0000-0000-0000EF290000}"/>
    <cellStyle name="Nota 33 18" xfId="10276" xr:uid="{00000000-0005-0000-0000-0000F0290000}"/>
    <cellStyle name="Nota 33 19" xfId="10277" xr:uid="{00000000-0005-0000-0000-0000F1290000}"/>
    <cellStyle name="Nota 33 2" xfId="10278" xr:uid="{00000000-0005-0000-0000-0000F2290000}"/>
    <cellStyle name="Nota 33 20" xfId="10279" xr:uid="{00000000-0005-0000-0000-0000F3290000}"/>
    <cellStyle name="Nota 33 3" xfId="10280" xr:uid="{00000000-0005-0000-0000-0000F4290000}"/>
    <cellStyle name="Nota 33 4" xfId="10281" xr:uid="{00000000-0005-0000-0000-0000F5290000}"/>
    <cellStyle name="Nota 33 5" xfId="10282" xr:uid="{00000000-0005-0000-0000-0000F6290000}"/>
    <cellStyle name="Nota 33 6" xfId="10283" xr:uid="{00000000-0005-0000-0000-0000F7290000}"/>
    <cellStyle name="Nota 33 7" xfId="10284" xr:uid="{00000000-0005-0000-0000-0000F8290000}"/>
    <cellStyle name="Nota 33 8" xfId="10285" xr:uid="{00000000-0005-0000-0000-0000F9290000}"/>
    <cellStyle name="Nota 33 9" xfId="10286" xr:uid="{00000000-0005-0000-0000-0000FA290000}"/>
    <cellStyle name="Nota 34" xfId="568" xr:uid="{00000000-0005-0000-0000-0000FB290000}"/>
    <cellStyle name="Nota 34 10" xfId="10287" xr:uid="{00000000-0005-0000-0000-0000FC290000}"/>
    <cellStyle name="Nota 34 11" xfId="10288" xr:uid="{00000000-0005-0000-0000-0000FD290000}"/>
    <cellStyle name="Nota 34 12" xfId="10289" xr:uid="{00000000-0005-0000-0000-0000FE290000}"/>
    <cellStyle name="Nota 34 13" xfId="10290" xr:uid="{00000000-0005-0000-0000-0000FF290000}"/>
    <cellStyle name="Nota 34 14" xfId="10291" xr:uid="{00000000-0005-0000-0000-0000002A0000}"/>
    <cellStyle name="Nota 34 15" xfId="10292" xr:uid="{00000000-0005-0000-0000-0000012A0000}"/>
    <cellStyle name="Nota 34 16" xfId="10293" xr:uid="{00000000-0005-0000-0000-0000022A0000}"/>
    <cellStyle name="Nota 34 17" xfId="10294" xr:uid="{00000000-0005-0000-0000-0000032A0000}"/>
    <cellStyle name="Nota 34 18" xfId="10295" xr:uid="{00000000-0005-0000-0000-0000042A0000}"/>
    <cellStyle name="Nota 34 19" xfId="10296" xr:uid="{00000000-0005-0000-0000-0000052A0000}"/>
    <cellStyle name="Nota 34 2" xfId="10297" xr:uid="{00000000-0005-0000-0000-0000062A0000}"/>
    <cellStyle name="Nota 34 20" xfId="10298" xr:uid="{00000000-0005-0000-0000-0000072A0000}"/>
    <cellStyle name="Nota 34 3" xfId="10299" xr:uid="{00000000-0005-0000-0000-0000082A0000}"/>
    <cellStyle name="Nota 34 4" xfId="10300" xr:uid="{00000000-0005-0000-0000-0000092A0000}"/>
    <cellStyle name="Nota 34 5" xfId="10301" xr:uid="{00000000-0005-0000-0000-00000A2A0000}"/>
    <cellStyle name="Nota 34 6" xfId="10302" xr:uid="{00000000-0005-0000-0000-00000B2A0000}"/>
    <cellStyle name="Nota 34 7" xfId="10303" xr:uid="{00000000-0005-0000-0000-00000C2A0000}"/>
    <cellStyle name="Nota 34 8" xfId="10304" xr:uid="{00000000-0005-0000-0000-00000D2A0000}"/>
    <cellStyle name="Nota 34 9" xfId="10305" xr:uid="{00000000-0005-0000-0000-00000E2A0000}"/>
    <cellStyle name="Nota 35" xfId="586" xr:uid="{00000000-0005-0000-0000-00000F2A0000}"/>
    <cellStyle name="Nota 35 10" xfId="10306" xr:uid="{00000000-0005-0000-0000-0000102A0000}"/>
    <cellStyle name="Nota 35 11" xfId="10307" xr:uid="{00000000-0005-0000-0000-0000112A0000}"/>
    <cellStyle name="Nota 35 12" xfId="10308" xr:uid="{00000000-0005-0000-0000-0000122A0000}"/>
    <cellStyle name="Nota 35 13" xfId="10309" xr:uid="{00000000-0005-0000-0000-0000132A0000}"/>
    <cellStyle name="Nota 35 14" xfId="10310" xr:uid="{00000000-0005-0000-0000-0000142A0000}"/>
    <cellStyle name="Nota 35 15" xfId="10311" xr:uid="{00000000-0005-0000-0000-0000152A0000}"/>
    <cellStyle name="Nota 35 16" xfId="10312" xr:uid="{00000000-0005-0000-0000-0000162A0000}"/>
    <cellStyle name="Nota 35 17" xfId="10313" xr:uid="{00000000-0005-0000-0000-0000172A0000}"/>
    <cellStyle name="Nota 35 18" xfId="10314" xr:uid="{00000000-0005-0000-0000-0000182A0000}"/>
    <cellStyle name="Nota 35 19" xfId="10315" xr:uid="{00000000-0005-0000-0000-0000192A0000}"/>
    <cellStyle name="Nota 35 2" xfId="10316" xr:uid="{00000000-0005-0000-0000-00001A2A0000}"/>
    <cellStyle name="Nota 35 20" xfId="10317" xr:uid="{00000000-0005-0000-0000-00001B2A0000}"/>
    <cellStyle name="Nota 35 3" xfId="10318" xr:uid="{00000000-0005-0000-0000-00001C2A0000}"/>
    <cellStyle name="Nota 35 4" xfId="10319" xr:uid="{00000000-0005-0000-0000-00001D2A0000}"/>
    <cellStyle name="Nota 35 5" xfId="10320" xr:uid="{00000000-0005-0000-0000-00001E2A0000}"/>
    <cellStyle name="Nota 35 6" xfId="10321" xr:uid="{00000000-0005-0000-0000-00001F2A0000}"/>
    <cellStyle name="Nota 35 7" xfId="10322" xr:uid="{00000000-0005-0000-0000-0000202A0000}"/>
    <cellStyle name="Nota 35 8" xfId="10323" xr:uid="{00000000-0005-0000-0000-0000212A0000}"/>
    <cellStyle name="Nota 35 9" xfId="10324" xr:uid="{00000000-0005-0000-0000-0000222A0000}"/>
    <cellStyle name="Nota 36" xfId="604" xr:uid="{00000000-0005-0000-0000-0000232A0000}"/>
    <cellStyle name="Nota 36 10" xfId="10325" xr:uid="{00000000-0005-0000-0000-0000242A0000}"/>
    <cellStyle name="Nota 36 11" xfId="10326" xr:uid="{00000000-0005-0000-0000-0000252A0000}"/>
    <cellStyle name="Nota 36 12" xfId="10327" xr:uid="{00000000-0005-0000-0000-0000262A0000}"/>
    <cellStyle name="Nota 36 13" xfId="10328" xr:uid="{00000000-0005-0000-0000-0000272A0000}"/>
    <cellStyle name="Nota 36 14" xfId="10329" xr:uid="{00000000-0005-0000-0000-0000282A0000}"/>
    <cellStyle name="Nota 36 15" xfId="10330" xr:uid="{00000000-0005-0000-0000-0000292A0000}"/>
    <cellStyle name="Nota 36 16" xfId="10331" xr:uid="{00000000-0005-0000-0000-00002A2A0000}"/>
    <cellStyle name="Nota 36 17" xfId="10332" xr:uid="{00000000-0005-0000-0000-00002B2A0000}"/>
    <cellStyle name="Nota 36 18" xfId="10333" xr:uid="{00000000-0005-0000-0000-00002C2A0000}"/>
    <cellStyle name="Nota 36 19" xfId="10334" xr:uid="{00000000-0005-0000-0000-00002D2A0000}"/>
    <cellStyle name="Nota 36 2" xfId="10335" xr:uid="{00000000-0005-0000-0000-00002E2A0000}"/>
    <cellStyle name="Nota 36 20" xfId="10336" xr:uid="{00000000-0005-0000-0000-00002F2A0000}"/>
    <cellStyle name="Nota 36 3" xfId="10337" xr:uid="{00000000-0005-0000-0000-0000302A0000}"/>
    <cellStyle name="Nota 36 4" xfId="10338" xr:uid="{00000000-0005-0000-0000-0000312A0000}"/>
    <cellStyle name="Nota 36 5" xfId="10339" xr:uid="{00000000-0005-0000-0000-0000322A0000}"/>
    <cellStyle name="Nota 36 6" xfId="10340" xr:uid="{00000000-0005-0000-0000-0000332A0000}"/>
    <cellStyle name="Nota 36 7" xfId="10341" xr:uid="{00000000-0005-0000-0000-0000342A0000}"/>
    <cellStyle name="Nota 36 8" xfId="10342" xr:uid="{00000000-0005-0000-0000-0000352A0000}"/>
    <cellStyle name="Nota 36 9" xfId="10343" xr:uid="{00000000-0005-0000-0000-0000362A0000}"/>
    <cellStyle name="Nota 37" xfId="622" xr:uid="{00000000-0005-0000-0000-0000372A0000}"/>
    <cellStyle name="Nota 37 10" xfId="10344" xr:uid="{00000000-0005-0000-0000-0000382A0000}"/>
    <cellStyle name="Nota 37 11" xfId="10345" xr:uid="{00000000-0005-0000-0000-0000392A0000}"/>
    <cellStyle name="Nota 37 12" xfId="10346" xr:uid="{00000000-0005-0000-0000-00003A2A0000}"/>
    <cellStyle name="Nota 37 13" xfId="10347" xr:uid="{00000000-0005-0000-0000-00003B2A0000}"/>
    <cellStyle name="Nota 37 14" xfId="10348" xr:uid="{00000000-0005-0000-0000-00003C2A0000}"/>
    <cellStyle name="Nota 37 15" xfId="10349" xr:uid="{00000000-0005-0000-0000-00003D2A0000}"/>
    <cellStyle name="Nota 37 16" xfId="10350" xr:uid="{00000000-0005-0000-0000-00003E2A0000}"/>
    <cellStyle name="Nota 37 17" xfId="10351" xr:uid="{00000000-0005-0000-0000-00003F2A0000}"/>
    <cellStyle name="Nota 37 18" xfId="10352" xr:uid="{00000000-0005-0000-0000-0000402A0000}"/>
    <cellStyle name="Nota 37 19" xfId="10353" xr:uid="{00000000-0005-0000-0000-0000412A0000}"/>
    <cellStyle name="Nota 37 2" xfId="10354" xr:uid="{00000000-0005-0000-0000-0000422A0000}"/>
    <cellStyle name="Nota 37 20" xfId="10355" xr:uid="{00000000-0005-0000-0000-0000432A0000}"/>
    <cellStyle name="Nota 37 3" xfId="10356" xr:uid="{00000000-0005-0000-0000-0000442A0000}"/>
    <cellStyle name="Nota 37 4" xfId="10357" xr:uid="{00000000-0005-0000-0000-0000452A0000}"/>
    <cellStyle name="Nota 37 5" xfId="10358" xr:uid="{00000000-0005-0000-0000-0000462A0000}"/>
    <cellStyle name="Nota 37 6" xfId="10359" xr:uid="{00000000-0005-0000-0000-0000472A0000}"/>
    <cellStyle name="Nota 37 7" xfId="10360" xr:uid="{00000000-0005-0000-0000-0000482A0000}"/>
    <cellStyle name="Nota 37 8" xfId="10361" xr:uid="{00000000-0005-0000-0000-0000492A0000}"/>
    <cellStyle name="Nota 37 9" xfId="10362" xr:uid="{00000000-0005-0000-0000-00004A2A0000}"/>
    <cellStyle name="Nota 38" xfId="640" xr:uid="{00000000-0005-0000-0000-00004B2A0000}"/>
    <cellStyle name="Nota 38 10" xfId="10363" xr:uid="{00000000-0005-0000-0000-00004C2A0000}"/>
    <cellStyle name="Nota 38 11" xfId="10364" xr:uid="{00000000-0005-0000-0000-00004D2A0000}"/>
    <cellStyle name="Nota 38 12" xfId="10365" xr:uid="{00000000-0005-0000-0000-00004E2A0000}"/>
    <cellStyle name="Nota 38 13" xfId="10366" xr:uid="{00000000-0005-0000-0000-00004F2A0000}"/>
    <cellStyle name="Nota 38 14" xfId="10367" xr:uid="{00000000-0005-0000-0000-0000502A0000}"/>
    <cellStyle name="Nota 38 15" xfId="10368" xr:uid="{00000000-0005-0000-0000-0000512A0000}"/>
    <cellStyle name="Nota 38 16" xfId="10369" xr:uid="{00000000-0005-0000-0000-0000522A0000}"/>
    <cellStyle name="Nota 38 17" xfId="10370" xr:uid="{00000000-0005-0000-0000-0000532A0000}"/>
    <cellStyle name="Nota 38 18" xfId="10371" xr:uid="{00000000-0005-0000-0000-0000542A0000}"/>
    <cellStyle name="Nota 38 19" xfId="10372" xr:uid="{00000000-0005-0000-0000-0000552A0000}"/>
    <cellStyle name="Nota 38 2" xfId="10373" xr:uid="{00000000-0005-0000-0000-0000562A0000}"/>
    <cellStyle name="Nota 38 20" xfId="10374" xr:uid="{00000000-0005-0000-0000-0000572A0000}"/>
    <cellStyle name="Nota 38 3" xfId="10375" xr:uid="{00000000-0005-0000-0000-0000582A0000}"/>
    <cellStyle name="Nota 38 4" xfId="10376" xr:uid="{00000000-0005-0000-0000-0000592A0000}"/>
    <cellStyle name="Nota 38 5" xfId="10377" xr:uid="{00000000-0005-0000-0000-00005A2A0000}"/>
    <cellStyle name="Nota 38 6" xfId="10378" xr:uid="{00000000-0005-0000-0000-00005B2A0000}"/>
    <cellStyle name="Nota 38 7" xfId="10379" xr:uid="{00000000-0005-0000-0000-00005C2A0000}"/>
    <cellStyle name="Nota 38 8" xfId="10380" xr:uid="{00000000-0005-0000-0000-00005D2A0000}"/>
    <cellStyle name="Nota 38 9" xfId="10381" xr:uid="{00000000-0005-0000-0000-00005E2A0000}"/>
    <cellStyle name="Nota 39" xfId="658" xr:uid="{00000000-0005-0000-0000-00005F2A0000}"/>
    <cellStyle name="Nota 4" xfId="64" xr:uid="{00000000-0005-0000-0000-0000602A0000}"/>
    <cellStyle name="Nota 4 10" xfId="10382" xr:uid="{00000000-0005-0000-0000-0000612A0000}"/>
    <cellStyle name="Nota 4 11" xfId="10383" xr:uid="{00000000-0005-0000-0000-0000622A0000}"/>
    <cellStyle name="Nota 4 12" xfId="10384" xr:uid="{00000000-0005-0000-0000-0000632A0000}"/>
    <cellStyle name="Nota 4 13" xfId="10385" xr:uid="{00000000-0005-0000-0000-0000642A0000}"/>
    <cellStyle name="Nota 4 14" xfId="10386" xr:uid="{00000000-0005-0000-0000-0000652A0000}"/>
    <cellStyle name="Nota 4 15" xfId="10387" xr:uid="{00000000-0005-0000-0000-0000662A0000}"/>
    <cellStyle name="Nota 4 16" xfId="10388" xr:uid="{00000000-0005-0000-0000-0000672A0000}"/>
    <cellStyle name="Nota 4 17" xfId="10389" xr:uid="{00000000-0005-0000-0000-0000682A0000}"/>
    <cellStyle name="Nota 4 18" xfId="10390" xr:uid="{00000000-0005-0000-0000-0000692A0000}"/>
    <cellStyle name="Nota 4 19" xfId="10391" xr:uid="{00000000-0005-0000-0000-00006A2A0000}"/>
    <cellStyle name="Nota 4 2" xfId="10392" xr:uid="{00000000-0005-0000-0000-00006B2A0000}"/>
    <cellStyle name="Nota 4 20" xfId="10393" xr:uid="{00000000-0005-0000-0000-00006C2A0000}"/>
    <cellStyle name="Nota 4 3" xfId="10394" xr:uid="{00000000-0005-0000-0000-00006D2A0000}"/>
    <cellStyle name="Nota 4 4" xfId="10395" xr:uid="{00000000-0005-0000-0000-00006E2A0000}"/>
    <cellStyle name="Nota 4 5" xfId="10396" xr:uid="{00000000-0005-0000-0000-00006F2A0000}"/>
    <cellStyle name="Nota 4 6" xfId="10397" xr:uid="{00000000-0005-0000-0000-0000702A0000}"/>
    <cellStyle name="Nota 4 7" xfId="10398" xr:uid="{00000000-0005-0000-0000-0000712A0000}"/>
    <cellStyle name="Nota 4 8" xfId="10399" xr:uid="{00000000-0005-0000-0000-0000722A0000}"/>
    <cellStyle name="Nota 4 9" xfId="10400" xr:uid="{00000000-0005-0000-0000-0000732A0000}"/>
    <cellStyle name="Nota 40" xfId="676" xr:uid="{00000000-0005-0000-0000-0000742A0000}"/>
    <cellStyle name="Nota 41" xfId="694" xr:uid="{00000000-0005-0000-0000-0000752A0000}"/>
    <cellStyle name="Nota 42" xfId="699" xr:uid="{00000000-0005-0000-0000-0000762A0000}"/>
    <cellStyle name="Nota 43" xfId="726" xr:uid="{00000000-0005-0000-0000-0000772A0000}"/>
    <cellStyle name="Nota 44" xfId="733" xr:uid="{00000000-0005-0000-0000-0000782A0000}"/>
    <cellStyle name="Nota 45" xfId="766" xr:uid="{00000000-0005-0000-0000-0000792A0000}"/>
    <cellStyle name="Nota 46" xfId="784" xr:uid="{00000000-0005-0000-0000-00007A2A0000}"/>
    <cellStyle name="Nota 47" xfId="802" xr:uid="{00000000-0005-0000-0000-00007B2A0000}"/>
    <cellStyle name="Nota 48" xfId="820" xr:uid="{00000000-0005-0000-0000-00007C2A0000}"/>
    <cellStyle name="Nota 49" xfId="838" xr:uid="{00000000-0005-0000-0000-00007D2A0000}"/>
    <cellStyle name="Nota 5" xfId="56" xr:uid="{00000000-0005-0000-0000-00007E2A0000}"/>
    <cellStyle name="Nota 5 10" xfId="10401" xr:uid="{00000000-0005-0000-0000-00007F2A0000}"/>
    <cellStyle name="Nota 5 11" xfId="10402" xr:uid="{00000000-0005-0000-0000-0000802A0000}"/>
    <cellStyle name="Nota 5 12" xfId="10403" xr:uid="{00000000-0005-0000-0000-0000812A0000}"/>
    <cellStyle name="Nota 5 13" xfId="10404" xr:uid="{00000000-0005-0000-0000-0000822A0000}"/>
    <cellStyle name="Nota 5 14" xfId="10405" xr:uid="{00000000-0005-0000-0000-0000832A0000}"/>
    <cellStyle name="Nota 5 15" xfId="10406" xr:uid="{00000000-0005-0000-0000-0000842A0000}"/>
    <cellStyle name="Nota 5 16" xfId="10407" xr:uid="{00000000-0005-0000-0000-0000852A0000}"/>
    <cellStyle name="Nota 5 17" xfId="10408" xr:uid="{00000000-0005-0000-0000-0000862A0000}"/>
    <cellStyle name="Nota 5 18" xfId="10409" xr:uid="{00000000-0005-0000-0000-0000872A0000}"/>
    <cellStyle name="Nota 5 19" xfId="10410" xr:uid="{00000000-0005-0000-0000-0000882A0000}"/>
    <cellStyle name="Nota 5 2" xfId="10411" xr:uid="{00000000-0005-0000-0000-0000892A0000}"/>
    <cellStyle name="Nota 5 20" xfId="10412" xr:uid="{00000000-0005-0000-0000-00008A2A0000}"/>
    <cellStyle name="Nota 5 3" xfId="10413" xr:uid="{00000000-0005-0000-0000-00008B2A0000}"/>
    <cellStyle name="Nota 5 4" xfId="10414" xr:uid="{00000000-0005-0000-0000-00008C2A0000}"/>
    <cellStyle name="Nota 5 5" xfId="10415" xr:uid="{00000000-0005-0000-0000-00008D2A0000}"/>
    <cellStyle name="Nota 5 6" xfId="10416" xr:uid="{00000000-0005-0000-0000-00008E2A0000}"/>
    <cellStyle name="Nota 5 7" xfId="10417" xr:uid="{00000000-0005-0000-0000-00008F2A0000}"/>
    <cellStyle name="Nota 5 8" xfId="10418" xr:uid="{00000000-0005-0000-0000-0000902A0000}"/>
    <cellStyle name="Nota 5 9" xfId="10419" xr:uid="{00000000-0005-0000-0000-0000912A0000}"/>
    <cellStyle name="Nota 50" xfId="856" xr:uid="{00000000-0005-0000-0000-0000922A0000}"/>
    <cellStyle name="Nota 51" xfId="874" xr:uid="{00000000-0005-0000-0000-0000932A0000}"/>
    <cellStyle name="Nota 52" xfId="908" xr:uid="{00000000-0005-0000-0000-0000942A0000}"/>
    <cellStyle name="Nota 53" xfId="928" xr:uid="{00000000-0005-0000-0000-0000952A0000}"/>
    <cellStyle name="Nota 54" xfId="892" xr:uid="{00000000-0005-0000-0000-0000962A0000}"/>
    <cellStyle name="Nota 55" xfId="946" xr:uid="{00000000-0005-0000-0000-0000972A0000}"/>
    <cellStyle name="Nota 56" xfId="964" xr:uid="{00000000-0005-0000-0000-0000982A0000}"/>
    <cellStyle name="Nota 57" xfId="982" xr:uid="{00000000-0005-0000-0000-0000992A0000}"/>
    <cellStyle name="Nota 58" xfId="1000" xr:uid="{00000000-0005-0000-0000-00009A2A0000}"/>
    <cellStyle name="Nota 59" xfId="1033" xr:uid="{00000000-0005-0000-0000-00009B2A0000}"/>
    <cellStyle name="Nota 6" xfId="63" xr:uid="{00000000-0005-0000-0000-00009C2A0000}"/>
    <cellStyle name="Nota 6 10" xfId="10420" xr:uid="{00000000-0005-0000-0000-00009D2A0000}"/>
    <cellStyle name="Nota 6 11" xfId="10421" xr:uid="{00000000-0005-0000-0000-00009E2A0000}"/>
    <cellStyle name="Nota 6 12" xfId="10422" xr:uid="{00000000-0005-0000-0000-00009F2A0000}"/>
    <cellStyle name="Nota 6 13" xfId="10423" xr:uid="{00000000-0005-0000-0000-0000A02A0000}"/>
    <cellStyle name="Nota 6 14" xfId="10424" xr:uid="{00000000-0005-0000-0000-0000A12A0000}"/>
    <cellStyle name="Nota 6 15" xfId="10425" xr:uid="{00000000-0005-0000-0000-0000A22A0000}"/>
    <cellStyle name="Nota 6 16" xfId="10426" xr:uid="{00000000-0005-0000-0000-0000A32A0000}"/>
    <cellStyle name="Nota 6 17" xfId="10427" xr:uid="{00000000-0005-0000-0000-0000A42A0000}"/>
    <cellStyle name="Nota 6 18" xfId="10428" xr:uid="{00000000-0005-0000-0000-0000A52A0000}"/>
    <cellStyle name="Nota 6 19" xfId="10429" xr:uid="{00000000-0005-0000-0000-0000A62A0000}"/>
    <cellStyle name="Nota 6 2" xfId="10430" xr:uid="{00000000-0005-0000-0000-0000A72A0000}"/>
    <cellStyle name="Nota 6 20" xfId="10431" xr:uid="{00000000-0005-0000-0000-0000A82A0000}"/>
    <cellStyle name="Nota 6 3" xfId="10432" xr:uid="{00000000-0005-0000-0000-0000A92A0000}"/>
    <cellStyle name="Nota 6 4" xfId="10433" xr:uid="{00000000-0005-0000-0000-0000AA2A0000}"/>
    <cellStyle name="Nota 6 5" xfId="10434" xr:uid="{00000000-0005-0000-0000-0000AB2A0000}"/>
    <cellStyle name="Nota 6 6" xfId="10435" xr:uid="{00000000-0005-0000-0000-0000AC2A0000}"/>
    <cellStyle name="Nota 6 7" xfId="10436" xr:uid="{00000000-0005-0000-0000-0000AD2A0000}"/>
    <cellStyle name="Nota 6 8" xfId="10437" xr:uid="{00000000-0005-0000-0000-0000AE2A0000}"/>
    <cellStyle name="Nota 6 9" xfId="10438" xr:uid="{00000000-0005-0000-0000-0000AF2A0000}"/>
    <cellStyle name="Nota 60" xfId="1053" xr:uid="{00000000-0005-0000-0000-0000B02A0000}"/>
    <cellStyle name="Nota 61" xfId="1069" xr:uid="{00000000-0005-0000-0000-0000B12A0000}"/>
    <cellStyle name="Nota 62" xfId="1089" xr:uid="{00000000-0005-0000-0000-0000B22A0000}"/>
    <cellStyle name="Nota 63" xfId="1017" xr:uid="{00000000-0005-0000-0000-0000B32A0000}"/>
    <cellStyle name="Nota 64" xfId="1107" xr:uid="{00000000-0005-0000-0000-0000B42A0000}"/>
    <cellStyle name="Nota 65" xfId="1125" xr:uid="{00000000-0005-0000-0000-0000B52A0000}"/>
    <cellStyle name="Nota 66" xfId="1158" xr:uid="{00000000-0005-0000-0000-0000B62A0000}"/>
    <cellStyle name="Nota 67" xfId="1178" xr:uid="{00000000-0005-0000-0000-0000B72A0000}"/>
    <cellStyle name="Nota 68" xfId="1142" xr:uid="{00000000-0005-0000-0000-0000B82A0000}"/>
    <cellStyle name="Nota 69" xfId="1196" xr:uid="{00000000-0005-0000-0000-0000B92A0000}"/>
    <cellStyle name="Nota 7" xfId="95" xr:uid="{00000000-0005-0000-0000-0000BA2A0000}"/>
    <cellStyle name="Nota 7 10" xfId="10439" xr:uid="{00000000-0005-0000-0000-0000BB2A0000}"/>
    <cellStyle name="Nota 7 11" xfId="10440" xr:uid="{00000000-0005-0000-0000-0000BC2A0000}"/>
    <cellStyle name="Nota 7 12" xfId="10441" xr:uid="{00000000-0005-0000-0000-0000BD2A0000}"/>
    <cellStyle name="Nota 7 13" xfId="10442" xr:uid="{00000000-0005-0000-0000-0000BE2A0000}"/>
    <cellStyle name="Nota 7 14" xfId="10443" xr:uid="{00000000-0005-0000-0000-0000BF2A0000}"/>
    <cellStyle name="Nota 7 15" xfId="10444" xr:uid="{00000000-0005-0000-0000-0000C02A0000}"/>
    <cellStyle name="Nota 7 16" xfId="10445" xr:uid="{00000000-0005-0000-0000-0000C12A0000}"/>
    <cellStyle name="Nota 7 17" xfId="10446" xr:uid="{00000000-0005-0000-0000-0000C22A0000}"/>
    <cellStyle name="Nota 7 18" xfId="10447" xr:uid="{00000000-0005-0000-0000-0000C32A0000}"/>
    <cellStyle name="Nota 7 19" xfId="10448" xr:uid="{00000000-0005-0000-0000-0000C42A0000}"/>
    <cellStyle name="Nota 7 2" xfId="10449" xr:uid="{00000000-0005-0000-0000-0000C52A0000}"/>
    <cellStyle name="Nota 7 20" xfId="10450" xr:uid="{00000000-0005-0000-0000-0000C62A0000}"/>
    <cellStyle name="Nota 7 3" xfId="10451" xr:uid="{00000000-0005-0000-0000-0000C72A0000}"/>
    <cellStyle name="Nota 7 4" xfId="10452" xr:uid="{00000000-0005-0000-0000-0000C82A0000}"/>
    <cellStyle name="Nota 7 5" xfId="10453" xr:uid="{00000000-0005-0000-0000-0000C92A0000}"/>
    <cellStyle name="Nota 7 6" xfId="10454" xr:uid="{00000000-0005-0000-0000-0000CA2A0000}"/>
    <cellStyle name="Nota 7 7" xfId="10455" xr:uid="{00000000-0005-0000-0000-0000CB2A0000}"/>
    <cellStyle name="Nota 7 8" xfId="10456" xr:uid="{00000000-0005-0000-0000-0000CC2A0000}"/>
    <cellStyle name="Nota 7 9" xfId="10457" xr:uid="{00000000-0005-0000-0000-0000CD2A0000}"/>
    <cellStyle name="Nota 70" xfId="1214" xr:uid="{00000000-0005-0000-0000-0000CE2A0000}"/>
    <cellStyle name="Nota 71" xfId="1250" xr:uid="{00000000-0005-0000-0000-0000CF2A0000}"/>
    <cellStyle name="Nota 72" xfId="1260" xr:uid="{00000000-0005-0000-0000-0000D02A0000}"/>
    <cellStyle name="Nota 73" xfId="1254" xr:uid="{00000000-0005-0000-0000-0000D12A0000}"/>
    <cellStyle name="Nota 8" xfId="112" xr:uid="{00000000-0005-0000-0000-0000D22A0000}"/>
    <cellStyle name="Nota 8 10" xfId="10458" xr:uid="{00000000-0005-0000-0000-0000D32A0000}"/>
    <cellStyle name="Nota 8 11" xfId="10459" xr:uid="{00000000-0005-0000-0000-0000D42A0000}"/>
    <cellStyle name="Nota 8 12" xfId="10460" xr:uid="{00000000-0005-0000-0000-0000D52A0000}"/>
    <cellStyle name="Nota 8 13" xfId="10461" xr:uid="{00000000-0005-0000-0000-0000D62A0000}"/>
    <cellStyle name="Nota 8 14" xfId="10462" xr:uid="{00000000-0005-0000-0000-0000D72A0000}"/>
    <cellStyle name="Nota 8 15" xfId="10463" xr:uid="{00000000-0005-0000-0000-0000D82A0000}"/>
    <cellStyle name="Nota 8 16" xfId="10464" xr:uid="{00000000-0005-0000-0000-0000D92A0000}"/>
    <cellStyle name="Nota 8 17" xfId="10465" xr:uid="{00000000-0005-0000-0000-0000DA2A0000}"/>
    <cellStyle name="Nota 8 18" xfId="10466" xr:uid="{00000000-0005-0000-0000-0000DB2A0000}"/>
    <cellStyle name="Nota 8 19" xfId="10467" xr:uid="{00000000-0005-0000-0000-0000DC2A0000}"/>
    <cellStyle name="Nota 8 2" xfId="10468" xr:uid="{00000000-0005-0000-0000-0000DD2A0000}"/>
    <cellStyle name="Nota 8 20" xfId="10469" xr:uid="{00000000-0005-0000-0000-0000DE2A0000}"/>
    <cellStyle name="Nota 8 3" xfId="10470" xr:uid="{00000000-0005-0000-0000-0000DF2A0000}"/>
    <cellStyle name="Nota 8 4" xfId="10471" xr:uid="{00000000-0005-0000-0000-0000E02A0000}"/>
    <cellStyle name="Nota 8 5" xfId="10472" xr:uid="{00000000-0005-0000-0000-0000E12A0000}"/>
    <cellStyle name="Nota 8 6" xfId="10473" xr:uid="{00000000-0005-0000-0000-0000E22A0000}"/>
    <cellStyle name="Nota 8 7" xfId="10474" xr:uid="{00000000-0005-0000-0000-0000E32A0000}"/>
    <cellStyle name="Nota 8 8" xfId="10475" xr:uid="{00000000-0005-0000-0000-0000E42A0000}"/>
    <cellStyle name="Nota 8 9" xfId="10476" xr:uid="{00000000-0005-0000-0000-0000E52A0000}"/>
    <cellStyle name="Nota 9" xfId="129" xr:uid="{00000000-0005-0000-0000-0000E62A0000}"/>
    <cellStyle name="Nota 9 10" xfId="10477" xr:uid="{00000000-0005-0000-0000-0000E72A0000}"/>
    <cellStyle name="Nota 9 11" xfId="10478" xr:uid="{00000000-0005-0000-0000-0000E82A0000}"/>
    <cellStyle name="Nota 9 12" xfId="10479" xr:uid="{00000000-0005-0000-0000-0000E92A0000}"/>
    <cellStyle name="Nota 9 13" xfId="10480" xr:uid="{00000000-0005-0000-0000-0000EA2A0000}"/>
    <cellStyle name="Nota 9 14" xfId="10481" xr:uid="{00000000-0005-0000-0000-0000EB2A0000}"/>
    <cellStyle name="Nota 9 15" xfId="10482" xr:uid="{00000000-0005-0000-0000-0000EC2A0000}"/>
    <cellStyle name="Nota 9 16" xfId="10483" xr:uid="{00000000-0005-0000-0000-0000ED2A0000}"/>
    <cellStyle name="Nota 9 17" xfId="10484" xr:uid="{00000000-0005-0000-0000-0000EE2A0000}"/>
    <cellStyle name="Nota 9 18" xfId="10485" xr:uid="{00000000-0005-0000-0000-0000EF2A0000}"/>
    <cellStyle name="Nota 9 19" xfId="10486" xr:uid="{00000000-0005-0000-0000-0000F02A0000}"/>
    <cellStyle name="Nota 9 2" xfId="10487" xr:uid="{00000000-0005-0000-0000-0000F12A0000}"/>
    <cellStyle name="Nota 9 20" xfId="10488" xr:uid="{00000000-0005-0000-0000-0000F22A0000}"/>
    <cellStyle name="Nota 9 3" xfId="10489" xr:uid="{00000000-0005-0000-0000-0000F32A0000}"/>
    <cellStyle name="Nota 9 4" xfId="10490" xr:uid="{00000000-0005-0000-0000-0000F42A0000}"/>
    <cellStyle name="Nota 9 5" xfId="10491" xr:uid="{00000000-0005-0000-0000-0000F52A0000}"/>
    <cellStyle name="Nota 9 6" xfId="10492" xr:uid="{00000000-0005-0000-0000-0000F62A0000}"/>
    <cellStyle name="Nota 9 7" xfId="10493" xr:uid="{00000000-0005-0000-0000-0000F72A0000}"/>
    <cellStyle name="Nota 9 8" xfId="10494" xr:uid="{00000000-0005-0000-0000-0000F82A0000}"/>
    <cellStyle name="Nota 9 9" xfId="10495" xr:uid="{00000000-0005-0000-0000-0000F92A0000}"/>
    <cellStyle name="Ruim" xfId="8" builtinId="27" customBuiltin="1"/>
    <cellStyle name="Saída" xfId="11" builtinId="21" customBuiltin="1"/>
    <cellStyle name="Separador de milhares 2" xfId="51" xr:uid="{00000000-0005-0000-0000-0000FB2A0000}"/>
    <cellStyle name="Separador de milhares 2 2" xfId="11004" xr:uid="{00000000-0005-0000-0000-0000FC2A0000}"/>
    <cellStyle name="Separador de milhares 2 3" xfId="11005" xr:uid="{00000000-0005-0000-0000-0000FD2A0000}"/>
    <cellStyle name="Separador de milhares 2 4" xfId="11006" xr:uid="{00000000-0005-0000-0000-0000FE2A0000}"/>
    <cellStyle name="Separador de milhares 3" xfId="52" xr:uid="{00000000-0005-0000-0000-0000FF2A0000}"/>
    <cellStyle name="Separador de milhares 3 2" xfId="11007" xr:uid="{00000000-0005-0000-0000-0000002B0000}"/>
    <cellStyle name="Separador de milhares 3 3" xfId="11008" xr:uid="{00000000-0005-0000-0000-0000012B0000}"/>
    <cellStyle name="Separador de milhares 3 4" xfId="11009" xr:uid="{00000000-0005-0000-0000-0000022B0000}"/>
    <cellStyle name="Separador de milhares 4" xfId="53" xr:uid="{00000000-0005-0000-0000-0000032B0000}"/>
    <cellStyle name="Separador de milhares 4 2" xfId="11010" xr:uid="{00000000-0005-0000-0000-0000042B0000}"/>
    <cellStyle name="Separador de milhares 4 3" xfId="11011" xr:uid="{00000000-0005-0000-0000-0000052B0000}"/>
    <cellStyle name="Separador de milhares 4 4" xfId="11012" xr:uid="{00000000-0005-0000-0000-0000062B0000}"/>
    <cellStyle name="Separador de milhares 5" xfId="11013" xr:uid="{00000000-0005-0000-0000-0000072B0000}"/>
    <cellStyle name="Separador de milhares 6" xfId="11014" xr:uid="{00000000-0005-0000-0000-0000082B0000}"/>
    <cellStyle name="Texto de Aviso" xfId="15" builtinId="11" customBuiltin="1"/>
    <cellStyle name="Texto Explicativo" xfId="16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7" builtinId="25" customBuiltin="1"/>
    <cellStyle name="Vírgula" xfId="10496" builtinId="3"/>
    <cellStyle name="Vírgula 2" xfId="11024" xr:uid="{00000000-0005-0000-0000-0000122B0000}"/>
  </cellStyles>
  <dxfs count="18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014A"/>
      <color rgb="FFABFFFF"/>
      <color rgb="FFFF3300"/>
      <color rgb="FFEEDDFF"/>
      <color rgb="FFF8F0CC"/>
      <color rgb="FF0066FF"/>
      <color rgb="FFE2C5FF"/>
      <color rgb="FFBED5FA"/>
      <color rgb="FFFF9900"/>
      <color rgb="FFC3D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3.jp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197827</xdr:colOff>
      <xdr:row>0</xdr:row>
      <xdr:rowOff>51289</xdr:rowOff>
    </xdr:from>
    <xdr:to>
      <xdr:col>0</xdr:col>
      <xdr:colOff>967154</xdr:colOff>
      <xdr:row>3</xdr:row>
      <xdr:rowOff>139212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B93A589-1A54-4AF4-B023-B34867ED418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61" t="24344" r="27815" b="23023"/>
        <a:stretch/>
      </xdr:blipFill>
      <xdr:spPr bwMode="auto">
        <a:xfrm>
          <a:off x="197827" y="51289"/>
          <a:ext cx="769327" cy="6374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142875</xdr:rowOff>
    </xdr:from>
    <xdr:to>
      <xdr:col>1</xdr:col>
      <xdr:colOff>57150</xdr:colOff>
      <xdr:row>0</xdr:row>
      <xdr:rowOff>142875</xdr:rowOff>
    </xdr:to>
    <xdr:pic>
      <xdr:nvPicPr>
        <xdr:cNvPr id="2" name="Imagem 21" descr="LOGOCMP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" y="142875"/>
          <a:ext cx="10382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212481</xdr:colOff>
      <xdr:row>0</xdr:row>
      <xdr:rowOff>73269</xdr:rowOff>
    </xdr:from>
    <xdr:to>
      <xdr:col>0</xdr:col>
      <xdr:colOff>981808</xdr:colOff>
      <xdr:row>3</xdr:row>
      <xdr:rowOff>161192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AE84B15-C4F2-4466-8CD2-C4456FF9447F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61" t="24344" r="27815" b="23023"/>
        <a:stretch/>
      </xdr:blipFill>
      <xdr:spPr bwMode="auto">
        <a:xfrm>
          <a:off x="212481" y="73269"/>
          <a:ext cx="769327" cy="6374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147205</xdr:colOff>
      <xdr:row>0</xdr:row>
      <xdr:rowOff>25977</xdr:rowOff>
    </xdr:from>
    <xdr:to>
      <xdr:col>0</xdr:col>
      <xdr:colOff>916532</xdr:colOff>
      <xdr:row>3</xdr:row>
      <xdr:rowOff>117896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8E44D2-461D-44D7-B160-7E19D35974B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61" t="24344" r="27815" b="23023"/>
        <a:stretch/>
      </xdr:blipFill>
      <xdr:spPr bwMode="auto">
        <a:xfrm>
          <a:off x="147205" y="25977"/>
          <a:ext cx="769327" cy="6374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114300</xdr:rowOff>
    </xdr:from>
    <xdr:to>
      <xdr:col>2</xdr:col>
      <xdr:colOff>83527</xdr:colOff>
      <xdr:row>3</xdr:row>
      <xdr:rowOff>94517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EDDB72-D05E-4465-832B-09CD5307FB3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61" t="24344" r="27815" b="23023"/>
        <a:stretch/>
      </xdr:blipFill>
      <xdr:spPr bwMode="auto">
        <a:xfrm>
          <a:off x="47625" y="114300"/>
          <a:ext cx="769327" cy="6374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156882</xdr:colOff>
      <xdr:row>39</xdr:row>
      <xdr:rowOff>201706</xdr:rowOff>
    </xdr:from>
    <xdr:to>
      <xdr:col>3</xdr:col>
      <xdr:colOff>1053255</xdr:colOff>
      <xdr:row>39</xdr:row>
      <xdr:rowOff>287772</xdr:rowOff>
    </xdr:to>
    <xdr:grpSp>
      <xdr:nvGrpSpPr>
        <xdr:cNvPr id="2" name="Grupo 33">
          <a:extLst>
            <a:ext uri="{FF2B5EF4-FFF2-40B4-BE49-F238E27FC236}">
              <a16:creationId xmlns:a16="http://schemas.microsoft.com/office/drawing/2014/main" id="{245E479F-6F6C-4DB2-8E7A-1D9404F6322D}"/>
            </a:ext>
          </a:extLst>
        </xdr:cNvPr>
        <xdr:cNvGrpSpPr/>
      </xdr:nvGrpSpPr>
      <xdr:grpSpPr>
        <a:xfrm>
          <a:off x="2114799" y="6678706"/>
          <a:ext cx="896373" cy="86066"/>
          <a:chOff x="706438" y="12231687"/>
          <a:chExt cx="612731" cy="169127"/>
        </a:xfrm>
      </xdr:grpSpPr>
      <xdr:cxnSp macro="">
        <xdr:nvCxnSpPr>
          <xdr:cNvPr id="3" name="Conector reto 2">
            <a:extLst>
              <a:ext uri="{FF2B5EF4-FFF2-40B4-BE49-F238E27FC236}">
                <a16:creationId xmlns:a16="http://schemas.microsoft.com/office/drawing/2014/main" id="{DA59AD84-9173-7486-55B6-CB63BA3E69BE}"/>
              </a:ext>
            </a:extLst>
          </xdr:cNvPr>
          <xdr:cNvCxnSpPr/>
        </xdr:nvCxnSpPr>
        <xdr:spPr>
          <a:xfrm flipV="1">
            <a:off x="1212807" y="12231687"/>
            <a:ext cx="106362" cy="167543"/>
          </a:xfrm>
          <a:prstGeom prst="line">
            <a:avLst/>
          </a:prstGeom>
          <a:ln w="285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Conector reto 3">
            <a:extLst>
              <a:ext uri="{FF2B5EF4-FFF2-40B4-BE49-F238E27FC236}">
                <a16:creationId xmlns:a16="http://schemas.microsoft.com/office/drawing/2014/main" id="{8727778E-8B8F-DC83-3B01-1D13ED174FA6}"/>
              </a:ext>
            </a:extLst>
          </xdr:cNvPr>
          <xdr:cNvCxnSpPr/>
        </xdr:nvCxnSpPr>
        <xdr:spPr>
          <a:xfrm>
            <a:off x="706438" y="12399226"/>
            <a:ext cx="515940" cy="1588"/>
          </a:xfrm>
          <a:prstGeom prst="line">
            <a:avLst/>
          </a:prstGeom>
          <a:ln w="285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347382</xdr:colOff>
      <xdr:row>40</xdr:row>
      <xdr:rowOff>190500</xdr:rowOff>
    </xdr:from>
    <xdr:to>
      <xdr:col>3</xdr:col>
      <xdr:colOff>930640</xdr:colOff>
      <xdr:row>40</xdr:row>
      <xdr:rowOff>323746</xdr:rowOff>
    </xdr:to>
    <xdr:grpSp>
      <xdr:nvGrpSpPr>
        <xdr:cNvPr id="5" name="Grupo 39">
          <a:extLst>
            <a:ext uri="{FF2B5EF4-FFF2-40B4-BE49-F238E27FC236}">
              <a16:creationId xmlns:a16="http://schemas.microsoft.com/office/drawing/2014/main" id="{8519FDE4-0F48-4CC6-9034-A3B9F2E65718}"/>
            </a:ext>
          </a:extLst>
        </xdr:cNvPr>
        <xdr:cNvGrpSpPr/>
      </xdr:nvGrpSpPr>
      <xdr:grpSpPr>
        <a:xfrm>
          <a:off x="2305299" y="7016750"/>
          <a:ext cx="583258" cy="133246"/>
          <a:chOff x="3151188" y="8064500"/>
          <a:chExt cx="498884" cy="133349"/>
        </a:xfrm>
      </xdr:grpSpPr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070001C3-DFA9-C5DB-08D9-718C0E73EF38}"/>
              </a:ext>
            </a:extLst>
          </xdr:cNvPr>
          <xdr:cNvCxnSpPr/>
        </xdr:nvCxnSpPr>
        <xdr:spPr>
          <a:xfrm>
            <a:off x="3151188" y="8192912"/>
            <a:ext cx="310479" cy="0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C146E199-EABC-51DB-AA20-3770AF8AB7F5}"/>
              </a:ext>
            </a:extLst>
          </xdr:cNvPr>
          <xdr:cNvCxnSpPr/>
        </xdr:nvCxnSpPr>
        <xdr:spPr>
          <a:xfrm flipV="1">
            <a:off x="3445394" y="8064500"/>
            <a:ext cx="204678" cy="133349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336177</xdr:colOff>
      <xdr:row>41</xdr:row>
      <xdr:rowOff>212912</xdr:rowOff>
    </xdr:from>
    <xdr:to>
      <xdr:col>3</xdr:col>
      <xdr:colOff>874545</xdr:colOff>
      <xdr:row>42</xdr:row>
      <xdr:rowOff>33506</xdr:rowOff>
    </xdr:to>
    <xdr:grpSp>
      <xdr:nvGrpSpPr>
        <xdr:cNvPr id="8" name="Grupo 39">
          <a:extLst>
            <a:ext uri="{FF2B5EF4-FFF2-40B4-BE49-F238E27FC236}">
              <a16:creationId xmlns:a16="http://schemas.microsoft.com/office/drawing/2014/main" id="{0A5ACD12-F14D-49AD-ABD7-8DD60D8C65B6}"/>
            </a:ext>
          </a:extLst>
        </xdr:cNvPr>
        <xdr:cNvGrpSpPr/>
      </xdr:nvGrpSpPr>
      <xdr:grpSpPr>
        <a:xfrm>
          <a:off x="2294094" y="7377829"/>
          <a:ext cx="538368" cy="106344"/>
          <a:chOff x="3151188" y="8064500"/>
          <a:chExt cx="498884" cy="133349"/>
        </a:xfrm>
      </xdr:grpSpPr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C9FE6FC4-63C1-47B9-38D3-1086F257E109}"/>
              </a:ext>
            </a:extLst>
          </xdr:cNvPr>
          <xdr:cNvCxnSpPr/>
        </xdr:nvCxnSpPr>
        <xdr:spPr>
          <a:xfrm>
            <a:off x="3151188" y="8192912"/>
            <a:ext cx="310479" cy="0"/>
          </a:xfrm>
          <a:prstGeom prst="line">
            <a:avLst/>
          </a:prstGeom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051A72A7-9EDE-95BC-A4DF-97FB64ABD293}"/>
              </a:ext>
            </a:extLst>
          </xdr:cNvPr>
          <xdr:cNvCxnSpPr/>
        </xdr:nvCxnSpPr>
        <xdr:spPr>
          <a:xfrm flipV="1">
            <a:off x="3445394" y="8064500"/>
            <a:ext cx="204678" cy="133349"/>
          </a:xfrm>
          <a:prstGeom prst="line">
            <a:avLst/>
          </a:prstGeom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67236</xdr:colOff>
      <xdr:row>0</xdr:row>
      <xdr:rowOff>56032</xdr:rowOff>
    </xdr:from>
    <xdr:to>
      <xdr:col>0</xdr:col>
      <xdr:colOff>895854</xdr:colOff>
      <xdr:row>3</xdr:row>
      <xdr:rowOff>134472</xdr:rowOff>
    </xdr:to>
    <xdr:pic>
      <xdr:nvPicPr>
        <xdr:cNvPr id="11" name="Imagem 10" descr="cid:image001.jpg@01D787AE.555A4EC0">
          <a:extLst>
            <a:ext uri="{FF2B5EF4-FFF2-40B4-BE49-F238E27FC236}">
              <a16:creationId xmlns:a16="http://schemas.microsoft.com/office/drawing/2014/main" id="{2AA61ADD-ED60-48B9-AAFE-955E801C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56032"/>
          <a:ext cx="828618" cy="6880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12</xdr:col>
      <xdr:colOff>370413</xdr:colOff>
      <xdr:row>26</xdr:row>
      <xdr:rowOff>74084</xdr:rowOff>
    </xdr:from>
    <xdr:to>
      <xdr:col>13</xdr:col>
      <xdr:colOff>885786</xdr:colOff>
      <xdr:row>27</xdr:row>
      <xdr:rowOff>1400</xdr:rowOff>
    </xdr:to>
    <xdr:grpSp>
      <xdr:nvGrpSpPr>
        <xdr:cNvPr id="12" name="Grupo 33">
          <a:extLst>
            <a:ext uri="{FF2B5EF4-FFF2-40B4-BE49-F238E27FC236}">
              <a16:creationId xmlns:a16="http://schemas.microsoft.com/office/drawing/2014/main" id="{D1AFFEA0-24EB-45D7-98F9-23296B5055EF}"/>
            </a:ext>
          </a:extLst>
        </xdr:cNvPr>
        <xdr:cNvGrpSpPr/>
      </xdr:nvGrpSpPr>
      <xdr:grpSpPr>
        <a:xfrm>
          <a:off x="9641413" y="4508501"/>
          <a:ext cx="896373" cy="86066"/>
          <a:chOff x="706438" y="12231687"/>
          <a:chExt cx="612731" cy="169127"/>
        </a:xfrm>
      </xdr:grpSpPr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4253A38C-F6AF-1647-8F7D-4D4F0D2ED4C1}"/>
              </a:ext>
            </a:extLst>
          </xdr:cNvPr>
          <xdr:cNvCxnSpPr/>
        </xdr:nvCxnSpPr>
        <xdr:spPr>
          <a:xfrm flipV="1">
            <a:off x="1212807" y="12231687"/>
            <a:ext cx="106362" cy="167543"/>
          </a:xfrm>
          <a:prstGeom prst="line">
            <a:avLst/>
          </a:prstGeom>
          <a:ln w="285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to 13">
            <a:extLst>
              <a:ext uri="{FF2B5EF4-FFF2-40B4-BE49-F238E27FC236}">
                <a16:creationId xmlns:a16="http://schemas.microsoft.com/office/drawing/2014/main" id="{C850FF07-E96A-2F16-F286-A89B8BB610A7}"/>
              </a:ext>
            </a:extLst>
          </xdr:cNvPr>
          <xdr:cNvCxnSpPr/>
        </xdr:nvCxnSpPr>
        <xdr:spPr>
          <a:xfrm>
            <a:off x="706438" y="12399226"/>
            <a:ext cx="515940" cy="1588"/>
          </a:xfrm>
          <a:prstGeom prst="line">
            <a:avLst/>
          </a:prstGeom>
          <a:ln w="285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0</xdr:colOff>
      <xdr:row>20</xdr:row>
      <xdr:rowOff>42333</xdr:rowOff>
    </xdr:from>
    <xdr:to>
      <xdr:col>13</xdr:col>
      <xdr:colOff>583258</xdr:colOff>
      <xdr:row>21</xdr:row>
      <xdr:rowOff>16829</xdr:rowOff>
    </xdr:to>
    <xdr:grpSp>
      <xdr:nvGrpSpPr>
        <xdr:cNvPr id="15" name="Grupo 39">
          <a:extLst>
            <a:ext uri="{FF2B5EF4-FFF2-40B4-BE49-F238E27FC236}">
              <a16:creationId xmlns:a16="http://schemas.microsoft.com/office/drawing/2014/main" id="{F8445A70-41AB-47EB-A69F-5082E645710D}"/>
            </a:ext>
          </a:extLst>
        </xdr:cNvPr>
        <xdr:cNvGrpSpPr/>
      </xdr:nvGrpSpPr>
      <xdr:grpSpPr>
        <a:xfrm>
          <a:off x="9652000" y="3524250"/>
          <a:ext cx="583258" cy="133246"/>
          <a:chOff x="3151188" y="8064500"/>
          <a:chExt cx="498884" cy="133349"/>
        </a:xfrm>
      </xdr:grpSpPr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931AD28C-05CC-E382-32A5-76C215672F96}"/>
              </a:ext>
            </a:extLst>
          </xdr:cNvPr>
          <xdr:cNvCxnSpPr/>
        </xdr:nvCxnSpPr>
        <xdr:spPr>
          <a:xfrm>
            <a:off x="3151188" y="8192912"/>
            <a:ext cx="310479" cy="0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  <xdr:cxnSp macro="">
        <xdr:nvCxnSpPr>
          <xdr:cNvPr id="17" name="Conector reto 16">
            <a:extLst>
              <a:ext uri="{FF2B5EF4-FFF2-40B4-BE49-F238E27FC236}">
                <a16:creationId xmlns:a16="http://schemas.microsoft.com/office/drawing/2014/main" id="{7A926C7D-FB7D-657B-D331-7AC3B3838262}"/>
              </a:ext>
            </a:extLst>
          </xdr:cNvPr>
          <xdr:cNvCxnSpPr/>
        </xdr:nvCxnSpPr>
        <xdr:spPr>
          <a:xfrm flipV="1">
            <a:off x="3445394" y="8064500"/>
            <a:ext cx="204678" cy="133349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18</xdr:row>
      <xdr:rowOff>52917</xdr:rowOff>
    </xdr:from>
    <xdr:to>
      <xdr:col>13</xdr:col>
      <xdr:colOff>157368</xdr:colOff>
      <xdr:row>19</xdr:row>
      <xdr:rowOff>511</xdr:rowOff>
    </xdr:to>
    <xdr:grpSp>
      <xdr:nvGrpSpPr>
        <xdr:cNvPr id="18" name="Grupo 39">
          <a:extLst>
            <a:ext uri="{FF2B5EF4-FFF2-40B4-BE49-F238E27FC236}">
              <a16:creationId xmlns:a16="http://schemas.microsoft.com/office/drawing/2014/main" id="{FB2A3C70-5201-4695-8B76-CAE0BC83C2DA}"/>
            </a:ext>
          </a:extLst>
        </xdr:cNvPr>
        <xdr:cNvGrpSpPr/>
      </xdr:nvGrpSpPr>
      <xdr:grpSpPr>
        <a:xfrm>
          <a:off x="9271000" y="3217334"/>
          <a:ext cx="538368" cy="106344"/>
          <a:chOff x="3151188" y="8064500"/>
          <a:chExt cx="498884" cy="133349"/>
        </a:xfrm>
      </xdr:grpSpPr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D43B7B11-F194-F354-4F61-C1625C82B042}"/>
              </a:ext>
            </a:extLst>
          </xdr:cNvPr>
          <xdr:cNvCxnSpPr/>
        </xdr:nvCxnSpPr>
        <xdr:spPr>
          <a:xfrm>
            <a:off x="3151188" y="8192912"/>
            <a:ext cx="310479" cy="0"/>
          </a:xfrm>
          <a:prstGeom prst="line">
            <a:avLst/>
          </a:prstGeom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7635F37F-B41B-A12D-FB0F-362672B994A7}"/>
              </a:ext>
            </a:extLst>
          </xdr:cNvPr>
          <xdr:cNvCxnSpPr/>
        </xdr:nvCxnSpPr>
        <xdr:spPr>
          <a:xfrm flipV="1">
            <a:off x="3445394" y="8064500"/>
            <a:ext cx="204678" cy="133349"/>
          </a:xfrm>
          <a:prstGeom prst="line">
            <a:avLst/>
          </a:prstGeom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0</xdr:colOff>
      <xdr:row>12</xdr:row>
      <xdr:rowOff>31751</xdr:rowOff>
    </xdr:from>
    <xdr:to>
      <xdr:col>11</xdr:col>
      <xdr:colOff>583258</xdr:colOff>
      <xdr:row>13</xdr:row>
      <xdr:rowOff>6247</xdr:rowOff>
    </xdr:to>
    <xdr:grpSp>
      <xdr:nvGrpSpPr>
        <xdr:cNvPr id="21" name="Grupo 39">
          <a:extLst>
            <a:ext uri="{FF2B5EF4-FFF2-40B4-BE49-F238E27FC236}">
              <a16:creationId xmlns:a16="http://schemas.microsoft.com/office/drawing/2014/main" id="{6F8272AE-9339-48E1-981E-8150086BACBB}"/>
            </a:ext>
          </a:extLst>
        </xdr:cNvPr>
        <xdr:cNvGrpSpPr/>
      </xdr:nvGrpSpPr>
      <xdr:grpSpPr>
        <a:xfrm>
          <a:off x="8286750" y="2137834"/>
          <a:ext cx="583258" cy="133246"/>
          <a:chOff x="3151188" y="8064500"/>
          <a:chExt cx="498884" cy="133349"/>
        </a:xfrm>
      </xdr:grpSpPr>
      <xdr:cxnSp macro="">
        <xdr:nvCxnSpPr>
          <xdr:cNvPr id="22" name="Conector reto 21">
            <a:extLst>
              <a:ext uri="{FF2B5EF4-FFF2-40B4-BE49-F238E27FC236}">
                <a16:creationId xmlns:a16="http://schemas.microsoft.com/office/drawing/2014/main" id="{76D39A9F-3D7A-DDF2-83C1-F8F2A09AEF47}"/>
              </a:ext>
            </a:extLst>
          </xdr:cNvPr>
          <xdr:cNvCxnSpPr/>
        </xdr:nvCxnSpPr>
        <xdr:spPr>
          <a:xfrm>
            <a:off x="3151188" y="8192912"/>
            <a:ext cx="310479" cy="0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  <xdr:cxnSp macro="">
        <xdr:nvCxnSpPr>
          <xdr:cNvPr id="23" name="Conector reto 22">
            <a:extLst>
              <a:ext uri="{FF2B5EF4-FFF2-40B4-BE49-F238E27FC236}">
                <a16:creationId xmlns:a16="http://schemas.microsoft.com/office/drawing/2014/main" id="{6F8971D5-4AF5-F977-46F7-629E208A8F40}"/>
              </a:ext>
            </a:extLst>
          </xdr:cNvPr>
          <xdr:cNvCxnSpPr/>
        </xdr:nvCxnSpPr>
        <xdr:spPr>
          <a:xfrm flipV="1">
            <a:off x="3445394" y="8064500"/>
            <a:ext cx="204678" cy="133349"/>
          </a:xfrm>
          <a:prstGeom prst="line">
            <a:avLst/>
          </a:prstGeom>
          <a:ln w="2857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370416</xdr:colOff>
      <xdr:row>8</xdr:row>
      <xdr:rowOff>95250</xdr:rowOff>
    </xdr:from>
    <xdr:to>
      <xdr:col>9</xdr:col>
      <xdr:colOff>527784</xdr:colOff>
      <xdr:row>9</xdr:row>
      <xdr:rowOff>511</xdr:rowOff>
    </xdr:to>
    <xdr:grpSp>
      <xdr:nvGrpSpPr>
        <xdr:cNvPr id="24" name="Grupo 39">
          <a:extLst>
            <a:ext uri="{FF2B5EF4-FFF2-40B4-BE49-F238E27FC236}">
              <a16:creationId xmlns:a16="http://schemas.microsoft.com/office/drawing/2014/main" id="{7827D202-4B14-456B-AD8A-F11B70C0C689}"/>
            </a:ext>
          </a:extLst>
        </xdr:cNvPr>
        <xdr:cNvGrpSpPr/>
      </xdr:nvGrpSpPr>
      <xdr:grpSpPr>
        <a:xfrm>
          <a:off x="6815666" y="1492250"/>
          <a:ext cx="538368" cy="106344"/>
          <a:chOff x="3151188" y="8064500"/>
          <a:chExt cx="498884" cy="133349"/>
        </a:xfrm>
      </xdr:grpSpPr>
      <xdr:cxnSp macro="">
        <xdr:nvCxnSpPr>
          <xdr:cNvPr id="25" name="Conector reto 24">
            <a:extLst>
              <a:ext uri="{FF2B5EF4-FFF2-40B4-BE49-F238E27FC236}">
                <a16:creationId xmlns:a16="http://schemas.microsoft.com/office/drawing/2014/main" id="{2B3D1179-0263-4EA9-68E2-B0C3C3937371}"/>
              </a:ext>
            </a:extLst>
          </xdr:cNvPr>
          <xdr:cNvCxnSpPr/>
        </xdr:nvCxnSpPr>
        <xdr:spPr>
          <a:xfrm>
            <a:off x="3151188" y="8192912"/>
            <a:ext cx="310479" cy="0"/>
          </a:xfrm>
          <a:prstGeom prst="line">
            <a:avLst/>
          </a:prstGeom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E4D30C34-AB96-29FD-5928-2C48A7AA273F}"/>
              </a:ext>
            </a:extLst>
          </xdr:cNvPr>
          <xdr:cNvCxnSpPr/>
        </xdr:nvCxnSpPr>
        <xdr:spPr>
          <a:xfrm flipV="1">
            <a:off x="3445394" y="8064500"/>
            <a:ext cx="204678" cy="133349"/>
          </a:xfrm>
          <a:prstGeom prst="line">
            <a:avLst/>
          </a:prstGeom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3"/>
          </a:lnRef>
          <a:fillRef idx="0">
            <a:schemeClr val="accent3"/>
          </a:fillRef>
          <a:effectRef idx="1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7</xdr:col>
      <xdr:colOff>666751</xdr:colOff>
      <xdr:row>40</xdr:row>
      <xdr:rowOff>0</xdr:rowOff>
    </xdr:from>
    <xdr:to>
      <xdr:col>13</xdr:col>
      <xdr:colOff>1190037</xdr:colOff>
      <xdr:row>54</xdr:row>
      <xdr:rowOff>9036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F1E7DD0E-0E68-4CF6-A0D6-854C41D9F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4576" y="6934200"/>
          <a:ext cx="4704761" cy="39238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122463</xdr:colOff>
      <xdr:row>1</xdr:row>
      <xdr:rowOff>231322</xdr:rowOff>
    </xdr:from>
    <xdr:to>
      <xdr:col>1</xdr:col>
      <xdr:colOff>1307160</xdr:colOff>
      <xdr:row>4</xdr:row>
      <xdr:rowOff>122465</xdr:rowOff>
    </xdr:to>
    <xdr:pic>
      <xdr:nvPicPr>
        <xdr:cNvPr id="2" name="Imagem 1" descr="cid:image001.jpg@01D787AE.555A4EC0">
          <a:extLst>
            <a:ext uri="{FF2B5EF4-FFF2-40B4-BE49-F238E27FC236}">
              <a16:creationId xmlns:a16="http://schemas.microsoft.com/office/drawing/2014/main" id="{C1B7F36A-6D86-4A7F-B5A6-271E8AA5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388" y="421822"/>
          <a:ext cx="1184697" cy="10055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163286</xdr:rowOff>
    </xdr:from>
    <xdr:to>
      <xdr:col>1</xdr:col>
      <xdr:colOff>1252732</xdr:colOff>
      <xdr:row>4</xdr:row>
      <xdr:rowOff>54429</xdr:rowOff>
    </xdr:to>
    <xdr:pic>
      <xdr:nvPicPr>
        <xdr:cNvPr id="2" name="Imagem 1" descr="cid:image001.jpg@01D787AE.555A4EC0">
          <a:extLst>
            <a:ext uri="{FF2B5EF4-FFF2-40B4-BE49-F238E27FC236}">
              <a16:creationId xmlns:a16="http://schemas.microsoft.com/office/drawing/2014/main" id="{428566A8-07F8-47D0-B7D9-771A10586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85" y="353786"/>
          <a:ext cx="1184697" cy="10055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136071</xdr:colOff>
      <xdr:row>1</xdr:row>
      <xdr:rowOff>108857</xdr:rowOff>
    </xdr:from>
    <xdr:to>
      <xdr:col>3</xdr:col>
      <xdr:colOff>96125</xdr:colOff>
      <xdr:row>6</xdr:row>
      <xdr:rowOff>54429</xdr:rowOff>
    </xdr:to>
    <xdr:pic>
      <xdr:nvPicPr>
        <xdr:cNvPr id="2" name="Imagem 1" descr="cid:image001.jpg@01D787AE.555A4EC0">
          <a:extLst>
            <a:ext uri="{FF2B5EF4-FFF2-40B4-BE49-F238E27FC236}">
              <a16:creationId xmlns:a16="http://schemas.microsoft.com/office/drawing/2014/main" id="{48066A3B-DA54-4A3C-9EDE-D6B63AE89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96" y="299357"/>
          <a:ext cx="1179254" cy="97427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5</xdr:col>
      <xdr:colOff>81643</xdr:colOff>
      <xdr:row>51</xdr:row>
      <xdr:rowOff>0</xdr:rowOff>
    </xdr:from>
    <xdr:ext cx="9571428" cy="4085714"/>
    <xdr:pic>
      <xdr:nvPicPr>
        <xdr:cNvPr id="3" name="Imagem 2">
          <a:extLst>
            <a:ext uri="{FF2B5EF4-FFF2-40B4-BE49-F238E27FC236}">
              <a16:creationId xmlns:a16="http://schemas.microsoft.com/office/drawing/2014/main" id="{C0BDC363-D97D-429C-8888-C3D91B4F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4793" y="10868025"/>
          <a:ext cx="9571428" cy="4085714"/>
        </a:xfrm>
        <a:prstGeom prst="rect">
          <a:avLst/>
        </a:prstGeom>
      </xdr:spPr>
    </xdr:pic>
    <xdr:clientData/>
  </xdr:oneCellAnchor>
  <xdr:twoCellAnchor editAs="oneCell">
    <xdr:from>
      <xdr:col>6</xdr:col>
      <xdr:colOff>95249</xdr:colOff>
      <xdr:row>10</xdr:row>
      <xdr:rowOff>176892</xdr:rowOff>
    </xdr:from>
    <xdr:to>
      <xdr:col>18</xdr:col>
      <xdr:colOff>598713</xdr:colOff>
      <xdr:row>36</xdr:row>
      <xdr:rowOff>94633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7504F34-9D4F-452F-A65E-ECFE63067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9" y="2500992"/>
          <a:ext cx="8294914" cy="4889791"/>
        </a:xfrm>
        <a:prstGeom prst="rect">
          <a:avLst/>
        </a:prstGeom>
      </xdr:spPr>
    </xdr:pic>
    <xdr:clientData/>
  </xdr:twoCellAnchor>
  <xdr:twoCellAnchor editAs="oneCell">
    <xdr:from>
      <xdr:col>6</xdr:col>
      <xdr:colOff>166685</xdr:colOff>
      <xdr:row>86</xdr:row>
      <xdr:rowOff>130969</xdr:rowOff>
    </xdr:from>
    <xdr:to>
      <xdr:col>19</xdr:col>
      <xdr:colOff>200884</xdr:colOff>
      <xdr:row>100</xdr:row>
      <xdr:rowOff>71436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84DD46-993A-4C71-8CE3-787F8BE20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9435" y="18380869"/>
          <a:ext cx="8435249" cy="2607467"/>
        </a:xfrm>
        <a:prstGeom prst="rect">
          <a:avLst/>
        </a:prstGeom>
      </xdr:spPr>
    </xdr:pic>
    <xdr:clientData/>
  </xdr:twoCellAnchor>
  <xdr:twoCellAnchor editAs="oneCell">
    <xdr:from>
      <xdr:col>11</xdr:col>
      <xdr:colOff>-1</xdr:colOff>
      <xdr:row>115</xdr:row>
      <xdr:rowOff>83343</xdr:rowOff>
    </xdr:from>
    <xdr:to>
      <xdr:col>14</xdr:col>
      <xdr:colOff>444980</xdr:colOff>
      <xdr:row>131</xdr:row>
      <xdr:rowOff>73438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2DF0953-9646-45F8-9FF4-66A42B7F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0749" y="24572118"/>
          <a:ext cx="2511906" cy="30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FF"/>
  </sheetPr>
  <dimension ref="A1:J545"/>
  <sheetViews>
    <sheetView zoomScaleNormal="100" workbookViewId="0">
      <selection activeCell="E18" sqref="E18"/>
    </sheetView>
  </sheetViews>
  <sheetFormatPr defaultColWidth="9.140625" defaultRowHeight="15" x14ac:dyDescent="0.2"/>
  <cols>
    <col min="1" max="1" width="12.140625" style="56" customWidth="1"/>
    <col min="2" max="4" width="12.42578125" style="56" customWidth="1"/>
    <col min="5" max="5" width="138" style="46" customWidth="1"/>
    <col min="6" max="6" width="9.140625" style="56" customWidth="1"/>
    <col min="7" max="9" width="13.7109375" style="49" customWidth="1"/>
    <col min="10" max="10" width="16.42578125" style="46" customWidth="1"/>
    <col min="11" max="11" width="10.28515625" style="46" bestFit="1" customWidth="1"/>
    <col min="12" max="13" width="9.140625" style="46"/>
    <col min="14" max="14" width="12.140625" style="46" bestFit="1" customWidth="1"/>
    <col min="15" max="16384" width="9.140625" style="46"/>
  </cols>
  <sheetData>
    <row r="1" spans="1:10" s="39" customFormat="1" x14ac:dyDescent="0.2">
      <c r="A1" s="38" t="s">
        <v>140</v>
      </c>
      <c r="B1" s="38" t="s">
        <v>141</v>
      </c>
      <c r="C1" s="38" t="s">
        <v>538</v>
      </c>
      <c r="D1" s="38" t="s">
        <v>2334</v>
      </c>
      <c r="E1" s="39" t="s">
        <v>142</v>
      </c>
      <c r="F1" s="38" t="s">
        <v>17</v>
      </c>
      <c r="G1" s="40" t="s">
        <v>539</v>
      </c>
      <c r="H1" s="40" t="s">
        <v>539</v>
      </c>
      <c r="I1" s="40" t="s">
        <v>540</v>
      </c>
      <c r="J1" s="41" t="s">
        <v>541</v>
      </c>
    </row>
    <row r="2" spans="1:10" x14ac:dyDescent="0.2">
      <c r="A2" s="42">
        <v>1</v>
      </c>
      <c r="B2" s="42"/>
      <c r="C2" s="42"/>
      <c r="D2" s="42"/>
      <c r="E2" s="43" t="s">
        <v>542</v>
      </c>
      <c r="F2" s="42" t="s">
        <v>543</v>
      </c>
      <c r="G2" s="44"/>
      <c r="H2" s="45"/>
      <c r="I2" s="45"/>
      <c r="J2" s="45"/>
    </row>
    <row r="3" spans="1:10" x14ac:dyDescent="0.25">
      <c r="A3" s="47">
        <v>2</v>
      </c>
      <c r="B3" s="48" t="s">
        <v>222</v>
      </c>
      <c r="C3" s="46"/>
      <c r="D3" s="46"/>
      <c r="E3" s="48" t="s">
        <v>544</v>
      </c>
      <c r="F3" s="47" t="s">
        <v>545</v>
      </c>
      <c r="H3" s="49">
        <f>ROUND(I3,2)</f>
        <v>0</v>
      </c>
      <c r="J3" s="46" t="b">
        <f>H3=G3</f>
        <v>1</v>
      </c>
    </row>
    <row r="4" spans="1:10" x14ac:dyDescent="0.25">
      <c r="A4" s="47">
        <v>2</v>
      </c>
      <c r="B4" s="48" t="s">
        <v>223</v>
      </c>
      <c r="C4" s="46"/>
      <c r="D4" s="46"/>
      <c r="E4" s="48" t="s">
        <v>546</v>
      </c>
      <c r="F4" s="47" t="s">
        <v>547</v>
      </c>
      <c r="H4" s="49">
        <f t="shared" ref="H4:H8" si="0">ROUND(I4,2)</f>
        <v>0</v>
      </c>
      <c r="J4" s="46" t="b">
        <f t="shared" ref="J4:J8" si="1">H4=G4</f>
        <v>1</v>
      </c>
    </row>
    <row r="5" spans="1:10" x14ac:dyDescent="0.25">
      <c r="A5" s="47">
        <v>2</v>
      </c>
      <c r="B5" s="48" t="s">
        <v>224</v>
      </c>
      <c r="C5" s="46"/>
      <c r="D5" s="46"/>
      <c r="E5" s="48" t="s">
        <v>548</v>
      </c>
      <c r="F5" s="47" t="s">
        <v>547</v>
      </c>
      <c r="H5" s="49">
        <f t="shared" si="0"/>
        <v>0</v>
      </c>
      <c r="J5" s="46" t="b">
        <f t="shared" si="1"/>
        <v>1</v>
      </c>
    </row>
    <row r="6" spans="1:10" x14ac:dyDescent="0.25">
      <c r="A6" s="47">
        <v>2</v>
      </c>
      <c r="B6" s="48" t="s">
        <v>225</v>
      </c>
      <c r="C6" s="46"/>
      <c r="D6" s="46"/>
      <c r="E6" s="48" t="s">
        <v>549</v>
      </c>
      <c r="F6" s="47" t="s">
        <v>547</v>
      </c>
      <c r="H6" s="49">
        <f t="shared" si="0"/>
        <v>0</v>
      </c>
      <c r="J6" s="46" t="b">
        <f t="shared" si="1"/>
        <v>1</v>
      </c>
    </row>
    <row r="7" spans="1:10" x14ac:dyDescent="0.25">
      <c r="A7" s="47">
        <v>2</v>
      </c>
      <c r="B7" s="48" t="s">
        <v>226</v>
      </c>
      <c r="C7" s="46"/>
      <c r="D7" s="46"/>
      <c r="E7" s="48" t="s">
        <v>550</v>
      </c>
      <c r="F7" s="47" t="s">
        <v>551</v>
      </c>
      <c r="H7" s="49">
        <f t="shared" si="0"/>
        <v>0</v>
      </c>
      <c r="J7" s="46" t="b">
        <f t="shared" si="1"/>
        <v>1</v>
      </c>
    </row>
    <row r="8" spans="1:10" x14ac:dyDescent="0.25">
      <c r="A8" s="47">
        <v>2</v>
      </c>
      <c r="B8" s="48" t="s">
        <v>227</v>
      </c>
      <c r="C8" s="46"/>
      <c r="D8" s="46"/>
      <c r="E8" s="48" t="s">
        <v>552</v>
      </c>
      <c r="F8" s="47" t="s">
        <v>553</v>
      </c>
      <c r="H8" s="49">
        <f t="shared" si="0"/>
        <v>0</v>
      </c>
      <c r="J8" s="46" t="b">
        <f t="shared" si="1"/>
        <v>1</v>
      </c>
    </row>
    <row r="9" spans="1:10" x14ac:dyDescent="0.25">
      <c r="A9" s="47"/>
      <c r="B9" s="48"/>
      <c r="C9" s="46"/>
      <c r="D9" s="46"/>
      <c r="E9" s="48"/>
      <c r="F9" s="47"/>
    </row>
    <row r="10" spans="1:10" x14ac:dyDescent="0.2">
      <c r="A10" s="42">
        <v>1</v>
      </c>
      <c r="B10" s="42"/>
      <c r="C10" s="42"/>
      <c r="D10" s="42"/>
      <c r="E10" s="43" t="s">
        <v>554</v>
      </c>
      <c r="F10" s="42" t="s">
        <v>543</v>
      </c>
      <c r="G10" s="44"/>
      <c r="H10" s="45"/>
      <c r="I10" s="45"/>
      <c r="J10" s="45"/>
    </row>
    <row r="11" spans="1:10" x14ac:dyDescent="0.25">
      <c r="A11" s="47">
        <v>2</v>
      </c>
      <c r="B11" s="48" t="s">
        <v>228</v>
      </c>
      <c r="C11" s="46"/>
      <c r="D11" s="46"/>
      <c r="E11" s="48" t="s">
        <v>555</v>
      </c>
      <c r="F11" s="47" t="s">
        <v>545</v>
      </c>
      <c r="H11" s="49">
        <f t="shared" ref="H11:H17" si="2">ROUND(I11,2)</f>
        <v>0</v>
      </c>
      <c r="J11" s="46" t="b">
        <f t="shared" ref="J11:J17" si="3">H11=G11</f>
        <v>1</v>
      </c>
    </row>
    <row r="12" spans="1:10" x14ac:dyDescent="0.25">
      <c r="A12" s="47">
        <v>2</v>
      </c>
      <c r="B12" s="48" t="s">
        <v>229</v>
      </c>
      <c r="C12" s="46"/>
      <c r="D12" s="46"/>
      <c r="E12" s="48" t="s">
        <v>556</v>
      </c>
      <c r="F12" s="47" t="s">
        <v>557</v>
      </c>
      <c r="H12" s="49">
        <f t="shared" si="2"/>
        <v>0</v>
      </c>
      <c r="J12" s="46" t="b">
        <f t="shared" si="3"/>
        <v>1</v>
      </c>
    </row>
    <row r="13" spans="1:10" x14ac:dyDescent="0.25">
      <c r="A13" s="47">
        <v>2</v>
      </c>
      <c r="B13" s="48" t="s">
        <v>230</v>
      </c>
      <c r="C13" s="46"/>
      <c r="D13" s="46"/>
      <c r="E13" s="48" t="s">
        <v>558</v>
      </c>
      <c r="F13" s="47" t="s">
        <v>557</v>
      </c>
      <c r="H13" s="49">
        <f t="shared" si="2"/>
        <v>0</v>
      </c>
      <c r="J13" s="46" t="b">
        <f t="shared" si="3"/>
        <v>1</v>
      </c>
    </row>
    <row r="14" spans="1:10" x14ac:dyDescent="0.25">
      <c r="A14" s="47">
        <v>2</v>
      </c>
      <c r="B14" s="48" t="s">
        <v>231</v>
      </c>
      <c r="C14" s="46"/>
      <c r="D14" s="46"/>
      <c r="E14" s="48" t="s">
        <v>559</v>
      </c>
      <c r="F14" s="47" t="s">
        <v>557</v>
      </c>
      <c r="H14" s="49">
        <f t="shared" si="2"/>
        <v>0</v>
      </c>
      <c r="J14" s="46" t="b">
        <f t="shared" si="3"/>
        <v>1</v>
      </c>
    </row>
    <row r="15" spans="1:10" x14ac:dyDescent="0.25">
      <c r="A15" s="47">
        <v>2</v>
      </c>
      <c r="B15" s="48" t="s">
        <v>232</v>
      </c>
      <c r="C15" s="46"/>
      <c r="D15" s="46"/>
      <c r="E15" s="48" t="s">
        <v>560</v>
      </c>
      <c r="F15" s="47" t="s">
        <v>557</v>
      </c>
      <c r="H15" s="49">
        <f t="shared" si="2"/>
        <v>0</v>
      </c>
      <c r="J15" s="46" t="b">
        <f t="shared" si="3"/>
        <v>1</v>
      </c>
    </row>
    <row r="16" spans="1:10" x14ac:dyDescent="0.25">
      <c r="A16" s="47">
        <v>2</v>
      </c>
      <c r="B16" s="48" t="s">
        <v>233</v>
      </c>
      <c r="C16" s="46"/>
      <c r="D16" s="46"/>
      <c r="E16" s="48" t="s">
        <v>561</v>
      </c>
      <c r="F16" s="47" t="s">
        <v>557</v>
      </c>
      <c r="H16" s="49">
        <f t="shared" si="2"/>
        <v>0</v>
      </c>
      <c r="J16" s="46" t="b">
        <f t="shared" si="3"/>
        <v>1</v>
      </c>
    </row>
    <row r="17" spans="1:10" x14ac:dyDescent="0.25">
      <c r="A17" s="47">
        <v>2</v>
      </c>
      <c r="B17" s="48" t="s">
        <v>234</v>
      </c>
      <c r="C17" s="46"/>
      <c r="D17" s="46"/>
      <c r="E17" s="48" t="s">
        <v>562</v>
      </c>
      <c r="F17" s="47" t="s">
        <v>557</v>
      </c>
      <c r="H17" s="49">
        <f t="shared" si="2"/>
        <v>0</v>
      </c>
      <c r="J17" s="46" t="b">
        <f t="shared" si="3"/>
        <v>1</v>
      </c>
    </row>
    <row r="18" spans="1:10" x14ac:dyDescent="0.25">
      <c r="A18" s="47"/>
      <c r="B18" s="48"/>
      <c r="C18" s="46"/>
      <c r="D18" s="46"/>
      <c r="E18" s="48"/>
      <c r="F18" s="47"/>
    </row>
    <row r="19" spans="1:10" x14ac:dyDescent="0.2">
      <c r="A19" s="42">
        <v>1</v>
      </c>
      <c r="B19" s="42"/>
      <c r="C19" s="42"/>
      <c r="D19" s="42"/>
      <c r="E19" s="43" t="s">
        <v>563</v>
      </c>
      <c r="F19" s="42" t="s">
        <v>543</v>
      </c>
      <c r="G19" s="44"/>
      <c r="H19" s="45"/>
      <c r="I19" s="45"/>
      <c r="J19" s="45"/>
    </row>
    <row r="20" spans="1:10" x14ac:dyDescent="0.25">
      <c r="A20" s="50">
        <v>2</v>
      </c>
      <c r="B20" s="51"/>
      <c r="C20" s="52"/>
      <c r="D20" s="52"/>
      <c r="E20" s="51" t="s">
        <v>564</v>
      </c>
      <c r="F20" s="50" t="s">
        <v>543</v>
      </c>
      <c r="G20" s="53"/>
      <c r="H20" s="53"/>
      <c r="I20" s="53"/>
      <c r="J20" s="52"/>
    </row>
    <row r="21" spans="1:10" x14ac:dyDescent="0.25">
      <c r="A21" s="54">
        <v>3</v>
      </c>
      <c r="B21" s="55"/>
      <c r="C21" s="39"/>
      <c r="D21" s="39"/>
      <c r="E21" s="55" t="s">
        <v>565</v>
      </c>
      <c r="F21" s="47" t="s">
        <v>543</v>
      </c>
    </row>
    <row r="22" spans="1:10" x14ac:dyDescent="0.25">
      <c r="A22" s="47">
        <v>4</v>
      </c>
      <c r="B22" s="48" t="s">
        <v>144</v>
      </c>
      <c r="C22" s="46"/>
      <c r="D22" s="46"/>
      <c r="E22" s="48" t="s">
        <v>566</v>
      </c>
      <c r="F22" s="47" t="s">
        <v>557</v>
      </c>
      <c r="H22" s="49">
        <f t="shared" ref="H22:H27" si="4">ROUND(I22,2)</f>
        <v>0</v>
      </c>
      <c r="J22" s="46" t="b">
        <f t="shared" ref="J22:J27" si="5">H22=G22</f>
        <v>1</v>
      </c>
    </row>
    <row r="23" spans="1:10" x14ac:dyDescent="0.25">
      <c r="A23" s="47">
        <v>4</v>
      </c>
      <c r="B23" s="48" t="s">
        <v>147</v>
      </c>
      <c r="C23" s="46"/>
      <c r="D23" s="46"/>
      <c r="E23" s="48" t="s">
        <v>567</v>
      </c>
      <c r="F23" s="47" t="s">
        <v>547</v>
      </c>
      <c r="H23" s="49">
        <f t="shared" si="4"/>
        <v>0</v>
      </c>
      <c r="J23" s="46" t="b">
        <f t="shared" si="5"/>
        <v>1</v>
      </c>
    </row>
    <row r="24" spans="1:10" x14ac:dyDescent="0.25">
      <c r="A24" s="47">
        <v>4</v>
      </c>
      <c r="B24" s="48" t="s">
        <v>148</v>
      </c>
      <c r="C24" s="46"/>
      <c r="D24" s="46"/>
      <c r="E24" s="48" t="s">
        <v>568</v>
      </c>
      <c r="F24" s="47" t="s">
        <v>569</v>
      </c>
      <c r="H24" s="49">
        <f t="shared" si="4"/>
        <v>0</v>
      </c>
      <c r="J24" s="46" t="b">
        <f t="shared" si="5"/>
        <v>1</v>
      </c>
    </row>
    <row r="25" spans="1:10" x14ac:dyDescent="0.25">
      <c r="A25" s="47">
        <v>4</v>
      </c>
      <c r="B25" s="48" t="s">
        <v>235</v>
      </c>
      <c r="C25" s="46"/>
      <c r="D25" s="46"/>
      <c r="E25" s="48" t="s">
        <v>570</v>
      </c>
      <c r="F25" s="47" t="s">
        <v>557</v>
      </c>
      <c r="H25" s="49">
        <f t="shared" si="4"/>
        <v>0</v>
      </c>
      <c r="J25" s="46" t="b">
        <f t="shared" si="5"/>
        <v>1</v>
      </c>
    </row>
    <row r="26" spans="1:10" x14ac:dyDescent="0.25">
      <c r="A26" s="47">
        <v>4</v>
      </c>
      <c r="B26" s="48" t="s">
        <v>216</v>
      </c>
      <c r="C26" s="46"/>
      <c r="D26" s="46"/>
      <c r="E26" s="48" t="s">
        <v>571</v>
      </c>
      <c r="F26" s="47" t="s">
        <v>557</v>
      </c>
      <c r="H26" s="49">
        <f t="shared" si="4"/>
        <v>0</v>
      </c>
      <c r="J26" s="46" t="b">
        <f t="shared" si="5"/>
        <v>1</v>
      </c>
    </row>
    <row r="27" spans="1:10" x14ac:dyDescent="0.25">
      <c r="A27" s="47">
        <v>4</v>
      </c>
      <c r="B27" s="48" t="s">
        <v>236</v>
      </c>
      <c r="C27" s="46"/>
      <c r="D27" s="46"/>
      <c r="E27" s="48" t="s">
        <v>572</v>
      </c>
      <c r="F27" s="47" t="s">
        <v>557</v>
      </c>
      <c r="H27" s="49">
        <f t="shared" si="4"/>
        <v>0</v>
      </c>
      <c r="J27" s="46" t="b">
        <f t="shared" si="5"/>
        <v>1</v>
      </c>
    </row>
    <row r="28" spans="1:10" x14ac:dyDescent="0.25">
      <c r="A28" s="54">
        <v>3</v>
      </c>
      <c r="B28" s="55"/>
      <c r="C28" s="39"/>
      <c r="D28" s="39"/>
      <c r="E28" s="55" t="s">
        <v>573</v>
      </c>
      <c r="F28" s="47" t="s">
        <v>543</v>
      </c>
    </row>
    <row r="29" spans="1:10" x14ac:dyDescent="0.25">
      <c r="A29" s="47">
        <v>4</v>
      </c>
      <c r="B29" s="48" t="s">
        <v>237</v>
      </c>
      <c r="C29" s="46"/>
      <c r="D29" s="46"/>
      <c r="E29" s="48" t="s">
        <v>574</v>
      </c>
      <c r="F29" s="47" t="s">
        <v>547</v>
      </c>
      <c r="H29" s="49">
        <f t="shared" ref="H29:H34" si="6">ROUND(I29,2)</f>
        <v>0</v>
      </c>
      <c r="J29" s="46" t="b">
        <f t="shared" ref="J29:J34" si="7">H29=G29</f>
        <v>1</v>
      </c>
    </row>
    <row r="30" spans="1:10" x14ac:dyDescent="0.25">
      <c r="A30" s="47">
        <v>4</v>
      </c>
      <c r="B30" s="48" t="s">
        <v>148</v>
      </c>
      <c r="C30" s="46"/>
      <c r="D30" s="46"/>
      <c r="E30" s="48" t="s">
        <v>568</v>
      </c>
      <c r="F30" s="47" t="s">
        <v>569</v>
      </c>
      <c r="H30" s="49">
        <f t="shared" si="6"/>
        <v>0</v>
      </c>
      <c r="J30" s="46" t="b">
        <f t="shared" si="7"/>
        <v>1</v>
      </c>
    </row>
    <row r="31" spans="1:10" x14ac:dyDescent="0.25">
      <c r="A31" s="47">
        <v>4</v>
      </c>
      <c r="B31" s="48" t="s">
        <v>238</v>
      </c>
      <c r="C31" s="46"/>
      <c r="D31" s="46"/>
      <c r="E31" s="48" t="s">
        <v>575</v>
      </c>
      <c r="F31" s="47" t="s">
        <v>557</v>
      </c>
      <c r="H31" s="49">
        <f t="shared" si="6"/>
        <v>0</v>
      </c>
      <c r="J31" s="46" t="b">
        <f t="shared" si="7"/>
        <v>1</v>
      </c>
    </row>
    <row r="32" spans="1:10" x14ac:dyDescent="0.25">
      <c r="A32" s="47">
        <v>4</v>
      </c>
      <c r="B32" s="48" t="s">
        <v>239</v>
      </c>
      <c r="C32" s="46"/>
      <c r="D32" s="46"/>
      <c r="E32" s="48" t="s">
        <v>576</v>
      </c>
      <c r="F32" s="47" t="s">
        <v>557</v>
      </c>
      <c r="H32" s="49">
        <f t="shared" si="6"/>
        <v>0</v>
      </c>
      <c r="J32" s="46" t="b">
        <f t="shared" si="7"/>
        <v>1</v>
      </c>
    </row>
    <row r="33" spans="1:10" x14ac:dyDescent="0.25">
      <c r="A33" s="47">
        <v>4</v>
      </c>
      <c r="B33" s="48" t="s">
        <v>240</v>
      </c>
      <c r="C33" s="46"/>
      <c r="D33" s="46"/>
      <c r="E33" s="48" t="s">
        <v>577</v>
      </c>
      <c r="F33" s="47" t="s">
        <v>557</v>
      </c>
      <c r="H33" s="49">
        <f t="shared" si="6"/>
        <v>0</v>
      </c>
      <c r="J33" s="46" t="b">
        <f t="shared" si="7"/>
        <v>1</v>
      </c>
    </row>
    <row r="34" spans="1:10" x14ac:dyDescent="0.25">
      <c r="A34" s="47">
        <v>4</v>
      </c>
      <c r="B34" s="48" t="s">
        <v>236</v>
      </c>
      <c r="C34" s="46"/>
      <c r="D34" s="46"/>
      <c r="E34" s="48" t="s">
        <v>572</v>
      </c>
      <c r="F34" s="47" t="s">
        <v>557</v>
      </c>
      <c r="H34" s="49">
        <f t="shared" si="6"/>
        <v>0</v>
      </c>
      <c r="J34" s="46" t="b">
        <f t="shared" si="7"/>
        <v>1</v>
      </c>
    </row>
    <row r="35" spans="1:10" x14ac:dyDescent="0.25">
      <c r="A35" s="54">
        <v>3</v>
      </c>
      <c r="B35" s="55"/>
      <c r="C35" s="39"/>
      <c r="D35" s="39"/>
      <c r="E35" s="55" t="s">
        <v>578</v>
      </c>
      <c r="F35" s="47" t="s">
        <v>543</v>
      </c>
    </row>
    <row r="36" spans="1:10" x14ac:dyDescent="0.25">
      <c r="A36" s="47">
        <v>4</v>
      </c>
      <c r="B36" s="48" t="s">
        <v>144</v>
      </c>
      <c r="C36" s="46"/>
      <c r="D36" s="46"/>
      <c r="E36" s="48" t="s">
        <v>566</v>
      </c>
      <c r="F36" s="47" t="s">
        <v>557</v>
      </c>
      <c r="H36" s="49">
        <f t="shared" ref="H36:H41" si="8">ROUND(I36,2)</f>
        <v>0</v>
      </c>
      <c r="J36" s="46" t="b">
        <f t="shared" ref="J36:J41" si="9">H36=G36</f>
        <v>1</v>
      </c>
    </row>
    <row r="37" spans="1:10" x14ac:dyDescent="0.25">
      <c r="A37" s="47">
        <v>4</v>
      </c>
      <c r="B37" s="48" t="s">
        <v>147</v>
      </c>
      <c r="C37" s="46"/>
      <c r="D37" s="46"/>
      <c r="E37" s="48" t="s">
        <v>567</v>
      </c>
      <c r="F37" s="47" t="s">
        <v>547</v>
      </c>
      <c r="H37" s="49">
        <f t="shared" si="8"/>
        <v>0</v>
      </c>
      <c r="J37" s="46" t="b">
        <f t="shared" si="9"/>
        <v>1</v>
      </c>
    </row>
    <row r="38" spans="1:10" x14ac:dyDescent="0.25">
      <c r="A38" s="47">
        <v>4</v>
      </c>
      <c r="B38" s="48" t="s">
        <v>148</v>
      </c>
      <c r="C38" s="46"/>
      <c r="D38" s="46"/>
      <c r="E38" s="48" t="s">
        <v>568</v>
      </c>
      <c r="F38" s="47" t="s">
        <v>569</v>
      </c>
      <c r="H38" s="49">
        <f t="shared" si="8"/>
        <v>0</v>
      </c>
      <c r="J38" s="46" t="b">
        <f t="shared" si="9"/>
        <v>1</v>
      </c>
    </row>
    <row r="39" spans="1:10" x14ac:dyDescent="0.25">
      <c r="A39" s="47">
        <v>4</v>
      </c>
      <c r="B39" s="48" t="s">
        <v>149</v>
      </c>
      <c r="C39" s="46"/>
      <c r="D39" s="46"/>
      <c r="E39" s="48" t="s">
        <v>579</v>
      </c>
      <c r="F39" s="47" t="s">
        <v>557</v>
      </c>
      <c r="H39" s="49">
        <f t="shared" si="8"/>
        <v>0</v>
      </c>
      <c r="J39" s="46" t="b">
        <f t="shared" si="9"/>
        <v>1</v>
      </c>
    </row>
    <row r="40" spans="1:10" x14ac:dyDescent="0.25">
      <c r="A40" s="47">
        <v>4</v>
      </c>
      <c r="B40" s="48" t="s">
        <v>216</v>
      </c>
      <c r="C40" s="46"/>
      <c r="D40" s="46"/>
      <c r="E40" s="48" t="s">
        <v>571</v>
      </c>
      <c r="F40" s="47" t="s">
        <v>557</v>
      </c>
      <c r="H40" s="49">
        <f t="shared" si="8"/>
        <v>0</v>
      </c>
      <c r="J40" s="46" t="b">
        <f t="shared" si="9"/>
        <v>1</v>
      </c>
    </row>
    <row r="41" spans="1:10" x14ac:dyDescent="0.25">
      <c r="A41" s="47">
        <v>4</v>
      </c>
      <c r="B41" s="48" t="s">
        <v>236</v>
      </c>
      <c r="C41" s="46"/>
      <c r="D41" s="46"/>
      <c r="E41" s="48" t="s">
        <v>572</v>
      </c>
      <c r="F41" s="47" t="s">
        <v>557</v>
      </c>
      <c r="H41" s="49">
        <f t="shared" si="8"/>
        <v>0</v>
      </c>
      <c r="J41" s="46" t="b">
        <f t="shared" si="9"/>
        <v>1</v>
      </c>
    </row>
    <row r="42" spans="1:10" x14ac:dyDescent="0.25">
      <c r="A42" s="50">
        <v>2</v>
      </c>
      <c r="B42" s="51"/>
      <c r="C42" s="52"/>
      <c r="D42" s="52"/>
      <c r="E42" s="51" t="s">
        <v>580</v>
      </c>
      <c r="F42" s="50" t="s">
        <v>543</v>
      </c>
      <c r="G42" s="53"/>
      <c r="H42" s="53"/>
      <c r="I42" s="53"/>
      <c r="J42" s="52"/>
    </row>
    <row r="43" spans="1:10" x14ac:dyDescent="0.25">
      <c r="A43" s="47">
        <v>3</v>
      </c>
      <c r="B43" s="48" t="s">
        <v>144</v>
      </c>
      <c r="C43" s="46"/>
      <c r="D43" s="46"/>
      <c r="E43" s="48" t="s">
        <v>566</v>
      </c>
      <c r="F43" s="47" t="s">
        <v>557</v>
      </c>
      <c r="H43" s="49">
        <f t="shared" ref="H43:H52" si="10">ROUND(I43,2)</f>
        <v>0</v>
      </c>
      <c r="J43" s="46" t="b">
        <f t="shared" ref="J43:J52" si="11">H43=G43</f>
        <v>1</v>
      </c>
    </row>
    <row r="44" spans="1:10" x14ac:dyDescent="0.25">
      <c r="A44" s="47">
        <v>3</v>
      </c>
      <c r="B44" s="48" t="s">
        <v>145</v>
      </c>
      <c r="C44" s="46"/>
      <c r="D44" s="46"/>
      <c r="E44" s="48" t="s">
        <v>581</v>
      </c>
      <c r="F44" s="47" t="s">
        <v>547</v>
      </c>
      <c r="H44" s="49">
        <f t="shared" si="10"/>
        <v>0</v>
      </c>
      <c r="J44" s="46" t="b">
        <f t="shared" si="11"/>
        <v>1</v>
      </c>
    </row>
    <row r="45" spans="1:10" x14ac:dyDescent="0.25">
      <c r="A45" s="47">
        <v>3</v>
      </c>
      <c r="B45" s="48" t="s">
        <v>146</v>
      </c>
      <c r="C45" s="46"/>
      <c r="D45" s="46"/>
      <c r="E45" s="48" t="s">
        <v>582</v>
      </c>
      <c r="F45" s="47" t="s">
        <v>557</v>
      </c>
      <c r="H45" s="49">
        <f t="shared" si="10"/>
        <v>0</v>
      </c>
      <c r="J45" s="46" t="b">
        <f t="shared" si="11"/>
        <v>1</v>
      </c>
    </row>
    <row r="46" spans="1:10" x14ac:dyDescent="0.25">
      <c r="A46" s="47">
        <v>3</v>
      </c>
      <c r="B46" s="48" t="s">
        <v>147</v>
      </c>
      <c r="C46" s="46"/>
      <c r="D46" s="46"/>
      <c r="E46" s="48" t="s">
        <v>567</v>
      </c>
      <c r="F46" s="47" t="s">
        <v>547</v>
      </c>
      <c r="H46" s="49">
        <f t="shared" si="10"/>
        <v>0</v>
      </c>
      <c r="J46" s="46" t="b">
        <f t="shared" si="11"/>
        <v>1</v>
      </c>
    </row>
    <row r="47" spans="1:10" x14ac:dyDescent="0.25">
      <c r="A47" s="47">
        <v>3</v>
      </c>
      <c r="B47" s="48" t="s">
        <v>148</v>
      </c>
      <c r="C47" s="46"/>
      <c r="D47" s="46"/>
      <c r="E47" s="48" t="s">
        <v>568</v>
      </c>
      <c r="F47" s="47" t="s">
        <v>569</v>
      </c>
      <c r="H47" s="49">
        <f t="shared" si="10"/>
        <v>0</v>
      </c>
      <c r="J47" s="46" t="b">
        <f t="shared" si="11"/>
        <v>1</v>
      </c>
    </row>
    <row r="48" spans="1:10" x14ac:dyDescent="0.25">
      <c r="A48" s="47">
        <v>3</v>
      </c>
      <c r="B48" s="48" t="s">
        <v>149</v>
      </c>
      <c r="C48" s="46"/>
      <c r="D48" s="46"/>
      <c r="E48" s="48" t="s">
        <v>579</v>
      </c>
      <c r="F48" s="47" t="s">
        <v>557</v>
      </c>
      <c r="H48" s="49">
        <f t="shared" si="10"/>
        <v>0</v>
      </c>
      <c r="J48" s="46" t="b">
        <f t="shared" si="11"/>
        <v>1</v>
      </c>
    </row>
    <row r="49" spans="1:10" x14ac:dyDescent="0.25">
      <c r="A49" s="47">
        <v>3</v>
      </c>
      <c r="B49" s="48" t="s">
        <v>241</v>
      </c>
      <c r="C49" s="46"/>
      <c r="D49" s="46"/>
      <c r="E49" s="48" t="s">
        <v>583</v>
      </c>
      <c r="F49" s="47" t="s">
        <v>547</v>
      </c>
      <c r="H49" s="49">
        <f t="shared" si="10"/>
        <v>0</v>
      </c>
      <c r="J49" s="46" t="b">
        <f t="shared" si="11"/>
        <v>1</v>
      </c>
    </row>
    <row r="50" spans="1:10" x14ac:dyDescent="0.25">
      <c r="A50" s="47">
        <v>3</v>
      </c>
      <c r="B50" s="48" t="s">
        <v>242</v>
      </c>
      <c r="C50" s="46"/>
      <c r="D50" s="46"/>
      <c r="E50" s="48" t="s">
        <v>584</v>
      </c>
      <c r="F50" s="47" t="s">
        <v>547</v>
      </c>
      <c r="H50" s="49">
        <f t="shared" si="10"/>
        <v>0</v>
      </c>
      <c r="J50" s="46" t="b">
        <f t="shared" si="11"/>
        <v>1</v>
      </c>
    </row>
    <row r="51" spans="1:10" x14ac:dyDescent="0.25">
      <c r="A51" s="47">
        <v>3</v>
      </c>
      <c r="B51" s="48" t="s">
        <v>216</v>
      </c>
      <c r="C51" s="46"/>
      <c r="D51" s="46"/>
      <c r="E51" s="48" t="s">
        <v>571</v>
      </c>
      <c r="F51" s="47" t="s">
        <v>557</v>
      </c>
      <c r="H51" s="49">
        <f t="shared" si="10"/>
        <v>0</v>
      </c>
      <c r="J51" s="46" t="b">
        <f t="shared" si="11"/>
        <v>1</v>
      </c>
    </row>
    <row r="52" spans="1:10" x14ac:dyDescent="0.25">
      <c r="A52" s="47">
        <v>3</v>
      </c>
      <c r="B52" s="48" t="s">
        <v>236</v>
      </c>
      <c r="C52" s="46"/>
      <c r="D52" s="46"/>
      <c r="E52" s="48" t="s">
        <v>572</v>
      </c>
      <c r="F52" s="47" t="s">
        <v>557</v>
      </c>
      <c r="H52" s="49">
        <f t="shared" si="10"/>
        <v>0</v>
      </c>
      <c r="J52" s="46" t="b">
        <f t="shared" si="11"/>
        <v>1</v>
      </c>
    </row>
    <row r="53" spans="1:10" x14ac:dyDescent="0.25">
      <c r="A53" s="50">
        <v>2</v>
      </c>
      <c r="B53" s="51"/>
      <c r="C53" s="52"/>
      <c r="D53" s="52"/>
      <c r="E53" s="51" t="s">
        <v>585</v>
      </c>
      <c r="F53" s="50" t="s">
        <v>543</v>
      </c>
      <c r="G53" s="53"/>
      <c r="H53" s="53"/>
      <c r="I53" s="53"/>
      <c r="J53" s="52"/>
    </row>
    <row r="54" spans="1:10" x14ac:dyDescent="0.25">
      <c r="A54" s="54">
        <v>3</v>
      </c>
      <c r="B54" s="55"/>
      <c r="C54" s="39"/>
      <c r="D54" s="39"/>
      <c r="E54" s="55" t="s">
        <v>586</v>
      </c>
      <c r="F54" s="47" t="s">
        <v>543</v>
      </c>
    </row>
    <row r="55" spans="1:10" x14ac:dyDescent="0.25">
      <c r="A55" s="47">
        <v>4</v>
      </c>
      <c r="B55" s="48" t="s">
        <v>243</v>
      </c>
      <c r="C55" s="46"/>
      <c r="D55" s="46"/>
      <c r="E55" s="48" t="s">
        <v>587</v>
      </c>
      <c r="F55" s="47" t="s">
        <v>557</v>
      </c>
      <c r="H55" s="49">
        <f t="shared" ref="H55" si="12">ROUND(I55,2)</f>
        <v>0</v>
      </c>
      <c r="J55" s="46" t="b">
        <f t="shared" ref="J55" si="13">H55=G55</f>
        <v>1</v>
      </c>
    </row>
    <row r="56" spans="1:10" x14ac:dyDescent="0.25">
      <c r="A56" s="54">
        <v>3</v>
      </c>
      <c r="B56" s="55"/>
      <c r="C56" s="39"/>
      <c r="D56" s="39"/>
      <c r="E56" s="55" t="s">
        <v>588</v>
      </c>
      <c r="F56" s="47" t="s">
        <v>543</v>
      </c>
    </row>
    <row r="57" spans="1:10" x14ac:dyDescent="0.25">
      <c r="A57" s="47">
        <v>4</v>
      </c>
      <c r="B57" s="48" t="s">
        <v>244</v>
      </c>
      <c r="C57" s="46"/>
      <c r="D57" s="46"/>
      <c r="E57" s="48" t="s">
        <v>589</v>
      </c>
      <c r="F57" s="47" t="s">
        <v>545</v>
      </c>
      <c r="H57" s="49">
        <f t="shared" ref="H57:H60" si="14">ROUND(I57,2)</f>
        <v>0</v>
      </c>
      <c r="J57" s="46" t="b">
        <f t="shared" ref="J57:J60" si="15">H57=G57</f>
        <v>1</v>
      </c>
    </row>
    <row r="58" spans="1:10" x14ac:dyDescent="0.25">
      <c r="A58" s="47">
        <v>4</v>
      </c>
      <c r="B58" s="48" t="s">
        <v>245</v>
      </c>
      <c r="C58" s="46"/>
      <c r="D58" s="46"/>
      <c r="E58" s="48" t="s">
        <v>590</v>
      </c>
      <c r="F58" s="47" t="s">
        <v>557</v>
      </c>
      <c r="H58" s="49">
        <f t="shared" si="14"/>
        <v>0</v>
      </c>
      <c r="J58" s="46" t="b">
        <f t="shared" si="15"/>
        <v>1</v>
      </c>
    </row>
    <row r="59" spans="1:10" x14ac:dyDescent="0.25">
      <c r="A59" s="47">
        <v>4</v>
      </c>
      <c r="B59" s="48" t="s">
        <v>148</v>
      </c>
      <c r="C59" s="46"/>
      <c r="D59" s="46"/>
      <c r="E59" s="48" t="s">
        <v>568</v>
      </c>
      <c r="F59" s="47" t="s">
        <v>569</v>
      </c>
      <c r="H59" s="49">
        <f t="shared" si="14"/>
        <v>0</v>
      </c>
      <c r="J59" s="46" t="b">
        <f t="shared" si="15"/>
        <v>1</v>
      </c>
    </row>
    <row r="60" spans="1:10" x14ac:dyDescent="0.25">
      <c r="A60" s="47">
        <v>4</v>
      </c>
      <c r="B60" s="48" t="s">
        <v>246</v>
      </c>
      <c r="C60" s="46"/>
      <c r="D60" s="46"/>
      <c r="E60" s="48" t="s">
        <v>591</v>
      </c>
      <c r="F60" s="47" t="s">
        <v>557</v>
      </c>
      <c r="H60" s="49">
        <f t="shared" si="14"/>
        <v>0</v>
      </c>
      <c r="J60" s="46" t="b">
        <f t="shared" si="15"/>
        <v>1</v>
      </c>
    </row>
    <row r="61" spans="1:10" x14ac:dyDescent="0.25">
      <c r="A61" s="54">
        <v>3</v>
      </c>
      <c r="B61" s="55"/>
      <c r="C61" s="39"/>
      <c r="D61" s="39"/>
      <c r="E61" s="55" t="s">
        <v>592</v>
      </c>
      <c r="F61" s="47" t="s">
        <v>543</v>
      </c>
    </row>
    <row r="62" spans="1:10" x14ac:dyDescent="0.25">
      <c r="A62" s="47">
        <v>4</v>
      </c>
      <c r="B62" s="48" t="s">
        <v>144</v>
      </c>
      <c r="C62" s="46"/>
      <c r="D62" s="46"/>
      <c r="E62" s="48" t="s">
        <v>566</v>
      </c>
      <c r="F62" s="47" t="s">
        <v>557</v>
      </c>
      <c r="H62" s="49">
        <f t="shared" ref="H62:H68" si="16">ROUND(I62,2)</f>
        <v>0</v>
      </c>
      <c r="J62" s="46" t="b">
        <f t="shared" ref="J62:J68" si="17">H62=G62</f>
        <v>1</v>
      </c>
    </row>
    <row r="63" spans="1:10" x14ac:dyDescent="0.25">
      <c r="A63" s="47">
        <v>4</v>
      </c>
      <c r="B63" s="48" t="s">
        <v>145</v>
      </c>
      <c r="C63" s="46"/>
      <c r="D63" s="46"/>
      <c r="E63" s="48" t="s">
        <v>581</v>
      </c>
      <c r="F63" s="47" t="s">
        <v>547</v>
      </c>
      <c r="H63" s="49">
        <f t="shared" si="16"/>
        <v>0</v>
      </c>
      <c r="J63" s="46" t="b">
        <f t="shared" si="17"/>
        <v>1</v>
      </c>
    </row>
    <row r="64" spans="1:10" x14ac:dyDescent="0.25">
      <c r="A64" s="47">
        <v>4</v>
      </c>
      <c r="B64" s="48" t="s">
        <v>146</v>
      </c>
      <c r="C64" s="46"/>
      <c r="D64" s="46"/>
      <c r="E64" s="48" t="s">
        <v>582</v>
      </c>
      <c r="F64" s="47" t="s">
        <v>557</v>
      </c>
      <c r="H64" s="49">
        <f t="shared" si="16"/>
        <v>0</v>
      </c>
      <c r="J64" s="46" t="b">
        <f t="shared" si="17"/>
        <v>1</v>
      </c>
    </row>
    <row r="65" spans="1:10" x14ac:dyDescent="0.25">
      <c r="A65" s="47">
        <v>4</v>
      </c>
      <c r="B65" s="48" t="s">
        <v>147</v>
      </c>
      <c r="C65" s="46"/>
      <c r="D65" s="46"/>
      <c r="E65" s="48" t="s">
        <v>593</v>
      </c>
      <c r="F65" s="47" t="s">
        <v>547</v>
      </c>
      <c r="H65" s="49">
        <f t="shared" si="16"/>
        <v>0</v>
      </c>
      <c r="J65" s="46" t="b">
        <f t="shared" si="17"/>
        <v>1</v>
      </c>
    </row>
    <row r="66" spans="1:10" x14ac:dyDescent="0.25">
      <c r="A66" s="47">
        <v>4</v>
      </c>
      <c r="B66" s="48" t="s">
        <v>148</v>
      </c>
      <c r="C66" s="46"/>
      <c r="D66" s="46"/>
      <c r="E66" s="48" t="s">
        <v>568</v>
      </c>
      <c r="F66" s="47" t="s">
        <v>569</v>
      </c>
      <c r="H66" s="49">
        <f t="shared" si="16"/>
        <v>0</v>
      </c>
      <c r="J66" s="46" t="b">
        <f t="shared" si="17"/>
        <v>1</v>
      </c>
    </row>
    <row r="67" spans="1:10" x14ac:dyDescent="0.25">
      <c r="A67" s="47">
        <v>4</v>
      </c>
      <c r="B67" s="48" t="s">
        <v>246</v>
      </c>
      <c r="C67" s="46"/>
      <c r="D67" s="46"/>
      <c r="E67" s="48" t="s">
        <v>591</v>
      </c>
      <c r="F67" s="47" t="s">
        <v>557</v>
      </c>
      <c r="H67" s="49">
        <f t="shared" si="16"/>
        <v>0</v>
      </c>
      <c r="J67" s="46" t="b">
        <f t="shared" si="17"/>
        <v>1</v>
      </c>
    </row>
    <row r="68" spans="1:10" x14ac:dyDescent="0.25">
      <c r="A68" s="47">
        <v>4</v>
      </c>
      <c r="B68" s="48" t="s">
        <v>216</v>
      </c>
      <c r="C68" s="46"/>
      <c r="D68" s="46"/>
      <c r="E68" s="48" t="s">
        <v>571</v>
      </c>
      <c r="F68" s="47" t="s">
        <v>557</v>
      </c>
      <c r="H68" s="49">
        <f t="shared" si="16"/>
        <v>0</v>
      </c>
      <c r="J68" s="46" t="b">
        <f t="shared" si="17"/>
        <v>1</v>
      </c>
    </row>
    <row r="69" spans="1:10" x14ac:dyDescent="0.25">
      <c r="A69" s="54">
        <v>3</v>
      </c>
      <c r="B69" s="55"/>
      <c r="C69" s="39"/>
      <c r="D69" s="39"/>
      <c r="E69" s="55" t="s">
        <v>585</v>
      </c>
      <c r="F69" s="47" t="s">
        <v>543</v>
      </c>
    </row>
    <row r="70" spans="1:10" x14ac:dyDescent="0.25">
      <c r="A70" s="47">
        <v>4</v>
      </c>
      <c r="B70" s="48" t="s">
        <v>247</v>
      </c>
      <c r="C70" s="46"/>
      <c r="D70" s="46"/>
      <c r="E70" s="48" t="s">
        <v>594</v>
      </c>
      <c r="F70" s="47" t="s">
        <v>547</v>
      </c>
      <c r="H70" s="49">
        <f t="shared" ref="H70:H72" si="18">ROUND(I70,2)</f>
        <v>0</v>
      </c>
      <c r="J70" s="46" t="b">
        <f t="shared" ref="J70:J72" si="19">H70=G70</f>
        <v>1</v>
      </c>
    </row>
    <row r="71" spans="1:10" x14ac:dyDescent="0.25">
      <c r="A71" s="47">
        <v>4</v>
      </c>
      <c r="B71" s="48" t="s">
        <v>148</v>
      </c>
      <c r="C71" s="46"/>
      <c r="D71" s="46"/>
      <c r="E71" s="48" t="s">
        <v>568</v>
      </c>
      <c r="F71" s="47" t="s">
        <v>569</v>
      </c>
      <c r="H71" s="49">
        <f t="shared" si="18"/>
        <v>0</v>
      </c>
      <c r="J71" s="46" t="b">
        <f t="shared" si="19"/>
        <v>1</v>
      </c>
    </row>
    <row r="72" spans="1:10" x14ac:dyDescent="0.25">
      <c r="A72" s="47">
        <v>4</v>
      </c>
      <c r="B72" s="48" t="s">
        <v>248</v>
      </c>
      <c r="C72" s="46"/>
      <c r="D72" s="46"/>
      <c r="E72" s="48" t="s">
        <v>595</v>
      </c>
      <c r="F72" s="47" t="s">
        <v>557</v>
      </c>
      <c r="H72" s="49">
        <f t="shared" si="18"/>
        <v>0</v>
      </c>
      <c r="J72" s="46" t="b">
        <f t="shared" si="19"/>
        <v>1</v>
      </c>
    </row>
    <row r="73" spans="1:10" x14ac:dyDescent="0.25">
      <c r="A73" s="54">
        <v>3</v>
      </c>
      <c r="B73" s="55"/>
      <c r="C73" s="39"/>
      <c r="D73" s="39"/>
      <c r="E73" s="55" t="s">
        <v>596</v>
      </c>
      <c r="F73" s="47" t="s">
        <v>543</v>
      </c>
    </row>
    <row r="74" spans="1:10" x14ac:dyDescent="0.25">
      <c r="A74" s="47">
        <v>4</v>
      </c>
      <c r="B74" s="48" t="s">
        <v>144</v>
      </c>
      <c r="C74" s="46"/>
      <c r="D74" s="46"/>
      <c r="E74" s="48" t="s">
        <v>566</v>
      </c>
      <c r="F74" s="47" t="s">
        <v>557</v>
      </c>
      <c r="H74" s="49">
        <f t="shared" ref="H74:H75" si="20">ROUND(I74,2)</f>
        <v>0</v>
      </c>
      <c r="J74" s="46" t="b">
        <f t="shared" ref="J74:J75" si="21">H74=G74</f>
        <v>1</v>
      </c>
    </row>
    <row r="75" spans="1:10" x14ac:dyDescent="0.25">
      <c r="A75" s="47">
        <v>4</v>
      </c>
      <c r="B75" s="48" t="s">
        <v>242</v>
      </c>
      <c r="C75" s="46"/>
      <c r="D75" s="46"/>
      <c r="E75" s="48" t="s">
        <v>597</v>
      </c>
      <c r="F75" s="47" t="s">
        <v>547</v>
      </c>
      <c r="H75" s="49">
        <f t="shared" si="20"/>
        <v>0</v>
      </c>
      <c r="J75" s="46" t="b">
        <f t="shared" si="21"/>
        <v>1</v>
      </c>
    </row>
    <row r="76" spans="1:10" x14ac:dyDescent="0.25">
      <c r="A76" s="54">
        <v>3</v>
      </c>
      <c r="B76" s="55"/>
      <c r="C76" s="39"/>
      <c r="D76" s="39"/>
      <c r="E76" s="55" t="s">
        <v>598</v>
      </c>
      <c r="F76" s="47" t="s">
        <v>543</v>
      </c>
    </row>
    <row r="77" spans="1:10" x14ac:dyDescent="0.25">
      <c r="A77" s="47">
        <v>4</v>
      </c>
      <c r="B77" s="48" t="s">
        <v>247</v>
      </c>
      <c r="C77" s="46"/>
      <c r="D77" s="46"/>
      <c r="E77" s="48" t="s">
        <v>594</v>
      </c>
      <c r="F77" s="47" t="s">
        <v>547</v>
      </c>
      <c r="H77" s="49">
        <f t="shared" ref="H77:H79" si="22">ROUND(I77,2)</f>
        <v>0</v>
      </c>
      <c r="J77" s="46" t="b">
        <f t="shared" ref="J77:J79" si="23">H77=G77</f>
        <v>1</v>
      </c>
    </row>
    <row r="78" spans="1:10" x14ac:dyDescent="0.25">
      <c r="A78" s="47">
        <v>4</v>
      </c>
      <c r="B78" s="48" t="s">
        <v>148</v>
      </c>
      <c r="C78" s="46"/>
      <c r="D78" s="46"/>
      <c r="E78" s="48" t="s">
        <v>568</v>
      </c>
      <c r="F78" s="47" t="s">
        <v>569</v>
      </c>
      <c r="H78" s="49">
        <f t="shared" si="22"/>
        <v>0</v>
      </c>
      <c r="J78" s="46" t="b">
        <f t="shared" si="23"/>
        <v>1</v>
      </c>
    </row>
    <row r="79" spans="1:10" x14ac:dyDescent="0.25">
      <c r="A79" s="47">
        <v>4</v>
      </c>
      <c r="B79" s="48" t="s">
        <v>248</v>
      </c>
      <c r="C79" s="46"/>
      <c r="D79" s="46"/>
      <c r="E79" s="48" t="s">
        <v>595</v>
      </c>
      <c r="F79" s="47" t="s">
        <v>557</v>
      </c>
      <c r="H79" s="49">
        <f t="shared" si="22"/>
        <v>0</v>
      </c>
      <c r="J79" s="46" t="b">
        <f t="shared" si="23"/>
        <v>1</v>
      </c>
    </row>
    <row r="80" spans="1:10" x14ac:dyDescent="0.25">
      <c r="A80" s="54">
        <v>3</v>
      </c>
      <c r="B80" s="55"/>
      <c r="C80" s="39"/>
      <c r="D80" s="39"/>
      <c r="E80" s="55" t="s">
        <v>599</v>
      </c>
      <c r="F80" s="47" t="s">
        <v>543</v>
      </c>
    </row>
    <row r="81" spans="1:10" x14ac:dyDescent="0.25">
      <c r="A81" s="47">
        <v>4</v>
      </c>
      <c r="B81" s="48" t="s">
        <v>216</v>
      </c>
      <c r="C81" s="46"/>
      <c r="D81" s="46"/>
      <c r="E81" s="48" t="s">
        <v>600</v>
      </c>
      <c r="F81" s="47" t="s">
        <v>557</v>
      </c>
      <c r="H81" s="49">
        <f t="shared" ref="H81:H82" si="24">ROUND(I81,2)</f>
        <v>0</v>
      </c>
      <c r="J81" s="46" t="b">
        <f t="shared" ref="J81:J82" si="25">H81=G81</f>
        <v>1</v>
      </c>
    </row>
    <row r="82" spans="1:10" x14ac:dyDescent="0.25">
      <c r="A82" s="47">
        <v>4</v>
      </c>
      <c r="B82" s="48" t="s">
        <v>232</v>
      </c>
      <c r="C82" s="46"/>
      <c r="D82" s="46"/>
      <c r="E82" s="48" t="s">
        <v>560</v>
      </c>
      <c r="F82" s="47" t="s">
        <v>557</v>
      </c>
      <c r="H82" s="49">
        <f t="shared" si="24"/>
        <v>0</v>
      </c>
      <c r="J82" s="46" t="b">
        <f t="shared" si="25"/>
        <v>1</v>
      </c>
    </row>
    <row r="83" spans="1:10" x14ac:dyDescent="0.25">
      <c r="A83" s="50">
        <v>2</v>
      </c>
      <c r="B83" s="51"/>
      <c r="C83" s="52"/>
      <c r="D83" s="52"/>
      <c r="E83" s="51" t="s">
        <v>601</v>
      </c>
      <c r="F83" s="50" t="s">
        <v>543</v>
      </c>
      <c r="G83" s="53"/>
      <c r="H83" s="53"/>
      <c r="I83" s="53"/>
      <c r="J83" s="52"/>
    </row>
    <row r="84" spans="1:10" x14ac:dyDescent="0.25">
      <c r="A84" s="54">
        <v>3</v>
      </c>
      <c r="B84" s="55"/>
      <c r="C84" s="39"/>
      <c r="D84" s="39"/>
      <c r="E84" s="55" t="s">
        <v>602</v>
      </c>
      <c r="F84" s="47" t="s">
        <v>543</v>
      </c>
    </row>
    <row r="85" spans="1:10" x14ac:dyDescent="0.25">
      <c r="A85" s="47">
        <v>4</v>
      </c>
      <c r="B85" s="48" t="s">
        <v>249</v>
      </c>
      <c r="C85" s="46"/>
      <c r="D85" s="46"/>
      <c r="E85" s="48" t="s">
        <v>603</v>
      </c>
      <c r="F85" s="47" t="s">
        <v>557</v>
      </c>
      <c r="H85" s="49">
        <f t="shared" ref="H85:H87" si="26">ROUND(I85,2)</f>
        <v>0</v>
      </c>
      <c r="J85" s="46" t="b">
        <f t="shared" ref="J85:J87" si="27">H85=G85</f>
        <v>1</v>
      </c>
    </row>
    <row r="86" spans="1:10" x14ac:dyDescent="0.25">
      <c r="A86" s="47">
        <v>4</v>
      </c>
      <c r="B86" s="48" t="s">
        <v>148</v>
      </c>
      <c r="C86" s="46"/>
      <c r="D86" s="46"/>
      <c r="E86" s="48" t="s">
        <v>568</v>
      </c>
      <c r="F86" s="47" t="s">
        <v>569</v>
      </c>
      <c r="H86" s="49">
        <f t="shared" si="26"/>
        <v>0</v>
      </c>
      <c r="J86" s="46" t="b">
        <f t="shared" si="27"/>
        <v>1</v>
      </c>
    </row>
    <row r="87" spans="1:10" x14ac:dyDescent="0.25">
      <c r="A87" s="47">
        <v>4</v>
      </c>
      <c r="B87" s="48" t="s">
        <v>246</v>
      </c>
      <c r="C87" s="46"/>
      <c r="D87" s="46"/>
      <c r="E87" s="48" t="s">
        <v>591</v>
      </c>
      <c r="F87" s="47" t="s">
        <v>557</v>
      </c>
      <c r="H87" s="49">
        <f t="shared" si="26"/>
        <v>0</v>
      </c>
      <c r="J87" s="46" t="b">
        <f t="shared" si="27"/>
        <v>1</v>
      </c>
    </row>
    <row r="88" spans="1:10" x14ac:dyDescent="0.25">
      <c r="A88" s="54">
        <v>3</v>
      </c>
      <c r="B88" s="55"/>
      <c r="C88" s="39"/>
      <c r="D88" s="39"/>
      <c r="E88" s="55" t="s">
        <v>604</v>
      </c>
      <c r="F88" s="47" t="s">
        <v>543</v>
      </c>
    </row>
    <row r="89" spans="1:10" x14ac:dyDescent="0.25">
      <c r="A89" s="47">
        <v>4</v>
      </c>
      <c r="B89" s="48" t="s">
        <v>144</v>
      </c>
      <c r="C89" s="46"/>
      <c r="D89" s="46"/>
      <c r="E89" s="48" t="s">
        <v>566</v>
      </c>
      <c r="F89" s="47" t="s">
        <v>557</v>
      </c>
      <c r="H89" s="49">
        <f t="shared" ref="H89:H90" si="28">ROUND(I89,2)</f>
        <v>0</v>
      </c>
      <c r="J89" s="46" t="b">
        <f t="shared" ref="J89:J90" si="29">H89=G89</f>
        <v>1</v>
      </c>
    </row>
    <row r="90" spans="1:10" x14ac:dyDescent="0.25">
      <c r="A90" s="47">
        <v>4</v>
      </c>
      <c r="B90" s="48" t="s">
        <v>242</v>
      </c>
      <c r="C90" s="46"/>
      <c r="D90" s="46"/>
      <c r="E90" s="48" t="s">
        <v>597</v>
      </c>
      <c r="F90" s="47" t="s">
        <v>547</v>
      </c>
      <c r="H90" s="49">
        <f t="shared" si="28"/>
        <v>0</v>
      </c>
      <c r="J90" s="46" t="b">
        <f t="shared" si="29"/>
        <v>1</v>
      </c>
    </row>
    <row r="91" spans="1:10" x14ac:dyDescent="0.25">
      <c r="A91" s="54">
        <v>3</v>
      </c>
      <c r="B91" s="55"/>
      <c r="C91" s="39"/>
      <c r="D91" s="39"/>
      <c r="E91" s="55" t="s">
        <v>605</v>
      </c>
      <c r="F91" s="47" t="s">
        <v>543</v>
      </c>
    </row>
    <row r="92" spans="1:10" x14ac:dyDescent="0.25">
      <c r="A92" s="47">
        <v>4</v>
      </c>
      <c r="B92" s="48" t="s">
        <v>247</v>
      </c>
      <c r="C92" s="46"/>
      <c r="D92" s="46"/>
      <c r="E92" s="48" t="s">
        <v>594</v>
      </c>
      <c r="F92" s="47" t="s">
        <v>547</v>
      </c>
      <c r="H92" s="49">
        <f t="shared" ref="H92:H94" si="30">ROUND(I92,2)</f>
        <v>0</v>
      </c>
      <c r="J92" s="46" t="b">
        <f t="shared" ref="J92:J94" si="31">H92=G92</f>
        <v>1</v>
      </c>
    </row>
    <row r="93" spans="1:10" x14ac:dyDescent="0.25">
      <c r="A93" s="47">
        <v>4</v>
      </c>
      <c r="B93" s="48" t="s">
        <v>148</v>
      </c>
      <c r="C93" s="46"/>
      <c r="D93" s="46"/>
      <c r="E93" s="48" t="s">
        <v>568</v>
      </c>
      <c r="F93" s="47" t="s">
        <v>569</v>
      </c>
      <c r="H93" s="49">
        <f t="shared" si="30"/>
        <v>0</v>
      </c>
      <c r="J93" s="46" t="b">
        <f t="shared" si="31"/>
        <v>1</v>
      </c>
    </row>
    <row r="94" spans="1:10" x14ac:dyDescent="0.25">
      <c r="A94" s="47">
        <v>4</v>
      </c>
      <c r="B94" s="48" t="s">
        <v>248</v>
      </c>
      <c r="C94" s="46"/>
      <c r="D94" s="46"/>
      <c r="E94" s="48" t="s">
        <v>595</v>
      </c>
      <c r="F94" s="47" t="s">
        <v>557</v>
      </c>
      <c r="H94" s="49">
        <f t="shared" si="30"/>
        <v>0</v>
      </c>
      <c r="J94" s="46" t="b">
        <f t="shared" si="31"/>
        <v>1</v>
      </c>
    </row>
    <row r="95" spans="1:10" x14ac:dyDescent="0.25">
      <c r="A95" s="54">
        <v>3</v>
      </c>
      <c r="B95" s="55"/>
      <c r="C95" s="39"/>
      <c r="D95" s="39"/>
      <c r="E95" s="55" t="s">
        <v>606</v>
      </c>
      <c r="F95" s="47" t="s">
        <v>543</v>
      </c>
    </row>
    <row r="96" spans="1:10" x14ac:dyDescent="0.25">
      <c r="A96" s="47">
        <v>4</v>
      </c>
      <c r="B96" s="48" t="s">
        <v>232</v>
      </c>
      <c r="C96" s="46"/>
      <c r="D96" s="46"/>
      <c r="E96" s="48" t="s">
        <v>560</v>
      </c>
      <c r="F96" s="47" t="s">
        <v>557</v>
      </c>
      <c r="H96" s="49">
        <f t="shared" ref="H96" si="32">ROUND(I96,2)</f>
        <v>0</v>
      </c>
      <c r="J96" s="46" t="b">
        <f t="shared" ref="J96" si="33">H96=G96</f>
        <v>1</v>
      </c>
    </row>
    <row r="97" spans="1:10" x14ac:dyDescent="0.25">
      <c r="A97" s="47"/>
      <c r="B97" s="48"/>
      <c r="C97" s="46"/>
      <c r="D97" s="46"/>
      <c r="E97" s="48"/>
      <c r="F97" s="47"/>
    </row>
    <row r="98" spans="1:10" x14ac:dyDescent="0.2">
      <c r="A98" s="42">
        <v>1</v>
      </c>
      <c r="B98" s="42"/>
      <c r="C98" s="42"/>
      <c r="D98" s="42"/>
      <c r="E98" s="43" t="s">
        <v>607</v>
      </c>
      <c r="F98" s="42" t="s">
        <v>543</v>
      </c>
      <c r="G98" s="44"/>
      <c r="H98" s="45"/>
      <c r="I98" s="45"/>
      <c r="J98" s="45"/>
    </row>
    <row r="99" spans="1:10" x14ac:dyDescent="0.25">
      <c r="A99" s="50">
        <v>2</v>
      </c>
      <c r="B99" s="51"/>
      <c r="C99" s="52"/>
      <c r="D99" s="52"/>
      <c r="E99" s="51" t="s">
        <v>608</v>
      </c>
      <c r="F99" s="50" t="s">
        <v>543</v>
      </c>
      <c r="G99" s="53"/>
      <c r="H99" s="53"/>
      <c r="I99" s="53"/>
      <c r="J99" s="52"/>
    </row>
    <row r="100" spans="1:10" x14ac:dyDescent="0.25">
      <c r="A100" s="47">
        <v>3</v>
      </c>
      <c r="B100" s="48" t="s">
        <v>244</v>
      </c>
      <c r="C100" s="46"/>
      <c r="D100" s="46"/>
      <c r="E100" s="48" t="s">
        <v>589</v>
      </c>
      <c r="F100" s="47" t="s">
        <v>545</v>
      </c>
      <c r="H100" s="49">
        <f t="shared" ref="H100:H111" si="34">ROUND(I100,2)</f>
        <v>0</v>
      </c>
      <c r="J100" s="46" t="b">
        <f t="shared" ref="J100:J111" si="35">H100=G100</f>
        <v>1</v>
      </c>
    </row>
    <row r="101" spans="1:10" x14ac:dyDescent="0.25">
      <c r="A101" s="47">
        <v>3</v>
      </c>
      <c r="B101" s="48" t="s">
        <v>250</v>
      </c>
      <c r="C101" s="46"/>
      <c r="D101" s="46"/>
      <c r="E101" s="48" t="s">
        <v>609</v>
      </c>
      <c r="F101" s="47" t="s">
        <v>610</v>
      </c>
      <c r="H101" s="49">
        <f t="shared" si="34"/>
        <v>0</v>
      </c>
      <c r="J101" s="46" t="b">
        <f t="shared" si="35"/>
        <v>1</v>
      </c>
    </row>
    <row r="102" spans="1:10" x14ac:dyDescent="0.25">
      <c r="A102" s="47">
        <v>3</v>
      </c>
      <c r="B102" s="48" t="s">
        <v>251</v>
      </c>
      <c r="C102" s="46"/>
      <c r="D102" s="46"/>
      <c r="E102" s="48" t="s">
        <v>611</v>
      </c>
      <c r="F102" s="47" t="s">
        <v>610</v>
      </c>
      <c r="H102" s="49">
        <f t="shared" si="34"/>
        <v>0</v>
      </c>
      <c r="J102" s="46" t="b">
        <f t="shared" si="35"/>
        <v>1</v>
      </c>
    </row>
    <row r="103" spans="1:10" x14ac:dyDescent="0.25">
      <c r="A103" s="47">
        <v>3</v>
      </c>
      <c r="B103" s="48" t="s">
        <v>252</v>
      </c>
      <c r="C103" s="46"/>
      <c r="D103" s="46"/>
      <c r="E103" s="48" t="s">
        <v>612</v>
      </c>
      <c r="F103" s="47" t="s">
        <v>610</v>
      </c>
      <c r="H103" s="49">
        <f t="shared" si="34"/>
        <v>0</v>
      </c>
      <c r="J103" s="46" t="b">
        <f t="shared" si="35"/>
        <v>1</v>
      </c>
    </row>
    <row r="104" spans="1:10" x14ac:dyDescent="0.25">
      <c r="A104" s="47">
        <v>3</v>
      </c>
      <c r="B104" s="48" t="s">
        <v>253</v>
      </c>
      <c r="C104" s="46"/>
      <c r="D104" s="46"/>
      <c r="E104" s="48" t="s">
        <v>613</v>
      </c>
      <c r="F104" s="47" t="s">
        <v>610</v>
      </c>
      <c r="H104" s="49">
        <f t="shared" si="34"/>
        <v>0</v>
      </c>
      <c r="J104" s="46" t="b">
        <f t="shared" si="35"/>
        <v>1</v>
      </c>
    </row>
    <row r="105" spans="1:10" x14ac:dyDescent="0.25">
      <c r="A105" s="47">
        <v>3</v>
      </c>
      <c r="B105" s="48" t="s">
        <v>254</v>
      </c>
      <c r="C105" s="46"/>
      <c r="D105" s="46"/>
      <c r="E105" s="48" t="s">
        <v>614</v>
      </c>
      <c r="F105" s="47" t="s">
        <v>610</v>
      </c>
      <c r="H105" s="49">
        <f t="shared" si="34"/>
        <v>0</v>
      </c>
      <c r="J105" s="46" t="b">
        <f t="shared" si="35"/>
        <v>1</v>
      </c>
    </row>
    <row r="106" spans="1:10" x14ac:dyDescent="0.25">
      <c r="A106" s="47">
        <v>3</v>
      </c>
      <c r="B106" s="48" t="s">
        <v>255</v>
      </c>
      <c r="C106" s="46"/>
      <c r="D106" s="46"/>
      <c r="E106" s="48" t="s">
        <v>615</v>
      </c>
      <c r="F106" s="47" t="s">
        <v>610</v>
      </c>
      <c r="H106" s="49">
        <f t="shared" si="34"/>
        <v>0</v>
      </c>
      <c r="J106" s="46" t="b">
        <f t="shared" si="35"/>
        <v>1</v>
      </c>
    </row>
    <row r="107" spans="1:10" x14ac:dyDescent="0.25">
      <c r="A107" s="47">
        <v>3</v>
      </c>
      <c r="B107" s="48" t="s">
        <v>148</v>
      </c>
      <c r="C107" s="46"/>
      <c r="D107" s="46"/>
      <c r="E107" s="48" t="s">
        <v>568</v>
      </c>
      <c r="F107" s="47" t="s">
        <v>569</v>
      </c>
      <c r="H107" s="49">
        <f t="shared" si="34"/>
        <v>0</v>
      </c>
      <c r="J107" s="46" t="b">
        <f t="shared" si="35"/>
        <v>1</v>
      </c>
    </row>
    <row r="108" spans="1:10" x14ac:dyDescent="0.25">
      <c r="A108" s="47">
        <v>3</v>
      </c>
      <c r="B108" s="48" t="s">
        <v>235</v>
      </c>
      <c r="C108" s="46"/>
      <c r="D108" s="46"/>
      <c r="E108" s="48" t="s">
        <v>570</v>
      </c>
      <c r="F108" s="47" t="s">
        <v>557</v>
      </c>
      <c r="H108" s="49">
        <f t="shared" si="34"/>
        <v>0</v>
      </c>
      <c r="J108" s="46" t="b">
        <f t="shared" si="35"/>
        <v>1</v>
      </c>
    </row>
    <row r="109" spans="1:10" x14ac:dyDescent="0.25">
      <c r="A109" s="47">
        <v>3</v>
      </c>
      <c r="B109" s="48" t="s">
        <v>256</v>
      </c>
      <c r="C109" s="46"/>
      <c r="D109" s="46"/>
      <c r="E109" s="48" t="s">
        <v>616</v>
      </c>
      <c r="F109" s="47" t="s">
        <v>553</v>
      </c>
      <c r="H109" s="49">
        <f t="shared" si="34"/>
        <v>0</v>
      </c>
      <c r="J109" s="46" t="b">
        <f t="shared" si="35"/>
        <v>1</v>
      </c>
    </row>
    <row r="110" spans="1:10" x14ac:dyDescent="0.25">
      <c r="A110" s="47">
        <v>3</v>
      </c>
      <c r="B110" s="48" t="s">
        <v>257</v>
      </c>
      <c r="C110" s="46"/>
      <c r="D110" s="46"/>
      <c r="E110" s="48" t="s">
        <v>617</v>
      </c>
      <c r="F110" s="47" t="s">
        <v>618</v>
      </c>
      <c r="H110" s="49">
        <f t="shared" si="34"/>
        <v>0</v>
      </c>
      <c r="J110" s="46" t="b">
        <f t="shared" si="35"/>
        <v>1</v>
      </c>
    </row>
    <row r="111" spans="1:10" x14ac:dyDescent="0.25">
      <c r="A111" s="47">
        <v>3</v>
      </c>
      <c r="B111" s="48" t="s">
        <v>236</v>
      </c>
      <c r="C111" s="46"/>
      <c r="D111" s="46"/>
      <c r="E111" s="48" t="s">
        <v>572</v>
      </c>
      <c r="F111" s="47" t="s">
        <v>557</v>
      </c>
      <c r="H111" s="49">
        <f t="shared" si="34"/>
        <v>0</v>
      </c>
      <c r="J111" s="46" t="b">
        <f t="shared" si="35"/>
        <v>1</v>
      </c>
    </row>
    <row r="112" spans="1:10" x14ac:dyDescent="0.25">
      <c r="A112" s="50">
        <v>2</v>
      </c>
      <c r="B112" s="51"/>
      <c r="C112" s="52"/>
      <c r="D112" s="52"/>
      <c r="E112" s="51" t="s">
        <v>588</v>
      </c>
      <c r="F112" s="50" t="s">
        <v>543</v>
      </c>
      <c r="G112" s="53"/>
      <c r="H112" s="53"/>
      <c r="I112" s="53"/>
      <c r="J112" s="52"/>
    </row>
    <row r="113" spans="1:10" x14ac:dyDescent="0.25">
      <c r="A113" s="47">
        <v>3</v>
      </c>
      <c r="B113" s="48" t="s">
        <v>244</v>
      </c>
      <c r="C113" s="46"/>
      <c r="D113" s="46"/>
      <c r="E113" s="48" t="s">
        <v>589</v>
      </c>
      <c r="F113" s="47" t="s">
        <v>545</v>
      </c>
      <c r="H113" s="49">
        <f t="shared" ref="H113:H118" si="36">ROUND(I113,2)</f>
        <v>0</v>
      </c>
      <c r="J113" s="46" t="b">
        <f t="shared" ref="J113:J118" si="37">H113=G113</f>
        <v>1</v>
      </c>
    </row>
    <row r="114" spans="1:10" x14ac:dyDescent="0.25">
      <c r="A114" s="47">
        <v>3</v>
      </c>
      <c r="B114" s="48" t="s">
        <v>258</v>
      </c>
      <c r="C114" s="46"/>
      <c r="D114" s="46"/>
      <c r="E114" s="48" t="s">
        <v>619</v>
      </c>
      <c r="F114" s="47" t="s">
        <v>610</v>
      </c>
      <c r="H114" s="49">
        <f t="shared" si="36"/>
        <v>0</v>
      </c>
      <c r="J114" s="46" t="b">
        <f t="shared" si="37"/>
        <v>1</v>
      </c>
    </row>
    <row r="115" spans="1:10" x14ac:dyDescent="0.25">
      <c r="A115" s="47">
        <v>3</v>
      </c>
      <c r="B115" s="48" t="s">
        <v>245</v>
      </c>
      <c r="C115" s="46"/>
      <c r="D115" s="46"/>
      <c r="E115" s="48" t="s">
        <v>590</v>
      </c>
      <c r="F115" s="47" t="s">
        <v>557</v>
      </c>
      <c r="H115" s="49">
        <f t="shared" si="36"/>
        <v>0</v>
      </c>
      <c r="J115" s="46" t="b">
        <f t="shared" si="37"/>
        <v>1</v>
      </c>
    </row>
    <row r="116" spans="1:10" x14ac:dyDescent="0.25">
      <c r="A116" s="47">
        <v>3</v>
      </c>
      <c r="B116" s="48" t="s">
        <v>148</v>
      </c>
      <c r="C116" s="46"/>
      <c r="D116" s="46"/>
      <c r="E116" s="48" t="s">
        <v>568</v>
      </c>
      <c r="F116" s="47" t="s">
        <v>569</v>
      </c>
      <c r="H116" s="49">
        <f t="shared" si="36"/>
        <v>0</v>
      </c>
      <c r="J116" s="46" t="b">
        <f t="shared" si="37"/>
        <v>1</v>
      </c>
    </row>
    <row r="117" spans="1:10" x14ac:dyDescent="0.25">
      <c r="A117" s="47">
        <v>3</v>
      </c>
      <c r="B117" s="48" t="s">
        <v>235</v>
      </c>
      <c r="C117" s="46"/>
      <c r="D117" s="46"/>
      <c r="E117" s="48" t="s">
        <v>570</v>
      </c>
      <c r="F117" s="47" t="s">
        <v>557</v>
      </c>
      <c r="H117" s="49">
        <f t="shared" si="36"/>
        <v>0</v>
      </c>
      <c r="J117" s="46" t="b">
        <f t="shared" si="37"/>
        <v>1</v>
      </c>
    </row>
    <row r="118" spans="1:10" x14ac:dyDescent="0.25">
      <c r="A118" s="47">
        <v>3</v>
      </c>
      <c r="B118" s="48" t="s">
        <v>236</v>
      </c>
      <c r="C118" s="46"/>
      <c r="D118" s="46"/>
      <c r="E118" s="48" t="s">
        <v>572</v>
      </c>
      <c r="F118" s="47" t="s">
        <v>557</v>
      </c>
      <c r="H118" s="49">
        <f t="shared" si="36"/>
        <v>0</v>
      </c>
      <c r="J118" s="46" t="b">
        <f t="shared" si="37"/>
        <v>1</v>
      </c>
    </row>
    <row r="119" spans="1:10" x14ac:dyDescent="0.25">
      <c r="A119" s="50">
        <v>2</v>
      </c>
      <c r="B119" s="51"/>
      <c r="C119" s="52"/>
      <c r="D119" s="52"/>
      <c r="E119" s="51" t="s">
        <v>620</v>
      </c>
      <c r="F119" s="50" t="s">
        <v>543</v>
      </c>
      <c r="G119" s="53"/>
      <c r="H119" s="53"/>
      <c r="I119" s="53"/>
      <c r="J119" s="52"/>
    </row>
    <row r="120" spans="1:10" x14ac:dyDescent="0.25">
      <c r="A120" s="47">
        <v>3</v>
      </c>
      <c r="B120" s="48" t="s">
        <v>259</v>
      </c>
      <c r="C120" s="46"/>
      <c r="D120" s="46"/>
      <c r="E120" s="48" t="s">
        <v>621</v>
      </c>
      <c r="F120" s="47" t="s">
        <v>545</v>
      </c>
      <c r="H120" s="49">
        <f t="shared" ref="H120:H131" si="38">ROUND(I120,2)</f>
        <v>0</v>
      </c>
      <c r="J120" s="46" t="b">
        <f t="shared" ref="J120:J131" si="39">H120=G120</f>
        <v>1</v>
      </c>
    </row>
    <row r="121" spans="1:10" x14ac:dyDescent="0.25">
      <c r="A121" s="47">
        <v>3</v>
      </c>
      <c r="B121" s="48" t="s">
        <v>260</v>
      </c>
      <c r="C121" s="46"/>
      <c r="D121" s="46"/>
      <c r="E121" s="48" t="s">
        <v>622</v>
      </c>
      <c r="F121" s="47" t="s">
        <v>610</v>
      </c>
      <c r="H121" s="49">
        <f t="shared" si="38"/>
        <v>0</v>
      </c>
      <c r="J121" s="46" t="b">
        <f t="shared" si="39"/>
        <v>1</v>
      </c>
    </row>
    <row r="122" spans="1:10" x14ac:dyDescent="0.25">
      <c r="A122" s="47">
        <v>3</v>
      </c>
      <c r="B122" s="48" t="s">
        <v>261</v>
      </c>
      <c r="C122" s="46"/>
      <c r="D122" s="46"/>
      <c r="E122" s="48" t="s">
        <v>623</v>
      </c>
      <c r="F122" s="47" t="s">
        <v>610</v>
      </c>
      <c r="H122" s="49">
        <f t="shared" si="38"/>
        <v>0</v>
      </c>
      <c r="J122" s="46" t="b">
        <f t="shared" si="39"/>
        <v>1</v>
      </c>
    </row>
    <row r="123" spans="1:10" x14ac:dyDescent="0.25">
      <c r="A123" s="47">
        <v>3</v>
      </c>
      <c r="B123" s="48" t="s">
        <v>262</v>
      </c>
      <c r="C123" s="46"/>
      <c r="D123" s="46"/>
      <c r="E123" s="48" t="s">
        <v>624</v>
      </c>
      <c r="F123" s="47" t="s">
        <v>610</v>
      </c>
      <c r="H123" s="49">
        <f t="shared" si="38"/>
        <v>0</v>
      </c>
      <c r="J123" s="46" t="b">
        <f t="shared" si="39"/>
        <v>1</v>
      </c>
    </row>
    <row r="124" spans="1:10" x14ac:dyDescent="0.25">
      <c r="A124" s="47">
        <v>3</v>
      </c>
      <c r="B124" s="48" t="s">
        <v>263</v>
      </c>
      <c r="C124" s="46"/>
      <c r="D124" s="46"/>
      <c r="E124" s="48" t="s">
        <v>625</v>
      </c>
      <c r="F124" s="47" t="s">
        <v>610</v>
      </c>
      <c r="H124" s="49">
        <f t="shared" si="38"/>
        <v>0</v>
      </c>
      <c r="J124" s="46" t="b">
        <f t="shared" si="39"/>
        <v>1</v>
      </c>
    </row>
    <row r="125" spans="1:10" x14ac:dyDescent="0.25">
      <c r="A125" s="47">
        <v>3</v>
      </c>
      <c r="B125" s="48" t="s">
        <v>264</v>
      </c>
      <c r="C125" s="46"/>
      <c r="D125" s="46"/>
      <c r="E125" s="48" t="s">
        <v>626</v>
      </c>
      <c r="F125" s="47" t="s">
        <v>610</v>
      </c>
      <c r="H125" s="49">
        <f t="shared" si="38"/>
        <v>0</v>
      </c>
      <c r="J125" s="46" t="b">
        <f t="shared" si="39"/>
        <v>1</v>
      </c>
    </row>
    <row r="126" spans="1:10" x14ac:dyDescent="0.25">
      <c r="A126" s="47">
        <v>3</v>
      </c>
      <c r="B126" s="48" t="s">
        <v>265</v>
      </c>
      <c r="C126" s="46"/>
      <c r="D126" s="46"/>
      <c r="E126" s="48" t="s">
        <v>627</v>
      </c>
      <c r="F126" s="47" t="s">
        <v>610</v>
      </c>
      <c r="H126" s="49">
        <f t="shared" si="38"/>
        <v>0</v>
      </c>
      <c r="J126" s="46" t="b">
        <f t="shared" si="39"/>
        <v>1</v>
      </c>
    </row>
    <row r="127" spans="1:10" x14ac:dyDescent="0.25">
      <c r="A127" s="47">
        <v>3</v>
      </c>
      <c r="B127" s="48" t="s">
        <v>148</v>
      </c>
      <c r="C127" s="46"/>
      <c r="D127" s="46"/>
      <c r="E127" s="48" t="s">
        <v>568</v>
      </c>
      <c r="F127" s="47" t="s">
        <v>569</v>
      </c>
      <c r="H127" s="49">
        <f t="shared" si="38"/>
        <v>0</v>
      </c>
      <c r="J127" s="46" t="b">
        <f t="shared" si="39"/>
        <v>1</v>
      </c>
    </row>
    <row r="128" spans="1:10" x14ac:dyDescent="0.25">
      <c r="A128" s="47">
        <v>3</v>
      </c>
      <c r="B128" s="48" t="s">
        <v>238</v>
      </c>
      <c r="C128" s="46"/>
      <c r="D128" s="46"/>
      <c r="E128" s="48" t="s">
        <v>575</v>
      </c>
      <c r="F128" s="47" t="s">
        <v>557</v>
      </c>
      <c r="H128" s="49">
        <f t="shared" si="38"/>
        <v>0</v>
      </c>
      <c r="J128" s="46" t="b">
        <f t="shared" si="39"/>
        <v>1</v>
      </c>
    </row>
    <row r="129" spans="1:10" x14ac:dyDescent="0.25">
      <c r="A129" s="47">
        <v>3</v>
      </c>
      <c r="B129" s="48" t="s">
        <v>256</v>
      </c>
      <c r="C129" s="46"/>
      <c r="D129" s="46"/>
      <c r="E129" s="48" t="s">
        <v>628</v>
      </c>
      <c r="F129" s="47" t="s">
        <v>553</v>
      </c>
      <c r="H129" s="49">
        <f t="shared" si="38"/>
        <v>0</v>
      </c>
      <c r="J129" s="46" t="b">
        <f t="shared" si="39"/>
        <v>1</v>
      </c>
    </row>
    <row r="130" spans="1:10" x14ac:dyDescent="0.25">
      <c r="A130" s="47">
        <v>3</v>
      </c>
      <c r="B130" s="48" t="s">
        <v>257</v>
      </c>
      <c r="C130" s="46"/>
      <c r="D130" s="46"/>
      <c r="E130" s="48" t="s">
        <v>617</v>
      </c>
      <c r="F130" s="47" t="s">
        <v>618</v>
      </c>
      <c r="H130" s="49">
        <f t="shared" si="38"/>
        <v>0</v>
      </c>
      <c r="J130" s="46" t="b">
        <f t="shared" si="39"/>
        <v>1</v>
      </c>
    </row>
    <row r="131" spans="1:10" x14ac:dyDescent="0.25">
      <c r="A131" s="47">
        <v>3</v>
      </c>
      <c r="B131" s="48" t="s">
        <v>236</v>
      </c>
      <c r="C131" s="46"/>
      <c r="D131" s="46"/>
      <c r="E131" s="48" t="s">
        <v>572</v>
      </c>
      <c r="F131" s="47" t="s">
        <v>557</v>
      </c>
      <c r="H131" s="49">
        <f t="shared" si="38"/>
        <v>0</v>
      </c>
      <c r="J131" s="46" t="b">
        <f t="shared" si="39"/>
        <v>1</v>
      </c>
    </row>
    <row r="132" spans="1:10" x14ac:dyDescent="0.25">
      <c r="A132" s="47"/>
      <c r="B132" s="48"/>
      <c r="C132" s="46"/>
      <c r="D132" s="46"/>
      <c r="E132" s="48"/>
      <c r="F132" s="47"/>
    </row>
    <row r="133" spans="1:10" x14ac:dyDescent="0.2">
      <c r="A133" s="42">
        <v>1</v>
      </c>
      <c r="B133" s="42"/>
      <c r="C133" s="42"/>
      <c r="D133" s="42"/>
      <c r="E133" s="43" t="s">
        <v>629</v>
      </c>
      <c r="F133" s="42" t="s">
        <v>543</v>
      </c>
      <c r="G133" s="44"/>
      <c r="H133" s="45"/>
      <c r="I133" s="45"/>
      <c r="J133" s="45"/>
    </row>
    <row r="134" spans="1:10" x14ac:dyDescent="0.25">
      <c r="A134" s="47">
        <v>2</v>
      </c>
      <c r="B134" s="48" t="s">
        <v>144</v>
      </c>
      <c r="C134" s="46"/>
      <c r="D134" s="46"/>
      <c r="E134" s="48" t="s">
        <v>566</v>
      </c>
      <c r="F134" s="47" t="s">
        <v>557</v>
      </c>
      <c r="H134" s="49">
        <f t="shared" ref="H134:H146" si="40">ROUND(I134,2)</f>
        <v>0</v>
      </c>
      <c r="J134" s="46" t="b">
        <f t="shared" ref="J134:J146" si="41">H134=G134</f>
        <v>1</v>
      </c>
    </row>
    <row r="135" spans="1:10" x14ac:dyDescent="0.25">
      <c r="A135" s="47">
        <v>2</v>
      </c>
      <c r="B135" s="48" t="s">
        <v>145</v>
      </c>
      <c r="C135" s="46"/>
      <c r="D135" s="46"/>
      <c r="E135" s="48" t="s">
        <v>630</v>
      </c>
      <c r="F135" s="47" t="s">
        <v>547</v>
      </c>
      <c r="H135" s="49">
        <f t="shared" si="40"/>
        <v>0</v>
      </c>
      <c r="J135" s="46" t="b">
        <f t="shared" si="41"/>
        <v>1</v>
      </c>
    </row>
    <row r="136" spans="1:10" x14ac:dyDescent="0.25">
      <c r="A136" s="47">
        <v>2</v>
      </c>
      <c r="B136" s="48" t="s">
        <v>146</v>
      </c>
      <c r="C136" s="46"/>
      <c r="D136" s="46"/>
      <c r="E136" s="48" t="s">
        <v>631</v>
      </c>
      <c r="F136" s="47" t="s">
        <v>557</v>
      </c>
      <c r="H136" s="49">
        <f t="shared" si="40"/>
        <v>0</v>
      </c>
      <c r="J136" s="46" t="b">
        <f t="shared" si="41"/>
        <v>1</v>
      </c>
    </row>
    <row r="137" spans="1:10" x14ac:dyDescent="0.25">
      <c r="A137" s="47">
        <v>2</v>
      </c>
      <c r="B137" s="48" t="s">
        <v>147</v>
      </c>
      <c r="C137" s="46"/>
      <c r="D137" s="46"/>
      <c r="E137" s="48" t="s">
        <v>567</v>
      </c>
      <c r="F137" s="47" t="s">
        <v>547</v>
      </c>
      <c r="H137" s="49">
        <f t="shared" si="40"/>
        <v>0</v>
      </c>
      <c r="J137" s="46" t="b">
        <f t="shared" si="41"/>
        <v>1</v>
      </c>
    </row>
    <row r="138" spans="1:10" x14ac:dyDescent="0.25">
      <c r="A138" s="47">
        <v>2</v>
      </c>
      <c r="B138" s="48" t="s">
        <v>148</v>
      </c>
      <c r="C138" s="46"/>
      <c r="D138" s="46"/>
      <c r="E138" s="48" t="s">
        <v>568</v>
      </c>
      <c r="F138" s="47" t="s">
        <v>569</v>
      </c>
      <c r="H138" s="49">
        <f t="shared" si="40"/>
        <v>0</v>
      </c>
      <c r="J138" s="46" t="b">
        <f t="shared" si="41"/>
        <v>1</v>
      </c>
    </row>
    <row r="139" spans="1:10" x14ac:dyDescent="0.25">
      <c r="A139" s="47">
        <v>2</v>
      </c>
      <c r="B139" s="48" t="s">
        <v>235</v>
      </c>
      <c r="C139" s="46"/>
      <c r="D139" s="46"/>
      <c r="E139" s="48" t="s">
        <v>570</v>
      </c>
      <c r="F139" s="47" t="s">
        <v>557</v>
      </c>
      <c r="H139" s="49">
        <f t="shared" si="40"/>
        <v>0</v>
      </c>
      <c r="J139" s="46" t="b">
        <f t="shared" si="41"/>
        <v>1</v>
      </c>
    </row>
    <row r="140" spans="1:10" x14ac:dyDescent="0.25">
      <c r="A140" s="47">
        <v>2</v>
      </c>
      <c r="B140" s="48" t="s">
        <v>246</v>
      </c>
      <c r="C140" s="46"/>
      <c r="D140" s="46"/>
      <c r="E140" s="48" t="s">
        <v>632</v>
      </c>
      <c r="F140" s="47" t="s">
        <v>557</v>
      </c>
      <c r="H140" s="49">
        <f t="shared" si="40"/>
        <v>0</v>
      </c>
      <c r="J140" s="46" t="b">
        <f t="shared" si="41"/>
        <v>1</v>
      </c>
    </row>
    <row r="141" spans="1:10" x14ac:dyDescent="0.25">
      <c r="A141" s="47">
        <v>2</v>
      </c>
      <c r="B141" s="48" t="s">
        <v>149</v>
      </c>
      <c r="C141" s="46"/>
      <c r="D141" s="46"/>
      <c r="E141" s="48" t="s">
        <v>633</v>
      </c>
      <c r="F141" s="47" t="s">
        <v>557</v>
      </c>
      <c r="H141" s="49">
        <f t="shared" si="40"/>
        <v>0</v>
      </c>
      <c r="J141" s="46" t="b">
        <f t="shared" si="41"/>
        <v>1</v>
      </c>
    </row>
    <row r="142" spans="1:10" x14ac:dyDescent="0.25">
      <c r="A142" s="47">
        <v>2</v>
      </c>
      <c r="B142" s="48" t="s">
        <v>266</v>
      </c>
      <c r="C142" s="46"/>
      <c r="D142" s="46"/>
      <c r="E142" s="48" t="s">
        <v>634</v>
      </c>
      <c r="F142" s="47" t="s">
        <v>557</v>
      </c>
      <c r="H142" s="49">
        <f t="shared" si="40"/>
        <v>0</v>
      </c>
      <c r="J142" s="46" t="b">
        <f t="shared" si="41"/>
        <v>1</v>
      </c>
    </row>
    <row r="143" spans="1:10" x14ac:dyDescent="0.25">
      <c r="A143" s="47">
        <v>2</v>
      </c>
      <c r="B143" s="48" t="s">
        <v>267</v>
      </c>
      <c r="C143" s="46"/>
      <c r="D143" s="46"/>
      <c r="E143" s="48" t="s">
        <v>635</v>
      </c>
      <c r="F143" s="47" t="s">
        <v>547</v>
      </c>
      <c r="H143" s="49">
        <f t="shared" si="40"/>
        <v>0</v>
      </c>
      <c r="J143" s="46" t="b">
        <f t="shared" si="41"/>
        <v>1</v>
      </c>
    </row>
    <row r="144" spans="1:10" x14ac:dyDescent="0.25">
      <c r="A144" s="47">
        <v>2</v>
      </c>
      <c r="B144" s="48" t="s">
        <v>268</v>
      </c>
      <c r="E144" s="48" t="s">
        <v>636</v>
      </c>
      <c r="F144" s="47" t="s">
        <v>610</v>
      </c>
      <c r="H144" s="49">
        <f t="shared" si="40"/>
        <v>0</v>
      </c>
      <c r="J144" s="46" t="b">
        <f t="shared" si="41"/>
        <v>1</v>
      </c>
    </row>
    <row r="145" spans="1:10" x14ac:dyDescent="0.25">
      <c r="A145" s="47">
        <v>2</v>
      </c>
      <c r="B145" s="48" t="s">
        <v>216</v>
      </c>
      <c r="E145" s="48" t="s">
        <v>571</v>
      </c>
      <c r="F145" s="47" t="s">
        <v>557</v>
      </c>
      <c r="H145" s="49">
        <f t="shared" si="40"/>
        <v>0</v>
      </c>
      <c r="J145" s="46" t="b">
        <f t="shared" si="41"/>
        <v>1</v>
      </c>
    </row>
    <row r="146" spans="1:10" x14ac:dyDescent="0.25">
      <c r="A146" s="47">
        <v>2</v>
      </c>
      <c r="B146" s="48" t="s">
        <v>236</v>
      </c>
      <c r="E146" s="48" t="s">
        <v>637</v>
      </c>
      <c r="F146" s="47" t="s">
        <v>557</v>
      </c>
      <c r="H146" s="49">
        <f t="shared" si="40"/>
        <v>0</v>
      </c>
      <c r="J146" s="46" t="b">
        <f t="shared" si="41"/>
        <v>1</v>
      </c>
    </row>
    <row r="147" spans="1:10" x14ac:dyDescent="0.25">
      <c r="A147" s="47"/>
      <c r="B147" s="48"/>
      <c r="E147" s="48"/>
      <c r="F147" s="47"/>
    </row>
    <row r="148" spans="1:10" x14ac:dyDescent="0.2">
      <c r="A148" s="42">
        <v>1</v>
      </c>
      <c r="B148" s="42"/>
      <c r="C148" s="42"/>
      <c r="D148" s="42"/>
      <c r="E148" s="43" t="s">
        <v>638</v>
      </c>
      <c r="F148" s="42" t="s">
        <v>543</v>
      </c>
      <c r="G148" s="44"/>
      <c r="H148" s="45"/>
      <c r="I148" s="45"/>
      <c r="J148" s="45"/>
    </row>
    <row r="149" spans="1:10" x14ac:dyDescent="0.25">
      <c r="A149" s="47">
        <v>2</v>
      </c>
      <c r="B149" s="48" t="s">
        <v>247</v>
      </c>
      <c r="E149" s="48" t="s">
        <v>639</v>
      </c>
      <c r="F149" s="47" t="s">
        <v>547</v>
      </c>
      <c r="H149" s="49">
        <f t="shared" ref="H149:H163" si="42">ROUND(I149,2)</f>
        <v>0</v>
      </c>
      <c r="J149" s="46" t="b">
        <f t="shared" ref="J149:J163" si="43">H149=G149</f>
        <v>1</v>
      </c>
    </row>
    <row r="150" spans="1:10" x14ac:dyDescent="0.25">
      <c r="A150" s="47">
        <v>2</v>
      </c>
      <c r="B150" s="48" t="s">
        <v>269</v>
      </c>
      <c r="E150" s="48" t="s">
        <v>640</v>
      </c>
      <c r="F150" s="47" t="s">
        <v>547</v>
      </c>
      <c r="H150" s="49">
        <f t="shared" si="42"/>
        <v>0</v>
      </c>
      <c r="J150" s="46" t="b">
        <f t="shared" si="43"/>
        <v>1</v>
      </c>
    </row>
    <row r="151" spans="1:10" x14ac:dyDescent="0.25">
      <c r="A151" s="47">
        <v>2</v>
      </c>
      <c r="B151" s="48" t="s">
        <v>270</v>
      </c>
      <c r="E151" s="48" t="s">
        <v>641</v>
      </c>
      <c r="F151" s="47" t="s">
        <v>547</v>
      </c>
      <c r="H151" s="49">
        <f t="shared" si="42"/>
        <v>0</v>
      </c>
      <c r="J151" s="46" t="b">
        <f t="shared" si="43"/>
        <v>1</v>
      </c>
    </row>
    <row r="152" spans="1:10" x14ac:dyDescent="0.25">
      <c r="A152" s="47">
        <v>2</v>
      </c>
      <c r="B152" s="48" t="s">
        <v>642</v>
      </c>
      <c r="E152" s="48" t="s">
        <v>643</v>
      </c>
      <c r="F152" s="47" t="s">
        <v>547</v>
      </c>
      <c r="H152" s="49">
        <f t="shared" si="42"/>
        <v>0</v>
      </c>
      <c r="J152" s="46" t="b">
        <f t="shared" si="43"/>
        <v>1</v>
      </c>
    </row>
    <row r="153" spans="1:10" x14ac:dyDescent="0.25">
      <c r="A153" s="47">
        <v>2</v>
      </c>
      <c r="B153" s="48" t="s">
        <v>148</v>
      </c>
      <c r="E153" s="48" t="s">
        <v>568</v>
      </c>
      <c r="F153" s="47" t="s">
        <v>569</v>
      </c>
      <c r="H153" s="49">
        <f t="shared" si="42"/>
        <v>0</v>
      </c>
      <c r="J153" s="46" t="b">
        <f t="shared" si="43"/>
        <v>1</v>
      </c>
    </row>
    <row r="154" spans="1:10" x14ac:dyDescent="0.25">
      <c r="A154" s="47">
        <v>2</v>
      </c>
      <c r="B154" s="48" t="s">
        <v>644</v>
      </c>
      <c r="E154" s="48" t="s">
        <v>645</v>
      </c>
      <c r="F154" s="47" t="s">
        <v>569</v>
      </c>
      <c r="H154" s="49">
        <f t="shared" si="42"/>
        <v>0</v>
      </c>
      <c r="J154" s="46" t="b">
        <f t="shared" si="43"/>
        <v>1</v>
      </c>
    </row>
    <row r="155" spans="1:10" x14ac:dyDescent="0.25">
      <c r="A155" s="47">
        <v>2</v>
      </c>
      <c r="B155" s="48" t="s">
        <v>646</v>
      </c>
      <c r="E155" s="48" t="s">
        <v>647</v>
      </c>
      <c r="F155" s="47" t="s">
        <v>557</v>
      </c>
      <c r="H155" s="49">
        <f t="shared" si="42"/>
        <v>0</v>
      </c>
      <c r="J155" s="46" t="b">
        <f t="shared" si="43"/>
        <v>1</v>
      </c>
    </row>
    <row r="156" spans="1:10" x14ac:dyDescent="0.25">
      <c r="A156" s="47">
        <v>2</v>
      </c>
      <c r="B156" s="48" t="s">
        <v>248</v>
      </c>
      <c r="E156" s="48" t="s">
        <v>595</v>
      </c>
      <c r="F156" s="47" t="s">
        <v>557</v>
      </c>
      <c r="H156" s="49">
        <f t="shared" si="42"/>
        <v>0</v>
      </c>
      <c r="J156" s="46" t="b">
        <f t="shared" si="43"/>
        <v>1</v>
      </c>
    </row>
    <row r="157" spans="1:10" x14ac:dyDescent="0.25">
      <c r="A157" s="47">
        <v>2</v>
      </c>
      <c r="B157" s="48" t="s">
        <v>648</v>
      </c>
      <c r="E157" s="48" t="s">
        <v>649</v>
      </c>
      <c r="F157" s="47" t="s">
        <v>557</v>
      </c>
      <c r="H157" s="49">
        <f t="shared" si="42"/>
        <v>0</v>
      </c>
      <c r="J157" s="46" t="b">
        <f t="shared" si="43"/>
        <v>1</v>
      </c>
    </row>
    <row r="158" spans="1:10" x14ac:dyDescent="0.25">
      <c r="A158" s="47">
        <v>2</v>
      </c>
      <c r="B158" s="48" t="s">
        <v>650</v>
      </c>
      <c r="E158" s="48" t="s">
        <v>651</v>
      </c>
      <c r="F158" s="47" t="s">
        <v>557</v>
      </c>
      <c r="H158" s="49">
        <f t="shared" si="42"/>
        <v>0</v>
      </c>
      <c r="J158" s="46" t="b">
        <f t="shared" si="43"/>
        <v>1</v>
      </c>
    </row>
    <row r="159" spans="1:10" x14ac:dyDescent="0.25">
      <c r="A159" s="47">
        <v>2</v>
      </c>
      <c r="B159" s="48" t="s">
        <v>652</v>
      </c>
      <c r="E159" s="48" t="s">
        <v>653</v>
      </c>
      <c r="F159" s="47" t="s">
        <v>557</v>
      </c>
      <c r="H159" s="49">
        <f t="shared" si="42"/>
        <v>0</v>
      </c>
      <c r="J159" s="46" t="b">
        <f t="shared" si="43"/>
        <v>1</v>
      </c>
    </row>
    <row r="160" spans="1:10" x14ac:dyDescent="0.25">
      <c r="A160" s="47">
        <v>2</v>
      </c>
      <c r="B160" s="48" t="s">
        <v>654</v>
      </c>
      <c r="E160" s="48" t="s">
        <v>655</v>
      </c>
      <c r="F160" s="47" t="s">
        <v>547</v>
      </c>
      <c r="H160" s="49">
        <f t="shared" si="42"/>
        <v>0</v>
      </c>
      <c r="J160" s="46" t="b">
        <f t="shared" si="43"/>
        <v>1</v>
      </c>
    </row>
    <row r="161" spans="1:10" x14ac:dyDescent="0.25">
      <c r="A161" s="47">
        <v>2</v>
      </c>
      <c r="B161" s="48" t="s">
        <v>656</v>
      </c>
      <c r="E161" s="48" t="s">
        <v>657</v>
      </c>
      <c r="F161" s="47" t="s">
        <v>547</v>
      </c>
      <c r="H161" s="49">
        <f t="shared" si="42"/>
        <v>0</v>
      </c>
      <c r="J161" s="46" t="b">
        <f t="shared" si="43"/>
        <v>1</v>
      </c>
    </row>
    <row r="162" spans="1:10" x14ac:dyDescent="0.25">
      <c r="A162" s="47">
        <v>2</v>
      </c>
      <c r="B162" s="48" t="s">
        <v>267</v>
      </c>
      <c r="E162" s="48" t="s">
        <v>635</v>
      </c>
      <c r="F162" s="47" t="s">
        <v>547</v>
      </c>
      <c r="H162" s="49">
        <f t="shared" si="42"/>
        <v>0</v>
      </c>
      <c r="J162" s="46" t="b">
        <f t="shared" si="43"/>
        <v>1</v>
      </c>
    </row>
    <row r="163" spans="1:10" x14ac:dyDescent="0.25">
      <c r="A163" s="47">
        <v>2</v>
      </c>
      <c r="B163" s="48" t="s">
        <v>268</v>
      </c>
      <c r="E163" s="48" t="s">
        <v>636</v>
      </c>
      <c r="F163" s="47" t="s">
        <v>610</v>
      </c>
      <c r="H163" s="49">
        <f t="shared" si="42"/>
        <v>0</v>
      </c>
      <c r="J163" s="46" t="b">
        <f t="shared" si="43"/>
        <v>1</v>
      </c>
    </row>
    <row r="164" spans="1:10" x14ac:dyDescent="0.25">
      <c r="A164" s="47"/>
      <c r="B164" s="48"/>
      <c r="E164" s="48"/>
      <c r="F164" s="47"/>
    </row>
    <row r="165" spans="1:10" x14ac:dyDescent="0.2">
      <c r="A165" s="42">
        <v>1</v>
      </c>
      <c r="B165" s="42"/>
      <c r="C165" s="42"/>
      <c r="D165" s="42"/>
      <c r="E165" s="43" t="s">
        <v>658</v>
      </c>
      <c r="F165" s="42" t="s">
        <v>543</v>
      </c>
      <c r="G165" s="44"/>
      <c r="H165" s="45"/>
      <c r="I165" s="45"/>
      <c r="J165" s="45"/>
    </row>
    <row r="166" spans="1:10" x14ac:dyDescent="0.25">
      <c r="A166" s="47">
        <v>2</v>
      </c>
      <c r="B166" s="48" t="s">
        <v>150</v>
      </c>
      <c r="E166" s="48" t="s">
        <v>659</v>
      </c>
      <c r="F166" s="47" t="s">
        <v>610</v>
      </c>
      <c r="H166" s="49">
        <f t="shared" ref="H166:H184" si="44">ROUND(I166,2)</f>
        <v>0</v>
      </c>
      <c r="J166" s="46" t="b">
        <f t="shared" ref="J166:J184" si="45">H166=G166</f>
        <v>1</v>
      </c>
    </row>
    <row r="167" spans="1:10" x14ac:dyDescent="0.25">
      <c r="A167" s="47">
        <v>2</v>
      </c>
      <c r="B167" s="48" t="s">
        <v>151</v>
      </c>
      <c r="E167" s="48" t="s">
        <v>660</v>
      </c>
      <c r="F167" s="47" t="s">
        <v>547</v>
      </c>
      <c r="H167" s="49">
        <f t="shared" si="44"/>
        <v>0</v>
      </c>
      <c r="J167" s="46" t="b">
        <f t="shared" si="45"/>
        <v>1</v>
      </c>
    </row>
    <row r="168" spans="1:10" x14ac:dyDescent="0.25">
      <c r="A168" s="47">
        <v>2</v>
      </c>
      <c r="B168" s="48" t="s">
        <v>152</v>
      </c>
      <c r="E168" s="48" t="s">
        <v>661</v>
      </c>
      <c r="F168" s="47" t="s">
        <v>547</v>
      </c>
      <c r="H168" s="49">
        <f t="shared" si="44"/>
        <v>0</v>
      </c>
      <c r="J168" s="46" t="b">
        <f t="shared" si="45"/>
        <v>1</v>
      </c>
    </row>
    <row r="169" spans="1:10" x14ac:dyDescent="0.25">
      <c r="A169" s="47">
        <v>2</v>
      </c>
      <c r="B169" s="48" t="s">
        <v>271</v>
      </c>
      <c r="E169" s="48" t="s">
        <v>662</v>
      </c>
      <c r="F169" s="47" t="s">
        <v>547</v>
      </c>
      <c r="H169" s="49">
        <f t="shared" si="44"/>
        <v>0</v>
      </c>
      <c r="J169" s="46" t="b">
        <f t="shared" si="45"/>
        <v>1</v>
      </c>
    </row>
    <row r="170" spans="1:10" x14ac:dyDescent="0.25">
      <c r="A170" s="47">
        <v>2</v>
      </c>
      <c r="B170" s="48" t="s">
        <v>272</v>
      </c>
      <c r="E170" s="48" t="s">
        <v>663</v>
      </c>
      <c r="F170" s="47" t="s">
        <v>547</v>
      </c>
      <c r="H170" s="49">
        <f t="shared" si="44"/>
        <v>0</v>
      </c>
      <c r="J170" s="46" t="b">
        <f t="shared" si="45"/>
        <v>1</v>
      </c>
    </row>
    <row r="171" spans="1:10" x14ac:dyDescent="0.25">
      <c r="A171" s="47">
        <v>2</v>
      </c>
      <c r="B171" s="48" t="s">
        <v>217</v>
      </c>
      <c r="E171" s="48" t="s">
        <v>664</v>
      </c>
      <c r="F171" s="47" t="s">
        <v>547</v>
      </c>
      <c r="H171" s="49">
        <f t="shared" si="44"/>
        <v>0</v>
      </c>
      <c r="J171" s="46" t="b">
        <f t="shared" si="45"/>
        <v>1</v>
      </c>
    </row>
    <row r="172" spans="1:10" x14ac:dyDescent="0.25">
      <c r="A172" s="47">
        <v>2</v>
      </c>
      <c r="B172" s="48" t="s">
        <v>273</v>
      </c>
      <c r="E172" s="48" t="s">
        <v>665</v>
      </c>
      <c r="F172" s="47" t="s">
        <v>547</v>
      </c>
      <c r="H172" s="49">
        <f t="shared" si="44"/>
        <v>0</v>
      </c>
      <c r="J172" s="46" t="b">
        <f t="shared" si="45"/>
        <v>1</v>
      </c>
    </row>
    <row r="173" spans="1:10" x14ac:dyDescent="0.25">
      <c r="A173" s="47">
        <v>2</v>
      </c>
      <c r="B173" s="48" t="s">
        <v>153</v>
      </c>
      <c r="E173" s="48" t="s">
        <v>666</v>
      </c>
      <c r="F173" s="47" t="s">
        <v>557</v>
      </c>
      <c r="H173" s="49">
        <f t="shared" si="44"/>
        <v>0</v>
      </c>
      <c r="J173" s="46" t="b">
        <f t="shared" si="45"/>
        <v>1</v>
      </c>
    </row>
    <row r="174" spans="1:10" x14ac:dyDescent="0.25">
      <c r="A174" s="47">
        <v>2</v>
      </c>
      <c r="B174" s="48" t="s">
        <v>274</v>
      </c>
      <c r="E174" s="48" t="s">
        <v>667</v>
      </c>
      <c r="F174" s="47" t="s">
        <v>547</v>
      </c>
      <c r="H174" s="49">
        <f t="shared" si="44"/>
        <v>0</v>
      </c>
      <c r="J174" s="46" t="b">
        <f t="shared" si="45"/>
        <v>1</v>
      </c>
    </row>
    <row r="175" spans="1:10" x14ac:dyDescent="0.25">
      <c r="A175" s="47">
        <v>2</v>
      </c>
      <c r="B175" s="48" t="s">
        <v>275</v>
      </c>
      <c r="E175" s="48" t="s">
        <v>668</v>
      </c>
      <c r="F175" s="47" t="s">
        <v>547</v>
      </c>
      <c r="H175" s="49">
        <f t="shared" si="44"/>
        <v>0</v>
      </c>
      <c r="J175" s="46" t="b">
        <f t="shared" si="45"/>
        <v>1</v>
      </c>
    </row>
    <row r="176" spans="1:10" x14ac:dyDescent="0.25">
      <c r="A176" s="47">
        <v>2</v>
      </c>
      <c r="B176" s="48" t="s">
        <v>276</v>
      </c>
      <c r="E176" s="48" t="s">
        <v>669</v>
      </c>
      <c r="F176" s="47" t="s">
        <v>547</v>
      </c>
      <c r="H176" s="49">
        <f t="shared" si="44"/>
        <v>0</v>
      </c>
      <c r="J176" s="46" t="b">
        <f t="shared" si="45"/>
        <v>1</v>
      </c>
    </row>
    <row r="177" spans="1:10" x14ac:dyDescent="0.25">
      <c r="A177" s="47">
        <v>2</v>
      </c>
      <c r="B177" s="48" t="s">
        <v>277</v>
      </c>
      <c r="E177" s="48" t="s">
        <v>670</v>
      </c>
      <c r="F177" s="47" t="s">
        <v>610</v>
      </c>
      <c r="H177" s="49">
        <f t="shared" si="44"/>
        <v>0</v>
      </c>
      <c r="J177" s="46" t="b">
        <f t="shared" si="45"/>
        <v>1</v>
      </c>
    </row>
    <row r="178" spans="1:10" x14ac:dyDescent="0.25">
      <c r="A178" s="47">
        <v>2</v>
      </c>
      <c r="B178" s="48" t="s">
        <v>278</v>
      </c>
      <c r="E178" s="48" t="s">
        <v>671</v>
      </c>
      <c r="F178" s="47" t="s">
        <v>610</v>
      </c>
      <c r="H178" s="49">
        <f t="shared" si="44"/>
        <v>0</v>
      </c>
      <c r="J178" s="46" t="b">
        <f t="shared" si="45"/>
        <v>1</v>
      </c>
    </row>
    <row r="179" spans="1:10" x14ac:dyDescent="0.25">
      <c r="A179" s="47">
        <v>2</v>
      </c>
      <c r="B179" s="48" t="s">
        <v>279</v>
      </c>
      <c r="E179" s="48" t="s">
        <v>672</v>
      </c>
      <c r="F179" s="47" t="s">
        <v>610</v>
      </c>
      <c r="H179" s="49">
        <f t="shared" si="44"/>
        <v>0</v>
      </c>
      <c r="J179" s="46" t="b">
        <f t="shared" si="45"/>
        <v>1</v>
      </c>
    </row>
    <row r="180" spans="1:10" x14ac:dyDescent="0.25">
      <c r="A180" s="47">
        <v>2</v>
      </c>
      <c r="B180" s="48" t="s">
        <v>154</v>
      </c>
      <c r="E180" s="48" t="s">
        <v>673</v>
      </c>
      <c r="F180" s="47" t="s">
        <v>610</v>
      </c>
      <c r="H180" s="49">
        <f t="shared" si="44"/>
        <v>0</v>
      </c>
      <c r="J180" s="46" t="b">
        <f t="shared" si="45"/>
        <v>1</v>
      </c>
    </row>
    <row r="181" spans="1:10" x14ac:dyDescent="0.25">
      <c r="A181" s="47">
        <v>2</v>
      </c>
      <c r="B181" s="48" t="s">
        <v>143</v>
      </c>
      <c r="E181" s="48" t="s">
        <v>674</v>
      </c>
      <c r="F181" s="47" t="s">
        <v>557</v>
      </c>
      <c r="H181" s="49">
        <f t="shared" si="44"/>
        <v>0</v>
      </c>
      <c r="J181" s="46" t="b">
        <f t="shared" si="45"/>
        <v>1</v>
      </c>
    </row>
    <row r="182" spans="1:10" x14ac:dyDescent="0.25">
      <c r="A182" s="47">
        <v>2</v>
      </c>
      <c r="B182" s="48" t="s">
        <v>155</v>
      </c>
      <c r="E182" s="48" t="s">
        <v>675</v>
      </c>
      <c r="F182" s="47" t="s">
        <v>547</v>
      </c>
      <c r="H182" s="49">
        <f t="shared" si="44"/>
        <v>0</v>
      </c>
      <c r="J182" s="46" t="b">
        <f t="shared" si="45"/>
        <v>1</v>
      </c>
    </row>
    <row r="183" spans="1:10" x14ac:dyDescent="0.25">
      <c r="A183" s="47">
        <v>2</v>
      </c>
      <c r="B183" s="48" t="s">
        <v>280</v>
      </c>
      <c r="E183" s="48" t="s">
        <v>676</v>
      </c>
      <c r="F183" s="47" t="s">
        <v>547</v>
      </c>
      <c r="H183" s="49">
        <f t="shared" si="44"/>
        <v>0</v>
      </c>
      <c r="J183" s="46" t="b">
        <f t="shared" si="45"/>
        <v>1</v>
      </c>
    </row>
    <row r="184" spans="1:10" x14ac:dyDescent="0.25">
      <c r="A184" s="47">
        <v>2</v>
      </c>
      <c r="B184" s="48" t="s">
        <v>281</v>
      </c>
      <c r="E184" s="48" t="s">
        <v>677</v>
      </c>
      <c r="F184" s="47" t="s">
        <v>547</v>
      </c>
      <c r="H184" s="49">
        <f t="shared" si="44"/>
        <v>0</v>
      </c>
      <c r="J184" s="46" t="b">
        <f t="shared" si="45"/>
        <v>1</v>
      </c>
    </row>
    <row r="185" spans="1:10" x14ac:dyDescent="0.25">
      <c r="A185" s="47"/>
      <c r="B185" s="48"/>
      <c r="E185" s="48"/>
      <c r="F185" s="47"/>
    </row>
    <row r="186" spans="1:10" x14ac:dyDescent="0.2">
      <c r="A186" s="42">
        <v>1</v>
      </c>
      <c r="B186" s="42"/>
      <c r="C186" s="42"/>
      <c r="D186" s="42"/>
      <c r="E186" s="43" t="s">
        <v>678</v>
      </c>
      <c r="F186" s="42" t="s">
        <v>543</v>
      </c>
      <c r="G186" s="44"/>
      <c r="H186" s="45"/>
      <c r="I186" s="45"/>
      <c r="J186" s="45"/>
    </row>
    <row r="187" spans="1:10" x14ac:dyDescent="0.25">
      <c r="A187" s="47">
        <v>2</v>
      </c>
      <c r="B187" s="48" t="s">
        <v>282</v>
      </c>
      <c r="E187" s="48" t="s">
        <v>679</v>
      </c>
      <c r="F187" s="47" t="s">
        <v>618</v>
      </c>
      <c r="H187" s="49">
        <f t="shared" ref="H187:H201" si="46">ROUND(I187,2)</f>
        <v>0</v>
      </c>
      <c r="J187" s="46" t="b">
        <f t="shared" ref="J187:J201" si="47">H187=G187</f>
        <v>1</v>
      </c>
    </row>
    <row r="188" spans="1:10" x14ac:dyDescent="0.25">
      <c r="A188" s="47">
        <v>2</v>
      </c>
      <c r="B188" s="48" t="s">
        <v>283</v>
      </c>
      <c r="E188" s="48" t="s">
        <v>680</v>
      </c>
      <c r="F188" s="47" t="s">
        <v>618</v>
      </c>
      <c r="H188" s="49">
        <f t="shared" si="46"/>
        <v>0</v>
      </c>
      <c r="J188" s="46" t="b">
        <f t="shared" si="47"/>
        <v>1</v>
      </c>
    </row>
    <row r="189" spans="1:10" x14ac:dyDescent="0.25">
      <c r="A189" s="47">
        <v>2</v>
      </c>
      <c r="B189" s="48" t="s">
        <v>284</v>
      </c>
      <c r="E189" s="48" t="s">
        <v>681</v>
      </c>
      <c r="F189" s="47" t="s">
        <v>618</v>
      </c>
      <c r="H189" s="49">
        <f t="shared" si="46"/>
        <v>0</v>
      </c>
      <c r="J189" s="46" t="b">
        <f t="shared" si="47"/>
        <v>1</v>
      </c>
    </row>
    <row r="190" spans="1:10" x14ac:dyDescent="0.25">
      <c r="A190" s="47">
        <v>2</v>
      </c>
      <c r="B190" s="48" t="s">
        <v>285</v>
      </c>
      <c r="E190" s="48" t="s">
        <v>682</v>
      </c>
      <c r="F190" s="47" t="s">
        <v>618</v>
      </c>
      <c r="H190" s="49">
        <f t="shared" si="46"/>
        <v>0</v>
      </c>
      <c r="J190" s="46" t="b">
        <f t="shared" si="47"/>
        <v>1</v>
      </c>
    </row>
    <row r="191" spans="1:10" x14ac:dyDescent="0.25">
      <c r="A191" s="47">
        <v>2</v>
      </c>
      <c r="B191" s="48" t="s">
        <v>286</v>
      </c>
      <c r="E191" s="48" t="s">
        <v>683</v>
      </c>
      <c r="F191" s="47" t="s">
        <v>618</v>
      </c>
      <c r="H191" s="49">
        <f t="shared" si="46"/>
        <v>0</v>
      </c>
      <c r="J191" s="46" t="b">
        <f t="shared" si="47"/>
        <v>1</v>
      </c>
    </row>
    <row r="192" spans="1:10" x14ac:dyDescent="0.25">
      <c r="A192" s="47">
        <v>2</v>
      </c>
      <c r="B192" s="48" t="s">
        <v>287</v>
      </c>
      <c r="E192" s="48" t="s">
        <v>684</v>
      </c>
      <c r="F192" s="47" t="s">
        <v>618</v>
      </c>
      <c r="H192" s="49">
        <f t="shared" si="46"/>
        <v>0</v>
      </c>
      <c r="J192" s="46" t="b">
        <f t="shared" si="47"/>
        <v>1</v>
      </c>
    </row>
    <row r="193" spans="1:10" x14ac:dyDescent="0.25">
      <c r="A193" s="47">
        <v>2</v>
      </c>
      <c r="B193" s="48" t="s">
        <v>288</v>
      </c>
      <c r="E193" s="48" t="s">
        <v>685</v>
      </c>
      <c r="F193" s="47" t="s">
        <v>618</v>
      </c>
      <c r="H193" s="49">
        <f t="shared" si="46"/>
        <v>0</v>
      </c>
      <c r="J193" s="46" t="b">
        <f t="shared" si="47"/>
        <v>1</v>
      </c>
    </row>
    <row r="194" spans="1:10" x14ac:dyDescent="0.25">
      <c r="A194" s="47">
        <v>2</v>
      </c>
      <c r="B194" s="48" t="s">
        <v>289</v>
      </c>
      <c r="E194" s="48" t="s">
        <v>686</v>
      </c>
      <c r="F194" s="47" t="s">
        <v>618</v>
      </c>
      <c r="H194" s="49">
        <f t="shared" si="46"/>
        <v>0</v>
      </c>
      <c r="J194" s="46" t="b">
        <f t="shared" si="47"/>
        <v>1</v>
      </c>
    </row>
    <row r="195" spans="1:10" x14ac:dyDescent="0.25">
      <c r="A195" s="47">
        <v>2</v>
      </c>
      <c r="B195" s="48" t="s">
        <v>290</v>
      </c>
      <c r="E195" s="48" t="s">
        <v>687</v>
      </c>
      <c r="F195" s="47" t="s">
        <v>618</v>
      </c>
      <c r="H195" s="49">
        <f t="shared" si="46"/>
        <v>0</v>
      </c>
      <c r="J195" s="46" t="b">
        <f t="shared" si="47"/>
        <v>1</v>
      </c>
    </row>
    <row r="196" spans="1:10" x14ac:dyDescent="0.25">
      <c r="A196" s="47">
        <v>2</v>
      </c>
      <c r="B196" s="48" t="s">
        <v>291</v>
      </c>
      <c r="E196" s="48" t="s">
        <v>688</v>
      </c>
      <c r="F196" s="47" t="s">
        <v>618</v>
      </c>
      <c r="H196" s="49">
        <f t="shared" si="46"/>
        <v>0</v>
      </c>
      <c r="J196" s="46" t="b">
        <f t="shared" si="47"/>
        <v>1</v>
      </c>
    </row>
    <row r="197" spans="1:10" x14ac:dyDescent="0.25">
      <c r="A197" s="47">
        <v>2</v>
      </c>
      <c r="B197" s="48" t="s">
        <v>292</v>
      </c>
      <c r="E197" s="48" t="s">
        <v>689</v>
      </c>
      <c r="F197" s="47" t="s">
        <v>618</v>
      </c>
      <c r="H197" s="49">
        <f t="shared" si="46"/>
        <v>0</v>
      </c>
      <c r="J197" s="46" t="b">
        <f t="shared" si="47"/>
        <v>1</v>
      </c>
    </row>
    <row r="198" spans="1:10" x14ac:dyDescent="0.25">
      <c r="A198" s="47">
        <v>2</v>
      </c>
      <c r="B198" s="48" t="s">
        <v>293</v>
      </c>
      <c r="E198" s="48" t="s">
        <v>690</v>
      </c>
      <c r="F198" s="47" t="s">
        <v>618</v>
      </c>
      <c r="H198" s="49">
        <f t="shared" si="46"/>
        <v>0</v>
      </c>
      <c r="J198" s="46" t="b">
        <f t="shared" si="47"/>
        <v>1</v>
      </c>
    </row>
    <row r="199" spans="1:10" x14ac:dyDescent="0.25">
      <c r="A199" s="47">
        <v>2</v>
      </c>
      <c r="B199" s="48" t="s">
        <v>294</v>
      </c>
      <c r="E199" s="48" t="s">
        <v>691</v>
      </c>
      <c r="F199" s="47" t="s">
        <v>618</v>
      </c>
      <c r="H199" s="49">
        <f t="shared" si="46"/>
        <v>0</v>
      </c>
      <c r="J199" s="46" t="b">
        <f t="shared" si="47"/>
        <v>1</v>
      </c>
    </row>
    <row r="200" spans="1:10" x14ac:dyDescent="0.25">
      <c r="A200" s="47">
        <v>2</v>
      </c>
      <c r="B200" s="48" t="s">
        <v>295</v>
      </c>
      <c r="E200" s="48" t="s">
        <v>692</v>
      </c>
      <c r="F200" s="47" t="s">
        <v>547</v>
      </c>
      <c r="H200" s="49">
        <f t="shared" si="46"/>
        <v>0</v>
      </c>
      <c r="J200" s="46" t="b">
        <f t="shared" si="47"/>
        <v>1</v>
      </c>
    </row>
    <row r="201" spans="1:10" x14ac:dyDescent="0.25">
      <c r="A201" s="47">
        <v>2</v>
      </c>
      <c r="B201" s="48" t="s">
        <v>296</v>
      </c>
      <c r="E201" s="48" t="s">
        <v>693</v>
      </c>
      <c r="F201" s="47" t="s">
        <v>547</v>
      </c>
      <c r="H201" s="49">
        <f t="shared" si="46"/>
        <v>0</v>
      </c>
      <c r="J201" s="46" t="b">
        <f t="shared" si="47"/>
        <v>1</v>
      </c>
    </row>
    <row r="202" spans="1:10" x14ac:dyDescent="0.25">
      <c r="A202" s="47"/>
      <c r="B202" s="48"/>
      <c r="E202" s="48"/>
      <c r="F202" s="47"/>
    </row>
    <row r="203" spans="1:10" x14ac:dyDescent="0.2">
      <c r="A203" s="42">
        <v>1</v>
      </c>
      <c r="B203" s="42"/>
      <c r="C203" s="42"/>
      <c r="D203" s="42"/>
      <c r="E203" s="43" t="s">
        <v>694</v>
      </c>
      <c r="F203" s="42" t="s">
        <v>543</v>
      </c>
      <c r="G203" s="44"/>
      <c r="H203" s="45"/>
      <c r="I203" s="45"/>
      <c r="J203" s="45"/>
    </row>
    <row r="204" spans="1:10" x14ac:dyDescent="0.25">
      <c r="A204" s="50">
        <v>2</v>
      </c>
      <c r="B204" s="51"/>
      <c r="C204" s="52"/>
      <c r="D204" s="52"/>
      <c r="E204" s="51" t="s">
        <v>695</v>
      </c>
      <c r="F204" s="50" t="s">
        <v>543</v>
      </c>
      <c r="G204" s="53"/>
      <c r="H204" s="53"/>
      <c r="I204" s="53"/>
      <c r="J204" s="52"/>
    </row>
    <row r="205" spans="1:10" x14ac:dyDescent="0.25">
      <c r="A205" s="47">
        <v>3</v>
      </c>
      <c r="B205" s="48" t="s">
        <v>157</v>
      </c>
      <c r="E205" s="48" t="s">
        <v>696</v>
      </c>
      <c r="F205" s="47" t="s">
        <v>547</v>
      </c>
      <c r="H205" s="49">
        <f t="shared" ref="H205:H206" si="48">ROUND(I205,2)</f>
        <v>0</v>
      </c>
      <c r="J205" s="46" t="b">
        <f t="shared" ref="J205:J206" si="49">H205=G205</f>
        <v>1</v>
      </c>
    </row>
    <row r="206" spans="1:10" x14ac:dyDescent="0.25">
      <c r="A206" s="47">
        <v>3</v>
      </c>
      <c r="B206" s="48" t="s">
        <v>297</v>
      </c>
      <c r="E206" s="48" t="s">
        <v>697</v>
      </c>
      <c r="F206" s="47" t="s">
        <v>547</v>
      </c>
      <c r="H206" s="49">
        <f t="shared" si="48"/>
        <v>0</v>
      </c>
      <c r="J206" s="46" t="b">
        <f t="shared" si="49"/>
        <v>1</v>
      </c>
    </row>
    <row r="207" spans="1:10" x14ac:dyDescent="0.25">
      <c r="A207" s="50">
        <v>2</v>
      </c>
      <c r="B207" s="51"/>
      <c r="C207" s="52"/>
      <c r="D207" s="52"/>
      <c r="E207" s="51" t="s">
        <v>698</v>
      </c>
      <c r="F207" s="50" t="s">
        <v>543</v>
      </c>
      <c r="G207" s="53"/>
      <c r="H207" s="53"/>
      <c r="I207" s="53"/>
      <c r="J207" s="52"/>
    </row>
    <row r="208" spans="1:10" x14ac:dyDescent="0.25">
      <c r="A208" s="47">
        <v>3</v>
      </c>
      <c r="B208" s="48" t="s">
        <v>298</v>
      </c>
      <c r="E208" s="48" t="s">
        <v>699</v>
      </c>
      <c r="F208" s="47" t="s">
        <v>618</v>
      </c>
      <c r="H208" s="49">
        <f t="shared" ref="H208:H253" si="50">ROUND(I208,2)</f>
        <v>0</v>
      </c>
      <c r="J208" s="46" t="b">
        <f t="shared" ref="J208:J253" si="51">H208=G208</f>
        <v>1</v>
      </c>
    </row>
    <row r="209" spans="1:10" x14ac:dyDescent="0.25">
      <c r="A209" s="47">
        <v>3</v>
      </c>
      <c r="B209" s="48" t="s">
        <v>158</v>
      </c>
      <c r="E209" s="48" t="s">
        <v>700</v>
      </c>
      <c r="F209" s="47" t="s">
        <v>618</v>
      </c>
      <c r="H209" s="49">
        <f t="shared" si="50"/>
        <v>0</v>
      </c>
      <c r="J209" s="46" t="b">
        <f t="shared" si="51"/>
        <v>1</v>
      </c>
    </row>
    <row r="210" spans="1:10" x14ac:dyDescent="0.25">
      <c r="A210" s="47">
        <v>3</v>
      </c>
      <c r="B210" s="48" t="s">
        <v>299</v>
      </c>
      <c r="E210" s="48" t="s">
        <v>701</v>
      </c>
      <c r="F210" s="47" t="s">
        <v>618</v>
      </c>
      <c r="H210" s="49">
        <f t="shared" si="50"/>
        <v>0</v>
      </c>
      <c r="J210" s="46" t="b">
        <f t="shared" si="51"/>
        <v>1</v>
      </c>
    </row>
    <row r="211" spans="1:10" x14ac:dyDescent="0.25">
      <c r="A211" s="47">
        <v>3</v>
      </c>
      <c r="B211" s="48" t="s">
        <v>300</v>
      </c>
      <c r="E211" s="48" t="s">
        <v>702</v>
      </c>
      <c r="F211" s="47" t="s">
        <v>618</v>
      </c>
      <c r="H211" s="49">
        <f t="shared" si="50"/>
        <v>0</v>
      </c>
      <c r="J211" s="46" t="b">
        <f t="shared" si="51"/>
        <v>1</v>
      </c>
    </row>
    <row r="212" spans="1:10" x14ac:dyDescent="0.25">
      <c r="A212" s="47">
        <v>3</v>
      </c>
      <c r="B212" s="48" t="s">
        <v>301</v>
      </c>
      <c r="E212" s="48" t="s">
        <v>703</v>
      </c>
      <c r="F212" s="47" t="s">
        <v>618</v>
      </c>
      <c r="H212" s="49">
        <f t="shared" si="50"/>
        <v>0</v>
      </c>
      <c r="J212" s="46" t="b">
        <f t="shared" si="51"/>
        <v>1</v>
      </c>
    </row>
    <row r="213" spans="1:10" x14ac:dyDescent="0.25">
      <c r="A213" s="47">
        <v>3</v>
      </c>
      <c r="B213" s="48" t="s">
        <v>302</v>
      </c>
      <c r="E213" s="48" t="s">
        <v>704</v>
      </c>
      <c r="F213" s="47" t="s">
        <v>618</v>
      </c>
      <c r="H213" s="49">
        <f t="shared" si="50"/>
        <v>0</v>
      </c>
      <c r="J213" s="46" t="b">
        <f t="shared" si="51"/>
        <v>1</v>
      </c>
    </row>
    <row r="214" spans="1:10" x14ac:dyDescent="0.25">
      <c r="A214" s="47">
        <v>3</v>
      </c>
      <c r="B214" s="48" t="s">
        <v>303</v>
      </c>
      <c r="E214" s="48" t="s">
        <v>705</v>
      </c>
      <c r="F214" s="47" t="s">
        <v>618</v>
      </c>
      <c r="H214" s="49">
        <f t="shared" si="50"/>
        <v>0</v>
      </c>
      <c r="J214" s="46" t="b">
        <f t="shared" si="51"/>
        <v>1</v>
      </c>
    </row>
    <row r="215" spans="1:10" x14ac:dyDescent="0.25">
      <c r="A215" s="47">
        <v>3</v>
      </c>
      <c r="B215" s="48" t="s">
        <v>304</v>
      </c>
      <c r="E215" s="48" t="s">
        <v>706</v>
      </c>
      <c r="F215" s="47" t="s">
        <v>618</v>
      </c>
      <c r="H215" s="49">
        <f t="shared" si="50"/>
        <v>0</v>
      </c>
      <c r="J215" s="46" t="b">
        <f t="shared" si="51"/>
        <v>1</v>
      </c>
    </row>
    <row r="216" spans="1:10" x14ac:dyDescent="0.25">
      <c r="A216" s="47">
        <v>3</v>
      </c>
      <c r="B216" s="48" t="s">
        <v>305</v>
      </c>
      <c r="E216" s="48" t="s">
        <v>707</v>
      </c>
      <c r="F216" s="47" t="s">
        <v>618</v>
      </c>
      <c r="H216" s="49">
        <f t="shared" si="50"/>
        <v>0</v>
      </c>
      <c r="J216" s="46" t="b">
        <f t="shared" si="51"/>
        <v>1</v>
      </c>
    </row>
    <row r="217" spans="1:10" x14ac:dyDescent="0.25">
      <c r="A217" s="47">
        <v>3</v>
      </c>
      <c r="B217" s="48" t="s">
        <v>306</v>
      </c>
      <c r="E217" s="48" t="s">
        <v>708</v>
      </c>
      <c r="F217" s="47" t="s">
        <v>618</v>
      </c>
      <c r="H217" s="49">
        <f t="shared" si="50"/>
        <v>0</v>
      </c>
      <c r="J217" s="46" t="b">
        <f t="shared" si="51"/>
        <v>1</v>
      </c>
    </row>
    <row r="218" spans="1:10" x14ac:dyDescent="0.25">
      <c r="A218" s="47">
        <v>3</v>
      </c>
      <c r="B218" s="48" t="s">
        <v>307</v>
      </c>
      <c r="E218" s="48" t="s">
        <v>709</v>
      </c>
      <c r="F218" s="47" t="s">
        <v>618</v>
      </c>
      <c r="H218" s="49">
        <f t="shared" si="50"/>
        <v>0</v>
      </c>
      <c r="J218" s="46" t="b">
        <f t="shared" si="51"/>
        <v>1</v>
      </c>
    </row>
    <row r="219" spans="1:10" x14ac:dyDescent="0.25">
      <c r="A219" s="47">
        <v>3</v>
      </c>
      <c r="B219" s="48" t="s">
        <v>308</v>
      </c>
      <c r="E219" s="48" t="s">
        <v>710</v>
      </c>
      <c r="F219" s="47" t="s">
        <v>618</v>
      </c>
      <c r="H219" s="49">
        <f t="shared" si="50"/>
        <v>0</v>
      </c>
      <c r="J219" s="46" t="b">
        <f t="shared" si="51"/>
        <v>1</v>
      </c>
    </row>
    <row r="220" spans="1:10" x14ac:dyDescent="0.25">
      <c r="A220" s="47">
        <v>3</v>
      </c>
      <c r="B220" s="48" t="s">
        <v>309</v>
      </c>
      <c r="E220" s="48" t="s">
        <v>711</v>
      </c>
      <c r="F220" s="47" t="s">
        <v>618</v>
      </c>
      <c r="H220" s="49">
        <f t="shared" si="50"/>
        <v>0</v>
      </c>
      <c r="J220" s="46" t="b">
        <f t="shared" si="51"/>
        <v>1</v>
      </c>
    </row>
    <row r="221" spans="1:10" x14ac:dyDescent="0.25">
      <c r="A221" s="47">
        <v>3</v>
      </c>
      <c r="B221" s="48" t="s">
        <v>310</v>
      </c>
      <c r="E221" s="48" t="s">
        <v>712</v>
      </c>
      <c r="F221" s="47" t="s">
        <v>618</v>
      </c>
      <c r="H221" s="49">
        <f t="shared" si="50"/>
        <v>0</v>
      </c>
      <c r="J221" s="46" t="b">
        <f t="shared" si="51"/>
        <v>1</v>
      </c>
    </row>
    <row r="222" spans="1:10" x14ac:dyDescent="0.25">
      <c r="A222" s="47">
        <v>3</v>
      </c>
      <c r="B222" s="48" t="s">
        <v>311</v>
      </c>
      <c r="E222" s="48" t="s">
        <v>713</v>
      </c>
      <c r="F222" s="47" t="s">
        <v>618</v>
      </c>
      <c r="H222" s="49">
        <f t="shared" si="50"/>
        <v>0</v>
      </c>
      <c r="J222" s="46" t="b">
        <f t="shared" si="51"/>
        <v>1</v>
      </c>
    </row>
    <row r="223" spans="1:10" x14ac:dyDescent="0.25">
      <c r="A223" s="47">
        <v>3</v>
      </c>
      <c r="B223" s="48" t="s">
        <v>312</v>
      </c>
      <c r="E223" s="48" t="s">
        <v>714</v>
      </c>
      <c r="F223" s="47" t="s">
        <v>618</v>
      </c>
      <c r="H223" s="49">
        <f t="shared" si="50"/>
        <v>0</v>
      </c>
      <c r="J223" s="46" t="b">
        <f t="shared" si="51"/>
        <v>1</v>
      </c>
    </row>
    <row r="224" spans="1:10" x14ac:dyDescent="0.25">
      <c r="A224" s="47">
        <v>3</v>
      </c>
      <c r="B224" s="48" t="s">
        <v>313</v>
      </c>
      <c r="E224" s="48" t="s">
        <v>715</v>
      </c>
      <c r="F224" s="47" t="s">
        <v>618</v>
      </c>
      <c r="H224" s="49">
        <f t="shared" si="50"/>
        <v>0</v>
      </c>
      <c r="J224" s="46" t="b">
        <f t="shared" si="51"/>
        <v>1</v>
      </c>
    </row>
    <row r="225" spans="1:10" x14ac:dyDescent="0.25">
      <c r="A225" s="47">
        <v>3</v>
      </c>
      <c r="B225" s="48" t="s">
        <v>314</v>
      </c>
      <c r="E225" s="48" t="s">
        <v>716</v>
      </c>
      <c r="F225" s="47" t="s">
        <v>618</v>
      </c>
      <c r="H225" s="49">
        <f t="shared" si="50"/>
        <v>0</v>
      </c>
      <c r="J225" s="46" t="b">
        <f t="shared" si="51"/>
        <v>1</v>
      </c>
    </row>
    <row r="226" spans="1:10" x14ac:dyDescent="0.25">
      <c r="A226" s="47">
        <v>3</v>
      </c>
      <c r="B226" s="48" t="s">
        <v>315</v>
      </c>
      <c r="E226" s="48" t="s">
        <v>717</v>
      </c>
      <c r="F226" s="47" t="s">
        <v>618</v>
      </c>
      <c r="H226" s="49">
        <f t="shared" si="50"/>
        <v>0</v>
      </c>
      <c r="J226" s="46" t="b">
        <f t="shared" si="51"/>
        <v>1</v>
      </c>
    </row>
    <row r="227" spans="1:10" x14ac:dyDescent="0.25">
      <c r="A227" s="47">
        <v>3</v>
      </c>
      <c r="B227" s="48" t="s">
        <v>316</v>
      </c>
      <c r="E227" s="48" t="s">
        <v>718</v>
      </c>
      <c r="F227" s="47" t="s">
        <v>618</v>
      </c>
      <c r="H227" s="49">
        <f t="shared" si="50"/>
        <v>0</v>
      </c>
      <c r="J227" s="46" t="b">
        <f t="shared" si="51"/>
        <v>1</v>
      </c>
    </row>
    <row r="228" spans="1:10" x14ac:dyDescent="0.25">
      <c r="A228" s="47">
        <v>3</v>
      </c>
      <c r="B228" s="48" t="s">
        <v>185</v>
      </c>
      <c r="E228" s="48" t="s">
        <v>719</v>
      </c>
      <c r="F228" s="47" t="s">
        <v>618</v>
      </c>
      <c r="H228" s="49">
        <f t="shared" si="50"/>
        <v>0</v>
      </c>
      <c r="J228" s="46" t="b">
        <f t="shared" si="51"/>
        <v>1</v>
      </c>
    </row>
    <row r="229" spans="1:10" x14ac:dyDescent="0.25">
      <c r="A229" s="47">
        <v>3</v>
      </c>
      <c r="B229" s="48" t="s">
        <v>317</v>
      </c>
      <c r="E229" s="48" t="s">
        <v>720</v>
      </c>
      <c r="F229" s="47" t="s">
        <v>618</v>
      </c>
      <c r="H229" s="49">
        <f t="shared" si="50"/>
        <v>0</v>
      </c>
      <c r="J229" s="46" t="b">
        <f t="shared" si="51"/>
        <v>1</v>
      </c>
    </row>
    <row r="230" spans="1:10" x14ac:dyDescent="0.25">
      <c r="A230" s="47">
        <v>3</v>
      </c>
      <c r="B230" s="48" t="s">
        <v>318</v>
      </c>
      <c r="E230" s="48" t="s">
        <v>721</v>
      </c>
      <c r="F230" s="47" t="s">
        <v>618</v>
      </c>
      <c r="H230" s="49">
        <f t="shared" si="50"/>
        <v>0</v>
      </c>
      <c r="J230" s="46" t="b">
        <f t="shared" si="51"/>
        <v>1</v>
      </c>
    </row>
    <row r="231" spans="1:10" x14ac:dyDescent="0.25">
      <c r="A231" s="47">
        <v>3</v>
      </c>
      <c r="B231" s="48" t="s">
        <v>319</v>
      </c>
      <c r="E231" s="48" t="s">
        <v>722</v>
      </c>
      <c r="F231" s="47" t="s">
        <v>618</v>
      </c>
      <c r="H231" s="49">
        <f t="shared" si="50"/>
        <v>0</v>
      </c>
      <c r="J231" s="46" t="b">
        <f t="shared" si="51"/>
        <v>1</v>
      </c>
    </row>
    <row r="232" spans="1:10" x14ac:dyDescent="0.25">
      <c r="A232" s="47">
        <v>3</v>
      </c>
      <c r="B232" s="48" t="s">
        <v>320</v>
      </c>
      <c r="E232" s="48" t="s">
        <v>723</v>
      </c>
      <c r="F232" s="47" t="s">
        <v>618</v>
      </c>
      <c r="H232" s="49">
        <f t="shared" si="50"/>
        <v>0</v>
      </c>
      <c r="J232" s="46" t="b">
        <f t="shared" si="51"/>
        <v>1</v>
      </c>
    </row>
    <row r="233" spans="1:10" x14ac:dyDescent="0.25">
      <c r="A233" s="47">
        <v>3</v>
      </c>
      <c r="B233" s="48" t="s">
        <v>321</v>
      </c>
      <c r="E233" s="48" t="s">
        <v>724</v>
      </c>
      <c r="F233" s="47" t="s">
        <v>618</v>
      </c>
      <c r="H233" s="49">
        <f t="shared" si="50"/>
        <v>0</v>
      </c>
      <c r="J233" s="46" t="b">
        <f t="shared" si="51"/>
        <v>1</v>
      </c>
    </row>
    <row r="234" spans="1:10" x14ac:dyDescent="0.25">
      <c r="A234" s="47">
        <v>3</v>
      </c>
      <c r="B234" s="48" t="s">
        <v>322</v>
      </c>
      <c r="E234" s="48" t="s">
        <v>725</v>
      </c>
      <c r="F234" s="47" t="s">
        <v>618</v>
      </c>
      <c r="H234" s="49">
        <f t="shared" si="50"/>
        <v>0</v>
      </c>
      <c r="J234" s="46" t="b">
        <f t="shared" si="51"/>
        <v>1</v>
      </c>
    </row>
    <row r="235" spans="1:10" x14ac:dyDescent="0.25">
      <c r="A235" s="47">
        <v>3</v>
      </c>
      <c r="B235" s="48" t="s">
        <v>323</v>
      </c>
      <c r="E235" s="48" t="s">
        <v>726</v>
      </c>
      <c r="F235" s="47" t="s">
        <v>618</v>
      </c>
      <c r="H235" s="49">
        <f t="shared" si="50"/>
        <v>0</v>
      </c>
      <c r="J235" s="46" t="b">
        <f t="shared" si="51"/>
        <v>1</v>
      </c>
    </row>
    <row r="236" spans="1:10" x14ac:dyDescent="0.25">
      <c r="A236" s="47">
        <v>3</v>
      </c>
      <c r="B236" s="48" t="s">
        <v>324</v>
      </c>
      <c r="E236" s="48" t="s">
        <v>727</v>
      </c>
      <c r="F236" s="47" t="s">
        <v>618</v>
      </c>
      <c r="H236" s="49">
        <f t="shared" si="50"/>
        <v>0</v>
      </c>
      <c r="J236" s="46" t="b">
        <f t="shared" si="51"/>
        <v>1</v>
      </c>
    </row>
    <row r="237" spans="1:10" x14ac:dyDescent="0.25">
      <c r="A237" s="47">
        <v>3</v>
      </c>
      <c r="B237" s="48" t="s">
        <v>325</v>
      </c>
      <c r="E237" s="48" t="s">
        <v>728</v>
      </c>
      <c r="F237" s="47" t="s">
        <v>618</v>
      </c>
      <c r="H237" s="49">
        <f t="shared" si="50"/>
        <v>0</v>
      </c>
      <c r="J237" s="46" t="b">
        <f t="shared" si="51"/>
        <v>1</v>
      </c>
    </row>
    <row r="238" spans="1:10" x14ac:dyDescent="0.25">
      <c r="A238" s="47">
        <v>3</v>
      </c>
      <c r="B238" s="48" t="s">
        <v>326</v>
      </c>
      <c r="E238" s="48" t="s">
        <v>729</v>
      </c>
      <c r="F238" s="47" t="s">
        <v>618</v>
      </c>
      <c r="H238" s="49">
        <f t="shared" si="50"/>
        <v>0</v>
      </c>
      <c r="J238" s="46" t="b">
        <f t="shared" si="51"/>
        <v>1</v>
      </c>
    </row>
    <row r="239" spans="1:10" x14ac:dyDescent="0.25">
      <c r="A239" s="47">
        <v>3</v>
      </c>
      <c r="B239" s="48" t="s">
        <v>327</v>
      </c>
      <c r="E239" s="48" t="s">
        <v>730</v>
      </c>
      <c r="F239" s="47" t="s">
        <v>618</v>
      </c>
      <c r="H239" s="49">
        <f t="shared" si="50"/>
        <v>0</v>
      </c>
      <c r="J239" s="46" t="b">
        <f t="shared" si="51"/>
        <v>1</v>
      </c>
    </row>
    <row r="240" spans="1:10" x14ac:dyDescent="0.25">
      <c r="A240" s="47">
        <v>3</v>
      </c>
      <c r="B240" s="48" t="s">
        <v>328</v>
      </c>
      <c r="E240" s="48" t="s">
        <v>731</v>
      </c>
      <c r="F240" s="47" t="s">
        <v>618</v>
      </c>
      <c r="H240" s="49">
        <f t="shared" si="50"/>
        <v>0</v>
      </c>
      <c r="J240" s="46" t="b">
        <f t="shared" si="51"/>
        <v>1</v>
      </c>
    </row>
    <row r="241" spans="1:10" x14ac:dyDescent="0.25">
      <c r="A241" s="47">
        <v>3</v>
      </c>
      <c r="B241" s="48" t="s">
        <v>329</v>
      </c>
      <c r="E241" s="48" t="s">
        <v>732</v>
      </c>
      <c r="F241" s="47" t="s">
        <v>618</v>
      </c>
      <c r="H241" s="49">
        <f t="shared" si="50"/>
        <v>0</v>
      </c>
      <c r="J241" s="46" t="b">
        <f t="shared" si="51"/>
        <v>1</v>
      </c>
    </row>
    <row r="242" spans="1:10" x14ac:dyDescent="0.25">
      <c r="A242" s="47">
        <v>3</v>
      </c>
      <c r="B242" s="48" t="s">
        <v>156</v>
      </c>
      <c r="E242" s="48" t="s">
        <v>733</v>
      </c>
      <c r="F242" s="47" t="s">
        <v>618</v>
      </c>
      <c r="H242" s="49">
        <f t="shared" si="50"/>
        <v>0</v>
      </c>
      <c r="J242" s="46" t="b">
        <f t="shared" si="51"/>
        <v>1</v>
      </c>
    </row>
    <row r="243" spans="1:10" x14ac:dyDescent="0.25">
      <c r="A243" s="47">
        <v>3</v>
      </c>
      <c r="B243" s="48" t="s">
        <v>330</v>
      </c>
      <c r="E243" s="48" t="s">
        <v>734</v>
      </c>
      <c r="F243" s="47" t="s">
        <v>618</v>
      </c>
      <c r="H243" s="49">
        <f t="shared" si="50"/>
        <v>0</v>
      </c>
      <c r="J243" s="46" t="b">
        <f t="shared" si="51"/>
        <v>1</v>
      </c>
    </row>
    <row r="244" spans="1:10" x14ac:dyDescent="0.25">
      <c r="A244" s="47">
        <v>3</v>
      </c>
      <c r="B244" s="48" t="s">
        <v>331</v>
      </c>
      <c r="E244" s="48" t="s">
        <v>735</v>
      </c>
      <c r="F244" s="47" t="s">
        <v>618</v>
      </c>
      <c r="H244" s="49">
        <f t="shared" si="50"/>
        <v>0</v>
      </c>
      <c r="J244" s="46" t="b">
        <f t="shared" si="51"/>
        <v>1</v>
      </c>
    </row>
    <row r="245" spans="1:10" x14ac:dyDescent="0.25">
      <c r="A245" s="47">
        <v>3</v>
      </c>
      <c r="B245" s="48" t="s">
        <v>332</v>
      </c>
      <c r="E245" s="48" t="s">
        <v>736</v>
      </c>
      <c r="F245" s="47" t="s">
        <v>618</v>
      </c>
      <c r="H245" s="49">
        <f t="shared" si="50"/>
        <v>0</v>
      </c>
      <c r="J245" s="46" t="b">
        <f t="shared" si="51"/>
        <v>1</v>
      </c>
    </row>
    <row r="246" spans="1:10" x14ac:dyDescent="0.25">
      <c r="A246" s="47">
        <v>3</v>
      </c>
      <c r="B246" s="48" t="s">
        <v>333</v>
      </c>
      <c r="E246" s="48" t="s">
        <v>737</v>
      </c>
      <c r="F246" s="47" t="s">
        <v>618</v>
      </c>
      <c r="H246" s="49">
        <f t="shared" si="50"/>
        <v>0</v>
      </c>
      <c r="J246" s="46" t="b">
        <f t="shared" si="51"/>
        <v>1</v>
      </c>
    </row>
    <row r="247" spans="1:10" x14ac:dyDescent="0.25">
      <c r="A247" s="47">
        <v>3</v>
      </c>
      <c r="B247" s="48" t="s">
        <v>334</v>
      </c>
      <c r="E247" s="48" t="s">
        <v>738</v>
      </c>
      <c r="F247" s="47" t="s">
        <v>618</v>
      </c>
      <c r="H247" s="49">
        <f t="shared" si="50"/>
        <v>0</v>
      </c>
      <c r="J247" s="46" t="b">
        <f t="shared" si="51"/>
        <v>1</v>
      </c>
    </row>
    <row r="248" spans="1:10" x14ac:dyDescent="0.25">
      <c r="A248" s="47">
        <v>2</v>
      </c>
      <c r="B248" s="48" t="s">
        <v>335</v>
      </c>
      <c r="E248" s="48" t="s">
        <v>739</v>
      </c>
      <c r="F248" s="47" t="s">
        <v>610</v>
      </c>
      <c r="H248" s="49">
        <f t="shared" si="50"/>
        <v>0</v>
      </c>
      <c r="J248" s="46" t="b">
        <f t="shared" si="51"/>
        <v>1</v>
      </c>
    </row>
    <row r="249" spans="1:10" x14ac:dyDescent="0.25">
      <c r="A249" s="47">
        <v>2</v>
      </c>
      <c r="B249" s="48" t="s">
        <v>336</v>
      </c>
      <c r="E249" s="48" t="s">
        <v>740</v>
      </c>
      <c r="F249" s="47" t="s">
        <v>610</v>
      </c>
      <c r="H249" s="49">
        <f t="shared" si="50"/>
        <v>0</v>
      </c>
      <c r="J249" s="46" t="b">
        <f t="shared" si="51"/>
        <v>1</v>
      </c>
    </row>
    <row r="250" spans="1:10" x14ac:dyDescent="0.25">
      <c r="A250" s="47">
        <v>2</v>
      </c>
      <c r="B250" s="48" t="s">
        <v>337</v>
      </c>
      <c r="E250" s="48" t="s">
        <v>741</v>
      </c>
      <c r="F250" s="47" t="s">
        <v>610</v>
      </c>
      <c r="H250" s="49">
        <f t="shared" si="50"/>
        <v>0</v>
      </c>
      <c r="J250" s="46" t="b">
        <f t="shared" si="51"/>
        <v>1</v>
      </c>
    </row>
    <row r="251" spans="1:10" x14ac:dyDescent="0.25">
      <c r="A251" s="47">
        <v>2</v>
      </c>
      <c r="B251" s="48" t="s">
        <v>338</v>
      </c>
      <c r="E251" s="48" t="s">
        <v>742</v>
      </c>
      <c r="F251" s="47" t="s">
        <v>610</v>
      </c>
      <c r="H251" s="49">
        <f t="shared" si="50"/>
        <v>0</v>
      </c>
      <c r="J251" s="46" t="b">
        <f t="shared" si="51"/>
        <v>1</v>
      </c>
    </row>
    <row r="252" spans="1:10" x14ac:dyDescent="0.25">
      <c r="A252" s="47">
        <v>2</v>
      </c>
      <c r="B252" s="48" t="s">
        <v>339</v>
      </c>
      <c r="E252" s="48" t="s">
        <v>743</v>
      </c>
      <c r="F252" s="47" t="s">
        <v>618</v>
      </c>
      <c r="H252" s="49">
        <f t="shared" si="50"/>
        <v>0</v>
      </c>
      <c r="J252" s="46" t="b">
        <f t="shared" si="51"/>
        <v>1</v>
      </c>
    </row>
    <row r="253" spans="1:10" x14ac:dyDescent="0.25">
      <c r="A253" s="47">
        <v>2</v>
      </c>
      <c r="B253" s="48" t="s">
        <v>340</v>
      </c>
      <c r="E253" s="48" t="s">
        <v>744</v>
      </c>
      <c r="F253" s="47" t="s">
        <v>618</v>
      </c>
      <c r="H253" s="49">
        <f t="shared" si="50"/>
        <v>0</v>
      </c>
      <c r="J253" s="46" t="b">
        <f t="shared" si="51"/>
        <v>1</v>
      </c>
    </row>
    <row r="254" spans="1:10" x14ac:dyDescent="0.25">
      <c r="A254" s="47"/>
      <c r="B254" s="48"/>
      <c r="E254" s="48"/>
      <c r="F254" s="47"/>
    </row>
    <row r="255" spans="1:10" x14ac:dyDescent="0.2">
      <c r="A255" s="42">
        <v>1</v>
      </c>
      <c r="B255" s="42"/>
      <c r="C255" s="42"/>
      <c r="D255" s="42"/>
      <c r="E255" s="43" t="s">
        <v>745</v>
      </c>
      <c r="F255" s="42" t="s">
        <v>543</v>
      </c>
      <c r="G255" s="44"/>
      <c r="H255" s="45"/>
      <c r="I255" s="45"/>
      <c r="J255" s="45"/>
    </row>
    <row r="256" spans="1:10" x14ac:dyDescent="0.25">
      <c r="A256" s="47">
        <v>2</v>
      </c>
      <c r="B256" s="48" t="s">
        <v>341</v>
      </c>
      <c r="E256" s="48" t="s">
        <v>746</v>
      </c>
      <c r="F256" s="47" t="s">
        <v>618</v>
      </c>
      <c r="H256" s="49">
        <f t="shared" ref="H256:H265" si="52">ROUND(I256,2)</f>
        <v>0</v>
      </c>
      <c r="J256" s="46" t="b">
        <f t="shared" ref="J256:J265" si="53">H256=G256</f>
        <v>1</v>
      </c>
    </row>
    <row r="257" spans="1:10" x14ac:dyDescent="0.25">
      <c r="A257" s="47">
        <v>2</v>
      </c>
      <c r="B257" s="48" t="s">
        <v>159</v>
      </c>
      <c r="E257" s="48" t="s">
        <v>747</v>
      </c>
      <c r="F257" s="47" t="s">
        <v>610</v>
      </c>
      <c r="H257" s="49">
        <f t="shared" si="52"/>
        <v>0</v>
      </c>
      <c r="J257" s="46" t="b">
        <f t="shared" si="53"/>
        <v>1</v>
      </c>
    </row>
    <row r="258" spans="1:10" x14ac:dyDescent="0.25">
      <c r="A258" s="47">
        <v>2</v>
      </c>
      <c r="B258" s="48" t="s">
        <v>342</v>
      </c>
      <c r="E258" s="48" t="s">
        <v>748</v>
      </c>
      <c r="F258" s="47" t="s">
        <v>610</v>
      </c>
      <c r="H258" s="49">
        <f t="shared" si="52"/>
        <v>0</v>
      </c>
      <c r="J258" s="46" t="b">
        <f t="shared" si="53"/>
        <v>1</v>
      </c>
    </row>
    <row r="259" spans="1:10" x14ac:dyDescent="0.25">
      <c r="A259" s="47">
        <v>2</v>
      </c>
      <c r="B259" s="48" t="s">
        <v>343</v>
      </c>
      <c r="E259" s="48" t="s">
        <v>749</v>
      </c>
      <c r="F259" s="47" t="s">
        <v>610</v>
      </c>
      <c r="H259" s="49">
        <f t="shared" si="52"/>
        <v>0</v>
      </c>
      <c r="J259" s="46" t="b">
        <f t="shared" si="53"/>
        <v>1</v>
      </c>
    </row>
    <row r="260" spans="1:10" x14ac:dyDescent="0.25">
      <c r="A260" s="47">
        <v>2</v>
      </c>
      <c r="B260" s="48" t="s">
        <v>344</v>
      </c>
      <c r="E260" s="48" t="s">
        <v>750</v>
      </c>
      <c r="F260" s="47" t="s">
        <v>618</v>
      </c>
      <c r="H260" s="49">
        <f t="shared" si="52"/>
        <v>0</v>
      </c>
      <c r="J260" s="46" t="b">
        <f t="shared" si="53"/>
        <v>1</v>
      </c>
    </row>
    <row r="261" spans="1:10" x14ac:dyDescent="0.25">
      <c r="A261" s="47">
        <v>2</v>
      </c>
      <c r="B261" s="48" t="s">
        <v>161</v>
      </c>
      <c r="E261" s="48" t="s">
        <v>751</v>
      </c>
      <c r="F261" s="47" t="s">
        <v>618</v>
      </c>
      <c r="H261" s="49">
        <f t="shared" si="52"/>
        <v>0</v>
      </c>
      <c r="J261" s="46" t="b">
        <f t="shared" si="53"/>
        <v>1</v>
      </c>
    </row>
    <row r="262" spans="1:10" x14ac:dyDescent="0.25">
      <c r="A262" s="47">
        <v>2</v>
      </c>
      <c r="B262" s="48" t="s">
        <v>160</v>
      </c>
      <c r="E262" s="48" t="s">
        <v>752</v>
      </c>
      <c r="F262" s="47" t="s">
        <v>618</v>
      </c>
      <c r="H262" s="49">
        <f t="shared" si="52"/>
        <v>0</v>
      </c>
      <c r="J262" s="46" t="b">
        <f t="shared" si="53"/>
        <v>1</v>
      </c>
    </row>
    <row r="263" spans="1:10" x14ac:dyDescent="0.25">
      <c r="A263" s="47">
        <v>2</v>
      </c>
      <c r="B263" s="48" t="s">
        <v>345</v>
      </c>
      <c r="E263" s="48" t="s">
        <v>753</v>
      </c>
      <c r="F263" s="47" t="s">
        <v>618</v>
      </c>
      <c r="H263" s="49">
        <f t="shared" si="52"/>
        <v>0</v>
      </c>
      <c r="J263" s="46" t="b">
        <f t="shared" si="53"/>
        <v>1</v>
      </c>
    </row>
    <row r="264" spans="1:10" x14ac:dyDescent="0.25">
      <c r="A264" s="47">
        <v>2</v>
      </c>
      <c r="B264" s="48" t="s">
        <v>346</v>
      </c>
      <c r="E264" s="48" t="s">
        <v>754</v>
      </c>
      <c r="F264" s="47" t="s">
        <v>610</v>
      </c>
      <c r="H264" s="49">
        <f t="shared" si="52"/>
        <v>0</v>
      </c>
      <c r="J264" s="46" t="b">
        <f t="shared" si="53"/>
        <v>1</v>
      </c>
    </row>
    <row r="265" spans="1:10" x14ac:dyDescent="0.25">
      <c r="A265" s="47">
        <v>2</v>
      </c>
      <c r="B265" s="48" t="s">
        <v>347</v>
      </c>
      <c r="E265" s="48" t="s">
        <v>755</v>
      </c>
      <c r="F265" s="47" t="s">
        <v>547</v>
      </c>
      <c r="H265" s="49">
        <f t="shared" si="52"/>
        <v>0</v>
      </c>
      <c r="J265" s="46" t="b">
        <f t="shared" si="53"/>
        <v>1</v>
      </c>
    </row>
    <row r="266" spans="1:10" x14ac:dyDescent="0.25">
      <c r="A266" s="47"/>
      <c r="B266" s="48"/>
      <c r="E266" s="48"/>
      <c r="F266" s="47"/>
    </row>
    <row r="267" spans="1:10" x14ac:dyDescent="0.2">
      <c r="A267" s="42">
        <v>1</v>
      </c>
      <c r="B267" s="42"/>
      <c r="C267" s="42"/>
      <c r="D267" s="42"/>
      <c r="E267" s="43" t="s">
        <v>756</v>
      </c>
      <c r="F267" s="42" t="s">
        <v>543</v>
      </c>
      <c r="G267" s="44"/>
      <c r="H267" s="45"/>
      <c r="I267" s="45"/>
      <c r="J267" s="45"/>
    </row>
    <row r="268" spans="1:10" x14ac:dyDescent="0.25">
      <c r="A268" s="47">
        <v>2</v>
      </c>
      <c r="B268" s="48" t="s">
        <v>162</v>
      </c>
      <c r="E268" s="48" t="s">
        <v>757</v>
      </c>
      <c r="F268" s="47" t="s">
        <v>547</v>
      </c>
      <c r="H268" s="49">
        <f t="shared" ref="H268:H290" si="54">ROUND(I268,2)</f>
        <v>0</v>
      </c>
      <c r="J268" s="46" t="b">
        <f t="shared" ref="J268:J290" si="55">H268=G268</f>
        <v>1</v>
      </c>
    </row>
    <row r="269" spans="1:10" x14ac:dyDescent="0.25">
      <c r="A269" s="47">
        <v>2</v>
      </c>
      <c r="B269" s="48" t="s">
        <v>348</v>
      </c>
      <c r="E269" s="48" t="s">
        <v>758</v>
      </c>
      <c r="F269" s="47" t="s">
        <v>547</v>
      </c>
      <c r="H269" s="49">
        <f t="shared" si="54"/>
        <v>0</v>
      </c>
      <c r="J269" s="46" t="b">
        <f t="shared" si="55"/>
        <v>1</v>
      </c>
    </row>
    <row r="270" spans="1:10" x14ac:dyDescent="0.25">
      <c r="A270" s="47">
        <v>2</v>
      </c>
      <c r="B270" s="48" t="s">
        <v>349</v>
      </c>
      <c r="E270" s="48" t="s">
        <v>759</v>
      </c>
      <c r="F270" s="47" t="s">
        <v>547</v>
      </c>
      <c r="H270" s="49">
        <f t="shared" si="54"/>
        <v>0</v>
      </c>
      <c r="J270" s="46" t="b">
        <f t="shared" si="55"/>
        <v>1</v>
      </c>
    </row>
    <row r="271" spans="1:10" x14ac:dyDescent="0.25">
      <c r="A271" s="47">
        <v>2</v>
      </c>
      <c r="B271" s="48" t="s">
        <v>163</v>
      </c>
      <c r="E271" s="48" t="s">
        <v>760</v>
      </c>
      <c r="F271" s="47" t="s">
        <v>547</v>
      </c>
      <c r="H271" s="49">
        <f t="shared" si="54"/>
        <v>0</v>
      </c>
      <c r="J271" s="46" t="b">
        <f t="shared" si="55"/>
        <v>1</v>
      </c>
    </row>
    <row r="272" spans="1:10" x14ac:dyDescent="0.25">
      <c r="A272" s="47">
        <v>2</v>
      </c>
      <c r="B272" s="48" t="s">
        <v>164</v>
      </c>
      <c r="E272" s="48" t="s">
        <v>761</v>
      </c>
      <c r="F272" s="47" t="s">
        <v>547</v>
      </c>
      <c r="H272" s="49">
        <f t="shared" si="54"/>
        <v>0</v>
      </c>
      <c r="J272" s="46" t="b">
        <f t="shared" si="55"/>
        <v>1</v>
      </c>
    </row>
    <row r="273" spans="1:10" x14ac:dyDescent="0.25">
      <c r="A273" s="47">
        <v>2</v>
      </c>
      <c r="B273" s="48" t="s">
        <v>350</v>
      </c>
      <c r="E273" s="48" t="s">
        <v>762</v>
      </c>
      <c r="F273" s="47" t="s">
        <v>547</v>
      </c>
      <c r="H273" s="49">
        <f t="shared" si="54"/>
        <v>0</v>
      </c>
      <c r="J273" s="46" t="b">
        <f t="shared" si="55"/>
        <v>1</v>
      </c>
    </row>
    <row r="274" spans="1:10" x14ac:dyDescent="0.25">
      <c r="A274" s="47">
        <v>2</v>
      </c>
      <c r="B274" s="48" t="s">
        <v>351</v>
      </c>
      <c r="E274" s="48" t="s">
        <v>763</v>
      </c>
      <c r="F274" s="47" t="s">
        <v>547</v>
      </c>
      <c r="H274" s="49">
        <f t="shared" si="54"/>
        <v>0</v>
      </c>
      <c r="J274" s="46" t="b">
        <f t="shared" si="55"/>
        <v>1</v>
      </c>
    </row>
    <row r="275" spans="1:10" x14ac:dyDescent="0.25">
      <c r="A275" s="47">
        <v>2</v>
      </c>
      <c r="B275" s="48" t="s">
        <v>165</v>
      </c>
      <c r="E275" s="48" t="s">
        <v>764</v>
      </c>
      <c r="F275" s="47" t="s">
        <v>547</v>
      </c>
      <c r="H275" s="49">
        <f t="shared" si="54"/>
        <v>0</v>
      </c>
      <c r="J275" s="46" t="b">
        <f t="shared" si="55"/>
        <v>1</v>
      </c>
    </row>
    <row r="276" spans="1:10" x14ac:dyDescent="0.25">
      <c r="A276" s="47">
        <v>2</v>
      </c>
      <c r="B276" s="48" t="s">
        <v>352</v>
      </c>
      <c r="E276" s="48" t="s">
        <v>765</v>
      </c>
      <c r="F276" s="47" t="s">
        <v>547</v>
      </c>
      <c r="H276" s="49">
        <f t="shared" si="54"/>
        <v>0</v>
      </c>
      <c r="J276" s="46" t="b">
        <f t="shared" si="55"/>
        <v>1</v>
      </c>
    </row>
    <row r="277" spans="1:10" x14ac:dyDescent="0.25">
      <c r="A277" s="47">
        <v>2</v>
      </c>
      <c r="B277" s="48" t="s">
        <v>353</v>
      </c>
      <c r="E277" s="48" t="s">
        <v>766</v>
      </c>
      <c r="F277" s="47" t="s">
        <v>547</v>
      </c>
      <c r="H277" s="49">
        <f t="shared" si="54"/>
        <v>0</v>
      </c>
      <c r="J277" s="46" t="b">
        <f t="shared" si="55"/>
        <v>1</v>
      </c>
    </row>
    <row r="278" spans="1:10" x14ac:dyDescent="0.25">
      <c r="A278" s="47">
        <v>2</v>
      </c>
      <c r="B278" s="48" t="s">
        <v>354</v>
      </c>
      <c r="E278" s="48" t="s">
        <v>767</v>
      </c>
      <c r="F278" s="47" t="s">
        <v>547</v>
      </c>
      <c r="H278" s="49">
        <f t="shared" si="54"/>
        <v>0</v>
      </c>
      <c r="J278" s="46" t="b">
        <f t="shared" si="55"/>
        <v>1</v>
      </c>
    </row>
    <row r="279" spans="1:10" x14ac:dyDescent="0.25">
      <c r="A279" s="47">
        <v>2</v>
      </c>
      <c r="B279" s="48" t="s">
        <v>355</v>
      </c>
      <c r="E279" s="48" t="s">
        <v>768</v>
      </c>
      <c r="F279" s="47" t="s">
        <v>547</v>
      </c>
      <c r="H279" s="49">
        <f t="shared" si="54"/>
        <v>0</v>
      </c>
      <c r="J279" s="46" t="b">
        <f t="shared" si="55"/>
        <v>1</v>
      </c>
    </row>
    <row r="280" spans="1:10" x14ac:dyDescent="0.25">
      <c r="A280" s="47">
        <v>2</v>
      </c>
      <c r="B280" s="48" t="s">
        <v>356</v>
      </c>
      <c r="E280" s="48" t="s">
        <v>769</v>
      </c>
      <c r="F280" s="47" t="s">
        <v>547</v>
      </c>
      <c r="H280" s="49">
        <f t="shared" si="54"/>
        <v>0</v>
      </c>
      <c r="J280" s="46" t="b">
        <f t="shared" si="55"/>
        <v>1</v>
      </c>
    </row>
    <row r="281" spans="1:10" x14ac:dyDescent="0.25">
      <c r="A281" s="47">
        <v>2</v>
      </c>
      <c r="B281" s="48" t="s">
        <v>357</v>
      </c>
      <c r="E281" s="48" t="s">
        <v>770</v>
      </c>
      <c r="F281" s="47" t="s">
        <v>547</v>
      </c>
      <c r="H281" s="49">
        <f t="shared" si="54"/>
        <v>0</v>
      </c>
      <c r="J281" s="46" t="b">
        <f t="shared" si="55"/>
        <v>1</v>
      </c>
    </row>
    <row r="282" spans="1:10" x14ac:dyDescent="0.25">
      <c r="A282" s="47">
        <v>2</v>
      </c>
      <c r="B282" s="48" t="s">
        <v>168</v>
      </c>
      <c r="E282" s="48" t="s">
        <v>771</v>
      </c>
      <c r="F282" s="47" t="s">
        <v>547</v>
      </c>
      <c r="H282" s="49">
        <f t="shared" si="54"/>
        <v>0</v>
      </c>
      <c r="J282" s="46" t="b">
        <f t="shared" si="55"/>
        <v>1</v>
      </c>
    </row>
    <row r="283" spans="1:10" x14ac:dyDescent="0.25">
      <c r="A283" s="47">
        <v>2</v>
      </c>
      <c r="B283" s="48" t="s">
        <v>169</v>
      </c>
      <c r="E283" s="48" t="s">
        <v>772</v>
      </c>
      <c r="F283" s="47" t="s">
        <v>547</v>
      </c>
      <c r="H283" s="49">
        <f t="shared" si="54"/>
        <v>0</v>
      </c>
      <c r="J283" s="46" t="b">
        <f t="shared" si="55"/>
        <v>1</v>
      </c>
    </row>
    <row r="284" spans="1:10" x14ac:dyDescent="0.25">
      <c r="A284" s="47">
        <v>2</v>
      </c>
      <c r="B284" s="48" t="s">
        <v>358</v>
      </c>
      <c r="E284" s="48" t="s">
        <v>773</v>
      </c>
      <c r="F284" s="47" t="s">
        <v>547</v>
      </c>
      <c r="H284" s="49">
        <f t="shared" si="54"/>
        <v>0</v>
      </c>
      <c r="J284" s="46" t="b">
        <f t="shared" si="55"/>
        <v>1</v>
      </c>
    </row>
    <row r="285" spans="1:10" x14ac:dyDescent="0.25">
      <c r="A285" s="47">
        <v>2</v>
      </c>
      <c r="B285" s="48" t="s">
        <v>359</v>
      </c>
      <c r="E285" s="48" t="s">
        <v>774</v>
      </c>
      <c r="F285" s="47" t="s">
        <v>547</v>
      </c>
      <c r="H285" s="49">
        <f t="shared" si="54"/>
        <v>0</v>
      </c>
      <c r="J285" s="46" t="b">
        <f t="shared" si="55"/>
        <v>1</v>
      </c>
    </row>
    <row r="286" spans="1:10" x14ac:dyDescent="0.25">
      <c r="A286" s="47">
        <v>2</v>
      </c>
      <c r="B286" s="48" t="s">
        <v>360</v>
      </c>
      <c r="E286" s="48" t="s">
        <v>775</v>
      </c>
      <c r="F286" s="47" t="s">
        <v>547</v>
      </c>
      <c r="H286" s="49">
        <f t="shared" si="54"/>
        <v>0</v>
      </c>
      <c r="J286" s="46" t="b">
        <f t="shared" si="55"/>
        <v>1</v>
      </c>
    </row>
    <row r="287" spans="1:10" x14ac:dyDescent="0.25">
      <c r="A287" s="47">
        <v>2</v>
      </c>
      <c r="B287" s="48" t="s">
        <v>361</v>
      </c>
      <c r="E287" s="48" t="s">
        <v>776</v>
      </c>
      <c r="F287" s="47" t="s">
        <v>610</v>
      </c>
      <c r="H287" s="49">
        <f t="shared" si="54"/>
        <v>0</v>
      </c>
      <c r="J287" s="46" t="b">
        <f t="shared" si="55"/>
        <v>1</v>
      </c>
    </row>
    <row r="288" spans="1:10" x14ac:dyDescent="0.25">
      <c r="A288" s="47">
        <v>2</v>
      </c>
      <c r="B288" s="48" t="s">
        <v>362</v>
      </c>
      <c r="E288" s="48" t="s">
        <v>777</v>
      </c>
      <c r="F288" s="47" t="s">
        <v>610</v>
      </c>
      <c r="H288" s="49">
        <f t="shared" si="54"/>
        <v>0</v>
      </c>
      <c r="J288" s="46" t="b">
        <f t="shared" si="55"/>
        <v>1</v>
      </c>
    </row>
    <row r="289" spans="1:10" x14ac:dyDescent="0.25">
      <c r="A289" s="47">
        <v>2</v>
      </c>
      <c r="B289" s="48" t="s">
        <v>363</v>
      </c>
      <c r="E289" s="48" t="s">
        <v>778</v>
      </c>
      <c r="F289" s="47" t="s">
        <v>610</v>
      </c>
      <c r="H289" s="49">
        <f t="shared" si="54"/>
        <v>0</v>
      </c>
      <c r="J289" s="46" t="b">
        <f t="shared" si="55"/>
        <v>1</v>
      </c>
    </row>
    <row r="290" spans="1:10" x14ac:dyDescent="0.25">
      <c r="A290" s="47">
        <v>2</v>
      </c>
      <c r="B290" s="48" t="s">
        <v>364</v>
      </c>
      <c r="E290" s="48" t="s">
        <v>779</v>
      </c>
      <c r="F290" s="47" t="s">
        <v>610</v>
      </c>
      <c r="H290" s="49">
        <f t="shared" si="54"/>
        <v>0</v>
      </c>
      <c r="J290" s="46" t="b">
        <f t="shared" si="55"/>
        <v>1</v>
      </c>
    </row>
    <row r="291" spans="1:10" x14ac:dyDescent="0.25">
      <c r="A291" s="47"/>
      <c r="B291" s="48"/>
      <c r="E291" s="48"/>
      <c r="F291" s="47"/>
    </row>
    <row r="292" spans="1:10" x14ac:dyDescent="0.2">
      <c r="A292" s="42">
        <v>1</v>
      </c>
      <c r="B292" s="42"/>
      <c r="C292" s="42"/>
      <c r="D292" s="42"/>
      <c r="E292" s="43" t="s">
        <v>780</v>
      </c>
      <c r="F292" s="42" t="s">
        <v>543</v>
      </c>
      <c r="G292" s="44"/>
      <c r="H292" s="45"/>
      <c r="I292" s="45"/>
      <c r="J292" s="45"/>
    </row>
    <row r="293" spans="1:10" x14ac:dyDescent="0.25">
      <c r="A293" s="47">
        <v>2</v>
      </c>
      <c r="B293" s="48" t="s">
        <v>349</v>
      </c>
      <c r="E293" s="48" t="s">
        <v>759</v>
      </c>
      <c r="F293" s="47" t="s">
        <v>547</v>
      </c>
      <c r="H293" s="49">
        <f t="shared" ref="H293:H301" si="56">ROUND(I293,2)</f>
        <v>0</v>
      </c>
      <c r="J293" s="46" t="b">
        <f t="shared" ref="J293:J301" si="57">H293=G293</f>
        <v>1</v>
      </c>
    </row>
    <row r="294" spans="1:10" x14ac:dyDescent="0.25">
      <c r="A294" s="47">
        <v>2</v>
      </c>
      <c r="B294" s="48" t="s">
        <v>163</v>
      </c>
      <c r="E294" s="48" t="s">
        <v>760</v>
      </c>
      <c r="F294" s="47" t="s">
        <v>547</v>
      </c>
      <c r="H294" s="49">
        <f t="shared" si="56"/>
        <v>0</v>
      </c>
      <c r="J294" s="46" t="b">
        <f t="shared" si="57"/>
        <v>1</v>
      </c>
    </row>
    <row r="295" spans="1:10" x14ac:dyDescent="0.25">
      <c r="A295" s="47">
        <v>2</v>
      </c>
      <c r="B295" s="48" t="s">
        <v>164</v>
      </c>
      <c r="E295" s="48" t="s">
        <v>761</v>
      </c>
      <c r="F295" s="47" t="s">
        <v>547</v>
      </c>
      <c r="H295" s="49">
        <f t="shared" si="56"/>
        <v>0</v>
      </c>
      <c r="J295" s="46" t="b">
        <f t="shared" si="57"/>
        <v>1</v>
      </c>
    </row>
    <row r="296" spans="1:10" x14ac:dyDescent="0.25">
      <c r="A296" s="47">
        <v>2</v>
      </c>
      <c r="B296" s="48" t="s">
        <v>170</v>
      </c>
      <c r="E296" s="48" t="s">
        <v>781</v>
      </c>
      <c r="F296" s="47" t="s">
        <v>547</v>
      </c>
      <c r="H296" s="49">
        <f t="shared" si="56"/>
        <v>0</v>
      </c>
      <c r="J296" s="46" t="b">
        <f t="shared" si="57"/>
        <v>1</v>
      </c>
    </row>
    <row r="297" spans="1:10" x14ac:dyDescent="0.25">
      <c r="A297" s="47">
        <v>2</v>
      </c>
      <c r="B297" s="48" t="s">
        <v>171</v>
      </c>
      <c r="E297" s="48" t="s">
        <v>782</v>
      </c>
      <c r="F297" s="47" t="s">
        <v>610</v>
      </c>
      <c r="H297" s="49">
        <f t="shared" si="56"/>
        <v>0</v>
      </c>
      <c r="J297" s="46" t="b">
        <f t="shared" si="57"/>
        <v>1</v>
      </c>
    </row>
    <row r="298" spans="1:10" x14ac:dyDescent="0.25">
      <c r="A298" s="47">
        <v>2</v>
      </c>
      <c r="B298" s="48" t="s">
        <v>365</v>
      </c>
      <c r="E298" s="48" t="s">
        <v>783</v>
      </c>
      <c r="F298" s="47" t="s">
        <v>547</v>
      </c>
      <c r="H298" s="49">
        <f t="shared" si="56"/>
        <v>0</v>
      </c>
      <c r="J298" s="46" t="b">
        <f t="shared" si="57"/>
        <v>1</v>
      </c>
    </row>
    <row r="299" spans="1:10" x14ac:dyDescent="0.25">
      <c r="A299" s="47">
        <v>2</v>
      </c>
      <c r="B299" s="48" t="s">
        <v>366</v>
      </c>
      <c r="E299" s="48" t="s">
        <v>784</v>
      </c>
      <c r="F299" s="47" t="s">
        <v>547</v>
      </c>
      <c r="H299" s="49">
        <f t="shared" si="56"/>
        <v>0</v>
      </c>
      <c r="J299" s="46" t="b">
        <f t="shared" si="57"/>
        <v>1</v>
      </c>
    </row>
    <row r="300" spans="1:10" x14ac:dyDescent="0.25">
      <c r="A300" s="47">
        <v>2</v>
      </c>
      <c r="B300" s="48" t="s">
        <v>350</v>
      </c>
      <c r="E300" s="48" t="s">
        <v>762</v>
      </c>
      <c r="F300" s="47" t="s">
        <v>547</v>
      </c>
      <c r="H300" s="49">
        <f t="shared" si="56"/>
        <v>0</v>
      </c>
      <c r="J300" s="46" t="b">
        <f t="shared" si="57"/>
        <v>1</v>
      </c>
    </row>
    <row r="301" spans="1:10" x14ac:dyDescent="0.25">
      <c r="A301" s="47">
        <v>2</v>
      </c>
      <c r="B301" s="48" t="s">
        <v>351</v>
      </c>
      <c r="E301" s="48" t="s">
        <v>763</v>
      </c>
      <c r="F301" s="47" t="s">
        <v>547</v>
      </c>
      <c r="H301" s="49">
        <f t="shared" si="56"/>
        <v>0</v>
      </c>
      <c r="J301" s="46" t="b">
        <f t="shared" si="57"/>
        <v>1</v>
      </c>
    </row>
    <row r="302" spans="1:10" x14ac:dyDescent="0.25">
      <c r="A302" s="47"/>
      <c r="B302" s="48"/>
      <c r="E302" s="48"/>
      <c r="F302" s="47"/>
    </row>
    <row r="303" spans="1:10" x14ac:dyDescent="0.2">
      <c r="A303" s="42">
        <v>1</v>
      </c>
      <c r="B303" s="42"/>
      <c r="C303" s="42"/>
      <c r="D303" s="42"/>
      <c r="E303" s="43" t="s">
        <v>785</v>
      </c>
      <c r="F303" s="42" t="s">
        <v>543</v>
      </c>
      <c r="G303" s="44"/>
      <c r="H303" s="45"/>
      <c r="I303" s="45"/>
      <c r="J303" s="45"/>
    </row>
    <row r="304" spans="1:10" x14ac:dyDescent="0.25">
      <c r="A304" s="47">
        <v>2</v>
      </c>
      <c r="B304" s="48" t="s">
        <v>367</v>
      </c>
      <c r="E304" s="48" t="s">
        <v>786</v>
      </c>
      <c r="F304" s="47" t="s">
        <v>547</v>
      </c>
      <c r="H304" s="49">
        <f t="shared" ref="H304:H342" si="58">ROUND(I304,2)</f>
        <v>0</v>
      </c>
      <c r="J304" s="46" t="b">
        <f t="shared" ref="J304:J342" si="59">H304=G304</f>
        <v>1</v>
      </c>
    </row>
    <row r="305" spans="1:10" x14ac:dyDescent="0.25">
      <c r="A305" s="47">
        <v>2</v>
      </c>
      <c r="B305" s="48" t="s">
        <v>172</v>
      </c>
      <c r="E305" s="48" t="s">
        <v>787</v>
      </c>
      <c r="F305" s="47" t="s">
        <v>547</v>
      </c>
      <c r="H305" s="49">
        <f t="shared" si="58"/>
        <v>0</v>
      </c>
      <c r="J305" s="46" t="b">
        <f t="shared" si="59"/>
        <v>1</v>
      </c>
    </row>
    <row r="306" spans="1:10" x14ac:dyDescent="0.25">
      <c r="A306" s="47">
        <v>2</v>
      </c>
      <c r="B306" s="48" t="s">
        <v>173</v>
      </c>
      <c r="E306" s="48" t="s">
        <v>788</v>
      </c>
      <c r="F306" s="47" t="s">
        <v>547</v>
      </c>
      <c r="H306" s="49">
        <f t="shared" si="58"/>
        <v>0</v>
      </c>
      <c r="J306" s="46" t="b">
        <f t="shared" si="59"/>
        <v>1</v>
      </c>
    </row>
    <row r="307" spans="1:10" x14ac:dyDescent="0.25">
      <c r="A307" s="47">
        <v>2</v>
      </c>
      <c r="B307" s="48" t="s">
        <v>368</v>
      </c>
      <c r="E307" s="48" t="s">
        <v>789</v>
      </c>
      <c r="F307" s="47" t="s">
        <v>557</v>
      </c>
      <c r="H307" s="49">
        <f t="shared" si="58"/>
        <v>0</v>
      </c>
      <c r="J307" s="46" t="b">
        <f t="shared" si="59"/>
        <v>1</v>
      </c>
    </row>
    <row r="308" spans="1:10" x14ac:dyDescent="0.25">
      <c r="A308" s="47">
        <v>2</v>
      </c>
      <c r="B308" s="48" t="s">
        <v>174</v>
      </c>
      <c r="E308" s="48" t="s">
        <v>790</v>
      </c>
      <c r="F308" s="47" t="s">
        <v>547</v>
      </c>
      <c r="H308" s="49">
        <f t="shared" si="58"/>
        <v>0</v>
      </c>
      <c r="J308" s="46" t="b">
        <f t="shared" si="59"/>
        <v>1</v>
      </c>
    </row>
    <row r="309" spans="1:10" x14ac:dyDescent="0.25">
      <c r="A309" s="47">
        <v>2</v>
      </c>
      <c r="B309" s="48" t="s">
        <v>369</v>
      </c>
      <c r="E309" s="48" t="s">
        <v>791</v>
      </c>
      <c r="F309" s="47" t="s">
        <v>547</v>
      </c>
      <c r="H309" s="49">
        <f t="shared" si="58"/>
        <v>0</v>
      </c>
      <c r="J309" s="46" t="b">
        <f t="shared" si="59"/>
        <v>1</v>
      </c>
    </row>
    <row r="310" spans="1:10" x14ac:dyDescent="0.25">
      <c r="A310" s="47">
        <v>2</v>
      </c>
      <c r="B310" s="48" t="s">
        <v>177</v>
      </c>
      <c r="E310" s="48" t="s">
        <v>792</v>
      </c>
      <c r="F310" s="47" t="s">
        <v>547</v>
      </c>
      <c r="H310" s="49">
        <f t="shared" si="58"/>
        <v>0</v>
      </c>
      <c r="J310" s="46" t="b">
        <f t="shared" si="59"/>
        <v>1</v>
      </c>
    </row>
    <row r="311" spans="1:10" x14ac:dyDescent="0.25">
      <c r="A311" s="47">
        <v>2</v>
      </c>
      <c r="B311" s="48" t="s">
        <v>370</v>
      </c>
      <c r="E311" s="48" t="s">
        <v>793</v>
      </c>
      <c r="F311" s="47" t="s">
        <v>547</v>
      </c>
      <c r="H311" s="49">
        <f t="shared" si="58"/>
        <v>0</v>
      </c>
      <c r="J311" s="46" t="b">
        <f t="shared" si="59"/>
        <v>1</v>
      </c>
    </row>
    <row r="312" spans="1:10" x14ac:dyDescent="0.25">
      <c r="A312" s="47">
        <v>2</v>
      </c>
      <c r="B312" s="48" t="s">
        <v>371</v>
      </c>
      <c r="E312" s="48" t="s">
        <v>794</v>
      </c>
      <c r="F312" s="47" t="s">
        <v>547</v>
      </c>
      <c r="H312" s="49">
        <f t="shared" si="58"/>
        <v>0</v>
      </c>
      <c r="J312" s="46" t="b">
        <f t="shared" si="59"/>
        <v>1</v>
      </c>
    </row>
    <row r="313" spans="1:10" x14ac:dyDescent="0.25">
      <c r="A313" s="47">
        <v>2</v>
      </c>
      <c r="B313" s="48" t="s">
        <v>372</v>
      </c>
      <c r="E313" s="48" t="s">
        <v>795</v>
      </c>
      <c r="F313" s="47" t="s">
        <v>547</v>
      </c>
      <c r="H313" s="49">
        <f t="shared" si="58"/>
        <v>0</v>
      </c>
      <c r="J313" s="46" t="b">
        <f t="shared" si="59"/>
        <v>1</v>
      </c>
    </row>
    <row r="314" spans="1:10" x14ac:dyDescent="0.25">
      <c r="A314" s="47">
        <v>2</v>
      </c>
      <c r="B314" s="48" t="s">
        <v>373</v>
      </c>
      <c r="E314" s="48" t="s">
        <v>796</v>
      </c>
      <c r="F314" s="47" t="s">
        <v>547</v>
      </c>
      <c r="H314" s="49">
        <f t="shared" si="58"/>
        <v>0</v>
      </c>
      <c r="J314" s="46" t="b">
        <f t="shared" si="59"/>
        <v>1</v>
      </c>
    </row>
    <row r="315" spans="1:10" x14ac:dyDescent="0.25">
      <c r="A315" s="47">
        <v>2</v>
      </c>
      <c r="B315" s="48" t="s">
        <v>175</v>
      </c>
      <c r="E315" s="48" t="s">
        <v>797</v>
      </c>
      <c r="F315" s="47" t="s">
        <v>547</v>
      </c>
      <c r="H315" s="49">
        <f t="shared" si="58"/>
        <v>0</v>
      </c>
      <c r="J315" s="46" t="b">
        <f t="shared" si="59"/>
        <v>1</v>
      </c>
    </row>
    <row r="316" spans="1:10" x14ac:dyDescent="0.25">
      <c r="A316" s="47">
        <v>2</v>
      </c>
      <c r="B316" s="48" t="s">
        <v>176</v>
      </c>
      <c r="E316" s="48" t="s">
        <v>798</v>
      </c>
      <c r="F316" s="47" t="s">
        <v>547</v>
      </c>
      <c r="H316" s="49">
        <f t="shared" si="58"/>
        <v>0</v>
      </c>
      <c r="J316" s="46" t="b">
        <f t="shared" si="59"/>
        <v>1</v>
      </c>
    </row>
    <row r="317" spans="1:10" x14ac:dyDescent="0.25">
      <c r="A317" s="47">
        <v>2</v>
      </c>
      <c r="B317" s="48" t="s">
        <v>166</v>
      </c>
      <c r="E317" s="48" t="s">
        <v>799</v>
      </c>
      <c r="F317" s="47" t="s">
        <v>547</v>
      </c>
      <c r="H317" s="49">
        <f t="shared" si="58"/>
        <v>0</v>
      </c>
      <c r="J317" s="46" t="b">
        <f t="shared" si="59"/>
        <v>1</v>
      </c>
    </row>
    <row r="318" spans="1:10" x14ac:dyDescent="0.25">
      <c r="A318" s="47">
        <v>2</v>
      </c>
      <c r="B318" s="48" t="s">
        <v>374</v>
      </c>
      <c r="E318" s="48" t="s">
        <v>800</v>
      </c>
      <c r="F318" s="47" t="s">
        <v>547</v>
      </c>
      <c r="H318" s="49">
        <f t="shared" si="58"/>
        <v>0</v>
      </c>
      <c r="J318" s="46" t="b">
        <f t="shared" si="59"/>
        <v>1</v>
      </c>
    </row>
    <row r="319" spans="1:10" x14ac:dyDescent="0.25">
      <c r="A319" s="47">
        <v>2</v>
      </c>
      <c r="B319" s="48" t="s">
        <v>375</v>
      </c>
      <c r="E319" s="48" t="s">
        <v>801</v>
      </c>
      <c r="F319" s="47" t="s">
        <v>547</v>
      </c>
      <c r="H319" s="49">
        <f t="shared" si="58"/>
        <v>0</v>
      </c>
      <c r="J319" s="46" t="b">
        <f t="shared" si="59"/>
        <v>1</v>
      </c>
    </row>
    <row r="320" spans="1:10" x14ac:dyDescent="0.25">
      <c r="A320" s="47">
        <v>2</v>
      </c>
      <c r="B320" s="48" t="s">
        <v>167</v>
      </c>
      <c r="E320" s="48" t="s">
        <v>802</v>
      </c>
      <c r="F320" s="47" t="s">
        <v>547</v>
      </c>
      <c r="H320" s="49">
        <f t="shared" si="58"/>
        <v>0</v>
      </c>
      <c r="J320" s="46" t="b">
        <f t="shared" si="59"/>
        <v>1</v>
      </c>
    </row>
    <row r="321" spans="1:10" x14ac:dyDescent="0.25">
      <c r="A321" s="47">
        <v>2</v>
      </c>
      <c r="B321" s="48" t="s">
        <v>376</v>
      </c>
      <c r="E321" s="48" t="s">
        <v>803</v>
      </c>
      <c r="F321" s="47" t="s">
        <v>547</v>
      </c>
      <c r="H321" s="49">
        <f t="shared" si="58"/>
        <v>0</v>
      </c>
      <c r="J321" s="46" t="b">
        <f t="shared" si="59"/>
        <v>1</v>
      </c>
    </row>
    <row r="322" spans="1:10" x14ac:dyDescent="0.25">
      <c r="A322" s="47">
        <v>2</v>
      </c>
      <c r="B322" s="48" t="s">
        <v>377</v>
      </c>
      <c r="E322" s="48" t="s">
        <v>804</v>
      </c>
      <c r="F322" s="47" t="s">
        <v>547</v>
      </c>
      <c r="H322" s="49">
        <f t="shared" si="58"/>
        <v>0</v>
      </c>
      <c r="J322" s="46" t="b">
        <f t="shared" si="59"/>
        <v>1</v>
      </c>
    </row>
    <row r="323" spans="1:10" x14ac:dyDescent="0.25">
      <c r="A323" s="47">
        <v>2</v>
      </c>
      <c r="B323" s="48" t="s">
        <v>378</v>
      </c>
      <c r="E323" s="48" t="s">
        <v>805</v>
      </c>
      <c r="F323" s="47" t="s">
        <v>547</v>
      </c>
      <c r="H323" s="49">
        <f t="shared" si="58"/>
        <v>0</v>
      </c>
      <c r="J323" s="46" t="b">
        <f t="shared" si="59"/>
        <v>1</v>
      </c>
    </row>
    <row r="324" spans="1:10" x14ac:dyDescent="0.25">
      <c r="A324" s="47">
        <v>2</v>
      </c>
      <c r="B324" s="48" t="s">
        <v>379</v>
      </c>
      <c r="E324" s="48" t="s">
        <v>806</v>
      </c>
      <c r="F324" s="47" t="s">
        <v>547</v>
      </c>
      <c r="H324" s="49">
        <f t="shared" si="58"/>
        <v>0</v>
      </c>
      <c r="J324" s="46" t="b">
        <f t="shared" si="59"/>
        <v>1</v>
      </c>
    </row>
    <row r="325" spans="1:10" x14ac:dyDescent="0.25">
      <c r="A325" s="47">
        <v>2</v>
      </c>
      <c r="B325" s="48" t="s">
        <v>380</v>
      </c>
      <c r="E325" s="48" t="s">
        <v>807</v>
      </c>
      <c r="F325" s="47" t="s">
        <v>547</v>
      </c>
      <c r="H325" s="49">
        <f t="shared" si="58"/>
        <v>0</v>
      </c>
      <c r="J325" s="46" t="b">
        <f t="shared" si="59"/>
        <v>1</v>
      </c>
    </row>
    <row r="326" spans="1:10" x14ac:dyDescent="0.25">
      <c r="A326" s="47">
        <v>2</v>
      </c>
      <c r="B326" s="48" t="s">
        <v>178</v>
      </c>
      <c r="E326" s="48" t="s">
        <v>808</v>
      </c>
      <c r="F326" s="47" t="s">
        <v>547</v>
      </c>
      <c r="H326" s="49">
        <f t="shared" si="58"/>
        <v>0</v>
      </c>
      <c r="J326" s="46" t="b">
        <f t="shared" si="59"/>
        <v>1</v>
      </c>
    </row>
    <row r="327" spans="1:10" x14ac:dyDescent="0.25">
      <c r="A327" s="47">
        <v>2</v>
      </c>
      <c r="B327" s="48" t="s">
        <v>381</v>
      </c>
      <c r="E327" s="48" t="s">
        <v>809</v>
      </c>
      <c r="F327" s="47" t="s">
        <v>547</v>
      </c>
      <c r="H327" s="49">
        <f t="shared" si="58"/>
        <v>0</v>
      </c>
      <c r="J327" s="46" t="b">
        <f t="shared" si="59"/>
        <v>1</v>
      </c>
    </row>
    <row r="328" spans="1:10" x14ac:dyDescent="0.25">
      <c r="A328" s="47">
        <v>2</v>
      </c>
      <c r="B328" s="48" t="s">
        <v>382</v>
      </c>
      <c r="E328" s="48" t="s">
        <v>810</v>
      </c>
      <c r="F328" s="47" t="s">
        <v>610</v>
      </c>
      <c r="H328" s="49">
        <f t="shared" si="58"/>
        <v>0</v>
      </c>
      <c r="J328" s="46" t="b">
        <f t="shared" si="59"/>
        <v>1</v>
      </c>
    </row>
    <row r="329" spans="1:10" x14ac:dyDescent="0.25">
      <c r="A329" s="47">
        <v>2</v>
      </c>
      <c r="B329" s="48" t="s">
        <v>383</v>
      </c>
      <c r="E329" s="48" t="s">
        <v>811</v>
      </c>
      <c r="F329" s="47" t="s">
        <v>610</v>
      </c>
      <c r="H329" s="49">
        <f t="shared" si="58"/>
        <v>0</v>
      </c>
      <c r="J329" s="46" t="b">
        <f t="shared" si="59"/>
        <v>1</v>
      </c>
    </row>
    <row r="330" spans="1:10" x14ac:dyDescent="0.25">
      <c r="A330" s="47">
        <v>2</v>
      </c>
      <c r="B330" s="48" t="s">
        <v>384</v>
      </c>
      <c r="E330" s="48" t="s">
        <v>812</v>
      </c>
      <c r="F330" s="47" t="s">
        <v>610</v>
      </c>
      <c r="H330" s="49">
        <f t="shared" si="58"/>
        <v>0</v>
      </c>
      <c r="J330" s="46" t="b">
        <f t="shared" si="59"/>
        <v>1</v>
      </c>
    </row>
    <row r="331" spans="1:10" x14ac:dyDescent="0.25">
      <c r="A331" s="47">
        <v>2</v>
      </c>
      <c r="B331" s="48" t="s">
        <v>385</v>
      </c>
      <c r="E331" s="48" t="s">
        <v>813</v>
      </c>
      <c r="F331" s="47" t="s">
        <v>610</v>
      </c>
      <c r="H331" s="49">
        <f t="shared" si="58"/>
        <v>0</v>
      </c>
      <c r="J331" s="46" t="b">
        <f t="shared" si="59"/>
        <v>1</v>
      </c>
    </row>
    <row r="332" spans="1:10" x14ac:dyDescent="0.25">
      <c r="A332" s="47">
        <v>2</v>
      </c>
      <c r="B332" s="48" t="s">
        <v>386</v>
      </c>
      <c r="E332" s="48" t="s">
        <v>814</v>
      </c>
      <c r="F332" s="47" t="s">
        <v>610</v>
      </c>
      <c r="H332" s="49">
        <f t="shared" si="58"/>
        <v>0</v>
      </c>
      <c r="J332" s="46" t="b">
        <f t="shared" si="59"/>
        <v>1</v>
      </c>
    </row>
    <row r="333" spans="1:10" x14ac:dyDescent="0.25">
      <c r="A333" s="47">
        <v>2</v>
      </c>
      <c r="B333" s="48" t="s">
        <v>387</v>
      </c>
      <c r="E333" s="48" t="s">
        <v>815</v>
      </c>
      <c r="F333" s="47" t="s">
        <v>610</v>
      </c>
      <c r="H333" s="49">
        <f t="shared" si="58"/>
        <v>0</v>
      </c>
      <c r="J333" s="46" t="b">
        <f t="shared" si="59"/>
        <v>1</v>
      </c>
    </row>
    <row r="334" spans="1:10" x14ac:dyDescent="0.25">
      <c r="A334" s="47">
        <v>2</v>
      </c>
      <c r="B334" s="48" t="s">
        <v>388</v>
      </c>
      <c r="E334" s="48" t="s">
        <v>816</v>
      </c>
      <c r="F334" s="47" t="s">
        <v>610</v>
      </c>
      <c r="H334" s="49">
        <f t="shared" si="58"/>
        <v>0</v>
      </c>
      <c r="J334" s="46" t="b">
        <f t="shared" si="59"/>
        <v>1</v>
      </c>
    </row>
    <row r="335" spans="1:10" x14ac:dyDescent="0.25">
      <c r="A335" s="47">
        <v>2</v>
      </c>
      <c r="B335" s="48" t="s">
        <v>388</v>
      </c>
      <c r="E335" s="48" t="s">
        <v>816</v>
      </c>
      <c r="F335" s="47" t="s">
        <v>610</v>
      </c>
      <c r="H335" s="49">
        <f t="shared" si="58"/>
        <v>0</v>
      </c>
      <c r="J335" s="46" t="b">
        <f t="shared" si="59"/>
        <v>1</v>
      </c>
    </row>
    <row r="336" spans="1:10" x14ac:dyDescent="0.25">
      <c r="A336" s="47">
        <v>2</v>
      </c>
      <c r="B336" s="48" t="s">
        <v>389</v>
      </c>
      <c r="E336" s="48" t="s">
        <v>817</v>
      </c>
      <c r="F336" s="47" t="s">
        <v>610</v>
      </c>
      <c r="H336" s="49">
        <f t="shared" si="58"/>
        <v>0</v>
      </c>
      <c r="J336" s="46" t="b">
        <f t="shared" si="59"/>
        <v>1</v>
      </c>
    </row>
    <row r="337" spans="1:10" x14ac:dyDescent="0.25">
      <c r="A337" s="47">
        <v>2</v>
      </c>
      <c r="B337" s="48" t="s">
        <v>180</v>
      </c>
      <c r="E337" s="48" t="s">
        <v>818</v>
      </c>
      <c r="F337" s="47" t="s">
        <v>610</v>
      </c>
      <c r="H337" s="49">
        <f t="shared" si="58"/>
        <v>0</v>
      </c>
      <c r="J337" s="46" t="b">
        <f t="shared" si="59"/>
        <v>1</v>
      </c>
    </row>
    <row r="338" spans="1:10" x14ac:dyDescent="0.25">
      <c r="A338" s="47">
        <v>2</v>
      </c>
      <c r="B338" s="48" t="s">
        <v>181</v>
      </c>
      <c r="E338" s="48" t="s">
        <v>819</v>
      </c>
      <c r="F338" s="47" t="s">
        <v>610</v>
      </c>
      <c r="H338" s="49">
        <f t="shared" si="58"/>
        <v>0</v>
      </c>
      <c r="J338" s="46" t="b">
        <f t="shared" si="59"/>
        <v>1</v>
      </c>
    </row>
    <row r="339" spans="1:10" x14ac:dyDescent="0.25">
      <c r="A339" s="47">
        <v>2</v>
      </c>
      <c r="B339" s="48" t="s">
        <v>182</v>
      </c>
      <c r="E339" s="48" t="s">
        <v>820</v>
      </c>
      <c r="F339" s="47" t="s">
        <v>610</v>
      </c>
      <c r="H339" s="49">
        <f t="shared" si="58"/>
        <v>0</v>
      </c>
      <c r="J339" s="46" t="b">
        <f t="shared" si="59"/>
        <v>1</v>
      </c>
    </row>
    <row r="340" spans="1:10" x14ac:dyDescent="0.25">
      <c r="A340" s="47">
        <v>2</v>
      </c>
      <c r="B340" s="48" t="s">
        <v>390</v>
      </c>
      <c r="E340" s="48" t="s">
        <v>821</v>
      </c>
      <c r="F340" s="47" t="s">
        <v>610</v>
      </c>
      <c r="H340" s="49">
        <f t="shared" si="58"/>
        <v>0</v>
      </c>
      <c r="J340" s="46" t="b">
        <f t="shared" si="59"/>
        <v>1</v>
      </c>
    </row>
    <row r="341" spans="1:10" x14ac:dyDescent="0.25">
      <c r="A341" s="47">
        <v>2</v>
      </c>
      <c r="B341" s="48" t="s">
        <v>391</v>
      </c>
      <c r="E341" s="48" t="s">
        <v>822</v>
      </c>
      <c r="F341" s="47" t="s">
        <v>610</v>
      </c>
      <c r="H341" s="49">
        <f t="shared" si="58"/>
        <v>0</v>
      </c>
      <c r="J341" s="46" t="b">
        <f t="shared" si="59"/>
        <v>1</v>
      </c>
    </row>
    <row r="342" spans="1:10" x14ac:dyDescent="0.25">
      <c r="A342" s="47">
        <v>2</v>
      </c>
      <c r="B342" s="48" t="s">
        <v>392</v>
      </c>
      <c r="E342" s="48" t="s">
        <v>823</v>
      </c>
      <c r="F342" s="47" t="s">
        <v>610</v>
      </c>
      <c r="H342" s="49">
        <f t="shared" si="58"/>
        <v>0</v>
      </c>
      <c r="J342" s="46" t="b">
        <f t="shared" si="59"/>
        <v>1</v>
      </c>
    </row>
    <row r="343" spans="1:10" x14ac:dyDescent="0.25">
      <c r="A343" s="47"/>
      <c r="B343" s="48"/>
      <c r="E343" s="48"/>
      <c r="F343" s="47"/>
    </row>
    <row r="344" spans="1:10" x14ac:dyDescent="0.2">
      <c r="A344" s="42">
        <v>1</v>
      </c>
      <c r="B344" s="42"/>
      <c r="C344" s="42"/>
      <c r="D344" s="42"/>
      <c r="E344" s="43" t="s">
        <v>824</v>
      </c>
      <c r="F344" s="42" t="s">
        <v>543</v>
      </c>
      <c r="G344" s="44"/>
      <c r="H344" s="45"/>
      <c r="I344" s="45"/>
      <c r="J344" s="45"/>
    </row>
    <row r="345" spans="1:10" x14ac:dyDescent="0.25">
      <c r="A345" s="47">
        <v>2</v>
      </c>
      <c r="B345" s="48" t="s">
        <v>393</v>
      </c>
      <c r="E345" s="48" t="s">
        <v>825</v>
      </c>
      <c r="F345" s="47" t="s">
        <v>547</v>
      </c>
      <c r="H345" s="49">
        <f t="shared" ref="H345:H350" si="60">ROUND(I345,2)</f>
        <v>0</v>
      </c>
      <c r="J345" s="46" t="b">
        <f t="shared" ref="J345:J350" si="61">H345=G345</f>
        <v>1</v>
      </c>
    </row>
    <row r="346" spans="1:10" x14ac:dyDescent="0.25">
      <c r="A346" s="47">
        <v>2</v>
      </c>
      <c r="B346" s="48" t="s">
        <v>394</v>
      </c>
      <c r="E346" s="48" t="s">
        <v>826</v>
      </c>
      <c r="F346" s="47" t="s">
        <v>547</v>
      </c>
      <c r="H346" s="49">
        <f t="shared" si="60"/>
        <v>0</v>
      </c>
      <c r="J346" s="46" t="b">
        <f t="shared" si="61"/>
        <v>1</v>
      </c>
    </row>
    <row r="347" spans="1:10" x14ac:dyDescent="0.25">
      <c r="A347" s="47">
        <v>2</v>
      </c>
      <c r="B347" s="48" t="s">
        <v>395</v>
      </c>
      <c r="E347" s="48" t="s">
        <v>827</v>
      </c>
      <c r="F347" s="47" t="s">
        <v>547</v>
      </c>
      <c r="H347" s="49">
        <f t="shared" si="60"/>
        <v>0</v>
      </c>
      <c r="J347" s="46" t="b">
        <f t="shared" si="61"/>
        <v>1</v>
      </c>
    </row>
    <row r="348" spans="1:10" x14ac:dyDescent="0.25">
      <c r="A348" s="47">
        <v>2</v>
      </c>
      <c r="B348" s="48" t="s">
        <v>396</v>
      </c>
      <c r="E348" s="48" t="s">
        <v>828</v>
      </c>
      <c r="F348" s="47" t="s">
        <v>547</v>
      </c>
      <c r="H348" s="49">
        <f t="shared" si="60"/>
        <v>0</v>
      </c>
      <c r="J348" s="46" t="b">
        <f t="shared" si="61"/>
        <v>1</v>
      </c>
    </row>
    <row r="349" spans="1:10" x14ac:dyDescent="0.25">
      <c r="A349" s="47">
        <v>2</v>
      </c>
      <c r="B349" s="48" t="s">
        <v>397</v>
      </c>
      <c r="E349" s="48" t="s">
        <v>829</v>
      </c>
      <c r="F349" s="47" t="s">
        <v>547</v>
      </c>
      <c r="H349" s="49">
        <f t="shared" si="60"/>
        <v>0</v>
      </c>
      <c r="J349" s="46" t="b">
        <f t="shared" si="61"/>
        <v>1</v>
      </c>
    </row>
    <row r="350" spans="1:10" x14ac:dyDescent="0.25">
      <c r="A350" s="47">
        <v>2</v>
      </c>
      <c r="B350" s="48" t="s">
        <v>184</v>
      </c>
      <c r="E350" s="48" t="s">
        <v>830</v>
      </c>
      <c r="F350" s="47" t="s">
        <v>547</v>
      </c>
      <c r="H350" s="49">
        <f t="shared" si="60"/>
        <v>0</v>
      </c>
      <c r="J350" s="46" t="b">
        <f t="shared" si="61"/>
        <v>1</v>
      </c>
    </row>
    <row r="351" spans="1:10" x14ac:dyDescent="0.25">
      <c r="A351" s="47"/>
      <c r="B351" s="48"/>
      <c r="E351" s="48"/>
      <c r="F351" s="47"/>
    </row>
    <row r="352" spans="1:10" x14ac:dyDescent="0.2">
      <c r="A352" s="42">
        <v>1</v>
      </c>
      <c r="B352" s="42"/>
      <c r="C352" s="42"/>
      <c r="D352" s="42"/>
      <c r="E352" s="43" t="s">
        <v>831</v>
      </c>
      <c r="F352" s="42" t="s">
        <v>543</v>
      </c>
      <c r="G352" s="44"/>
      <c r="H352" s="45"/>
      <c r="I352" s="45"/>
      <c r="J352" s="45"/>
    </row>
    <row r="353" spans="1:10" x14ac:dyDescent="0.25">
      <c r="A353" s="47">
        <v>2</v>
      </c>
      <c r="B353" s="48" t="s">
        <v>179</v>
      </c>
      <c r="E353" s="48" t="s">
        <v>832</v>
      </c>
      <c r="F353" s="47" t="s">
        <v>547</v>
      </c>
      <c r="H353" s="49">
        <f t="shared" ref="H353:H355" si="62">ROUND(I353,2)</f>
        <v>0</v>
      </c>
      <c r="J353" s="46" t="b">
        <f t="shared" ref="J353:J355" si="63">H353=G353</f>
        <v>1</v>
      </c>
    </row>
    <row r="354" spans="1:10" x14ac:dyDescent="0.25">
      <c r="A354" s="47">
        <v>2</v>
      </c>
      <c r="B354" s="48" t="s">
        <v>398</v>
      </c>
      <c r="E354" s="48" t="s">
        <v>833</v>
      </c>
      <c r="F354" s="47" t="s">
        <v>547</v>
      </c>
      <c r="H354" s="49">
        <f t="shared" si="62"/>
        <v>0</v>
      </c>
      <c r="J354" s="46" t="b">
        <f t="shared" si="63"/>
        <v>1</v>
      </c>
    </row>
    <row r="355" spans="1:10" x14ac:dyDescent="0.25">
      <c r="A355" s="47">
        <v>2</v>
      </c>
      <c r="B355" s="48" t="s">
        <v>399</v>
      </c>
      <c r="E355" s="48" t="s">
        <v>834</v>
      </c>
      <c r="F355" s="47" t="s">
        <v>547</v>
      </c>
      <c r="H355" s="49">
        <f t="shared" si="62"/>
        <v>0</v>
      </c>
      <c r="J355" s="46" t="b">
        <f t="shared" si="63"/>
        <v>1</v>
      </c>
    </row>
    <row r="356" spans="1:10" x14ac:dyDescent="0.25">
      <c r="A356" s="47"/>
      <c r="B356" s="48"/>
      <c r="E356" s="48"/>
      <c r="F356" s="47"/>
    </row>
    <row r="357" spans="1:10" x14ac:dyDescent="0.2">
      <c r="A357" s="42">
        <v>1</v>
      </c>
      <c r="B357" s="42"/>
      <c r="C357" s="42"/>
      <c r="D357" s="42"/>
      <c r="E357" s="43" t="s">
        <v>835</v>
      </c>
      <c r="F357" s="42" t="s">
        <v>543</v>
      </c>
      <c r="G357" s="44"/>
      <c r="H357" s="45"/>
      <c r="I357" s="45"/>
      <c r="J357" s="45"/>
    </row>
    <row r="358" spans="1:10" x14ac:dyDescent="0.25">
      <c r="A358" s="47">
        <v>2</v>
      </c>
      <c r="B358" s="48" t="s">
        <v>218</v>
      </c>
      <c r="E358" s="48" t="s">
        <v>836</v>
      </c>
      <c r="F358" s="47" t="s">
        <v>547</v>
      </c>
      <c r="H358" s="49">
        <f t="shared" ref="H358:H370" si="64">ROUND(I358,2)</f>
        <v>0</v>
      </c>
      <c r="J358" s="46" t="b">
        <f t="shared" ref="J358:J370" si="65">H358=G358</f>
        <v>1</v>
      </c>
    </row>
    <row r="359" spans="1:10" x14ac:dyDescent="0.25">
      <c r="A359" s="47">
        <v>2</v>
      </c>
      <c r="B359" s="48" t="s">
        <v>400</v>
      </c>
      <c r="E359" s="48" t="s">
        <v>837</v>
      </c>
      <c r="F359" s="47" t="s">
        <v>547</v>
      </c>
      <c r="H359" s="49">
        <f t="shared" si="64"/>
        <v>0</v>
      </c>
      <c r="J359" s="46" t="b">
        <f t="shared" si="65"/>
        <v>1</v>
      </c>
    </row>
    <row r="360" spans="1:10" x14ac:dyDescent="0.25">
      <c r="A360" s="47">
        <v>2</v>
      </c>
      <c r="B360" s="48" t="s">
        <v>219</v>
      </c>
      <c r="E360" s="48" t="s">
        <v>838</v>
      </c>
      <c r="F360" s="47" t="s">
        <v>547</v>
      </c>
      <c r="H360" s="49">
        <f t="shared" si="64"/>
        <v>0</v>
      </c>
      <c r="J360" s="46" t="b">
        <f t="shared" si="65"/>
        <v>1</v>
      </c>
    </row>
    <row r="361" spans="1:10" x14ac:dyDescent="0.25">
      <c r="A361" s="47">
        <v>2</v>
      </c>
      <c r="B361" s="48" t="s">
        <v>401</v>
      </c>
      <c r="E361" s="48" t="s">
        <v>839</v>
      </c>
      <c r="F361" s="47" t="s">
        <v>547</v>
      </c>
      <c r="H361" s="49">
        <f t="shared" si="64"/>
        <v>0</v>
      </c>
      <c r="J361" s="46" t="b">
        <f t="shared" si="65"/>
        <v>1</v>
      </c>
    </row>
    <row r="362" spans="1:10" x14ac:dyDescent="0.25">
      <c r="A362" s="47">
        <v>2</v>
      </c>
      <c r="B362" s="48" t="s">
        <v>402</v>
      </c>
      <c r="E362" s="48" t="s">
        <v>840</v>
      </c>
      <c r="F362" s="47" t="s">
        <v>547</v>
      </c>
      <c r="H362" s="49">
        <f t="shared" si="64"/>
        <v>0</v>
      </c>
      <c r="J362" s="46" t="b">
        <f t="shared" si="65"/>
        <v>1</v>
      </c>
    </row>
    <row r="363" spans="1:10" x14ac:dyDescent="0.25">
      <c r="A363" s="47">
        <v>2</v>
      </c>
      <c r="B363" s="48" t="s">
        <v>403</v>
      </c>
      <c r="E363" s="48" t="s">
        <v>841</v>
      </c>
      <c r="F363" s="47" t="s">
        <v>610</v>
      </c>
      <c r="H363" s="49">
        <f t="shared" si="64"/>
        <v>0</v>
      </c>
      <c r="J363" s="46" t="b">
        <f t="shared" si="65"/>
        <v>1</v>
      </c>
    </row>
    <row r="364" spans="1:10" x14ac:dyDescent="0.25">
      <c r="A364" s="47">
        <v>2</v>
      </c>
      <c r="B364" s="48" t="s">
        <v>404</v>
      </c>
      <c r="E364" s="48" t="s">
        <v>842</v>
      </c>
      <c r="F364" s="47" t="s">
        <v>547</v>
      </c>
      <c r="H364" s="49">
        <f t="shared" si="64"/>
        <v>0</v>
      </c>
      <c r="J364" s="46" t="b">
        <f t="shared" si="65"/>
        <v>1</v>
      </c>
    </row>
    <row r="365" spans="1:10" x14ac:dyDescent="0.25">
      <c r="A365" s="47">
        <v>2</v>
      </c>
      <c r="B365" s="48" t="s">
        <v>405</v>
      </c>
      <c r="E365" s="48" t="s">
        <v>843</v>
      </c>
      <c r="F365" s="47" t="s">
        <v>547</v>
      </c>
      <c r="H365" s="49">
        <f t="shared" si="64"/>
        <v>0</v>
      </c>
      <c r="J365" s="46" t="b">
        <f t="shared" si="65"/>
        <v>1</v>
      </c>
    </row>
    <row r="366" spans="1:10" x14ac:dyDescent="0.25">
      <c r="A366" s="47">
        <v>2</v>
      </c>
      <c r="B366" s="48" t="s">
        <v>406</v>
      </c>
      <c r="E366" s="48" t="s">
        <v>844</v>
      </c>
      <c r="F366" s="47" t="s">
        <v>547</v>
      </c>
      <c r="H366" s="49">
        <f t="shared" si="64"/>
        <v>0</v>
      </c>
      <c r="J366" s="46" t="b">
        <f t="shared" si="65"/>
        <v>1</v>
      </c>
    </row>
    <row r="367" spans="1:10" x14ac:dyDescent="0.25">
      <c r="A367" s="47">
        <v>2</v>
      </c>
      <c r="B367" s="48" t="s">
        <v>407</v>
      </c>
      <c r="E367" s="48" t="s">
        <v>845</v>
      </c>
      <c r="F367" s="47" t="s">
        <v>547</v>
      </c>
      <c r="H367" s="49">
        <f t="shared" si="64"/>
        <v>0</v>
      </c>
      <c r="J367" s="46" t="b">
        <f t="shared" si="65"/>
        <v>1</v>
      </c>
    </row>
    <row r="368" spans="1:10" x14ac:dyDescent="0.25">
      <c r="A368" s="47">
        <v>2</v>
      </c>
      <c r="B368" s="48" t="s">
        <v>408</v>
      </c>
      <c r="E368" s="48" t="s">
        <v>846</v>
      </c>
      <c r="F368" s="47" t="s">
        <v>547</v>
      </c>
      <c r="H368" s="49">
        <f t="shared" si="64"/>
        <v>0</v>
      </c>
      <c r="J368" s="46" t="b">
        <f t="shared" si="65"/>
        <v>1</v>
      </c>
    </row>
    <row r="369" spans="1:10" x14ac:dyDescent="0.25">
      <c r="A369" s="47">
        <v>2</v>
      </c>
      <c r="B369" s="48" t="s">
        <v>409</v>
      </c>
      <c r="E369" s="48" t="s">
        <v>847</v>
      </c>
      <c r="F369" s="47" t="s">
        <v>547</v>
      </c>
      <c r="H369" s="49">
        <f t="shared" si="64"/>
        <v>0</v>
      </c>
      <c r="J369" s="46" t="b">
        <f t="shared" si="65"/>
        <v>1</v>
      </c>
    </row>
    <row r="370" spans="1:10" x14ac:dyDescent="0.25">
      <c r="A370" s="47">
        <v>2</v>
      </c>
      <c r="B370" s="48" t="s">
        <v>410</v>
      </c>
      <c r="E370" s="48" t="s">
        <v>848</v>
      </c>
      <c r="F370" s="47" t="s">
        <v>547</v>
      </c>
      <c r="H370" s="49">
        <f t="shared" si="64"/>
        <v>0</v>
      </c>
      <c r="J370" s="46" t="b">
        <f t="shared" si="65"/>
        <v>1</v>
      </c>
    </row>
    <row r="371" spans="1:10" x14ac:dyDescent="0.25">
      <c r="A371" s="47">
        <v>2</v>
      </c>
      <c r="B371" s="48"/>
      <c r="E371" s="48" t="s">
        <v>849</v>
      </c>
      <c r="F371" s="47" t="s">
        <v>543</v>
      </c>
    </row>
    <row r="372" spans="1:10" x14ac:dyDescent="0.25">
      <c r="A372" s="47">
        <v>3</v>
      </c>
      <c r="B372" s="48" t="s">
        <v>348</v>
      </c>
      <c r="E372" s="48" t="s">
        <v>758</v>
      </c>
      <c r="F372" s="47" t="s">
        <v>547</v>
      </c>
      <c r="H372" s="49">
        <f t="shared" ref="H372:H383" si="66">ROUND(I372,2)</f>
        <v>0</v>
      </c>
      <c r="J372" s="46" t="b">
        <f t="shared" ref="J372:J383" si="67">H372=G372</f>
        <v>1</v>
      </c>
    </row>
    <row r="373" spans="1:10" x14ac:dyDescent="0.25">
      <c r="A373" s="47">
        <v>3</v>
      </c>
      <c r="B373" s="48" t="s">
        <v>411</v>
      </c>
      <c r="E373" s="48" t="s">
        <v>850</v>
      </c>
      <c r="F373" s="47" t="s">
        <v>547</v>
      </c>
      <c r="H373" s="49">
        <f t="shared" si="66"/>
        <v>0</v>
      </c>
      <c r="J373" s="46" t="b">
        <f t="shared" si="67"/>
        <v>1</v>
      </c>
    </row>
    <row r="374" spans="1:10" x14ac:dyDescent="0.25">
      <c r="A374" s="47">
        <v>3</v>
      </c>
      <c r="B374" s="48" t="s">
        <v>412</v>
      </c>
      <c r="E374" s="48" t="s">
        <v>851</v>
      </c>
      <c r="F374" s="47" t="s">
        <v>547</v>
      </c>
      <c r="H374" s="49">
        <f t="shared" si="66"/>
        <v>0</v>
      </c>
      <c r="J374" s="46" t="b">
        <f t="shared" si="67"/>
        <v>1</v>
      </c>
    </row>
    <row r="375" spans="1:10" x14ac:dyDescent="0.25">
      <c r="A375" s="47">
        <v>2</v>
      </c>
      <c r="B375" s="48" t="s">
        <v>187</v>
      </c>
      <c r="E375" s="48" t="s">
        <v>852</v>
      </c>
      <c r="F375" s="47" t="s">
        <v>547</v>
      </c>
      <c r="H375" s="49">
        <f t="shared" si="66"/>
        <v>0</v>
      </c>
      <c r="J375" s="46" t="b">
        <f t="shared" si="67"/>
        <v>1</v>
      </c>
    </row>
    <row r="376" spans="1:10" x14ac:dyDescent="0.25">
      <c r="A376" s="47">
        <v>2</v>
      </c>
      <c r="B376" s="48" t="s">
        <v>413</v>
      </c>
      <c r="E376" s="48" t="s">
        <v>853</v>
      </c>
      <c r="F376" s="47" t="s">
        <v>610</v>
      </c>
      <c r="H376" s="49">
        <f t="shared" si="66"/>
        <v>0</v>
      </c>
      <c r="J376" s="46" t="b">
        <f t="shared" si="67"/>
        <v>1</v>
      </c>
    </row>
    <row r="377" spans="1:10" x14ac:dyDescent="0.25">
      <c r="A377" s="47">
        <v>2</v>
      </c>
      <c r="B377" s="48" t="s">
        <v>414</v>
      </c>
      <c r="E377" s="48" t="s">
        <v>854</v>
      </c>
      <c r="F377" s="47" t="s">
        <v>610</v>
      </c>
      <c r="H377" s="49">
        <f t="shared" si="66"/>
        <v>0</v>
      </c>
      <c r="J377" s="46" t="b">
        <f t="shared" si="67"/>
        <v>1</v>
      </c>
    </row>
    <row r="378" spans="1:10" x14ac:dyDescent="0.25">
      <c r="A378" s="47">
        <v>2</v>
      </c>
      <c r="B378" s="48" t="s">
        <v>415</v>
      </c>
      <c r="E378" s="48" t="s">
        <v>855</v>
      </c>
      <c r="F378" s="47" t="s">
        <v>610</v>
      </c>
      <c r="H378" s="49">
        <f t="shared" si="66"/>
        <v>0</v>
      </c>
      <c r="J378" s="46" t="b">
        <f t="shared" si="67"/>
        <v>1</v>
      </c>
    </row>
    <row r="379" spans="1:10" x14ac:dyDescent="0.25">
      <c r="A379" s="47">
        <v>2</v>
      </c>
      <c r="B379" s="48" t="s">
        <v>183</v>
      </c>
      <c r="E379" s="48" t="s">
        <v>856</v>
      </c>
      <c r="F379" s="47" t="s">
        <v>610</v>
      </c>
      <c r="H379" s="49">
        <f t="shared" si="66"/>
        <v>0</v>
      </c>
      <c r="J379" s="46" t="b">
        <f t="shared" si="67"/>
        <v>1</v>
      </c>
    </row>
    <row r="380" spans="1:10" x14ac:dyDescent="0.25">
      <c r="A380" s="47">
        <v>2</v>
      </c>
      <c r="B380" s="48" t="s">
        <v>416</v>
      </c>
      <c r="E380" s="48" t="s">
        <v>857</v>
      </c>
      <c r="F380" s="47" t="s">
        <v>610</v>
      </c>
      <c r="H380" s="49">
        <f t="shared" si="66"/>
        <v>0</v>
      </c>
      <c r="J380" s="46" t="b">
        <f t="shared" si="67"/>
        <v>1</v>
      </c>
    </row>
    <row r="381" spans="1:10" x14ac:dyDescent="0.25">
      <c r="A381" s="47">
        <v>2</v>
      </c>
      <c r="B381" s="48" t="s">
        <v>417</v>
      </c>
      <c r="E381" s="48" t="s">
        <v>858</v>
      </c>
      <c r="F381" s="47" t="s">
        <v>610</v>
      </c>
      <c r="H381" s="49">
        <f t="shared" si="66"/>
        <v>0</v>
      </c>
      <c r="J381" s="46" t="b">
        <f t="shared" si="67"/>
        <v>1</v>
      </c>
    </row>
    <row r="382" spans="1:10" x14ac:dyDescent="0.25">
      <c r="A382" s="47">
        <v>2</v>
      </c>
      <c r="B382" s="48" t="s">
        <v>418</v>
      </c>
      <c r="E382" s="48" t="s">
        <v>859</v>
      </c>
      <c r="F382" s="47" t="s">
        <v>610</v>
      </c>
      <c r="H382" s="49">
        <f t="shared" si="66"/>
        <v>0</v>
      </c>
      <c r="J382" s="46" t="b">
        <f t="shared" si="67"/>
        <v>1</v>
      </c>
    </row>
    <row r="383" spans="1:10" x14ac:dyDescent="0.25">
      <c r="A383" s="47">
        <v>2</v>
      </c>
      <c r="B383" s="48" t="s">
        <v>419</v>
      </c>
      <c r="E383" s="48" t="s">
        <v>860</v>
      </c>
      <c r="F383" s="47" t="s">
        <v>610</v>
      </c>
      <c r="H383" s="49">
        <f t="shared" si="66"/>
        <v>0</v>
      </c>
      <c r="J383" s="46" t="b">
        <f t="shared" si="67"/>
        <v>1</v>
      </c>
    </row>
    <row r="384" spans="1:10" x14ac:dyDescent="0.25">
      <c r="A384" s="47"/>
      <c r="B384" s="48"/>
      <c r="E384" s="48"/>
      <c r="F384" s="47"/>
    </row>
    <row r="385" spans="1:10" x14ac:dyDescent="0.2">
      <c r="A385" s="42">
        <v>1</v>
      </c>
      <c r="B385" s="42"/>
      <c r="C385" s="42"/>
      <c r="D385" s="42"/>
      <c r="E385" s="43" t="s">
        <v>861</v>
      </c>
      <c r="F385" s="42" t="s">
        <v>543</v>
      </c>
      <c r="G385" s="44"/>
      <c r="H385" s="45"/>
      <c r="I385" s="45"/>
      <c r="J385" s="45"/>
    </row>
    <row r="386" spans="1:10" x14ac:dyDescent="0.25">
      <c r="A386" s="47">
        <v>2</v>
      </c>
      <c r="B386" s="48" t="s">
        <v>186</v>
      </c>
      <c r="E386" s="48" t="s">
        <v>862</v>
      </c>
      <c r="F386" s="47" t="s">
        <v>547</v>
      </c>
      <c r="H386" s="49">
        <f t="shared" ref="H386" si="68">ROUND(I386,2)</f>
        <v>0</v>
      </c>
      <c r="J386" s="46" t="b">
        <f t="shared" ref="J386" si="69">H386=G386</f>
        <v>1</v>
      </c>
    </row>
    <row r="387" spans="1:10" x14ac:dyDescent="0.25">
      <c r="A387" s="47"/>
      <c r="B387" s="48"/>
      <c r="E387" s="48"/>
      <c r="F387" s="47"/>
    </row>
    <row r="388" spans="1:10" x14ac:dyDescent="0.2">
      <c r="A388" s="42">
        <v>1</v>
      </c>
      <c r="B388" s="42"/>
      <c r="C388" s="42"/>
      <c r="D388" s="42"/>
      <c r="E388" s="43" t="s">
        <v>863</v>
      </c>
      <c r="F388" s="42" t="s">
        <v>543</v>
      </c>
      <c r="G388" s="44"/>
      <c r="H388" s="45"/>
      <c r="I388" s="45"/>
      <c r="J388" s="45"/>
    </row>
    <row r="389" spans="1:10" x14ac:dyDescent="0.25">
      <c r="A389" s="50">
        <v>2</v>
      </c>
      <c r="B389" s="51"/>
      <c r="C389" s="52"/>
      <c r="D389" s="52"/>
      <c r="E389" s="51" t="s">
        <v>864</v>
      </c>
      <c r="F389" s="50" t="s">
        <v>543</v>
      </c>
      <c r="G389" s="53"/>
      <c r="H389" s="53"/>
      <c r="I389" s="53"/>
      <c r="J389" s="52"/>
    </row>
    <row r="390" spans="1:10" x14ac:dyDescent="0.25">
      <c r="A390" s="47">
        <v>3</v>
      </c>
      <c r="B390" s="48" t="s">
        <v>420</v>
      </c>
      <c r="E390" s="48" t="s">
        <v>865</v>
      </c>
      <c r="F390" s="47" t="s">
        <v>547</v>
      </c>
      <c r="H390" s="49">
        <f t="shared" ref="H390:H393" si="70">ROUND(I390,2)</f>
        <v>0</v>
      </c>
      <c r="J390" s="46" t="b">
        <f t="shared" ref="J390:J393" si="71">H390=G390</f>
        <v>1</v>
      </c>
    </row>
    <row r="391" spans="1:10" x14ac:dyDescent="0.25">
      <c r="A391" s="47">
        <v>3</v>
      </c>
      <c r="B391" s="48" t="s">
        <v>422</v>
      </c>
      <c r="E391" s="48" t="s">
        <v>866</v>
      </c>
      <c r="F391" s="47" t="s">
        <v>547</v>
      </c>
      <c r="H391" s="49">
        <f t="shared" si="70"/>
        <v>0</v>
      </c>
      <c r="J391" s="46" t="b">
        <f t="shared" si="71"/>
        <v>1</v>
      </c>
    </row>
    <row r="392" spans="1:10" x14ac:dyDescent="0.25">
      <c r="A392" s="47">
        <v>3</v>
      </c>
      <c r="B392" s="48" t="s">
        <v>424</v>
      </c>
      <c r="E392" s="48" t="s">
        <v>867</v>
      </c>
      <c r="F392" s="47" t="s">
        <v>547</v>
      </c>
      <c r="H392" s="49">
        <f t="shared" si="70"/>
        <v>0</v>
      </c>
      <c r="J392" s="46" t="b">
        <f t="shared" si="71"/>
        <v>1</v>
      </c>
    </row>
    <row r="393" spans="1:10" x14ac:dyDescent="0.25">
      <c r="A393" s="47">
        <v>3</v>
      </c>
      <c r="B393" s="48" t="s">
        <v>426</v>
      </c>
      <c r="E393" s="48" t="s">
        <v>868</v>
      </c>
      <c r="F393" s="47" t="s">
        <v>547</v>
      </c>
      <c r="H393" s="49">
        <f t="shared" si="70"/>
        <v>0</v>
      </c>
      <c r="J393" s="46" t="b">
        <f t="shared" si="71"/>
        <v>1</v>
      </c>
    </row>
    <row r="394" spans="1:10" x14ac:dyDescent="0.25">
      <c r="A394" s="50">
        <v>2</v>
      </c>
      <c r="B394" s="51"/>
      <c r="C394" s="52"/>
      <c r="D394" s="52"/>
      <c r="E394" s="51" t="s">
        <v>869</v>
      </c>
      <c r="F394" s="50" t="s">
        <v>543</v>
      </c>
      <c r="G394" s="53"/>
      <c r="H394" s="53"/>
      <c r="I394" s="53"/>
      <c r="J394" s="52"/>
    </row>
    <row r="395" spans="1:10" x14ac:dyDescent="0.25">
      <c r="A395" s="47">
        <v>3</v>
      </c>
      <c r="B395" s="48" t="s">
        <v>428</v>
      </c>
      <c r="E395" s="48" t="s">
        <v>870</v>
      </c>
      <c r="F395" s="47" t="s">
        <v>547</v>
      </c>
      <c r="H395" s="49">
        <f t="shared" ref="H395:H399" si="72">ROUND(I395,2)</f>
        <v>0</v>
      </c>
      <c r="J395" s="46" t="b">
        <f t="shared" ref="J395:J399" si="73">H395=G395</f>
        <v>1</v>
      </c>
    </row>
    <row r="396" spans="1:10" x14ac:dyDescent="0.25">
      <c r="A396" s="47">
        <v>3</v>
      </c>
      <c r="B396" s="48" t="s">
        <v>429</v>
      </c>
      <c r="E396" s="48" t="s">
        <v>871</v>
      </c>
      <c r="F396" s="47" t="s">
        <v>547</v>
      </c>
      <c r="H396" s="49">
        <f t="shared" si="72"/>
        <v>0</v>
      </c>
      <c r="J396" s="46" t="b">
        <f t="shared" si="73"/>
        <v>1</v>
      </c>
    </row>
    <row r="397" spans="1:10" x14ac:dyDescent="0.25">
      <c r="A397" s="47">
        <v>3</v>
      </c>
      <c r="B397" s="48" t="s">
        <v>430</v>
      </c>
      <c r="E397" s="48" t="s">
        <v>872</v>
      </c>
      <c r="F397" s="47" t="s">
        <v>547</v>
      </c>
      <c r="H397" s="49">
        <f t="shared" si="72"/>
        <v>0</v>
      </c>
      <c r="J397" s="46" t="b">
        <f t="shared" si="73"/>
        <v>1</v>
      </c>
    </row>
    <row r="398" spans="1:10" x14ac:dyDescent="0.25">
      <c r="A398" s="47">
        <v>3</v>
      </c>
      <c r="B398" s="48" t="s">
        <v>431</v>
      </c>
      <c r="E398" s="48" t="s">
        <v>873</v>
      </c>
      <c r="F398" s="47" t="s">
        <v>610</v>
      </c>
      <c r="H398" s="49">
        <f t="shared" si="72"/>
        <v>0</v>
      </c>
      <c r="J398" s="46" t="b">
        <f t="shared" si="73"/>
        <v>1</v>
      </c>
    </row>
    <row r="399" spans="1:10" x14ac:dyDescent="0.25">
      <c r="A399" s="47">
        <v>3</v>
      </c>
      <c r="B399" s="48" t="s">
        <v>432</v>
      </c>
      <c r="E399" s="48" t="s">
        <v>874</v>
      </c>
      <c r="F399" s="47" t="s">
        <v>610</v>
      </c>
      <c r="H399" s="49">
        <f t="shared" si="72"/>
        <v>0</v>
      </c>
      <c r="J399" s="46" t="b">
        <f t="shared" si="73"/>
        <v>1</v>
      </c>
    </row>
    <row r="400" spans="1:10" x14ac:dyDescent="0.25">
      <c r="A400" s="47"/>
      <c r="B400" s="48"/>
      <c r="E400" s="48"/>
      <c r="F400" s="47"/>
    </row>
    <row r="401" spans="1:10" x14ac:dyDescent="0.2">
      <c r="A401" s="42">
        <v>1</v>
      </c>
      <c r="B401" s="42"/>
      <c r="C401" s="42"/>
      <c r="D401" s="42"/>
      <c r="E401" s="43" t="s">
        <v>875</v>
      </c>
      <c r="F401" s="42" t="s">
        <v>543</v>
      </c>
      <c r="G401" s="44"/>
      <c r="H401" s="45"/>
      <c r="I401" s="45"/>
      <c r="J401" s="45"/>
    </row>
    <row r="402" spans="1:10" x14ac:dyDescent="0.25">
      <c r="A402" s="47">
        <v>2</v>
      </c>
      <c r="B402" s="48" t="s">
        <v>433</v>
      </c>
      <c r="E402" s="48" t="s">
        <v>876</v>
      </c>
      <c r="F402" s="47" t="s">
        <v>618</v>
      </c>
      <c r="H402" s="49">
        <f t="shared" ref="H402:H416" si="74">ROUND(I402,2)</f>
        <v>0</v>
      </c>
      <c r="J402" s="46" t="b">
        <f t="shared" ref="J402:J416" si="75">H402=G402</f>
        <v>1</v>
      </c>
    </row>
    <row r="403" spans="1:10" x14ac:dyDescent="0.25">
      <c r="A403" s="47">
        <v>2</v>
      </c>
      <c r="B403" s="48" t="s">
        <v>434</v>
      </c>
      <c r="E403" s="48" t="s">
        <v>877</v>
      </c>
      <c r="F403" s="47" t="s">
        <v>618</v>
      </c>
      <c r="H403" s="49">
        <f t="shared" si="74"/>
        <v>0</v>
      </c>
      <c r="J403" s="46" t="b">
        <f t="shared" si="75"/>
        <v>1</v>
      </c>
    </row>
    <row r="404" spans="1:10" x14ac:dyDescent="0.25">
      <c r="A404" s="47">
        <v>2</v>
      </c>
      <c r="B404" s="48" t="s">
        <v>435</v>
      </c>
      <c r="E404" s="48" t="s">
        <v>878</v>
      </c>
      <c r="F404" s="47" t="s">
        <v>618</v>
      </c>
      <c r="H404" s="49">
        <f t="shared" si="74"/>
        <v>0</v>
      </c>
      <c r="J404" s="46" t="b">
        <f t="shared" si="75"/>
        <v>1</v>
      </c>
    </row>
    <row r="405" spans="1:10" x14ac:dyDescent="0.25">
      <c r="A405" s="47">
        <v>2</v>
      </c>
      <c r="B405" s="48" t="s">
        <v>436</v>
      </c>
      <c r="E405" s="48" t="s">
        <v>879</v>
      </c>
      <c r="F405" s="47" t="s">
        <v>618</v>
      </c>
      <c r="H405" s="49">
        <f t="shared" si="74"/>
        <v>0</v>
      </c>
      <c r="J405" s="46" t="b">
        <f t="shared" si="75"/>
        <v>1</v>
      </c>
    </row>
    <row r="406" spans="1:10" x14ac:dyDescent="0.25">
      <c r="A406" s="47">
        <v>2</v>
      </c>
      <c r="B406" s="48" t="s">
        <v>437</v>
      </c>
      <c r="E406" s="48" t="s">
        <v>880</v>
      </c>
      <c r="F406" s="47" t="s">
        <v>618</v>
      </c>
      <c r="H406" s="49">
        <f t="shared" si="74"/>
        <v>0</v>
      </c>
      <c r="J406" s="46" t="b">
        <f t="shared" si="75"/>
        <v>1</v>
      </c>
    </row>
    <row r="407" spans="1:10" x14ac:dyDescent="0.25">
      <c r="A407" s="47">
        <v>2</v>
      </c>
      <c r="B407" s="48" t="s">
        <v>438</v>
      </c>
      <c r="E407" s="48" t="s">
        <v>881</v>
      </c>
      <c r="F407" s="47" t="s">
        <v>618</v>
      </c>
      <c r="H407" s="49">
        <f t="shared" si="74"/>
        <v>0</v>
      </c>
      <c r="J407" s="46" t="b">
        <f t="shared" si="75"/>
        <v>1</v>
      </c>
    </row>
    <row r="408" spans="1:10" x14ac:dyDescent="0.25">
      <c r="A408" s="47">
        <v>2</v>
      </c>
      <c r="B408" s="48" t="s">
        <v>439</v>
      </c>
      <c r="E408" s="48" t="s">
        <v>882</v>
      </c>
      <c r="F408" s="47" t="s">
        <v>618</v>
      </c>
      <c r="H408" s="49">
        <f t="shared" si="74"/>
        <v>0</v>
      </c>
      <c r="J408" s="46" t="b">
        <f t="shared" si="75"/>
        <v>1</v>
      </c>
    </row>
    <row r="409" spans="1:10" x14ac:dyDescent="0.25">
      <c r="A409" s="47">
        <v>2</v>
      </c>
      <c r="B409" s="48" t="s">
        <v>440</v>
      </c>
      <c r="E409" s="48" t="s">
        <v>883</v>
      </c>
      <c r="F409" s="47" t="s">
        <v>618</v>
      </c>
      <c r="H409" s="49">
        <f t="shared" si="74"/>
        <v>0</v>
      </c>
      <c r="J409" s="46" t="b">
        <f t="shared" si="75"/>
        <v>1</v>
      </c>
    </row>
    <row r="410" spans="1:10" x14ac:dyDescent="0.25">
      <c r="A410" s="47">
        <v>2</v>
      </c>
      <c r="B410" s="48" t="s">
        <v>441</v>
      </c>
      <c r="E410" s="48" t="s">
        <v>884</v>
      </c>
      <c r="F410" s="47" t="s">
        <v>618</v>
      </c>
      <c r="H410" s="49">
        <f t="shared" si="74"/>
        <v>0</v>
      </c>
      <c r="J410" s="46" t="b">
        <f t="shared" si="75"/>
        <v>1</v>
      </c>
    </row>
    <row r="411" spans="1:10" x14ac:dyDescent="0.25">
      <c r="A411" s="47">
        <v>2</v>
      </c>
      <c r="B411" s="48" t="s">
        <v>442</v>
      </c>
      <c r="E411" s="48" t="s">
        <v>885</v>
      </c>
      <c r="F411" s="47" t="s">
        <v>618</v>
      </c>
      <c r="H411" s="49">
        <f t="shared" si="74"/>
        <v>0</v>
      </c>
      <c r="J411" s="46" t="b">
        <f t="shared" si="75"/>
        <v>1</v>
      </c>
    </row>
    <row r="412" spans="1:10" x14ac:dyDescent="0.25">
      <c r="A412" s="47">
        <v>2</v>
      </c>
      <c r="B412" s="48" t="s">
        <v>443</v>
      </c>
      <c r="E412" s="48" t="s">
        <v>886</v>
      </c>
      <c r="F412" s="47" t="s">
        <v>618</v>
      </c>
      <c r="H412" s="49">
        <f t="shared" si="74"/>
        <v>0</v>
      </c>
      <c r="J412" s="46" t="b">
        <f t="shared" si="75"/>
        <v>1</v>
      </c>
    </row>
    <row r="413" spans="1:10" x14ac:dyDescent="0.25">
      <c r="A413" s="47">
        <v>2</v>
      </c>
      <c r="B413" s="48" t="s">
        <v>444</v>
      </c>
      <c r="E413" s="48" t="s">
        <v>887</v>
      </c>
      <c r="F413" s="47" t="s">
        <v>618</v>
      </c>
      <c r="H413" s="49">
        <f t="shared" si="74"/>
        <v>0</v>
      </c>
      <c r="J413" s="46" t="b">
        <f t="shared" si="75"/>
        <v>1</v>
      </c>
    </row>
    <row r="414" spans="1:10" x14ac:dyDescent="0.25">
      <c r="A414" s="47">
        <v>2</v>
      </c>
      <c r="B414" s="48" t="s">
        <v>445</v>
      </c>
      <c r="E414" s="48" t="s">
        <v>888</v>
      </c>
      <c r="F414" s="47" t="s">
        <v>618</v>
      </c>
      <c r="H414" s="49">
        <f t="shared" si="74"/>
        <v>0</v>
      </c>
      <c r="J414" s="46" t="b">
        <f t="shared" si="75"/>
        <v>1</v>
      </c>
    </row>
    <row r="415" spans="1:10" x14ac:dyDescent="0.25">
      <c r="A415" s="47">
        <v>2</v>
      </c>
      <c r="B415" s="48" t="s">
        <v>446</v>
      </c>
      <c r="E415" s="48" t="s">
        <v>889</v>
      </c>
      <c r="F415" s="47" t="s">
        <v>618</v>
      </c>
      <c r="H415" s="49">
        <f t="shared" si="74"/>
        <v>0</v>
      </c>
      <c r="J415" s="46" t="b">
        <f t="shared" si="75"/>
        <v>1</v>
      </c>
    </row>
    <row r="416" spans="1:10" x14ac:dyDescent="0.25">
      <c r="A416" s="47">
        <v>2</v>
      </c>
      <c r="B416" s="48" t="s">
        <v>447</v>
      </c>
      <c r="E416" s="48" t="s">
        <v>890</v>
      </c>
      <c r="F416" s="47" t="s">
        <v>618</v>
      </c>
      <c r="H416" s="49">
        <f t="shared" si="74"/>
        <v>0</v>
      </c>
      <c r="J416" s="46" t="b">
        <f t="shared" si="75"/>
        <v>1</v>
      </c>
    </row>
    <row r="417" spans="1:10" x14ac:dyDescent="0.25">
      <c r="A417" s="47"/>
      <c r="B417" s="48"/>
      <c r="E417" s="48"/>
      <c r="F417" s="47"/>
    </row>
    <row r="418" spans="1:10" x14ac:dyDescent="0.2">
      <c r="A418" s="42">
        <v>1</v>
      </c>
      <c r="B418" s="42"/>
      <c r="C418" s="42"/>
      <c r="D418" s="42"/>
      <c r="E418" s="43" t="s">
        <v>891</v>
      </c>
      <c r="F418" s="42" t="s">
        <v>543</v>
      </c>
      <c r="G418" s="44"/>
      <c r="H418" s="45"/>
      <c r="I418" s="45"/>
      <c r="J418" s="45"/>
    </row>
    <row r="419" spans="1:10" x14ac:dyDescent="0.25">
      <c r="A419" s="47">
        <v>2</v>
      </c>
      <c r="B419" s="48" t="s">
        <v>188</v>
      </c>
      <c r="E419" s="48" t="s">
        <v>892</v>
      </c>
      <c r="F419" s="47" t="s">
        <v>547</v>
      </c>
      <c r="H419" s="49">
        <f t="shared" ref="H419:H437" si="76">ROUND(I419,2)</f>
        <v>0</v>
      </c>
      <c r="J419" s="46" t="b">
        <f t="shared" ref="J419:J437" si="77">H419=G419</f>
        <v>1</v>
      </c>
    </row>
    <row r="420" spans="1:10" x14ac:dyDescent="0.25">
      <c r="A420" s="47">
        <v>2</v>
      </c>
      <c r="B420" s="48" t="s">
        <v>189</v>
      </c>
      <c r="E420" s="48" t="s">
        <v>893</v>
      </c>
      <c r="F420" s="47" t="s">
        <v>547</v>
      </c>
      <c r="H420" s="49">
        <f t="shared" si="76"/>
        <v>0</v>
      </c>
      <c r="J420" s="46" t="b">
        <f t="shared" si="77"/>
        <v>1</v>
      </c>
    </row>
    <row r="421" spans="1:10" x14ac:dyDescent="0.25">
      <c r="A421" s="47">
        <v>2</v>
      </c>
      <c r="B421" s="48" t="s">
        <v>448</v>
      </c>
      <c r="E421" s="48" t="s">
        <v>894</v>
      </c>
      <c r="F421" s="47" t="s">
        <v>547</v>
      </c>
      <c r="H421" s="49">
        <f t="shared" si="76"/>
        <v>0</v>
      </c>
      <c r="J421" s="46" t="b">
        <f t="shared" si="77"/>
        <v>1</v>
      </c>
    </row>
    <row r="422" spans="1:10" x14ac:dyDescent="0.25">
      <c r="A422" s="47">
        <v>2</v>
      </c>
      <c r="B422" s="48" t="s">
        <v>449</v>
      </c>
      <c r="E422" s="48" t="s">
        <v>895</v>
      </c>
      <c r="F422" s="47" t="s">
        <v>547</v>
      </c>
      <c r="H422" s="49">
        <f t="shared" si="76"/>
        <v>0</v>
      </c>
      <c r="J422" s="46" t="b">
        <f t="shared" si="77"/>
        <v>1</v>
      </c>
    </row>
    <row r="423" spans="1:10" x14ac:dyDescent="0.25">
      <c r="A423" s="47">
        <v>2</v>
      </c>
      <c r="B423" s="48" t="s">
        <v>450</v>
      </c>
      <c r="E423" s="48" t="s">
        <v>896</v>
      </c>
      <c r="F423" s="47" t="s">
        <v>547</v>
      </c>
      <c r="H423" s="49">
        <f t="shared" si="76"/>
        <v>0</v>
      </c>
      <c r="J423" s="46" t="b">
        <f t="shared" si="77"/>
        <v>1</v>
      </c>
    </row>
    <row r="424" spans="1:10" x14ac:dyDescent="0.25">
      <c r="A424" s="47">
        <v>2</v>
      </c>
      <c r="B424" s="48" t="s">
        <v>187</v>
      </c>
      <c r="E424" s="48" t="s">
        <v>897</v>
      </c>
      <c r="F424" s="47" t="s">
        <v>547</v>
      </c>
      <c r="H424" s="49">
        <f t="shared" si="76"/>
        <v>0</v>
      </c>
      <c r="J424" s="46" t="b">
        <f t="shared" si="77"/>
        <v>1</v>
      </c>
    </row>
    <row r="425" spans="1:10" x14ac:dyDescent="0.25">
      <c r="A425" s="47">
        <v>2</v>
      </c>
      <c r="B425" s="48" t="s">
        <v>451</v>
      </c>
      <c r="E425" s="48" t="s">
        <v>898</v>
      </c>
      <c r="F425" s="47" t="s">
        <v>547</v>
      </c>
      <c r="H425" s="49">
        <f t="shared" si="76"/>
        <v>0</v>
      </c>
      <c r="J425" s="46" t="b">
        <f t="shared" si="77"/>
        <v>1</v>
      </c>
    </row>
    <row r="426" spans="1:10" x14ac:dyDescent="0.25">
      <c r="A426" s="47">
        <v>2</v>
      </c>
      <c r="B426" s="48" t="s">
        <v>452</v>
      </c>
      <c r="E426" s="48" t="s">
        <v>899</v>
      </c>
      <c r="F426" s="47" t="s">
        <v>547</v>
      </c>
      <c r="H426" s="49">
        <f t="shared" si="76"/>
        <v>0</v>
      </c>
      <c r="J426" s="46" t="b">
        <f t="shared" si="77"/>
        <v>1</v>
      </c>
    </row>
    <row r="427" spans="1:10" x14ac:dyDescent="0.25">
      <c r="A427" s="47">
        <v>2</v>
      </c>
      <c r="B427" s="48" t="s">
        <v>453</v>
      </c>
      <c r="E427" s="48" t="s">
        <v>900</v>
      </c>
      <c r="F427" s="47" t="s">
        <v>547</v>
      </c>
      <c r="H427" s="49">
        <f t="shared" si="76"/>
        <v>0</v>
      </c>
      <c r="J427" s="46" t="b">
        <f t="shared" si="77"/>
        <v>1</v>
      </c>
    </row>
    <row r="428" spans="1:10" x14ac:dyDescent="0.25">
      <c r="A428" s="47">
        <v>2</v>
      </c>
      <c r="B428" s="48" t="s">
        <v>190</v>
      </c>
      <c r="E428" s="48" t="s">
        <v>901</v>
      </c>
      <c r="F428" s="47" t="s">
        <v>610</v>
      </c>
      <c r="H428" s="49">
        <f t="shared" si="76"/>
        <v>0</v>
      </c>
      <c r="J428" s="46" t="b">
        <f t="shared" si="77"/>
        <v>1</v>
      </c>
    </row>
    <row r="429" spans="1:10" x14ac:dyDescent="0.25">
      <c r="A429" s="47">
        <v>2</v>
      </c>
      <c r="B429" s="48" t="s">
        <v>191</v>
      </c>
      <c r="E429" s="48" t="s">
        <v>902</v>
      </c>
      <c r="F429" s="47" t="s">
        <v>547</v>
      </c>
      <c r="H429" s="49">
        <f t="shared" si="76"/>
        <v>0</v>
      </c>
      <c r="J429" s="46" t="b">
        <f t="shared" si="77"/>
        <v>1</v>
      </c>
    </row>
    <row r="430" spans="1:10" x14ac:dyDescent="0.25">
      <c r="A430" s="47">
        <v>2</v>
      </c>
      <c r="B430" s="48" t="s">
        <v>193</v>
      </c>
      <c r="E430" s="48" t="s">
        <v>903</v>
      </c>
      <c r="F430" s="47" t="s">
        <v>610</v>
      </c>
      <c r="H430" s="49">
        <f t="shared" si="76"/>
        <v>0</v>
      </c>
      <c r="J430" s="46" t="b">
        <f t="shared" si="77"/>
        <v>1</v>
      </c>
    </row>
    <row r="431" spans="1:10" x14ac:dyDescent="0.25">
      <c r="A431" s="47">
        <v>2</v>
      </c>
      <c r="B431" s="48" t="s">
        <v>194</v>
      </c>
      <c r="E431" s="48" t="s">
        <v>904</v>
      </c>
      <c r="F431" s="47" t="s">
        <v>618</v>
      </c>
      <c r="H431" s="49">
        <f t="shared" si="76"/>
        <v>0</v>
      </c>
      <c r="J431" s="46" t="b">
        <f t="shared" si="77"/>
        <v>1</v>
      </c>
    </row>
    <row r="432" spans="1:10" x14ac:dyDescent="0.25">
      <c r="A432" s="47">
        <v>2</v>
      </c>
      <c r="B432" s="48" t="s">
        <v>454</v>
      </c>
      <c r="E432" s="48" t="s">
        <v>905</v>
      </c>
      <c r="F432" s="47" t="s">
        <v>618</v>
      </c>
      <c r="H432" s="49">
        <f t="shared" si="76"/>
        <v>0</v>
      </c>
      <c r="J432" s="46" t="b">
        <f t="shared" si="77"/>
        <v>1</v>
      </c>
    </row>
    <row r="433" spans="1:10" x14ac:dyDescent="0.25">
      <c r="A433" s="47">
        <v>2</v>
      </c>
      <c r="B433" s="48" t="s">
        <v>192</v>
      </c>
      <c r="E433" s="48" t="s">
        <v>906</v>
      </c>
      <c r="F433" s="47" t="s">
        <v>610</v>
      </c>
      <c r="H433" s="49">
        <f t="shared" si="76"/>
        <v>0</v>
      </c>
      <c r="J433" s="46" t="b">
        <f t="shared" si="77"/>
        <v>1</v>
      </c>
    </row>
    <row r="434" spans="1:10" x14ac:dyDescent="0.25">
      <c r="A434" s="47">
        <v>2</v>
      </c>
      <c r="B434" s="48" t="s">
        <v>455</v>
      </c>
      <c r="E434" s="48" t="s">
        <v>907</v>
      </c>
      <c r="F434" s="47" t="s">
        <v>547</v>
      </c>
      <c r="H434" s="49">
        <f t="shared" si="76"/>
        <v>0</v>
      </c>
      <c r="J434" s="46" t="b">
        <f t="shared" si="77"/>
        <v>1</v>
      </c>
    </row>
    <row r="435" spans="1:10" x14ac:dyDescent="0.25">
      <c r="A435" s="47">
        <v>2</v>
      </c>
      <c r="B435" s="48" t="s">
        <v>456</v>
      </c>
      <c r="E435" s="48" t="s">
        <v>908</v>
      </c>
      <c r="F435" s="47" t="s">
        <v>610</v>
      </c>
      <c r="H435" s="49">
        <f t="shared" si="76"/>
        <v>0</v>
      </c>
      <c r="J435" s="46" t="b">
        <f t="shared" si="77"/>
        <v>1</v>
      </c>
    </row>
    <row r="436" spans="1:10" x14ac:dyDescent="0.25">
      <c r="A436" s="47">
        <v>2</v>
      </c>
      <c r="B436" s="48" t="s">
        <v>457</v>
      </c>
      <c r="E436" s="48" t="s">
        <v>909</v>
      </c>
      <c r="F436" s="47" t="s">
        <v>547</v>
      </c>
      <c r="H436" s="49">
        <f t="shared" si="76"/>
        <v>0</v>
      </c>
      <c r="J436" s="46" t="b">
        <f t="shared" si="77"/>
        <v>1</v>
      </c>
    </row>
    <row r="437" spans="1:10" x14ac:dyDescent="0.25">
      <c r="A437" s="47">
        <v>2</v>
      </c>
      <c r="B437" s="48" t="s">
        <v>458</v>
      </c>
      <c r="E437" s="48" t="s">
        <v>910</v>
      </c>
      <c r="F437" s="47" t="s">
        <v>547</v>
      </c>
      <c r="H437" s="49">
        <f t="shared" si="76"/>
        <v>0</v>
      </c>
      <c r="J437" s="46" t="b">
        <f t="shared" si="77"/>
        <v>1</v>
      </c>
    </row>
    <row r="438" spans="1:10" x14ac:dyDescent="0.25">
      <c r="A438" s="47"/>
      <c r="B438" s="48"/>
      <c r="E438" s="48"/>
      <c r="F438" s="47"/>
    </row>
    <row r="439" spans="1:10" x14ac:dyDescent="0.2">
      <c r="A439" s="42">
        <v>1</v>
      </c>
      <c r="B439" s="42"/>
      <c r="C439" s="42"/>
      <c r="D439" s="42"/>
      <c r="E439" s="43" t="s">
        <v>911</v>
      </c>
      <c r="F439" s="42" t="s">
        <v>543</v>
      </c>
      <c r="G439" s="44"/>
      <c r="H439" s="45"/>
      <c r="I439" s="45"/>
      <c r="J439" s="45"/>
    </row>
    <row r="440" spans="1:10" x14ac:dyDescent="0.25">
      <c r="A440" s="47">
        <v>2</v>
      </c>
      <c r="B440" s="48" t="s">
        <v>459</v>
      </c>
      <c r="E440" s="48" t="s">
        <v>912</v>
      </c>
      <c r="F440" s="47" t="s">
        <v>545</v>
      </c>
      <c r="H440" s="49">
        <f t="shared" ref="H440:H441" si="78">ROUND(I440,2)</f>
        <v>0</v>
      </c>
      <c r="J440" s="46" t="b">
        <f t="shared" ref="J440:J441" si="79">H440=G440</f>
        <v>1</v>
      </c>
    </row>
    <row r="441" spans="1:10" x14ac:dyDescent="0.25">
      <c r="A441" s="47">
        <v>2</v>
      </c>
      <c r="B441" s="48" t="s">
        <v>195</v>
      </c>
      <c r="E441" s="48" t="s">
        <v>913</v>
      </c>
      <c r="F441" s="47" t="s">
        <v>545</v>
      </c>
      <c r="H441" s="49">
        <f t="shared" si="78"/>
        <v>0</v>
      </c>
      <c r="J441" s="46" t="b">
        <f t="shared" si="79"/>
        <v>1</v>
      </c>
    </row>
    <row r="442" spans="1:10" x14ac:dyDescent="0.25">
      <c r="A442" s="47"/>
      <c r="B442" s="48"/>
      <c r="E442" s="48"/>
      <c r="F442" s="47"/>
    </row>
    <row r="443" spans="1:10" x14ac:dyDescent="0.2">
      <c r="A443" s="42">
        <v>1</v>
      </c>
      <c r="B443" s="42"/>
      <c r="C443" s="42"/>
      <c r="D443" s="42"/>
      <c r="E443" s="43" t="s">
        <v>914</v>
      </c>
      <c r="F443" s="42" t="s">
        <v>543</v>
      </c>
      <c r="G443" s="44"/>
      <c r="H443" s="45"/>
      <c r="I443" s="45"/>
      <c r="J443" s="45"/>
    </row>
    <row r="444" spans="1:10" x14ac:dyDescent="0.25">
      <c r="A444" s="47">
        <v>2</v>
      </c>
      <c r="B444" s="48" t="s">
        <v>200</v>
      </c>
      <c r="E444" s="48" t="s">
        <v>915</v>
      </c>
      <c r="F444" s="47" t="s">
        <v>618</v>
      </c>
      <c r="H444" s="49">
        <f t="shared" ref="H444:H483" si="80">ROUND(I444,2)</f>
        <v>0</v>
      </c>
      <c r="J444" s="46" t="b">
        <f t="shared" ref="J444:J483" si="81">H444=G444</f>
        <v>1</v>
      </c>
    </row>
    <row r="445" spans="1:10" x14ac:dyDescent="0.25">
      <c r="A445" s="47">
        <v>2</v>
      </c>
      <c r="B445" s="48" t="s">
        <v>460</v>
      </c>
      <c r="E445" s="48" t="s">
        <v>916</v>
      </c>
      <c r="F445" s="47" t="s">
        <v>618</v>
      </c>
      <c r="H445" s="49">
        <f t="shared" si="80"/>
        <v>0</v>
      </c>
      <c r="J445" s="46" t="b">
        <f t="shared" si="81"/>
        <v>1</v>
      </c>
    </row>
    <row r="446" spans="1:10" x14ac:dyDescent="0.25">
      <c r="A446" s="47">
        <v>2</v>
      </c>
      <c r="B446" s="48" t="s">
        <v>461</v>
      </c>
      <c r="E446" s="48" t="s">
        <v>917</v>
      </c>
      <c r="F446" s="47" t="s">
        <v>618</v>
      </c>
      <c r="H446" s="49">
        <f t="shared" si="80"/>
        <v>0</v>
      </c>
      <c r="J446" s="46" t="b">
        <f t="shared" si="81"/>
        <v>1</v>
      </c>
    </row>
    <row r="447" spans="1:10" x14ac:dyDescent="0.25">
      <c r="A447" s="47">
        <v>2</v>
      </c>
      <c r="B447" s="48" t="s">
        <v>462</v>
      </c>
      <c r="E447" s="48" t="s">
        <v>918</v>
      </c>
      <c r="F447" s="47" t="s">
        <v>618</v>
      </c>
      <c r="H447" s="49">
        <f t="shared" si="80"/>
        <v>0</v>
      </c>
      <c r="J447" s="46" t="b">
        <f t="shared" si="81"/>
        <v>1</v>
      </c>
    </row>
    <row r="448" spans="1:10" x14ac:dyDescent="0.25">
      <c r="A448" s="47">
        <v>2</v>
      </c>
      <c r="B448" s="48" t="s">
        <v>463</v>
      </c>
      <c r="E448" s="48" t="s">
        <v>919</v>
      </c>
      <c r="F448" s="47" t="s">
        <v>618</v>
      </c>
      <c r="H448" s="49">
        <f t="shared" si="80"/>
        <v>0</v>
      </c>
      <c r="J448" s="46" t="b">
        <f t="shared" si="81"/>
        <v>1</v>
      </c>
    </row>
    <row r="449" spans="1:10" x14ac:dyDescent="0.25">
      <c r="A449" s="47">
        <v>2</v>
      </c>
      <c r="B449" s="48" t="s">
        <v>464</v>
      </c>
      <c r="E449" s="48" t="s">
        <v>920</v>
      </c>
      <c r="F449" s="47" t="s">
        <v>618</v>
      </c>
      <c r="H449" s="49">
        <f t="shared" si="80"/>
        <v>0</v>
      </c>
      <c r="J449" s="46" t="b">
        <f t="shared" si="81"/>
        <v>1</v>
      </c>
    </row>
    <row r="450" spans="1:10" x14ac:dyDescent="0.25">
      <c r="A450" s="47">
        <v>2</v>
      </c>
      <c r="B450" s="48" t="s">
        <v>465</v>
      </c>
      <c r="E450" s="48" t="s">
        <v>921</v>
      </c>
      <c r="F450" s="47" t="s">
        <v>618</v>
      </c>
      <c r="H450" s="49">
        <f t="shared" si="80"/>
        <v>0</v>
      </c>
      <c r="J450" s="46" t="b">
        <f t="shared" si="81"/>
        <v>1</v>
      </c>
    </row>
    <row r="451" spans="1:10" x14ac:dyDescent="0.25">
      <c r="A451" s="47">
        <v>2</v>
      </c>
      <c r="B451" s="48" t="s">
        <v>466</v>
      </c>
      <c r="E451" s="48" t="s">
        <v>922</v>
      </c>
      <c r="F451" s="47" t="s">
        <v>618</v>
      </c>
      <c r="H451" s="49">
        <f t="shared" si="80"/>
        <v>0</v>
      </c>
      <c r="J451" s="46" t="b">
        <f t="shared" si="81"/>
        <v>1</v>
      </c>
    </row>
    <row r="452" spans="1:10" x14ac:dyDescent="0.25">
      <c r="A452" s="47">
        <v>2</v>
      </c>
      <c r="B452" s="48" t="s">
        <v>467</v>
      </c>
      <c r="E452" s="48" t="s">
        <v>923</v>
      </c>
      <c r="F452" s="47" t="s">
        <v>618</v>
      </c>
      <c r="H452" s="49">
        <f t="shared" si="80"/>
        <v>0</v>
      </c>
      <c r="J452" s="46" t="b">
        <f t="shared" si="81"/>
        <v>1</v>
      </c>
    </row>
    <row r="453" spans="1:10" x14ac:dyDescent="0.25">
      <c r="A453" s="47">
        <v>2</v>
      </c>
      <c r="B453" s="48" t="s">
        <v>468</v>
      </c>
      <c r="E453" s="48" t="s">
        <v>924</v>
      </c>
      <c r="F453" s="47" t="s">
        <v>618</v>
      </c>
      <c r="H453" s="49">
        <f t="shared" si="80"/>
        <v>0</v>
      </c>
      <c r="J453" s="46" t="b">
        <f t="shared" si="81"/>
        <v>1</v>
      </c>
    </row>
    <row r="454" spans="1:10" x14ac:dyDescent="0.25">
      <c r="A454" s="47">
        <v>2</v>
      </c>
      <c r="B454" s="48" t="s">
        <v>220</v>
      </c>
      <c r="E454" s="48" t="s">
        <v>925</v>
      </c>
      <c r="F454" s="47" t="s">
        <v>618</v>
      </c>
      <c r="H454" s="49">
        <f t="shared" si="80"/>
        <v>0</v>
      </c>
      <c r="J454" s="46" t="b">
        <f t="shared" si="81"/>
        <v>1</v>
      </c>
    </row>
    <row r="455" spans="1:10" x14ac:dyDescent="0.25">
      <c r="A455" s="47">
        <v>2</v>
      </c>
      <c r="B455" s="48" t="s">
        <v>469</v>
      </c>
      <c r="E455" s="48" t="s">
        <v>926</v>
      </c>
      <c r="F455" s="47" t="s">
        <v>618</v>
      </c>
      <c r="H455" s="49">
        <f t="shared" si="80"/>
        <v>0</v>
      </c>
      <c r="J455" s="46" t="b">
        <f t="shared" si="81"/>
        <v>1</v>
      </c>
    </row>
    <row r="456" spans="1:10" x14ac:dyDescent="0.25">
      <c r="A456" s="47">
        <v>2</v>
      </c>
      <c r="B456" s="48" t="s">
        <v>470</v>
      </c>
      <c r="E456" s="48" t="s">
        <v>927</v>
      </c>
      <c r="F456" s="47" t="s">
        <v>618</v>
      </c>
      <c r="H456" s="49">
        <f t="shared" si="80"/>
        <v>0</v>
      </c>
      <c r="J456" s="46" t="b">
        <f t="shared" si="81"/>
        <v>1</v>
      </c>
    </row>
    <row r="457" spans="1:10" x14ac:dyDescent="0.25">
      <c r="A457" s="47">
        <v>2</v>
      </c>
      <c r="B457" s="48" t="s">
        <v>471</v>
      </c>
      <c r="E457" s="48" t="s">
        <v>928</v>
      </c>
      <c r="F457" s="47" t="s">
        <v>618</v>
      </c>
      <c r="H457" s="49">
        <f t="shared" si="80"/>
        <v>0</v>
      </c>
      <c r="J457" s="46" t="b">
        <f t="shared" si="81"/>
        <v>1</v>
      </c>
    </row>
    <row r="458" spans="1:10" x14ac:dyDescent="0.25">
      <c r="A458" s="47">
        <v>2</v>
      </c>
      <c r="B458" s="48" t="s">
        <v>196</v>
      </c>
      <c r="E458" s="48" t="s">
        <v>929</v>
      </c>
      <c r="F458" s="47" t="s">
        <v>618</v>
      </c>
      <c r="H458" s="49">
        <f t="shared" si="80"/>
        <v>0</v>
      </c>
      <c r="J458" s="46" t="b">
        <f t="shared" si="81"/>
        <v>1</v>
      </c>
    </row>
    <row r="459" spans="1:10" x14ac:dyDescent="0.25">
      <c r="A459" s="47">
        <v>2</v>
      </c>
      <c r="B459" s="48" t="s">
        <v>472</v>
      </c>
      <c r="E459" s="48" t="s">
        <v>930</v>
      </c>
      <c r="F459" s="47" t="s">
        <v>618</v>
      </c>
      <c r="H459" s="49">
        <f t="shared" si="80"/>
        <v>0</v>
      </c>
      <c r="J459" s="46" t="b">
        <f t="shared" si="81"/>
        <v>1</v>
      </c>
    </row>
    <row r="460" spans="1:10" x14ac:dyDescent="0.25">
      <c r="A460" s="47">
        <v>2</v>
      </c>
      <c r="B460" s="48" t="s">
        <v>473</v>
      </c>
      <c r="E460" s="48" t="s">
        <v>931</v>
      </c>
      <c r="F460" s="47" t="s">
        <v>618</v>
      </c>
      <c r="H460" s="49">
        <f t="shared" si="80"/>
        <v>0</v>
      </c>
      <c r="J460" s="46" t="b">
        <f t="shared" si="81"/>
        <v>1</v>
      </c>
    </row>
    <row r="461" spans="1:10" x14ac:dyDescent="0.25">
      <c r="A461" s="47">
        <v>2</v>
      </c>
      <c r="B461" s="48" t="s">
        <v>474</v>
      </c>
      <c r="E461" s="48" t="s">
        <v>932</v>
      </c>
      <c r="F461" s="47" t="s">
        <v>618</v>
      </c>
      <c r="H461" s="49">
        <f t="shared" si="80"/>
        <v>0</v>
      </c>
      <c r="J461" s="46" t="b">
        <f t="shared" si="81"/>
        <v>1</v>
      </c>
    </row>
    <row r="462" spans="1:10" x14ac:dyDescent="0.25">
      <c r="A462" s="47">
        <v>2</v>
      </c>
      <c r="B462" s="48" t="s">
        <v>475</v>
      </c>
      <c r="E462" s="48" t="s">
        <v>933</v>
      </c>
      <c r="F462" s="47" t="s">
        <v>618</v>
      </c>
      <c r="H462" s="49">
        <f t="shared" si="80"/>
        <v>0</v>
      </c>
      <c r="J462" s="46" t="b">
        <f t="shared" si="81"/>
        <v>1</v>
      </c>
    </row>
    <row r="463" spans="1:10" x14ac:dyDescent="0.25">
      <c r="A463" s="47">
        <v>2</v>
      </c>
      <c r="B463" s="48" t="s">
        <v>476</v>
      </c>
      <c r="E463" s="48" t="s">
        <v>934</v>
      </c>
      <c r="F463" s="47" t="s">
        <v>618</v>
      </c>
      <c r="H463" s="49">
        <f t="shared" si="80"/>
        <v>0</v>
      </c>
      <c r="J463" s="46" t="b">
        <f t="shared" si="81"/>
        <v>1</v>
      </c>
    </row>
    <row r="464" spans="1:10" x14ac:dyDescent="0.25">
      <c r="A464" s="47">
        <v>2</v>
      </c>
      <c r="B464" s="48" t="s">
        <v>197</v>
      </c>
      <c r="E464" s="48" t="s">
        <v>935</v>
      </c>
      <c r="F464" s="47" t="s">
        <v>618</v>
      </c>
      <c r="H464" s="49">
        <f t="shared" si="80"/>
        <v>0</v>
      </c>
      <c r="J464" s="46" t="b">
        <f t="shared" si="81"/>
        <v>1</v>
      </c>
    </row>
    <row r="465" spans="1:10" x14ac:dyDescent="0.25">
      <c r="A465" s="47">
        <v>2</v>
      </c>
      <c r="B465" s="48" t="s">
        <v>198</v>
      </c>
      <c r="E465" s="48" t="s">
        <v>936</v>
      </c>
      <c r="F465" s="47" t="s">
        <v>618</v>
      </c>
      <c r="H465" s="49">
        <f t="shared" si="80"/>
        <v>0</v>
      </c>
      <c r="J465" s="46" t="b">
        <f t="shared" si="81"/>
        <v>1</v>
      </c>
    </row>
    <row r="466" spans="1:10" x14ac:dyDescent="0.25">
      <c r="A466" s="47">
        <v>2</v>
      </c>
      <c r="B466" s="48" t="s">
        <v>199</v>
      </c>
      <c r="E466" s="48" t="s">
        <v>937</v>
      </c>
      <c r="F466" s="47" t="s">
        <v>618</v>
      </c>
      <c r="H466" s="49">
        <f t="shared" si="80"/>
        <v>0</v>
      </c>
      <c r="J466" s="46" t="b">
        <f t="shared" si="81"/>
        <v>1</v>
      </c>
    </row>
    <row r="467" spans="1:10" x14ac:dyDescent="0.25">
      <c r="A467" s="47">
        <v>2</v>
      </c>
      <c r="B467" s="48" t="s">
        <v>477</v>
      </c>
      <c r="E467" s="48" t="s">
        <v>938</v>
      </c>
      <c r="F467" s="47" t="s">
        <v>618</v>
      </c>
      <c r="H467" s="49">
        <f t="shared" si="80"/>
        <v>0</v>
      </c>
      <c r="J467" s="46" t="b">
        <f t="shared" si="81"/>
        <v>1</v>
      </c>
    </row>
    <row r="468" spans="1:10" x14ac:dyDescent="0.25">
      <c r="A468" s="47">
        <v>2</v>
      </c>
      <c r="B468" s="48" t="s">
        <v>478</v>
      </c>
      <c r="E468" s="48" t="s">
        <v>939</v>
      </c>
      <c r="F468" s="47" t="s">
        <v>618</v>
      </c>
      <c r="H468" s="49">
        <f t="shared" si="80"/>
        <v>0</v>
      </c>
      <c r="J468" s="46" t="b">
        <f t="shared" si="81"/>
        <v>1</v>
      </c>
    </row>
    <row r="469" spans="1:10" x14ac:dyDescent="0.25">
      <c r="A469" s="47">
        <v>2</v>
      </c>
      <c r="B469" s="48" t="s">
        <v>201</v>
      </c>
      <c r="E469" s="48" t="s">
        <v>940</v>
      </c>
      <c r="F469" s="47" t="s">
        <v>618</v>
      </c>
      <c r="H469" s="49">
        <f t="shared" si="80"/>
        <v>0</v>
      </c>
      <c r="J469" s="46" t="b">
        <f t="shared" si="81"/>
        <v>1</v>
      </c>
    </row>
    <row r="470" spans="1:10" x14ac:dyDescent="0.25">
      <c r="A470" s="47">
        <v>2</v>
      </c>
      <c r="B470" s="48" t="s">
        <v>203</v>
      </c>
      <c r="E470" s="48" t="s">
        <v>941</v>
      </c>
      <c r="F470" s="47" t="s">
        <v>618</v>
      </c>
      <c r="H470" s="49">
        <f t="shared" si="80"/>
        <v>0</v>
      </c>
      <c r="J470" s="46" t="b">
        <f t="shared" si="81"/>
        <v>1</v>
      </c>
    </row>
    <row r="471" spans="1:10" x14ac:dyDescent="0.25">
      <c r="A471" s="47">
        <v>2</v>
      </c>
      <c r="B471" s="48" t="s">
        <v>479</v>
      </c>
      <c r="E471" s="48" t="s">
        <v>942</v>
      </c>
      <c r="F471" s="47" t="s">
        <v>618</v>
      </c>
      <c r="H471" s="49">
        <f t="shared" si="80"/>
        <v>0</v>
      </c>
      <c r="J471" s="46" t="b">
        <f t="shared" si="81"/>
        <v>1</v>
      </c>
    </row>
    <row r="472" spans="1:10" x14ac:dyDescent="0.25">
      <c r="A472" s="47">
        <v>2</v>
      </c>
      <c r="B472" s="48" t="s">
        <v>480</v>
      </c>
      <c r="E472" s="48" t="s">
        <v>943</v>
      </c>
      <c r="F472" s="47" t="s">
        <v>618</v>
      </c>
      <c r="H472" s="49">
        <f t="shared" si="80"/>
        <v>0</v>
      </c>
      <c r="J472" s="46" t="b">
        <f t="shared" si="81"/>
        <v>1</v>
      </c>
    </row>
    <row r="473" spans="1:10" x14ac:dyDescent="0.25">
      <c r="A473" s="47">
        <v>2</v>
      </c>
      <c r="B473" s="48" t="s">
        <v>481</v>
      </c>
      <c r="E473" s="48" t="s">
        <v>944</v>
      </c>
      <c r="F473" s="47" t="s">
        <v>618</v>
      </c>
      <c r="H473" s="49">
        <f t="shared" si="80"/>
        <v>0</v>
      </c>
      <c r="J473" s="46" t="b">
        <f t="shared" si="81"/>
        <v>1</v>
      </c>
    </row>
    <row r="474" spans="1:10" x14ac:dyDescent="0.25">
      <c r="A474" s="47">
        <v>2</v>
      </c>
      <c r="B474" s="48" t="s">
        <v>482</v>
      </c>
      <c r="E474" s="48" t="s">
        <v>945</v>
      </c>
      <c r="F474" s="47" t="s">
        <v>618</v>
      </c>
      <c r="H474" s="49">
        <f t="shared" si="80"/>
        <v>0</v>
      </c>
      <c r="J474" s="46" t="b">
        <f t="shared" si="81"/>
        <v>1</v>
      </c>
    </row>
    <row r="475" spans="1:10" x14ac:dyDescent="0.25">
      <c r="A475" s="47">
        <v>2</v>
      </c>
      <c r="B475" s="48" t="s">
        <v>483</v>
      </c>
      <c r="E475" s="48" t="s">
        <v>946</v>
      </c>
      <c r="F475" s="47" t="s">
        <v>618</v>
      </c>
      <c r="H475" s="49">
        <f t="shared" si="80"/>
        <v>0</v>
      </c>
      <c r="J475" s="46" t="b">
        <f t="shared" si="81"/>
        <v>1</v>
      </c>
    </row>
    <row r="476" spans="1:10" x14ac:dyDescent="0.25">
      <c r="A476" s="47">
        <v>2</v>
      </c>
      <c r="B476" s="48" t="s">
        <v>484</v>
      </c>
      <c r="E476" s="48" t="s">
        <v>947</v>
      </c>
      <c r="F476" s="47" t="s">
        <v>618</v>
      </c>
      <c r="H476" s="49">
        <f t="shared" si="80"/>
        <v>0</v>
      </c>
      <c r="J476" s="46" t="b">
        <f t="shared" si="81"/>
        <v>1</v>
      </c>
    </row>
    <row r="477" spans="1:10" x14ac:dyDescent="0.25">
      <c r="A477" s="47">
        <v>2</v>
      </c>
      <c r="B477" s="48" t="s">
        <v>202</v>
      </c>
      <c r="E477" s="48" t="s">
        <v>948</v>
      </c>
      <c r="F477" s="47" t="s">
        <v>618</v>
      </c>
      <c r="H477" s="49">
        <f t="shared" si="80"/>
        <v>0</v>
      </c>
      <c r="J477" s="46" t="b">
        <f t="shared" si="81"/>
        <v>1</v>
      </c>
    </row>
    <row r="478" spans="1:10" x14ac:dyDescent="0.25">
      <c r="A478" s="47">
        <v>2</v>
      </c>
      <c r="B478" s="48" t="s">
        <v>485</v>
      </c>
      <c r="E478" s="48" t="s">
        <v>949</v>
      </c>
      <c r="F478" s="47" t="s">
        <v>618</v>
      </c>
      <c r="H478" s="49">
        <f t="shared" si="80"/>
        <v>0</v>
      </c>
      <c r="J478" s="46" t="b">
        <f t="shared" si="81"/>
        <v>1</v>
      </c>
    </row>
    <row r="479" spans="1:10" x14ac:dyDescent="0.25">
      <c r="A479" s="47">
        <v>2</v>
      </c>
      <c r="B479" s="48" t="s">
        <v>486</v>
      </c>
      <c r="E479" s="48" t="s">
        <v>950</v>
      </c>
      <c r="F479" s="47" t="s">
        <v>618</v>
      </c>
      <c r="H479" s="49">
        <f t="shared" si="80"/>
        <v>0</v>
      </c>
      <c r="J479" s="46" t="b">
        <f t="shared" si="81"/>
        <v>1</v>
      </c>
    </row>
    <row r="480" spans="1:10" x14ac:dyDescent="0.25">
      <c r="A480" s="47">
        <v>2</v>
      </c>
      <c r="B480" s="48" t="s">
        <v>205</v>
      </c>
      <c r="E480" s="48" t="s">
        <v>951</v>
      </c>
      <c r="F480" s="47" t="s">
        <v>618</v>
      </c>
      <c r="H480" s="49">
        <f t="shared" si="80"/>
        <v>0</v>
      </c>
      <c r="J480" s="46" t="b">
        <f t="shared" si="81"/>
        <v>1</v>
      </c>
    </row>
    <row r="481" spans="1:10" x14ac:dyDescent="0.25">
      <c r="A481" s="47">
        <v>2</v>
      </c>
      <c r="B481" s="48" t="s">
        <v>206</v>
      </c>
      <c r="E481" s="48" t="s">
        <v>952</v>
      </c>
      <c r="F481" s="47" t="s">
        <v>618</v>
      </c>
      <c r="H481" s="49">
        <f t="shared" si="80"/>
        <v>0</v>
      </c>
      <c r="J481" s="46" t="b">
        <f t="shared" si="81"/>
        <v>1</v>
      </c>
    </row>
    <row r="482" spans="1:10" x14ac:dyDescent="0.25">
      <c r="A482" s="47">
        <v>2</v>
      </c>
      <c r="B482" s="48" t="s">
        <v>204</v>
      </c>
      <c r="E482" s="48" t="s">
        <v>953</v>
      </c>
      <c r="F482" s="47" t="s">
        <v>618</v>
      </c>
      <c r="H482" s="49">
        <f t="shared" si="80"/>
        <v>0</v>
      </c>
      <c r="J482" s="46" t="b">
        <f t="shared" si="81"/>
        <v>1</v>
      </c>
    </row>
    <row r="483" spans="1:10" x14ac:dyDescent="0.25">
      <c r="A483" s="47">
        <v>2</v>
      </c>
      <c r="B483" s="48" t="s">
        <v>487</v>
      </c>
      <c r="E483" s="48" t="s">
        <v>954</v>
      </c>
      <c r="F483" s="47" t="s">
        <v>618</v>
      </c>
      <c r="H483" s="49">
        <f t="shared" si="80"/>
        <v>0</v>
      </c>
      <c r="J483" s="46" t="b">
        <f t="shared" si="81"/>
        <v>1</v>
      </c>
    </row>
    <row r="484" spans="1:10" x14ac:dyDescent="0.25">
      <c r="A484" s="47"/>
      <c r="B484" s="48"/>
      <c r="E484" s="48"/>
      <c r="F484" s="47"/>
    </row>
    <row r="485" spans="1:10" x14ac:dyDescent="0.2">
      <c r="A485" s="42">
        <v>1</v>
      </c>
      <c r="B485" s="42"/>
      <c r="C485" s="42"/>
      <c r="D485" s="42"/>
      <c r="E485" s="43" t="s">
        <v>955</v>
      </c>
      <c r="F485" s="42" t="s">
        <v>543</v>
      </c>
      <c r="G485" s="44"/>
      <c r="H485" s="45"/>
      <c r="I485" s="45"/>
      <c r="J485" s="45"/>
    </row>
    <row r="486" spans="1:10" x14ac:dyDescent="0.25">
      <c r="A486" s="47">
        <v>2</v>
      </c>
      <c r="B486" s="48" t="s">
        <v>488</v>
      </c>
      <c r="E486" s="48" t="s">
        <v>956</v>
      </c>
      <c r="F486" s="47" t="s">
        <v>545</v>
      </c>
      <c r="H486" s="49">
        <f t="shared" ref="H486:H488" si="82">ROUND(I486,2)</f>
        <v>0</v>
      </c>
      <c r="J486" s="46" t="b">
        <f t="shared" ref="J486:J488" si="83">H486=G486</f>
        <v>1</v>
      </c>
    </row>
    <row r="487" spans="1:10" x14ac:dyDescent="0.25">
      <c r="A487" s="47">
        <v>2</v>
      </c>
      <c r="B487" s="48" t="s">
        <v>207</v>
      </c>
      <c r="E487" s="48" t="s">
        <v>957</v>
      </c>
      <c r="F487" s="47" t="s">
        <v>545</v>
      </c>
      <c r="H487" s="49">
        <f t="shared" si="82"/>
        <v>0</v>
      </c>
      <c r="J487" s="46" t="b">
        <f t="shared" si="83"/>
        <v>1</v>
      </c>
    </row>
    <row r="488" spans="1:10" x14ac:dyDescent="0.25">
      <c r="A488" s="47">
        <v>2</v>
      </c>
      <c r="B488" s="48" t="s">
        <v>489</v>
      </c>
      <c r="E488" s="48" t="s">
        <v>958</v>
      </c>
      <c r="F488" s="47" t="s">
        <v>545</v>
      </c>
      <c r="H488" s="49">
        <f t="shared" si="82"/>
        <v>0</v>
      </c>
      <c r="J488" s="46" t="b">
        <f t="shared" si="83"/>
        <v>1</v>
      </c>
    </row>
    <row r="489" spans="1:10" x14ac:dyDescent="0.25">
      <c r="A489" s="47"/>
      <c r="B489" s="48"/>
      <c r="E489" s="48"/>
      <c r="F489" s="47"/>
    </row>
    <row r="490" spans="1:10" x14ac:dyDescent="0.2">
      <c r="A490" s="42">
        <v>1</v>
      </c>
      <c r="B490" s="42"/>
      <c r="C490" s="42"/>
      <c r="D490" s="42"/>
      <c r="E490" s="43" t="s">
        <v>959</v>
      </c>
      <c r="F490" s="42" t="s">
        <v>543</v>
      </c>
      <c r="G490" s="44"/>
      <c r="H490" s="45"/>
      <c r="I490" s="45"/>
      <c r="J490" s="45"/>
    </row>
    <row r="491" spans="1:10" x14ac:dyDescent="0.25">
      <c r="A491" s="47">
        <v>2</v>
      </c>
      <c r="B491" s="48" t="s">
        <v>490</v>
      </c>
      <c r="E491" s="48" t="s">
        <v>960</v>
      </c>
      <c r="F491" s="47" t="s">
        <v>545</v>
      </c>
      <c r="H491" s="49">
        <f t="shared" ref="H491" si="84">ROUND(I491,2)</f>
        <v>0</v>
      </c>
      <c r="J491" s="46" t="b">
        <f t="shared" ref="J491" si="85">H491=G491</f>
        <v>1</v>
      </c>
    </row>
    <row r="492" spans="1:10" x14ac:dyDescent="0.25">
      <c r="A492" s="47"/>
      <c r="B492" s="48"/>
      <c r="E492" s="48"/>
      <c r="F492" s="47"/>
    </row>
    <row r="493" spans="1:10" x14ac:dyDescent="0.2">
      <c r="A493" s="42">
        <v>1</v>
      </c>
      <c r="B493" s="42"/>
      <c r="C493" s="42"/>
      <c r="D493" s="42"/>
      <c r="E493" s="43" t="s">
        <v>961</v>
      </c>
      <c r="F493" s="42" t="s">
        <v>543</v>
      </c>
      <c r="G493" s="44"/>
      <c r="H493" s="45"/>
      <c r="I493" s="45"/>
      <c r="J493" s="45"/>
    </row>
    <row r="494" spans="1:10" x14ac:dyDescent="0.25">
      <c r="A494" s="47">
        <v>2</v>
      </c>
      <c r="B494" s="48" t="s">
        <v>209</v>
      </c>
      <c r="E494" s="48" t="s">
        <v>962</v>
      </c>
      <c r="F494" s="47" t="s">
        <v>545</v>
      </c>
      <c r="H494" s="49">
        <f t="shared" ref="H494:H495" si="86">ROUND(I494,2)</f>
        <v>0</v>
      </c>
      <c r="J494" s="46" t="b">
        <f t="shared" ref="J494:J495" si="87">H494=G494</f>
        <v>1</v>
      </c>
    </row>
    <row r="495" spans="1:10" x14ac:dyDescent="0.25">
      <c r="A495" s="47">
        <v>2</v>
      </c>
      <c r="B495" s="48" t="s">
        <v>491</v>
      </c>
      <c r="E495" s="48" t="s">
        <v>963</v>
      </c>
      <c r="F495" s="47" t="s">
        <v>545</v>
      </c>
      <c r="H495" s="49">
        <f t="shared" si="86"/>
        <v>0</v>
      </c>
      <c r="J495" s="46" t="b">
        <f t="shared" si="87"/>
        <v>1</v>
      </c>
    </row>
    <row r="496" spans="1:10" x14ac:dyDescent="0.25">
      <c r="A496" s="47"/>
      <c r="B496" s="48"/>
      <c r="E496" s="48"/>
      <c r="F496" s="47"/>
    </row>
    <row r="497" spans="1:10" x14ac:dyDescent="0.2">
      <c r="A497" s="42">
        <v>1</v>
      </c>
      <c r="B497" s="42"/>
      <c r="C497" s="42"/>
      <c r="D497" s="42"/>
      <c r="E497" s="43" t="s">
        <v>964</v>
      </c>
      <c r="F497" s="42" t="s">
        <v>543</v>
      </c>
      <c r="G497" s="44"/>
      <c r="H497" s="45"/>
      <c r="I497" s="45"/>
      <c r="J497" s="45"/>
    </row>
    <row r="498" spans="1:10" x14ac:dyDescent="0.25">
      <c r="A498" s="47">
        <v>2</v>
      </c>
      <c r="B498" s="48" t="s">
        <v>210</v>
      </c>
      <c r="E498" s="48" t="s">
        <v>965</v>
      </c>
      <c r="F498" s="47" t="s">
        <v>545</v>
      </c>
      <c r="H498" s="49">
        <f t="shared" ref="H498" si="88">ROUND(I498,2)</f>
        <v>0</v>
      </c>
      <c r="J498" s="46" t="b">
        <f t="shared" ref="J498" si="89">H498=G498</f>
        <v>1</v>
      </c>
    </row>
    <row r="499" spans="1:10" x14ac:dyDescent="0.25">
      <c r="A499" s="47"/>
      <c r="B499" s="48"/>
      <c r="E499" s="48"/>
      <c r="F499" s="47"/>
    </row>
    <row r="500" spans="1:10" x14ac:dyDescent="0.2">
      <c r="A500" s="42">
        <v>1</v>
      </c>
      <c r="B500" s="42"/>
      <c r="C500" s="42"/>
      <c r="D500" s="42"/>
      <c r="E500" s="43" t="s">
        <v>966</v>
      </c>
      <c r="F500" s="42" t="s">
        <v>543</v>
      </c>
      <c r="G500" s="44"/>
      <c r="H500" s="45"/>
      <c r="I500" s="45"/>
      <c r="J500" s="45"/>
    </row>
    <row r="501" spans="1:10" x14ac:dyDescent="0.25">
      <c r="A501" s="47">
        <v>2</v>
      </c>
      <c r="B501" s="48" t="s">
        <v>212</v>
      </c>
      <c r="E501" s="48" t="s">
        <v>967</v>
      </c>
      <c r="F501" s="47" t="s">
        <v>618</v>
      </c>
      <c r="H501" s="49">
        <f t="shared" ref="H501:H514" si="90">ROUND(I501,2)</f>
        <v>0</v>
      </c>
      <c r="J501" s="46" t="b">
        <f t="shared" ref="J501:J514" si="91">H501=G501</f>
        <v>1</v>
      </c>
    </row>
    <row r="502" spans="1:10" x14ac:dyDescent="0.25">
      <c r="A502" s="47">
        <v>2</v>
      </c>
      <c r="B502" s="48" t="s">
        <v>208</v>
      </c>
      <c r="E502" s="48" t="s">
        <v>968</v>
      </c>
      <c r="F502" s="47" t="s">
        <v>545</v>
      </c>
      <c r="H502" s="49">
        <f t="shared" si="90"/>
        <v>0</v>
      </c>
      <c r="J502" s="46" t="b">
        <f t="shared" si="91"/>
        <v>1</v>
      </c>
    </row>
    <row r="503" spans="1:10" x14ac:dyDescent="0.25">
      <c r="A503" s="47">
        <v>2</v>
      </c>
      <c r="B503" s="48" t="s">
        <v>492</v>
      </c>
      <c r="E503" s="48" t="s">
        <v>969</v>
      </c>
      <c r="F503" s="47" t="s">
        <v>545</v>
      </c>
      <c r="H503" s="49">
        <f t="shared" si="90"/>
        <v>0</v>
      </c>
      <c r="J503" s="46" t="b">
        <f t="shared" si="91"/>
        <v>1</v>
      </c>
    </row>
    <row r="504" spans="1:10" x14ac:dyDescent="0.25">
      <c r="A504" s="47">
        <v>2</v>
      </c>
      <c r="B504" s="48" t="s">
        <v>493</v>
      </c>
      <c r="E504" s="48" t="s">
        <v>970</v>
      </c>
      <c r="F504" s="47" t="s">
        <v>545</v>
      </c>
      <c r="H504" s="49">
        <f t="shared" si="90"/>
        <v>0</v>
      </c>
      <c r="J504" s="46" t="b">
        <f t="shared" si="91"/>
        <v>1</v>
      </c>
    </row>
    <row r="505" spans="1:10" x14ac:dyDescent="0.25">
      <c r="A505" s="47">
        <v>2</v>
      </c>
      <c r="B505" s="48" t="s">
        <v>494</v>
      </c>
      <c r="E505" s="48" t="s">
        <v>971</v>
      </c>
      <c r="F505" s="47" t="s">
        <v>545</v>
      </c>
      <c r="H505" s="49">
        <f t="shared" si="90"/>
        <v>0</v>
      </c>
      <c r="J505" s="46" t="b">
        <f t="shared" si="91"/>
        <v>1</v>
      </c>
    </row>
    <row r="506" spans="1:10" x14ac:dyDescent="0.25">
      <c r="A506" s="47">
        <v>2</v>
      </c>
      <c r="B506" s="48" t="s">
        <v>495</v>
      </c>
      <c r="E506" s="48" t="s">
        <v>972</v>
      </c>
      <c r="F506" s="47" t="s">
        <v>545</v>
      </c>
      <c r="H506" s="49">
        <f t="shared" si="90"/>
        <v>0</v>
      </c>
      <c r="J506" s="46" t="b">
        <f t="shared" si="91"/>
        <v>1</v>
      </c>
    </row>
    <row r="507" spans="1:10" x14ac:dyDescent="0.25">
      <c r="A507" s="47">
        <v>2</v>
      </c>
      <c r="B507" s="48" t="s">
        <v>496</v>
      </c>
      <c r="E507" s="48" t="s">
        <v>973</v>
      </c>
      <c r="F507" s="47" t="s">
        <v>545</v>
      </c>
      <c r="H507" s="49">
        <f t="shared" si="90"/>
        <v>0</v>
      </c>
      <c r="J507" s="46" t="b">
        <f t="shared" si="91"/>
        <v>1</v>
      </c>
    </row>
    <row r="508" spans="1:10" x14ac:dyDescent="0.25">
      <c r="A508" s="47">
        <v>2</v>
      </c>
      <c r="B508" s="48" t="s">
        <v>497</v>
      </c>
      <c r="E508" s="48" t="s">
        <v>974</v>
      </c>
      <c r="F508" s="47" t="s">
        <v>545</v>
      </c>
      <c r="H508" s="49">
        <f t="shared" si="90"/>
        <v>0</v>
      </c>
      <c r="J508" s="46" t="b">
        <f t="shared" si="91"/>
        <v>1</v>
      </c>
    </row>
    <row r="509" spans="1:10" x14ac:dyDescent="0.25">
      <c r="A509" s="47">
        <v>2</v>
      </c>
      <c r="B509" s="48" t="s">
        <v>498</v>
      </c>
      <c r="E509" s="48" t="s">
        <v>975</v>
      </c>
      <c r="F509" s="47" t="s">
        <v>618</v>
      </c>
      <c r="H509" s="49">
        <f t="shared" si="90"/>
        <v>0</v>
      </c>
      <c r="J509" s="46" t="b">
        <f t="shared" si="91"/>
        <v>1</v>
      </c>
    </row>
    <row r="510" spans="1:10" x14ac:dyDescent="0.25">
      <c r="A510" s="47">
        <v>2</v>
      </c>
      <c r="B510" s="48" t="s">
        <v>499</v>
      </c>
      <c r="E510" s="48" t="s">
        <v>976</v>
      </c>
      <c r="F510" s="47" t="s">
        <v>545</v>
      </c>
      <c r="H510" s="49">
        <f t="shared" si="90"/>
        <v>0</v>
      </c>
      <c r="J510" s="46" t="b">
        <f t="shared" si="91"/>
        <v>1</v>
      </c>
    </row>
    <row r="511" spans="1:10" x14ac:dyDescent="0.25">
      <c r="A511" s="47">
        <v>2</v>
      </c>
      <c r="B511" s="48" t="s">
        <v>500</v>
      </c>
      <c r="E511" s="48" t="s">
        <v>977</v>
      </c>
      <c r="F511" s="47" t="s">
        <v>545</v>
      </c>
      <c r="H511" s="49">
        <f t="shared" si="90"/>
        <v>0</v>
      </c>
      <c r="J511" s="46" t="b">
        <f t="shared" si="91"/>
        <v>1</v>
      </c>
    </row>
    <row r="512" spans="1:10" x14ac:dyDescent="0.25">
      <c r="A512" s="47">
        <v>2</v>
      </c>
      <c r="B512" s="48" t="s">
        <v>501</v>
      </c>
      <c r="E512" s="48" t="s">
        <v>978</v>
      </c>
      <c r="F512" s="47" t="s">
        <v>545</v>
      </c>
      <c r="H512" s="49">
        <f t="shared" si="90"/>
        <v>0</v>
      </c>
      <c r="J512" s="46" t="b">
        <f t="shared" si="91"/>
        <v>1</v>
      </c>
    </row>
    <row r="513" spans="1:10" x14ac:dyDescent="0.25">
      <c r="A513" s="47">
        <v>2</v>
      </c>
      <c r="B513" s="48" t="s">
        <v>502</v>
      </c>
      <c r="E513" s="48" t="s">
        <v>979</v>
      </c>
      <c r="F513" s="47" t="s">
        <v>545</v>
      </c>
      <c r="H513" s="49">
        <f t="shared" si="90"/>
        <v>0</v>
      </c>
      <c r="J513" s="46" t="b">
        <f t="shared" si="91"/>
        <v>1</v>
      </c>
    </row>
    <row r="514" spans="1:10" x14ac:dyDescent="0.25">
      <c r="A514" s="47">
        <v>2</v>
      </c>
      <c r="B514" s="48" t="s">
        <v>211</v>
      </c>
      <c r="E514" s="48" t="s">
        <v>980</v>
      </c>
      <c r="F514" s="47" t="s">
        <v>545</v>
      </c>
      <c r="H514" s="49">
        <f t="shared" si="90"/>
        <v>0</v>
      </c>
      <c r="J514" s="46" t="b">
        <f t="shared" si="91"/>
        <v>1</v>
      </c>
    </row>
    <row r="515" spans="1:10" x14ac:dyDescent="0.25">
      <c r="A515" s="47"/>
      <c r="B515" s="48"/>
      <c r="E515" s="48"/>
      <c r="F515" s="47"/>
    </row>
    <row r="516" spans="1:10" x14ac:dyDescent="0.2">
      <c r="A516" s="42">
        <v>1</v>
      </c>
      <c r="B516" s="42"/>
      <c r="C516" s="42"/>
      <c r="D516" s="42"/>
      <c r="E516" s="43" t="s">
        <v>981</v>
      </c>
      <c r="F516" s="42" t="s">
        <v>543</v>
      </c>
      <c r="G516" s="44"/>
      <c r="H516" s="45"/>
      <c r="I516" s="45"/>
      <c r="J516" s="45"/>
    </row>
    <row r="517" spans="1:10" x14ac:dyDescent="0.25">
      <c r="A517" s="47">
        <v>2</v>
      </c>
      <c r="B517" s="48" t="s">
        <v>503</v>
      </c>
      <c r="E517" s="48" t="s">
        <v>982</v>
      </c>
      <c r="F517" s="47" t="s">
        <v>545</v>
      </c>
      <c r="H517" s="49">
        <f t="shared" ref="H517:H519" si="92">ROUND(I517,2)</f>
        <v>0</v>
      </c>
      <c r="J517" s="46" t="b">
        <f t="shared" ref="J517:J519" si="93">H517=G517</f>
        <v>1</v>
      </c>
    </row>
    <row r="518" spans="1:10" x14ac:dyDescent="0.25">
      <c r="A518" s="47">
        <v>2</v>
      </c>
      <c r="B518" s="48" t="s">
        <v>504</v>
      </c>
      <c r="E518" s="48" t="s">
        <v>983</v>
      </c>
      <c r="F518" s="47" t="s">
        <v>618</v>
      </c>
      <c r="H518" s="49">
        <f t="shared" si="92"/>
        <v>0</v>
      </c>
      <c r="J518" s="46" t="b">
        <f t="shared" si="93"/>
        <v>1</v>
      </c>
    </row>
    <row r="519" spans="1:10" x14ac:dyDescent="0.25">
      <c r="A519" s="47">
        <v>2</v>
      </c>
      <c r="B519" s="48" t="s">
        <v>505</v>
      </c>
      <c r="E519" s="48" t="s">
        <v>984</v>
      </c>
      <c r="F519" s="47" t="s">
        <v>618</v>
      </c>
      <c r="H519" s="49">
        <f t="shared" si="92"/>
        <v>0</v>
      </c>
      <c r="J519" s="46" t="b">
        <f t="shared" si="93"/>
        <v>1</v>
      </c>
    </row>
    <row r="520" spans="1:10" x14ac:dyDescent="0.25">
      <c r="A520" s="47"/>
      <c r="B520" s="48"/>
      <c r="E520" s="48"/>
      <c r="F520" s="47"/>
    </row>
    <row r="521" spans="1:10" x14ac:dyDescent="0.2">
      <c r="A521" s="42">
        <v>1</v>
      </c>
      <c r="B521" s="42"/>
      <c r="C521" s="42"/>
      <c r="D521" s="42"/>
      <c r="E521" s="43" t="s">
        <v>985</v>
      </c>
      <c r="F521" s="42" t="s">
        <v>543</v>
      </c>
      <c r="G521" s="44"/>
      <c r="H521" s="45"/>
      <c r="I521" s="45"/>
      <c r="J521" s="45"/>
    </row>
    <row r="522" spans="1:10" x14ac:dyDescent="0.25">
      <c r="A522" s="47">
        <v>2</v>
      </c>
      <c r="B522" s="48" t="s">
        <v>213</v>
      </c>
      <c r="E522" s="48" t="s">
        <v>986</v>
      </c>
      <c r="F522" s="47" t="s">
        <v>547</v>
      </c>
      <c r="H522" s="49">
        <f t="shared" ref="H522:H524" si="94">ROUND(I522,2)</f>
        <v>0</v>
      </c>
      <c r="J522" s="46" t="b">
        <f t="shared" ref="J522:J524" si="95">H522=G522</f>
        <v>1</v>
      </c>
    </row>
    <row r="523" spans="1:10" x14ac:dyDescent="0.25">
      <c r="A523" s="47">
        <v>2</v>
      </c>
      <c r="B523" s="48" t="s">
        <v>214</v>
      </c>
      <c r="E523" s="48" t="s">
        <v>985</v>
      </c>
      <c r="F523" s="47" t="s">
        <v>547</v>
      </c>
      <c r="H523" s="49">
        <f t="shared" si="94"/>
        <v>0</v>
      </c>
      <c r="J523" s="46" t="b">
        <f t="shared" si="95"/>
        <v>1</v>
      </c>
    </row>
    <row r="524" spans="1:10" x14ac:dyDescent="0.25">
      <c r="A524" s="47">
        <v>2</v>
      </c>
      <c r="B524" s="48" t="s">
        <v>506</v>
      </c>
      <c r="E524" s="48" t="s">
        <v>987</v>
      </c>
      <c r="F524" s="47" t="s">
        <v>547</v>
      </c>
      <c r="H524" s="49">
        <f t="shared" si="94"/>
        <v>0</v>
      </c>
      <c r="J524" s="46" t="b">
        <f t="shared" si="95"/>
        <v>1</v>
      </c>
    </row>
    <row r="525" spans="1:10" x14ac:dyDescent="0.25">
      <c r="A525" s="47"/>
      <c r="B525" s="48"/>
      <c r="E525" s="48"/>
      <c r="F525" s="47"/>
    </row>
    <row r="526" spans="1:10" x14ac:dyDescent="0.2">
      <c r="A526" s="42">
        <v>1</v>
      </c>
      <c r="B526" s="42"/>
      <c r="C526" s="42"/>
      <c r="D526" s="42"/>
      <c r="E526" s="43" t="s">
        <v>988</v>
      </c>
      <c r="F526" s="42"/>
      <c r="G526" s="44"/>
      <c r="H526" s="45"/>
      <c r="I526" s="45"/>
      <c r="J526" s="45"/>
    </row>
    <row r="527" spans="1:10" x14ac:dyDescent="0.25">
      <c r="A527" s="47">
        <v>2</v>
      </c>
      <c r="B527" s="48" t="s">
        <v>507</v>
      </c>
      <c r="E527" s="48" t="s">
        <v>989</v>
      </c>
      <c r="F527" s="47" t="s">
        <v>557</v>
      </c>
      <c r="H527" s="49">
        <f t="shared" ref="H527:H539" si="96">ROUND(I527,2)</f>
        <v>0</v>
      </c>
      <c r="J527" s="46" t="b">
        <f t="shared" ref="J527:J539" si="97">H527=G527</f>
        <v>1</v>
      </c>
    </row>
    <row r="528" spans="1:10" x14ac:dyDescent="0.25">
      <c r="A528" s="47">
        <v>2</v>
      </c>
      <c r="B528" s="48" t="s">
        <v>236</v>
      </c>
      <c r="E528" s="48" t="s">
        <v>637</v>
      </c>
      <c r="F528" s="47" t="s">
        <v>557</v>
      </c>
      <c r="H528" s="49">
        <f t="shared" si="96"/>
        <v>0</v>
      </c>
      <c r="J528" s="46" t="b">
        <f t="shared" si="97"/>
        <v>1</v>
      </c>
    </row>
    <row r="529" spans="1:10" x14ac:dyDescent="0.25">
      <c r="A529" s="47">
        <v>2</v>
      </c>
      <c r="B529" s="48" t="s">
        <v>172</v>
      </c>
      <c r="E529" s="48" t="s">
        <v>787</v>
      </c>
      <c r="F529" s="47" t="s">
        <v>547</v>
      </c>
      <c r="H529" s="49">
        <f t="shared" si="96"/>
        <v>0</v>
      </c>
      <c r="J529" s="46" t="b">
        <f t="shared" si="97"/>
        <v>1</v>
      </c>
    </row>
    <row r="530" spans="1:10" x14ac:dyDescent="0.25">
      <c r="A530" s="47">
        <v>2</v>
      </c>
      <c r="B530" s="48" t="s">
        <v>173</v>
      </c>
      <c r="E530" s="48" t="s">
        <v>990</v>
      </c>
      <c r="F530" s="47" t="s">
        <v>547</v>
      </c>
      <c r="H530" s="49">
        <f t="shared" si="96"/>
        <v>0</v>
      </c>
      <c r="J530" s="46" t="b">
        <f t="shared" si="97"/>
        <v>1</v>
      </c>
    </row>
    <row r="531" spans="1:10" x14ac:dyDescent="0.25">
      <c r="A531" s="47">
        <v>2</v>
      </c>
      <c r="B531" s="48" t="s">
        <v>508</v>
      </c>
      <c r="E531" s="48" t="s">
        <v>991</v>
      </c>
      <c r="F531" s="47" t="s">
        <v>610</v>
      </c>
      <c r="H531" s="49">
        <f t="shared" si="96"/>
        <v>0</v>
      </c>
      <c r="J531" s="46" t="b">
        <f t="shared" si="97"/>
        <v>1</v>
      </c>
    </row>
    <row r="532" spans="1:10" x14ac:dyDescent="0.25">
      <c r="A532" s="47">
        <v>2</v>
      </c>
      <c r="B532" s="48" t="s">
        <v>509</v>
      </c>
      <c r="E532" s="48" t="s">
        <v>992</v>
      </c>
      <c r="F532" s="47" t="s">
        <v>547</v>
      </c>
      <c r="H532" s="49">
        <f t="shared" si="96"/>
        <v>0</v>
      </c>
      <c r="J532" s="46" t="b">
        <f t="shared" si="97"/>
        <v>1</v>
      </c>
    </row>
    <row r="533" spans="1:10" x14ac:dyDescent="0.25">
      <c r="A533" s="47">
        <v>2</v>
      </c>
      <c r="B533" s="48" t="s">
        <v>510</v>
      </c>
      <c r="E533" s="48" t="s">
        <v>993</v>
      </c>
      <c r="F533" s="47" t="s">
        <v>547</v>
      </c>
      <c r="H533" s="49">
        <f t="shared" si="96"/>
        <v>0</v>
      </c>
      <c r="J533" s="46" t="b">
        <f t="shared" si="97"/>
        <v>1</v>
      </c>
    </row>
    <row r="534" spans="1:10" x14ac:dyDescent="0.25">
      <c r="A534" s="47">
        <v>2</v>
      </c>
      <c r="B534" s="48" t="s">
        <v>511</v>
      </c>
      <c r="E534" s="48" t="s">
        <v>994</v>
      </c>
      <c r="F534" s="47" t="s">
        <v>547</v>
      </c>
      <c r="H534" s="49">
        <f t="shared" si="96"/>
        <v>0</v>
      </c>
      <c r="J534" s="46" t="b">
        <f t="shared" si="97"/>
        <v>1</v>
      </c>
    </row>
    <row r="535" spans="1:10" x14ac:dyDescent="0.25">
      <c r="A535" s="47">
        <v>2</v>
      </c>
      <c r="B535" s="48" t="s">
        <v>512</v>
      </c>
      <c r="E535" s="48" t="s">
        <v>995</v>
      </c>
      <c r="F535" s="47" t="s">
        <v>547</v>
      </c>
      <c r="H535" s="49">
        <f t="shared" si="96"/>
        <v>0</v>
      </c>
      <c r="J535" s="46" t="b">
        <f t="shared" si="97"/>
        <v>1</v>
      </c>
    </row>
    <row r="536" spans="1:10" x14ac:dyDescent="0.25">
      <c r="A536" s="47">
        <v>2</v>
      </c>
      <c r="B536" s="48" t="s">
        <v>513</v>
      </c>
      <c r="E536" s="48" t="s">
        <v>996</v>
      </c>
      <c r="F536" s="47" t="s">
        <v>547</v>
      </c>
      <c r="H536" s="49">
        <f t="shared" si="96"/>
        <v>0</v>
      </c>
      <c r="J536" s="46" t="b">
        <f t="shared" si="97"/>
        <v>1</v>
      </c>
    </row>
    <row r="537" spans="1:10" x14ac:dyDescent="0.25">
      <c r="A537" s="47">
        <v>2</v>
      </c>
      <c r="B537" s="48" t="s">
        <v>514</v>
      </c>
      <c r="E537" s="48" t="s">
        <v>997</v>
      </c>
      <c r="F537" s="47" t="s">
        <v>547</v>
      </c>
      <c r="H537" s="49">
        <f t="shared" si="96"/>
        <v>0</v>
      </c>
      <c r="J537" s="46" t="b">
        <f t="shared" si="97"/>
        <v>1</v>
      </c>
    </row>
    <row r="538" spans="1:10" x14ac:dyDescent="0.25">
      <c r="A538" s="47">
        <v>2</v>
      </c>
      <c r="B538" s="48" t="s">
        <v>515</v>
      </c>
      <c r="E538" s="48" t="s">
        <v>998</v>
      </c>
      <c r="F538" s="47" t="s">
        <v>547</v>
      </c>
      <c r="H538" s="49">
        <f t="shared" si="96"/>
        <v>0</v>
      </c>
      <c r="J538" s="46" t="b">
        <f t="shared" si="97"/>
        <v>1</v>
      </c>
    </row>
    <row r="539" spans="1:10" x14ac:dyDescent="0.25">
      <c r="A539" s="47">
        <v>2</v>
      </c>
      <c r="B539" s="48" t="s">
        <v>516</v>
      </c>
      <c r="E539" s="48" t="s">
        <v>999</v>
      </c>
      <c r="F539" s="47" t="s">
        <v>547</v>
      </c>
      <c r="H539" s="49">
        <f t="shared" si="96"/>
        <v>0</v>
      </c>
      <c r="J539" s="46" t="b">
        <f t="shared" si="97"/>
        <v>1</v>
      </c>
    </row>
    <row r="540" spans="1:10" x14ac:dyDescent="0.25">
      <c r="A540" s="47">
        <v>2</v>
      </c>
      <c r="B540" s="48"/>
      <c r="E540" s="48" t="s">
        <v>1000</v>
      </c>
      <c r="F540" s="47" t="s">
        <v>543</v>
      </c>
    </row>
    <row r="541" spans="1:10" x14ac:dyDescent="0.25">
      <c r="A541" s="47">
        <v>2</v>
      </c>
      <c r="B541" s="48" t="s">
        <v>517</v>
      </c>
      <c r="E541" s="48" t="s">
        <v>1001</v>
      </c>
      <c r="F541" s="47" t="s">
        <v>547</v>
      </c>
      <c r="H541" s="49">
        <f t="shared" ref="H541" si="98">ROUND(I541,2)</f>
        <v>0</v>
      </c>
      <c r="J541" s="46" t="b">
        <f t="shared" ref="J541" si="99">H541=G541</f>
        <v>1</v>
      </c>
    </row>
    <row r="542" spans="1:10" x14ac:dyDescent="0.25">
      <c r="A542" s="47"/>
      <c r="B542" s="48"/>
      <c r="E542" s="48"/>
      <c r="F542" s="47"/>
    </row>
    <row r="543" spans="1:10" x14ac:dyDescent="0.2">
      <c r="A543" s="42">
        <v>1</v>
      </c>
      <c r="B543" s="42"/>
      <c r="C543" s="42"/>
      <c r="D543" s="42"/>
      <c r="E543" s="43" t="s">
        <v>1002</v>
      </c>
      <c r="F543" s="42" t="s">
        <v>543</v>
      </c>
      <c r="G543" s="44"/>
      <c r="H543" s="45"/>
      <c r="I543" s="45"/>
      <c r="J543" s="45"/>
    </row>
    <row r="544" spans="1:10" x14ac:dyDescent="0.25">
      <c r="A544" s="47">
        <v>2</v>
      </c>
      <c r="B544" s="48" t="s">
        <v>215</v>
      </c>
      <c r="E544" s="48" t="s">
        <v>1003</v>
      </c>
      <c r="F544" s="47" t="s">
        <v>547</v>
      </c>
      <c r="H544" s="49">
        <f t="shared" ref="H544:H545" si="100">ROUND(I544,2)</f>
        <v>0</v>
      </c>
      <c r="J544" s="46" t="b">
        <f t="shared" ref="J544:J545" si="101">H544=G544</f>
        <v>1</v>
      </c>
    </row>
    <row r="545" spans="1:10" x14ac:dyDescent="0.25">
      <c r="A545" s="47">
        <v>2</v>
      </c>
      <c r="B545" s="48" t="s">
        <v>518</v>
      </c>
      <c r="E545" s="48" t="s">
        <v>1004</v>
      </c>
      <c r="F545" s="47" t="s">
        <v>547</v>
      </c>
      <c r="H545" s="49">
        <f t="shared" si="100"/>
        <v>0</v>
      </c>
      <c r="J545" s="46" t="b">
        <f t="shared" si="101"/>
        <v>1</v>
      </c>
    </row>
  </sheetData>
  <conditionalFormatting sqref="J3:J8">
    <cfRule type="cellIs" dxfId="17" priority="2" operator="equal">
      <formula>FALSE</formula>
    </cfRule>
  </conditionalFormatting>
  <conditionalFormatting sqref="J11:J17 J22:J27 J29:J34 J36:J41 J43:J52 J55 J57:J60 J62:J68 J70:J72 J74:J75 J77:J79 J81:J82 J85:J87 J89:J90 J92:J94 J96 J100:J111 J113:J118 J120:J131 J134:J146 J149:J163 J166:J184 J187:J201 J205:J206 J208:J253 J256:J265 J268:J290 J293:J301 J304:J342 J345:J350 J353:J355 J358:J370 J372:J383 J386 J390:J393 J395:J399 J402:J416 J419:J437 J440:J441 J444:J483 J486:J488 J491 J494:J495 J498 J501:J514 J517:J519 J522:J524 J527:J539 J541 J544:J545">
    <cfRule type="cellIs" dxfId="16" priority="1" operator="equal">
      <formula>FALSE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K812"/>
  <sheetViews>
    <sheetView tabSelected="1" zoomScale="85" zoomScaleNormal="85" workbookViewId="0">
      <pane ySplit="1" topLeftCell="A2" activePane="bottomLeft" state="frozen"/>
      <selection pane="bottomLeft" activeCell="G18" sqref="G18"/>
    </sheetView>
  </sheetViews>
  <sheetFormatPr defaultRowHeight="15" x14ac:dyDescent="0.2"/>
  <cols>
    <col min="1" max="1" width="22.42578125" style="353" customWidth="1"/>
    <col min="2" max="4" width="12.42578125" style="353" customWidth="1"/>
    <col min="5" max="5" width="81" style="351" customWidth="1"/>
    <col min="6" max="6" width="9.140625" style="353" customWidth="1"/>
    <col min="7" max="7" width="13.7109375" style="355" customWidth="1"/>
    <col min="8" max="8" width="13.7109375" style="356" customWidth="1"/>
    <col min="9" max="9" width="13.7109375" style="355" customWidth="1"/>
    <col min="10" max="10" width="16.42578125" style="351" customWidth="1"/>
    <col min="11" max="11" width="10.28515625" style="351" bestFit="1" customWidth="1"/>
    <col min="12" max="12" width="13.42578125" style="351" bestFit="1" customWidth="1"/>
    <col min="13" max="16384" width="9.140625" style="351"/>
  </cols>
  <sheetData>
    <row r="1" spans="1:10" s="198" customFormat="1" x14ac:dyDescent="0.2">
      <c r="A1" s="197" t="s">
        <v>140</v>
      </c>
      <c r="B1" s="197" t="s">
        <v>141</v>
      </c>
      <c r="C1" s="197" t="s">
        <v>538</v>
      </c>
      <c r="D1" s="197" t="s">
        <v>2335</v>
      </c>
      <c r="E1" s="198" t="s">
        <v>221</v>
      </c>
      <c r="F1" s="197" t="s">
        <v>17</v>
      </c>
      <c r="G1" s="199" t="s">
        <v>539</v>
      </c>
      <c r="H1" s="199" t="s">
        <v>539</v>
      </c>
      <c r="I1" s="199" t="s">
        <v>540</v>
      </c>
      <c r="J1" s="200" t="s">
        <v>541</v>
      </c>
    </row>
    <row r="2" spans="1:10" s="198" customFormat="1" x14ac:dyDescent="0.2">
      <c r="A2" s="201" t="s">
        <v>3004</v>
      </c>
      <c r="B2" s="202"/>
      <c r="C2" s="202"/>
      <c r="D2" s="202"/>
      <c r="E2" s="203"/>
      <c r="F2" s="202"/>
      <c r="G2" s="204"/>
      <c r="H2" s="204"/>
      <c r="I2" s="204"/>
      <c r="J2" s="205"/>
    </row>
    <row r="3" spans="1:10" s="198" customFormat="1" x14ac:dyDescent="0.2">
      <c r="A3" s="197"/>
      <c r="B3" s="197"/>
      <c r="C3" s="197"/>
      <c r="D3" s="197"/>
      <c r="F3" s="197"/>
      <c r="G3" s="199"/>
      <c r="H3" s="199"/>
      <c r="I3" s="199"/>
      <c r="J3" s="200"/>
    </row>
    <row r="4" spans="1:10" x14ac:dyDescent="0.2">
      <c r="A4" s="206" t="s">
        <v>3443</v>
      </c>
      <c r="B4" s="206"/>
      <c r="C4" s="206"/>
      <c r="D4" s="206"/>
      <c r="E4" s="207" t="s">
        <v>2336</v>
      </c>
      <c r="F4" s="206"/>
      <c r="G4" s="208"/>
      <c r="H4" s="208"/>
      <c r="I4" s="209"/>
      <c r="J4" s="209"/>
    </row>
    <row r="5" spans="1:10" x14ac:dyDescent="0.25">
      <c r="A5" s="352" t="s">
        <v>3444</v>
      </c>
      <c r="B5" s="352" t="s">
        <v>3005</v>
      </c>
      <c r="C5" s="353" t="s">
        <v>1973</v>
      </c>
      <c r="D5" s="351"/>
      <c r="E5" s="354" t="s">
        <v>2337</v>
      </c>
      <c r="F5" s="352" t="s">
        <v>2338</v>
      </c>
      <c r="H5" s="356">
        <f>ROUND(I5,2)</f>
        <v>0</v>
      </c>
      <c r="J5" s="351" t="b">
        <f>H5=G5</f>
        <v>1</v>
      </c>
    </row>
    <row r="6" spans="1:10" x14ac:dyDescent="0.25">
      <c r="A6" s="352"/>
      <c r="B6" s="352"/>
      <c r="D6" s="351"/>
      <c r="E6" s="354"/>
      <c r="F6" s="352"/>
    </row>
    <row r="7" spans="1:10" x14ac:dyDescent="0.2">
      <c r="A7" s="206" t="s">
        <v>3445</v>
      </c>
      <c r="B7" s="206" t="s">
        <v>2420</v>
      </c>
      <c r="C7" s="206"/>
      <c r="D7" s="206"/>
      <c r="E7" s="207" t="s">
        <v>2339</v>
      </c>
      <c r="F7" s="206"/>
      <c r="G7" s="208"/>
      <c r="H7" s="208"/>
      <c r="I7" s="209"/>
      <c r="J7" s="209"/>
    </row>
    <row r="8" spans="1:10" x14ac:dyDescent="0.25">
      <c r="A8" s="352" t="s">
        <v>3446</v>
      </c>
      <c r="B8" s="352" t="s">
        <v>3006</v>
      </c>
      <c r="C8" s="353" t="s">
        <v>1917</v>
      </c>
      <c r="D8" s="351"/>
      <c r="E8" s="354" t="s">
        <v>2340</v>
      </c>
      <c r="F8" s="352" t="s">
        <v>2338</v>
      </c>
      <c r="H8" s="356">
        <f t="shared" ref="H8:H34" si="0">ROUND(I8,2)</f>
        <v>0</v>
      </c>
      <c r="J8" s="351" t="b">
        <f t="shared" ref="J8:J34" si="1">H8=G8</f>
        <v>1</v>
      </c>
    </row>
    <row r="9" spans="1:10" x14ac:dyDescent="0.25">
      <c r="A9" s="352" t="s">
        <v>3447</v>
      </c>
      <c r="B9" s="352" t="s">
        <v>3007</v>
      </c>
      <c r="C9" s="353" t="s">
        <v>3008</v>
      </c>
      <c r="D9" s="351"/>
      <c r="E9" s="354" t="s">
        <v>2341</v>
      </c>
      <c r="F9" s="352" t="s">
        <v>2338</v>
      </c>
      <c r="H9" s="356">
        <f t="shared" si="0"/>
        <v>0</v>
      </c>
      <c r="J9" s="351" t="b">
        <f t="shared" si="1"/>
        <v>1</v>
      </c>
    </row>
    <row r="10" spans="1:10" x14ac:dyDescent="0.25">
      <c r="A10" s="352" t="s">
        <v>3448</v>
      </c>
      <c r="B10" s="352" t="s">
        <v>3009</v>
      </c>
      <c r="C10" s="353" t="s">
        <v>3010</v>
      </c>
      <c r="D10" s="351"/>
      <c r="E10" s="354" t="s">
        <v>2342</v>
      </c>
      <c r="F10" s="352" t="s">
        <v>2338</v>
      </c>
      <c r="H10" s="356">
        <f t="shared" si="0"/>
        <v>0</v>
      </c>
      <c r="J10" s="351" t="b">
        <f t="shared" si="1"/>
        <v>1</v>
      </c>
    </row>
    <row r="11" spans="1:10" x14ac:dyDescent="0.25">
      <c r="A11" s="352" t="s">
        <v>3449</v>
      </c>
      <c r="B11" s="352" t="s">
        <v>3011</v>
      </c>
      <c r="C11" s="353" t="s">
        <v>1918</v>
      </c>
      <c r="D11" s="351"/>
      <c r="E11" s="354" t="s">
        <v>2343</v>
      </c>
      <c r="F11" s="352" t="s">
        <v>2338</v>
      </c>
      <c r="H11" s="356">
        <f t="shared" si="0"/>
        <v>0</v>
      </c>
      <c r="J11" s="351" t="b">
        <f t="shared" si="1"/>
        <v>1</v>
      </c>
    </row>
    <row r="12" spans="1:10" x14ac:dyDescent="0.25">
      <c r="A12" s="352" t="s">
        <v>3450</v>
      </c>
      <c r="B12" s="352" t="s">
        <v>3012</v>
      </c>
      <c r="C12" s="353" t="s">
        <v>3013</v>
      </c>
      <c r="D12" s="351"/>
      <c r="E12" s="354" t="s">
        <v>2344</v>
      </c>
      <c r="F12" s="352" t="s">
        <v>2338</v>
      </c>
      <c r="H12" s="356">
        <f t="shared" si="0"/>
        <v>0</v>
      </c>
      <c r="J12" s="351" t="b">
        <f t="shared" si="1"/>
        <v>1</v>
      </c>
    </row>
    <row r="13" spans="1:10" x14ac:dyDescent="0.25">
      <c r="A13" s="352" t="s">
        <v>3451</v>
      </c>
      <c r="B13" s="352" t="s">
        <v>3014</v>
      </c>
      <c r="C13" s="353" t="s">
        <v>3015</v>
      </c>
      <c r="D13" s="351"/>
      <c r="E13" s="354" t="s">
        <v>2345</v>
      </c>
      <c r="F13" s="352" t="s">
        <v>2338</v>
      </c>
      <c r="H13" s="356">
        <f t="shared" si="0"/>
        <v>0</v>
      </c>
      <c r="J13" s="351" t="b">
        <f t="shared" si="1"/>
        <v>1</v>
      </c>
    </row>
    <row r="14" spans="1:10" x14ac:dyDescent="0.25">
      <c r="A14" s="352" t="s">
        <v>3452</v>
      </c>
      <c r="B14" s="352" t="s">
        <v>3016</v>
      </c>
      <c r="C14" s="353" t="s">
        <v>3017</v>
      </c>
      <c r="D14" s="351"/>
      <c r="E14" s="354" t="s">
        <v>2346</v>
      </c>
      <c r="F14" s="352" t="s">
        <v>2338</v>
      </c>
      <c r="H14" s="356">
        <f t="shared" si="0"/>
        <v>0</v>
      </c>
      <c r="J14" s="351" t="b">
        <f t="shared" si="1"/>
        <v>1</v>
      </c>
    </row>
    <row r="15" spans="1:10" x14ac:dyDescent="0.25">
      <c r="A15" s="352" t="s">
        <v>3453</v>
      </c>
      <c r="B15" s="352" t="s">
        <v>3018</v>
      </c>
      <c r="C15" s="353" t="s">
        <v>3019</v>
      </c>
      <c r="D15" s="351"/>
      <c r="E15" s="354" t="s">
        <v>2347</v>
      </c>
      <c r="F15" s="352" t="s">
        <v>2338</v>
      </c>
      <c r="H15" s="356">
        <f t="shared" si="0"/>
        <v>0</v>
      </c>
      <c r="J15" s="351" t="b">
        <f t="shared" si="1"/>
        <v>1</v>
      </c>
    </row>
    <row r="16" spans="1:10" x14ac:dyDescent="0.25">
      <c r="A16" s="352" t="s">
        <v>3454</v>
      </c>
      <c r="B16" s="352" t="s">
        <v>3020</v>
      </c>
      <c r="C16" s="353" t="s">
        <v>3021</v>
      </c>
      <c r="D16" s="351"/>
      <c r="E16" s="354" t="s">
        <v>2348</v>
      </c>
      <c r="F16" s="352" t="s">
        <v>2338</v>
      </c>
      <c r="H16" s="356">
        <f t="shared" si="0"/>
        <v>0</v>
      </c>
      <c r="J16" s="351" t="b">
        <f t="shared" si="1"/>
        <v>1</v>
      </c>
    </row>
    <row r="17" spans="1:10" x14ac:dyDescent="0.25">
      <c r="A17" s="352" t="s">
        <v>3455</v>
      </c>
      <c r="B17" s="352" t="s">
        <v>3022</v>
      </c>
      <c r="C17" s="353" t="s">
        <v>1890</v>
      </c>
      <c r="D17" s="351"/>
      <c r="E17" s="354" t="s">
        <v>2349</v>
      </c>
      <c r="F17" s="352" t="s">
        <v>2338</v>
      </c>
      <c r="H17" s="356">
        <f t="shared" si="0"/>
        <v>0</v>
      </c>
      <c r="J17" s="351" t="b">
        <f t="shared" si="1"/>
        <v>1</v>
      </c>
    </row>
    <row r="18" spans="1:10" x14ac:dyDescent="0.25">
      <c r="A18" s="352" t="s">
        <v>3456</v>
      </c>
      <c r="B18" s="352" t="s">
        <v>3023</v>
      </c>
      <c r="C18" s="353" t="s">
        <v>3008</v>
      </c>
      <c r="D18" s="351"/>
      <c r="E18" s="354" t="s">
        <v>2350</v>
      </c>
      <c r="F18" s="352" t="s">
        <v>2338</v>
      </c>
      <c r="H18" s="356">
        <f t="shared" si="0"/>
        <v>0</v>
      </c>
      <c r="J18" s="351" t="b">
        <f t="shared" si="1"/>
        <v>1</v>
      </c>
    </row>
    <row r="19" spans="1:10" x14ac:dyDescent="0.25">
      <c r="A19" s="352" t="s">
        <v>3457</v>
      </c>
      <c r="B19" s="352" t="s">
        <v>3024</v>
      </c>
      <c r="C19" s="353" t="s">
        <v>1919</v>
      </c>
      <c r="D19" s="351"/>
      <c r="E19" s="354" t="s">
        <v>2351</v>
      </c>
      <c r="F19" s="352" t="s">
        <v>2338</v>
      </c>
      <c r="H19" s="356">
        <f t="shared" si="0"/>
        <v>0</v>
      </c>
      <c r="J19" s="351" t="b">
        <f t="shared" si="1"/>
        <v>1</v>
      </c>
    </row>
    <row r="20" spans="1:10" x14ac:dyDescent="0.25">
      <c r="A20" s="352" t="s">
        <v>3458</v>
      </c>
      <c r="B20" s="352" t="s">
        <v>3025</v>
      </c>
      <c r="C20" s="353" t="s">
        <v>3026</v>
      </c>
      <c r="D20" s="351"/>
      <c r="E20" s="354" t="s">
        <v>2352</v>
      </c>
      <c r="F20" s="352" t="s">
        <v>2338</v>
      </c>
      <c r="H20" s="356">
        <f t="shared" si="0"/>
        <v>0</v>
      </c>
      <c r="J20" s="351" t="b">
        <f t="shared" si="1"/>
        <v>1</v>
      </c>
    </row>
    <row r="21" spans="1:10" x14ac:dyDescent="0.25">
      <c r="A21" s="352" t="s">
        <v>3459</v>
      </c>
      <c r="B21" s="352" t="s">
        <v>3027</v>
      </c>
      <c r="C21" s="353" t="s">
        <v>3028</v>
      </c>
      <c r="D21" s="351"/>
      <c r="E21" s="354" t="s">
        <v>2353</v>
      </c>
      <c r="F21" s="352" t="s">
        <v>2338</v>
      </c>
      <c r="H21" s="356">
        <f t="shared" si="0"/>
        <v>0</v>
      </c>
      <c r="J21" s="351" t="b">
        <f t="shared" si="1"/>
        <v>1</v>
      </c>
    </row>
    <row r="22" spans="1:10" x14ac:dyDescent="0.25">
      <c r="A22" s="352" t="s">
        <v>3460</v>
      </c>
      <c r="B22" s="352" t="s">
        <v>3029</v>
      </c>
      <c r="C22" s="353" t="s">
        <v>2196</v>
      </c>
      <c r="D22" s="351"/>
      <c r="E22" s="354" t="s">
        <v>2354</v>
      </c>
      <c r="F22" s="352" t="s">
        <v>2338</v>
      </c>
      <c r="H22" s="356">
        <f t="shared" si="0"/>
        <v>0</v>
      </c>
      <c r="J22" s="351" t="b">
        <f t="shared" si="1"/>
        <v>1</v>
      </c>
    </row>
    <row r="23" spans="1:10" x14ac:dyDescent="0.25">
      <c r="A23" s="352" t="s">
        <v>3461</v>
      </c>
      <c r="B23" s="352" t="s">
        <v>3030</v>
      </c>
      <c r="C23" s="353" t="s">
        <v>3031</v>
      </c>
      <c r="D23" s="351"/>
      <c r="E23" s="354" t="s">
        <v>2355</v>
      </c>
      <c r="F23" s="352" t="s">
        <v>2338</v>
      </c>
      <c r="H23" s="356">
        <f t="shared" si="0"/>
        <v>0</v>
      </c>
      <c r="J23" s="351" t="b">
        <f t="shared" si="1"/>
        <v>1</v>
      </c>
    </row>
    <row r="24" spans="1:10" x14ac:dyDescent="0.25">
      <c r="A24" s="352" t="s">
        <v>3462</v>
      </c>
      <c r="B24" s="352" t="s">
        <v>3032</v>
      </c>
      <c r="C24" s="353" t="s">
        <v>2197</v>
      </c>
      <c r="D24" s="351"/>
      <c r="E24" s="354" t="s">
        <v>2356</v>
      </c>
      <c r="F24" s="352" t="s">
        <v>2338</v>
      </c>
      <c r="H24" s="356">
        <f t="shared" si="0"/>
        <v>0</v>
      </c>
      <c r="J24" s="351" t="b">
        <f t="shared" si="1"/>
        <v>1</v>
      </c>
    </row>
    <row r="25" spans="1:10" x14ac:dyDescent="0.25">
      <c r="A25" s="352" t="s">
        <v>3463</v>
      </c>
      <c r="B25" s="352" t="s">
        <v>3033</v>
      </c>
      <c r="C25" s="353" t="s">
        <v>3034</v>
      </c>
      <c r="D25" s="351"/>
      <c r="E25" s="354" t="s">
        <v>2357</v>
      </c>
      <c r="F25" s="352" t="s">
        <v>2338</v>
      </c>
      <c r="H25" s="356">
        <f t="shared" si="0"/>
        <v>0</v>
      </c>
      <c r="J25" s="351" t="b">
        <f t="shared" si="1"/>
        <v>1</v>
      </c>
    </row>
    <row r="26" spans="1:10" x14ac:dyDescent="0.25">
      <c r="A26" s="352" t="s">
        <v>3464</v>
      </c>
      <c r="B26" s="352" t="s">
        <v>3035</v>
      </c>
      <c r="C26" s="353" t="s">
        <v>2078</v>
      </c>
      <c r="D26" s="351"/>
      <c r="E26" s="354" t="s">
        <v>2358</v>
      </c>
      <c r="F26" s="352" t="s">
        <v>2338</v>
      </c>
      <c r="H26" s="356">
        <f t="shared" si="0"/>
        <v>0</v>
      </c>
      <c r="J26" s="351" t="b">
        <f t="shared" si="1"/>
        <v>1</v>
      </c>
    </row>
    <row r="27" spans="1:10" x14ac:dyDescent="0.25">
      <c r="A27" s="352" t="s">
        <v>3465</v>
      </c>
      <c r="B27" s="352" t="s">
        <v>3036</v>
      </c>
      <c r="C27" s="353" t="s">
        <v>2090</v>
      </c>
      <c r="D27" s="351"/>
      <c r="E27" s="354" t="s">
        <v>2359</v>
      </c>
      <c r="F27" s="352" t="s">
        <v>2338</v>
      </c>
      <c r="H27" s="356">
        <f t="shared" si="0"/>
        <v>0</v>
      </c>
      <c r="J27" s="351" t="b">
        <f t="shared" si="1"/>
        <v>1</v>
      </c>
    </row>
    <row r="28" spans="1:10" x14ac:dyDescent="0.25">
      <c r="A28" s="352" t="s">
        <v>3466</v>
      </c>
      <c r="B28" s="352" t="s">
        <v>3037</v>
      </c>
      <c r="C28" s="353" t="s">
        <v>1931</v>
      </c>
      <c r="D28" s="351"/>
      <c r="E28" s="354" t="s">
        <v>2360</v>
      </c>
      <c r="F28" s="352" t="s">
        <v>2338</v>
      </c>
      <c r="H28" s="356">
        <f t="shared" si="0"/>
        <v>0</v>
      </c>
      <c r="J28" s="351" t="b">
        <f t="shared" si="1"/>
        <v>1</v>
      </c>
    </row>
    <row r="29" spans="1:10" x14ac:dyDescent="0.25">
      <c r="A29" s="352" t="s">
        <v>3467</v>
      </c>
      <c r="B29" s="352" t="s">
        <v>3038</v>
      </c>
      <c r="C29" s="353" t="s">
        <v>1986</v>
      </c>
      <c r="D29" s="351"/>
      <c r="E29" s="354" t="s">
        <v>2361</v>
      </c>
      <c r="F29" s="352" t="s">
        <v>2338</v>
      </c>
      <c r="H29" s="356">
        <f t="shared" si="0"/>
        <v>0</v>
      </c>
      <c r="J29" s="351" t="b">
        <f t="shared" si="1"/>
        <v>1</v>
      </c>
    </row>
    <row r="30" spans="1:10" x14ac:dyDescent="0.25">
      <c r="A30" s="352" t="s">
        <v>3468</v>
      </c>
      <c r="B30" s="352" t="s">
        <v>3039</v>
      </c>
      <c r="C30" s="353" t="s">
        <v>1987</v>
      </c>
      <c r="D30" s="351"/>
      <c r="E30" s="354" t="s">
        <v>2362</v>
      </c>
      <c r="F30" s="352" t="s">
        <v>2338</v>
      </c>
      <c r="H30" s="356">
        <f t="shared" si="0"/>
        <v>0</v>
      </c>
      <c r="J30" s="351" t="b">
        <f t="shared" si="1"/>
        <v>1</v>
      </c>
    </row>
    <row r="31" spans="1:10" x14ac:dyDescent="0.25">
      <c r="A31" s="352" t="s">
        <v>3469</v>
      </c>
      <c r="B31" s="352" t="s">
        <v>3040</v>
      </c>
      <c r="C31" s="353" t="s">
        <v>2085</v>
      </c>
      <c r="D31" s="351"/>
      <c r="E31" s="354" t="s">
        <v>2363</v>
      </c>
      <c r="F31" s="352" t="s">
        <v>2338</v>
      </c>
      <c r="H31" s="356">
        <f t="shared" si="0"/>
        <v>0</v>
      </c>
      <c r="J31" s="351" t="b">
        <f t="shared" si="1"/>
        <v>1</v>
      </c>
    </row>
    <row r="32" spans="1:10" x14ac:dyDescent="0.25">
      <c r="A32" s="352" t="s">
        <v>3470</v>
      </c>
      <c r="B32" s="352" t="s">
        <v>3041</v>
      </c>
      <c r="C32" s="353" t="s">
        <v>2121</v>
      </c>
      <c r="D32" s="351"/>
      <c r="E32" s="354" t="s">
        <v>2364</v>
      </c>
      <c r="F32" s="352" t="s">
        <v>2338</v>
      </c>
      <c r="H32" s="356">
        <f t="shared" si="0"/>
        <v>0</v>
      </c>
      <c r="J32" s="351" t="b">
        <f t="shared" si="1"/>
        <v>1</v>
      </c>
    </row>
    <row r="33" spans="1:10" x14ac:dyDescent="0.25">
      <c r="A33" s="352" t="s">
        <v>3471</v>
      </c>
      <c r="B33" s="352" t="s">
        <v>3042</v>
      </c>
      <c r="C33" s="353" t="s">
        <v>2120</v>
      </c>
      <c r="D33" s="351"/>
      <c r="E33" s="354" t="s">
        <v>2365</v>
      </c>
      <c r="F33" s="352" t="s">
        <v>2338</v>
      </c>
      <c r="H33" s="356">
        <f t="shared" si="0"/>
        <v>0</v>
      </c>
      <c r="J33" s="351" t="b">
        <f t="shared" si="1"/>
        <v>1</v>
      </c>
    </row>
    <row r="34" spans="1:10" x14ac:dyDescent="0.25">
      <c r="A34" s="352" t="s">
        <v>3472</v>
      </c>
      <c r="B34" s="352" t="s">
        <v>3043</v>
      </c>
      <c r="C34" s="353" t="s">
        <v>2187</v>
      </c>
      <c r="D34" s="351"/>
      <c r="E34" s="354" t="s">
        <v>2366</v>
      </c>
      <c r="F34" s="352" t="s">
        <v>2338</v>
      </c>
      <c r="H34" s="356">
        <f t="shared" si="0"/>
        <v>0</v>
      </c>
      <c r="J34" s="351" t="b">
        <f t="shared" si="1"/>
        <v>1</v>
      </c>
    </row>
    <row r="35" spans="1:10" x14ac:dyDescent="0.25">
      <c r="A35" s="352"/>
      <c r="B35" s="352"/>
      <c r="D35" s="351"/>
      <c r="E35" s="354"/>
      <c r="F35" s="352"/>
    </row>
    <row r="36" spans="1:10" x14ac:dyDescent="0.2">
      <c r="A36" s="206" t="s">
        <v>3473</v>
      </c>
      <c r="B36" s="206"/>
      <c r="C36" s="206"/>
      <c r="D36" s="206"/>
      <c r="E36" s="207" t="s">
        <v>2367</v>
      </c>
      <c r="F36" s="206"/>
      <c r="G36" s="208"/>
      <c r="H36" s="208"/>
      <c r="I36" s="209"/>
      <c r="J36" s="209"/>
    </row>
    <row r="37" spans="1:10" x14ac:dyDescent="0.25">
      <c r="A37" s="352" t="s">
        <v>3474</v>
      </c>
      <c r="B37" s="352" t="s">
        <v>3044</v>
      </c>
      <c r="C37" s="353" t="s">
        <v>3045</v>
      </c>
      <c r="D37" s="351"/>
      <c r="E37" s="354" t="s">
        <v>2368</v>
      </c>
      <c r="F37" s="352" t="s">
        <v>2338</v>
      </c>
      <c r="H37" s="356">
        <f t="shared" ref="H37:H42" si="2">ROUND(I37,2)</f>
        <v>0</v>
      </c>
      <c r="J37" s="351" t="b">
        <f t="shared" ref="J37:J42" si="3">H37=G37</f>
        <v>1</v>
      </c>
    </row>
    <row r="38" spans="1:10" x14ac:dyDescent="0.25">
      <c r="A38" s="352" t="s">
        <v>3475</v>
      </c>
      <c r="B38" s="352" t="s">
        <v>3046</v>
      </c>
      <c r="C38" s="353" t="s">
        <v>3047</v>
      </c>
      <c r="D38" s="351"/>
      <c r="E38" s="354" t="s">
        <v>2369</v>
      </c>
      <c r="F38" s="352" t="s">
        <v>2338</v>
      </c>
      <c r="H38" s="356">
        <f t="shared" si="2"/>
        <v>0</v>
      </c>
      <c r="J38" s="351" t="b">
        <f t="shared" si="3"/>
        <v>1</v>
      </c>
    </row>
    <row r="39" spans="1:10" x14ac:dyDescent="0.25">
      <c r="A39" s="352" t="s">
        <v>3476</v>
      </c>
      <c r="B39" s="352" t="s">
        <v>3048</v>
      </c>
      <c r="C39" s="353" t="s">
        <v>3049</v>
      </c>
      <c r="D39" s="351"/>
      <c r="E39" s="354" t="s">
        <v>2370</v>
      </c>
      <c r="F39" s="352" t="s">
        <v>2371</v>
      </c>
      <c r="H39" s="356">
        <f t="shared" si="2"/>
        <v>0</v>
      </c>
      <c r="J39" s="351" t="b">
        <f t="shared" si="3"/>
        <v>1</v>
      </c>
    </row>
    <row r="40" spans="1:10" x14ac:dyDescent="0.25">
      <c r="A40" s="352" t="s">
        <v>3477</v>
      </c>
      <c r="B40" s="352" t="s">
        <v>3050</v>
      </c>
      <c r="C40" s="353" t="s">
        <v>3051</v>
      </c>
      <c r="D40" s="351"/>
      <c r="E40" s="354" t="s">
        <v>2372</v>
      </c>
      <c r="F40" s="352" t="s">
        <v>2371</v>
      </c>
      <c r="H40" s="356">
        <f t="shared" si="2"/>
        <v>0</v>
      </c>
      <c r="J40" s="351" t="b">
        <f t="shared" si="3"/>
        <v>1</v>
      </c>
    </row>
    <row r="41" spans="1:10" x14ac:dyDescent="0.25">
      <c r="A41" s="352" t="s">
        <v>3478</v>
      </c>
      <c r="B41" s="352" t="s">
        <v>3052</v>
      </c>
      <c r="C41" s="353" t="s">
        <v>2043</v>
      </c>
      <c r="D41" s="351"/>
      <c r="E41" s="354" t="s">
        <v>2373</v>
      </c>
      <c r="F41" s="352" t="s">
        <v>11</v>
      </c>
      <c r="H41" s="356">
        <f t="shared" si="2"/>
        <v>0</v>
      </c>
      <c r="J41" s="351" t="b">
        <f t="shared" si="3"/>
        <v>1</v>
      </c>
    </row>
    <row r="42" spans="1:10" x14ac:dyDescent="0.25">
      <c r="A42" s="352" t="s">
        <v>3479</v>
      </c>
      <c r="B42" s="352" t="s">
        <v>3053</v>
      </c>
      <c r="C42" s="353" t="s">
        <v>1948</v>
      </c>
      <c r="D42" s="351"/>
      <c r="E42" s="354" t="s">
        <v>2374</v>
      </c>
      <c r="F42" s="352" t="s">
        <v>2338</v>
      </c>
      <c r="H42" s="356">
        <f t="shared" si="2"/>
        <v>0</v>
      </c>
      <c r="J42" s="351" t="b">
        <f t="shared" si="3"/>
        <v>1</v>
      </c>
    </row>
    <row r="43" spans="1:10" x14ac:dyDescent="0.25">
      <c r="A43" s="352"/>
      <c r="B43" s="352"/>
      <c r="D43" s="351"/>
      <c r="E43" s="354"/>
      <c r="F43" s="352"/>
    </row>
    <row r="44" spans="1:10" x14ac:dyDescent="0.2">
      <c r="A44" s="206" t="s">
        <v>3480</v>
      </c>
      <c r="B44" s="206" t="s">
        <v>2420</v>
      </c>
      <c r="C44" s="206"/>
      <c r="D44" s="206"/>
      <c r="E44" s="207" t="s">
        <v>2375</v>
      </c>
      <c r="F44" s="206"/>
      <c r="G44" s="208"/>
      <c r="H44" s="208"/>
      <c r="I44" s="209"/>
      <c r="J44" s="209"/>
    </row>
    <row r="45" spans="1:10" x14ac:dyDescent="0.25">
      <c r="A45" s="352" t="s">
        <v>3481</v>
      </c>
      <c r="B45" s="352" t="s">
        <v>3054</v>
      </c>
      <c r="C45" s="353" t="s">
        <v>1330</v>
      </c>
      <c r="D45" s="351"/>
      <c r="E45" s="354" t="s">
        <v>2376</v>
      </c>
      <c r="F45" s="352" t="s">
        <v>2338</v>
      </c>
      <c r="H45" s="356">
        <f>ROUND(I45,2)</f>
        <v>0</v>
      </c>
      <c r="J45" s="351" t="b">
        <f>H45=G45</f>
        <v>1</v>
      </c>
    </row>
    <row r="46" spans="1:10" x14ac:dyDescent="0.25">
      <c r="A46" s="352" t="s">
        <v>3482</v>
      </c>
      <c r="B46" s="352" t="s">
        <v>3055</v>
      </c>
      <c r="C46" s="353" t="s">
        <v>3056</v>
      </c>
      <c r="D46" s="351"/>
      <c r="E46" s="354" t="s">
        <v>2377</v>
      </c>
      <c r="F46" s="352" t="s">
        <v>16</v>
      </c>
      <c r="H46" s="356">
        <f t="shared" ref="H46:H58" si="4">ROUND(I46,2)</f>
        <v>0</v>
      </c>
      <c r="J46" s="351" t="b">
        <f t="shared" ref="J46:J58" si="5">H46=G46</f>
        <v>1</v>
      </c>
    </row>
    <row r="47" spans="1:10" x14ac:dyDescent="0.25">
      <c r="A47" s="352" t="s">
        <v>3483</v>
      </c>
      <c r="B47" s="352" t="s">
        <v>3057</v>
      </c>
      <c r="C47" s="353" t="s">
        <v>3058</v>
      </c>
      <c r="D47" s="351"/>
      <c r="E47" s="354" t="s">
        <v>2378</v>
      </c>
      <c r="F47" s="352" t="s">
        <v>2338</v>
      </c>
      <c r="H47" s="356">
        <f t="shared" si="4"/>
        <v>0</v>
      </c>
      <c r="J47" s="351" t="b">
        <f t="shared" si="5"/>
        <v>1</v>
      </c>
    </row>
    <row r="48" spans="1:10" x14ac:dyDescent="0.25">
      <c r="A48" s="352" t="s">
        <v>3484</v>
      </c>
      <c r="B48" s="352" t="s">
        <v>3059</v>
      </c>
      <c r="C48" s="353" t="s">
        <v>1132</v>
      </c>
      <c r="D48" s="351"/>
      <c r="E48" s="354" t="s">
        <v>2379</v>
      </c>
      <c r="F48" s="352" t="s">
        <v>2371</v>
      </c>
      <c r="H48" s="356">
        <f t="shared" si="4"/>
        <v>0</v>
      </c>
      <c r="J48" s="351" t="b">
        <f t="shared" si="5"/>
        <v>1</v>
      </c>
    </row>
    <row r="49" spans="1:10" x14ac:dyDescent="0.25">
      <c r="A49" s="352" t="s">
        <v>3485</v>
      </c>
      <c r="B49" s="352" t="s">
        <v>3060</v>
      </c>
      <c r="C49" s="353" t="s">
        <v>1173</v>
      </c>
      <c r="D49" s="351"/>
      <c r="E49" s="354" t="s">
        <v>2380</v>
      </c>
      <c r="F49" s="352" t="s">
        <v>2371</v>
      </c>
      <c r="H49" s="356">
        <f t="shared" si="4"/>
        <v>0</v>
      </c>
      <c r="J49" s="351" t="b">
        <f t="shared" si="5"/>
        <v>1</v>
      </c>
    </row>
    <row r="50" spans="1:10" x14ac:dyDescent="0.25">
      <c r="A50" s="352" t="s">
        <v>3486</v>
      </c>
      <c r="B50" s="352" t="s">
        <v>3061</v>
      </c>
      <c r="C50" s="353" t="s">
        <v>1134</v>
      </c>
      <c r="D50" s="351"/>
      <c r="E50" s="354" t="s">
        <v>2381</v>
      </c>
      <c r="F50" s="352" t="s">
        <v>2371</v>
      </c>
      <c r="H50" s="356">
        <f t="shared" si="4"/>
        <v>0</v>
      </c>
      <c r="J50" s="351" t="b">
        <f t="shared" si="5"/>
        <v>1</v>
      </c>
    </row>
    <row r="51" spans="1:10" x14ac:dyDescent="0.25">
      <c r="A51" s="352" t="s">
        <v>3487</v>
      </c>
      <c r="B51" s="352" t="s">
        <v>3062</v>
      </c>
      <c r="C51" s="353" t="s">
        <v>1133</v>
      </c>
      <c r="D51" s="351"/>
      <c r="E51" s="354" t="s">
        <v>2382</v>
      </c>
      <c r="F51" s="352" t="s">
        <v>2371</v>
      </c>
      <c r="H51" s="356">
        <f t="shared" si="4"/>
        <v>0</v>
      </c>
      <c r="J51" s="351" t="b">
        <f t="shared" si="5"/>
        <v>1</v>
      </c>
    </row>
    <row r="52" spans="1:10" x14ac:dyDescent="0.25">
      <c r="A52" s="352" t="s">
        <v>3488</v>
      </c>
      <c r="B52" s="352" t="s">
        <v>3063</v>
      </c>
      <c r="C52" s="353" t="s">
        <v>1174</v>
      </c>
      <c r="D52" s="351"/>
      <c r="E52" s="354" t="s">
        <v>2383</v>
      </c>
      <c r="F52" s="352" t="s">
        <v>2371</v>
      </c>
      <c r="H52" s="356">
        <f t="shared" si="4"/>
        <v>0</v>
      </c>
      <c r="J52" s="351" t="b">
        <f t="shared" si="5"/>
        <v>1</v>
      </c>
    </row>
    <row r="53" spans="1:10" x14ac:dyDescent="0.25">
      <c r="A53" s="352" t="s">
        <v>3489</v>
      </c>
      <c r="B53" s="352" t="s">
        <v>3064</v>
      </c>
      <c r="C53" s="353" t="s">
        <v>2178</v>
      </c>
      <c r="D53" s="351"/>
      <c r="E53" s="354" t="s">
        <v>2384</v>
      </c>
      <c r="F53" s="352" t="s">
        <v>2338</v>
      </c>
      <c r="H53" s="356">
        <f>ROUND(I53,2)</f>
        <v>0</v>
      </c>
      <c r="J53" s="351" t="b">
        <f>H53=G53</f>
        <v>1</v>
      </c>
    </row>
    <row r="54" spans="1:10" x14ac:dyDescent="0.25">
      <c r="A54" s="352" t="s">
        <v>3490</v>
      </c>
      <c r="B54" s="352" t="s">
        <v>3065</v>
      </c>
      <c r="C54" s="353" t="s">
        <v>1817</v>
      </c>
      <c r="D54" s="351"/>
      <c r="E54" s="354" t="s">
        <v>2385</v>
      </c>
      <c r="F54" s="352" t="s">
        <v>2338</v>
      </c>
      <c r="H54" s="356">
        <f t="shared" si="4"/>
        <v>0</v>
      </c>
      <c r="J54" s="351" t="b">
        <f t="shared" si="5"/>
        <v>1</v>
      </c>
    </row>
    <row r="55" spans="1:10" x14ac:dyDescent="0.25">
      <c r="A55" s="352" t="s">
        <v>3491</v>
      </c>
      <c r="B55" s="352" t="s">
        <v>3066</v>
      </c>
      <c r="C55" s="353" t="s">
        <v>3067</v>
      </c>
      <c r="D55" s="351"/>
      <c r="E55" s="354" t="s">
        <v>2386</v>
      </c>
      <c r="F55" s="352" t="s">
        <v>2338</v>
      </c>
      <c r="H55" s="356">
        <f t="shared" si="4"/>
        <v>0</v>
      </c>
      <c r="J55" s="351" t="b">
        <f t="shared" si="5"/>
        <v>1</v>
      </c>
    </row>
    <row r="56" spans="1:10" x14ac:dyDescent="0.25">
      <c r="A56" s="352" t="s">
        <v>3492</v>
      </c>
      <c r="B56" s="352" t="s">
        <v>3068</v>
      </c>
      <c r="C56" s="353" t="s">
        <v>1175</v>
      </c>
      <c r="D56" s="351"/>
      <c r="E56" s="354" t="s">
        <v>2387</v>
      </c>
      <c r="F56" s="352" t="s">
        <v>2338</v>
      </c>
      <c r="H56" s="356">
        <f t="shared" si="4"/>
        <v>0</v>
      </c>
      <c r="J56" s="351" t="b">
        <f t="shared" si="5"/>
        <v>1</v>
      </c>
    </row>
    <row r="57" spans="1:10" x14ac:dyDescent="0.25">
      <c r="A57" s="352" t="s">
        <v>3493</v>
      </c>
      <c r="B57" s="352" t="s">
        <v>3069</v>
      </c>
      <c r="C57" s="353" t="s">
        <v>1277</v>
      </c>
      <c r="D57" s="351"/>
      <c r="E57" s="354" t="s">
        <v>2388</v>
      </c>
      <c r="F57" s="352" t="s">
        <v>11</v>
      </c>
      <c r="H57" s="356">
        <f t="shared" si="4"/>
        <v>0</v>
      </c>
      <c r="J57" s="351" t="b">
        <f t="shared" si="5"/>
        <v>1</v>
      </c>
    </row>
    <row r="58" spans="1:10" x14ac:dyDescent="0.25">
      <c r="A58" s="352" t="s">
        <v>3494</v>
      </c>
      <c r="B58" s="352" t="s">
        <v>3070</v>
      </c>
      <c r="C58" s="353" t="s">
        <v>3071</v>
      </c>
      <c r="D58" s="351"/>
      <c r="E58" s="354" t="s">
        <v>2389</v>
      </c>
      <c r="F58" s="352" t="s">
        <v>2371</v>
      </c>
      <c r="H58" s="356">
        <f t="shared" si="4"/>
        <v>0</v>
      </c>
      <c r="J58" s="351" t="b">
        <f t="shared" si="5"/>
        <v>1</v>
      </c>
    </row>
    <row r="59" spans="1:10" x14ac:dyDescent="0.25">
      <c r="A59" s="352"/>
      <c r="B59" s="352"/>
      <c r="D59" s="351"/>
      <c r="E59" s="354"/>
      <c r="F59" s="352"/>
    </row>
    <row r="60" spans="1:10" x14ac:dyDescent="0.2">
      <c r="A60" s="206" t="s">
        <v>3495</v>
      </c>
      <c r="B60" s="206"/>
      <c r="C60" s="206"/>
      <c r="D60" s="206"/>
      <c r="E60" s="207" t="s">
        <v>10274</v>
      </c>
      <c r="F60" s="206"/>
      <c r="G60" s="208"/>
      <c r="H60" s="208"/>
      <c r="I60" s="209"/>
      <c r="J60" s="209"/>
    </row>
    <row r="61" spans="1:10" x14ac:dyDescent="0.25">
      <c r="A61" s="210" t="s">
        <v>3496</v>
      </c>
      <c r="B61" s="357"/>
      <c r="C61" s="358"/>
      <c r="D61" s="359"/>
      <c r="E61" s="211" t="s">
        <v>10275</v>
      </c>
      <c r="F61" s="357"/>
      <c r="G61" s="360"/>
      <c r="H61" s="361"/>
      <c r="I61" s="360"/>
      <c r="J61" s="359"/>
    </row>
    <row r="62" spans="1:10" x14ac:dyDescent="0.25">
      <c r="A62" s="352" t="s">
        <v>3497</v>
      </c>
      <c r="B62" s="352" t="s">
        <v>3072</v>
      </c>
      <c r="C62" s="353" t="s">
        <v>2101</v>
      </c>
      <c r="D62" s="351"/>
      <c r="E62" s="354" t="s">
        <v>2390</v>
      </c>
      <c r="F62" s="352" t="s">
        <v>2371</v>
      </c>
      <c r="H62" s="356">
        <f t="shared" ref="H62:H90" si="6">ROUND(I62,2)</f>
        <v>0</v>
      </c>
      <c r="J62" s="351" t="b">
        <f t="shared" ref="J62:J90" si="7">H62=G62</f>
        <v>1</v>
      </c>
    </row>
    <row r="63" spans="1:10" x14ac:dyDescent="0.25">
      <c r="A63" s="352" t="s">
        <v>3498</v>
      </c>
      <c r="B63" s="352" t="s">
        <v>3073</v>
      </c>
      <c r="C63" s="353" t="s">
        <v>1906</v>
      </c>
      <c r="D63" s="351"/>
      <c r="E63" s="354" t="s">
        <v>2391</v>
      </c>
      <c r="F63" s="352" t="s">
        <v>2371</v>
      </c>
      <c r="H63" s="356">
        <f t="shared" si="6"/>
        <v>0</v>
      </c>
      <c r="J63" s="351" t="b">
        <f t="shared" si="7"/>
        <v>1</v>
      </c>
    </row>
    <row r="64" spans="1:10" x14ac:dyDescent="0.25">
      <c r="A64" s="352" t="s">
        <v>3499</v>
      </c>
      <c r="B64" s="352" t="s">
        <v>3074</v>
      </c>
      <c r="C64" s="353" t="s">
        <v>1223</v>
      </c>
      <c r="D64" s="351"/>
      <c r="E64" s="354" t="s">
        <v>2392</v>
      </c>
      <c r="F64" s="352" t="s">
        <v>2371</v>
      </c>
      <c r="H64" s="356">
        <f t="shared" si="6"/>
        <v>0</v>
      </c>
      <c r="J64" s="351" t="b">
        <f t="shared" si="7"/>
        <v>1</v>
      </c>
    </row>
    <row r="65" spans="1:10" x14ac:dyDescent="0.25">
      <c r="A65" s="352" t="s">
        <v>3500</v>
      </c>
      <c r="B65" s="352" t="s">
        <v>3075</v>
      </c>
      <c r="C65" s="353" t="s">
        <v>1907</v>
      </c>
      <c r="D65" s="351"/>
      <c r="E65" s="354" t="s">
        <v>2393</v>
      </c>
      <c r="F65" s="352" t="s">
        <v>2371</v>
      </c>
      <c r="H65" s="356">
        <f t="shared" si="6"/>
        <v>0</v>
      </c>
      <c r="J65" s="351" t="b">
        <f t="shared" si="7"/>
        <v>1</v>
      </c>
    </row>
    <row r="66" spans="1:10" x14ac:dyDescent="0.25">
      <c r="A66" s="352" t="s">
        <v>3501</v>
      </c>
      <c r="B66" s="352" t="s">
        <v>3076</v>
      </c>
      <c r="C66" s="353" t="s">
        <v>1217</v>
      </c>
      <c r="D66" s="351"/>
      <c r="E66" s="354" t="s">
        <v>2394</v>
      </c>
      <c r="F66" s="352" t="s">
        <v>2371</v>
      </c>
      <c r="H66" s="356">
        <f t="shared" si="6"/>
        <v>0</v>
      </c>
      <c r="J66" s="351" t="b">
        <f t="shared" si="7"/>
        <v>1</v>
      </c>
    </row>
    <row r="67" spans="1:10" x14ac:dyDescent="0.25">
      <c r="A67" s="352" t="s">
        <v>3502</v>
      </c>
      <c r="B67" s="352" t="s">
        <v>3077</v>
      </c>
      <c r="C67" s="353" t="s">
        <v>1213</v>
      </c>
      <c r="D67" s="351"/>
      <c r="E67" s="354" t="s">
        <v>2395</v>
      </c>
      <c r="F67" s="352" t="s">
        <v>2371</v>
      </c>
      <c r="H67" s="356">
        <f t="shared" si="6"/>
        <v>0</v>
      </c>
      <c r="J67" s="351" t="b">
        <f t="shared" si="7"/>
        <v>1</v>
      </c>
    </row>
    <row r="68" spans="1:10" x14ac:dyDescent="0.25">
      <c r="A68" s="352" t="s">
        <v>3503</v>
      </c>
      <c r="B68" s="352" t="s">
        <v>3078</v>
      </c>
      <c r="C68" s="353" t="s">
        <v>3079</v>
      </c>
      <c r="D68" s="351"/>
      <c r="E68" s="354" t="s">
        <v>2396</v>
      </c>
      <c r="F68" s="352" t="s">
        <v>2371</v>
      </c>
      <c r="H68" s="356">
        <f t="shared" si="6"/>
        <v>0</v>
      </c>
      <c r="J68" s="351" t="b">
        <f t="shared" si="7"/>
        <v>1</v>
      </c>
    </row>
    <row r="69" spans="1:10" x14ac:dyDescent="0.25">
      <c r="A69" s="352" t="s">
        <v>3504</v>
      </c>
      <c r="B69" s="352" t="s">
        <v>3080</v>
      </c>
      <c r="C69" s="353" t="s">
        <v>1216</v>
      </c>
      <c r="D69" s="351"/>
      <c r="E69" s="354" t="s">
        <v>2397</v>
      </c>
      <c r="F69" s="352" t="s">
        <v>2371</v>
      </c>
      <c r="H69" s="356">
        <f t="shared" si="6"/>
        <v>0</v>
      </c>
      <c r="J69" s="351" t="b">
        <f t="shared" si="7"/>
        <v>1</v>
      </c>
    </row>
    <row r="70" spans="1:10" x14ac:dyDescent="0.25">
      <c r="A70" s="352" t="s">
        <v>3505</v>
      </c>
      <c r="B70" s="352" t="s">
        <v>3081</v>
      </c>
      <c r="C70" s="353" t="s">
        <v>1229</v>
      </c>
      <c r="D70" s="351"/>
      <c r="E70" s="354" t="s">
        <v>2398</v>
      </c>
      <c r="F70" s="352" t="s">
        <v>2371</v>
      </c>
      <c r="H70" s="356">
        <f t="shared" si="6"/>
        <v>0</v>
      </c>
      <c r="J70" s="351" t="b">
        <f t="shared" si="7"/>
        <v>1</v>
      </c>
    </row>
    <row r="71" spans="1:10" x14ac:dyDescent="0.25">
      <c r="A71" s="352" t="s">
        <v>3506</v>
      </c>
      <c r="B71" s="352" t="s">
        <v>3082</v>
      </c>
      <c r="C71" s="353" t="s">
        <v>1231</v>
      </c>
      <c r="D71" s="351"/>
      <c r="E71" s="354" t="s">
        <v>2399</v>
      </c>
      <c r="F71" s="352" t="s">
        <v>2371</v>
      </c>
      <c r="H71" s="356">
        <f t="shared" si="6"/>
        <v>0</v>
      </c>
      <c r="J71" s="351" t="b">
        <f t="shared" si="7"/>
        <v>1</v>
      </c>
    </row>
    <row r="72" spans="1:10" x14ac:dyDescent="0.25">
      <c r="A72" s="352" t="s">
        <v>3507</v>
      </c>
      <c r="B72" s="352" t="s">
        <v>3083</v>
      </c>
      <c r="C72" s="353" t="s">
        <v>1232</v>
      </c>
      <c r="D72" s="351"/>
      <c r="E72" s="354" t="s">
        <v>2400</v>
      </c>
      <c r="F72" s="352" t="s">
        <v>2371</v>
      </c>
      <c r="H72" s="356">
        <f t="shared" si="6"/>
        <v>0</v>
      </c>
      <c r="J72" s="351" t="b">
        <f t="shared" si="7"/>
        <v>1</v>
      </c>
    </row>
    <row r="73" spans="1:10" x14ac:dyDescent="0.25">
      <c r="A73" s="352" t="s">
        <v>3508</v>
      </c>
      <c r="B73" s="352" t="s">
        <v>3084</v>
      </c>
      <c r="C73" s="353" t="s">
        <v>1220</v>
      </c>
      <c r="D73" s="351"/>
      <c r="E73" s="354" t="s">
        <v>2401</v>
      </c>
      <c r="F73" s="352" t="s">
        <v>2371</v>
      </c>
      <c r="H73" s="356">
        <f t="shared" si="6"/>
        <v>0</v>
      </c>
      <c r="J73" s="351" t="b">
        <f t="shared" si="7"/>
        <v>1</v>
      </c>
    </row>
    <row r="74" spans="1:10" x14ac:dyDescent="0.25">
      <c r="A74" s="352" t="s">
        <v>3509</v>
      </c>
      <c r="B74" s="352" t="s">
        <v>3085</v>
      </c>
      <c r="C74" s="353" t="s">
        <v>1226</v>
      </c>
      <c r="D74" s="351"/>
      <c r="E74" s="354" t="s">
        <v>2402</v>
      </c>
      <c r="F74" s="352" t="s">
        <v>2371</v>
      </c>
      <c r="H74" s="356">
        <f t="shared" si="6"/>
        <v>0</v>
      </c>
      <c r="J74" s="351" t="b">
        <f t="shared" si="7"/>
        <v>1</v>
      </c>
    </row>
    <row r="75" spans="1:10" x14ac:dyDescent="0.25">
      <c r="A75" s="352" t="s">
        <v>3510</v>
      </c>
      <c r="B75" s="352" t="s">
        <v>3086</v>
      </c>
      <c r="C75" s="353" t="s">
        <v>1227</v>
      </c>
      <c r="D75" s="351"/>
      <c r="E75" s="354" t="s">
        <v>2403</v>
      </c>
      <c r="F75" s="352" t="s">
        <v>2371</v>
      </c>
      <c r="H75" s="356">
        <f t="shared" si="6"/>
        <v>0</v>
      </c>
      <c r="J75" s="351" t="b">
        <f t="shared" si="7"/>
        <v>1</v>
      </c>
    </row>
    <row r="76" spans="1:10" x14ac:dyDescent="0.25">
      <c r="A76" s="352" t="s">
        <v>3511</v>
      </c>
      <c r="B76" s="352" t="s">
        <v>3087</v>
      </c>
      <c r="C76" s="353" t="s">
        <v>1230</v>
      </c>
      <c r="D76" s="351"/>
      <c r="E76" s="354" t="s">
        <v>2404</v>
      </c>
      <c r="F76" s="352" t="s">
        <v>2371</v>
      </c>
      <c r="H76" s="356">
        <f t="shared" si="6"/>
        <v>0</v>
      </c>
      <c r="J76" s="351" t="b">
        <f t="shared" si="7"/>
        <v>1</v>
      </c>
    </row>
    <row r="77" spans="1:10" x14ac:dyDescent="0.25">
      <c r="A77" s="352" t="s">
        <v>3512</v>
      </c>
      <c r="B77" s="352" t="s">
        <v>3088</v>
      </c>
      <c r="C77" s="353" t="s">
        <v>1221</v>
      </c>
      <c r="D77" s="351"/>
      <c r="E77" s="354" t="s">
        <v>2405</v>
      </c>
      <c r="F77" s="352" t="s">
        <v>2371</v>
      </c>
      <c r="H77" s="356">
        <f t="shared" si="6"/>
        <v>0</v>
      </c>
      <c r="J77" s="351" t="b">
        <f t="shared" si="7"/>
        <v>1</v>
      </c>
    </row>
    <row r="78" spans="1:10" x14ac:dyDescent="0.25">
      <c r="A78" s="352" t="s">
        <v>3513</v>
      </c>
      <c r="B78" s="352" t="s">
        <v>3089</v>
      </c>
      <c r="C78" s="353" t="s">
        <v>1197</v>
      </c>
      <c r="D78" s="351"/>
      <c r="E78" s="354" t="s">
        <v>2406</v>
      </c>
      <c r="F78" s="352" t="s">
        <v>2371</v>
      </c>
      <c r="H78" s="356">
        <f t="shared" si="6"/>
        <v>0</v>
      </c>
      <c r="J78" s="351" t="b">
        <f t="shared" si="7"/>
        <v>1</v>
      </c>
    </row>
    <row r="79" spans="1:10" x14ac:dyDescent="0.25">
      <c r="A79" s="352" t="s">
        <v>3514</v>
      </c>
      <c r="B79" s="352" t="s">
        <v>3090</v>
      </c>
      <c r="C79" s="353" t="s">
        <v>1248</v>
      </c>
      <c r="D79" s="351"/>
      <c r="E79" s="354" t="s">
        <v>2407</v>
      </c>
      <c r="F79" s="352" t="s">
        <v>2371</v>
      </c>
      <c r="H79" s="356">
        <f t="shared" si="6"/>
        <v>0</v>
      </c>
      <c r="J79" s="351" t="b">
        <f t="shared" si="7"/>
        <v>1</v>
      </c>
    </row>
    <row r="80" spans="1:10" x14ac:dyDescent="0.25">
      <c r="A80" s="352" t="s">
        <v>3515</v>
      </c>
      <c r="B80" s="352" t="s">
        <v>3091</v>
      </c>
      <c r="C80" s="353" t="s">
        <v>1222</v>
      </c>
      <c r="D80" s="351"/>
      <c r="E80" s="354" t="s">
        <v>2408</v>
      </c>
      <c r="F80" s="352" t="s">
        <v>2371</v>
      </c>
      <c r="H80" s="356">
        <f t="shared" si="6"/>
        <v>0</v>
      </c>
      <c r="J80" s="351" t="b">
        <f t="shared" si="7"/>
        <v>1</v>
      </c>
    </row>
    <row r="81" spans="1:10" x14ac:dyDescent="0.25">
      <c r="A81" s="352" t="s">
        <v>3516</v>
      </c>
      <c r="B81" s="352" t="s">
        <v>3092</v>
      </c>
      <c r="C81" s="353" t="s">
        <v>1246</v>
      </c>
      <c r="D81" s="351"/>
      <c r="E81" s="354" t="s">
        <v>2409</v>
      </c>
      <c r="F81" s="352" t="s">
        <v>2371</v>
      </c>
      <c r="H81" s="356">
        <f t="shared" si="6"/>
        <v>0</v>
      </c>
      <c r="J81" s="351" t="b">
        <f t="shared" si="7"/>
        <v>1</v>
      </c>
    </row>
    <row r="82" spans="1:10" x14ac:dyDescent="0.25">
      <c r="A82" s="352" t="s">
        <v>3517</v>
      </c>
      <c r="B82" s="352" t="s">
        <v>3093</v>
      </c>
      <c r="C82" s="353" t="s">
        <v>1191</v>
      </c>
      <c r="D82" s="351"/>
      <c r="E82" s="354" t="s">
        <v>2410</v>
      </c>
      <c r="F82" s="352" t="s">
        <v>2371</v>
      </c>
      <c r="H82" s="356">
        <f t="shared" si="6"/>
        <v>0</v>
      </c>
      <c r="J82" s="351" t="b">
        <f t="shared" si="7"/>
        <v>1</v>
      </c>
    </row>
    <row r="83" spans="1:10" x14ac:dyDescent="0.25">
      <c r="A83" s="352" t="s">
        <v>3518</v>
      </c>
      <c r="B83" s="352" t="s">
        <v>3094</v>
      </c>
      <c r="C83" s="353" t="s">
        <v>1200</v>
      </c>
      <c r="D83" s="351"/>
      <c r="E83" s="354" t="s">
        <v>2411</v>
      </c>
      <c r="F83" s="352" t="s">
        <v>2371</v>
      </c>
      <c r="H83" s="356">
        <f t="shared" si="6"/>
        <v>0</v>
      </c>
      <c r="J83" s="351" t="b">
        <f t="shared" si="7"/>
        <v>1</v>
      </c>
    </row>
    <row r="84" spans="1:10" x14ac:dyDescent="0.25">
      <c r="A84" s="352" t="s">
        <v>3519</v>
      </c>
      <c r="B84" s="352" t="s">
        <v>3095</v>
      </c>
      <c r="C84" s="353" t="s">
        <v>1201</v>
      </c>
      <c r="D84" s="351"/>
      <c r="E84" s="354" t="s">
        <v>2412</v>
      </c>
      <c r="F84" s="352" t="s">
        <v>2371</v>
      </c>
      <c r="H84" s="356">
        <f t="shared" si="6"/>
        <v>0</v>
      </c>
      <c r="J84" s="351" t="b">
        <f t="shared" si="7"/>
        <v>1</v>
      </c>
    </row>
    <row r="85" spans="1:10" x14ac:dyDescent="0.25">
      <c r="A85" s="352" t="s">
        <v>3520</v>
      </c>
      <c r="B85" s="352" t="s">
        <v>3096</v>
      </c>
      <c r="C85" s="353" t="s">
        <v>1198</v>
      </c>
      <c r="D85" s="351"/>
      <c r="E85" s="354" t="s">
        <v>2413</v>
      </c>
      <c r="F85" s="352" t="s">
        <v>2371</v>
      </c>
      <c r="H85" s="356">
        <f t="shared" si="6"/>
        <v>0</v>
      </c>
      <c r="J85" s="351" t="b">
        <f t="shared" si="7"/>
        <v>1</v>
      </c>
    </row>
    <row r="86" spans="1:10" x14ac:dyDescent="0.25">
      <c r="A86" s="352" t="s">
        <v>3521</v>
      </c>
      <c r="B86" s="352" t="s">
        <v>3097</v>
      </c>
      <c r="C86" s="353" t="s">
        <v>1199</v>
      </c>
      <c r="D86" s="351"/>
      <c r="E86" s="354" t="s">
        <v>2414</v>
      </c>
      <c r="F86" s="352" t="s">
        <v>2371</v>
      </c>
      <c r="H86" s="356">
        <f t="shared" si="6"/>
        <v>0</v>
      </c>
      <c r="J86" s="351" t="b">
        <f t="shared" si="7"/>
        <v>1</v>
      </c>
    </row>
    <row r="87" spans="1:10" x14ac:dyDescent="0.25">
      <c r="A87" s="352" t="s">
        <v>3522</v>
      </c>
      <c r="B87" s="352" t="s">
        <v>3098</v>
      </c>
      <c r="C87" s="353" t="s">
        <v>1188</v>
      </c>
      <c r="D87" s="351"/>
      <c r="E87" s="354" t="s">
        <v>2415</v>
      </c>
      <c r="F87" s="352" t="s">
        <v>2371</v>
      </c>
      <c r="H87" s="356">
        <f t="shared" si="6"/>
        <v>0</v>
      </c>
      <c r="J87" s="351" t="b">
        <f t="shared" si="7"/>
        <v>1</v>
      </c>
    </row>
    <row r="88" spans="1:10" x14ac:dyDescent="0.25">
      <c r="A88" s="352" t="s">
        <v>3523</v>
      </c>
      <c r="B88" s="352" t="s">
        <v>3099</v>
      </c>
      <c r="C88" s="353" t="s">
        <v>1190</v>
      </c>
      <c r="D88" s="351"/>
      <c r="E88" s="354" t="s">
        <v>2416</v>
      </c>
      <c r="F88" s="352" t="s">
        <v>2371</v>
      </c>
      <c r="H88" s="356">
        <f t="shared" si="6"/>
        <v>0</v>
      </c>
      <c r="J88" s="351" t="b">
        <f t="shared" si="7"/>
        <v>1</v>
      </c>
    </row>
    <row r="89" spans="1:10" x14ac:dyDescent="0.25">
      <c r="A89" s="352" t="s">
        <v>3524</v>
      </c>
      <c r="B89" s="352" t="s">
        <v>3100</v>
      </c>
      <c r="C89" s="353" t="s">
        <v>1219</v>
      </c>
      <c r="D89" s="351"/>
      <c r="E89" s="354" t="s">
        <v>2417</v>
      </c>
      <c r="F89" s="352" t="s">
        <v>2371</v>
      </c>
      <c r="H89" s="356">
        <f t="shared" si="6"/>
        <v>0</v>
      </c>
      <c r="J89" s="351" t="b">
        <f t="shared" si="7"/>
        <v>1</v>
      </c>
    </row>
    <row r="90" spans="1:10" x14ac:dyDescent="0.25">
      <c r="A90" s="352" t="s">
        <v>3525</v>
      </c>
      <c r="B90" s="352" t="s">
        <v>3101</v>
      </c>
      <c r="C90" s="353" t="s">
        <v>1228</v>
      </c>
      <c r="D90" s="351"/>
      <c r="E90" s="354" t="s">
        <v>2418</v>
      </c>
      <c r="F90" s="352" t="s">
        <v>2371</v>
      </c>
      <c r="H90" s="356">
        <f t="shared" si="6"/>
        <v>0</v>
      </c>
      <c r="J90" s="351" t="b">
        <f t="shared" si="7"/>
        <v>1</v>
      </c>
    </row>
    <row r="91" spans="1:10" x14ac:dyDescent="0.25">
      <c r="A91" s="210" t="s">
        <v>3526</v>
      </c>
      <c r="B91" s="357" t="s">
        <v>2420</v>
      </c>
      <c r="C91" s="358"/>
      <c r="D91" s="359"/>
      <c r="E91" s="211" t="s">
        <v>2419</v>
      </c>
      <c r="F91" s="362" t="s">
        <v>2420</v>
      </c>
      <c r="G91" s="360"/>
      <c r="H91" s="361"/>
      <c r="I91" s="360"/>
      <c r="J91" s="359"/>
    </row>
    <row r="92" spans="1:10" x14ac:dyDescent="0.25">
      <c r="A92" s="352" t="s">
        <v>3527</v>
      </c>
      <c r="B92" s="352" t="s">
        <v>3102</v>
      </c>
      <c r="C92" s="353" t="s">
        <v>2080</v>
      </c>
      <c r="D92" s="351"/>
      <c r="E92" s="354" t="s">
        <v>2419</v>
      </c>
      <c r="F92" s="352" t="s">
        <v>2338</v>
      </c>
      <c r="H92" s="356">
        <f t="shared" ref="H92" si="8">ROUND(I92,2)</f>
        <v>0</v>
      </c>
      <c r="J92" s="351" t="b">
        <f t="shared" ref="J92" si="9">H92=G92</f>
        <v>1</v>
      </c>
    </row>
    <row r="93" spans="1:10" x14ac:dyDescent="0.25">
      <c r="A93" s="210" t="s">
        <v>3528</v>
      </c>
      <c r="B93" s="357" t="s">
        <v>2420</v>
      </c>
      <c r="C93" s="358"/>
      <c r="D93" s="359"/>
      <c r="E93" s="211" t="s">
        <v>2421</v>
      </c>
      <c r="F93" s="362" t="s">
        <v>2420</v>
      </c>
      <c r="G93" s="360"/>
      <c r="H93" s="361"/>
      <c r="I93" s="360"/>
      <c r="J93" s="359"/>
    </row>
    <row r="94" spans="1:10" x14ac:dyDescent="0.25">
      <c r="A94" s="352" t="s">
        <v>3529</v>
      </c>
      <c r="B94" s="352" t="s">
        <v>3103</v>
      </c>
      <c r="C94" s="353" t="s">
        <v>3104</v>
      </c>
      <c r="D94" s="351"/>
      <c r="E94" s="354" t="s">
        <v>2422</v>
      </c>
      <c r="F94" s="352" t="s">
        <v>11</v>
      </c>
      <c r="H94" s="356">
        <f t="shared" ref="H94:H99" si="10">ROUND(I94,2)</f>
        <v>0</v>
      </c>
      <c r="J94" s="351" t="b">
        <f t="shared" ref="J94:J99" si="11">H94=G94</f>
        <v>1</v>
      </c>
    </row>
    <row r="95" spans="1:10" x14ac:dyDescent="0.25">
      <c r="A95" s="352" t="s">
        <v>3530</v>
      </c>
      <c r="B95" s="352" t="s">
        <v>3105</v>
      </c>
      <c r="C95" s="353" t="s">
        <v>3106</v>
      </c>
      <c r="D95" s="351"/>
      <c r="E95" s="354" t="s">
        <v>2423</v>
      </c>
      <c r="F95" s="352" t="s">
        <v>11</v>
      </c>
      <c r="H95" s="356">
        <f t="shared" si="10"/>
        <v>0</v>
      </c>
      <c r="J95" s="351" t="b">
        <f t="shared" si="11"/>
        <v>1</v>
      </c>
    </row>
    <row r="96" spans="1:10" x14ac:dyDescent="0.25">
      <c r="A96" s="352" t="s">
        <v>3531</v>
      </c>
      <c r="B96" s="352" t="s">
        <v>3107</v>
      </c>
      <c r="C96" s="353" t="s">
        <v>3108</v>
      </c>
      <c r="D96" s="351"/>
      <c r="E96" s="354" t="s">
        <v>2424</v>
      </c>
      <c r="F96" s="352" t="s">
        <v>11</v>
      </c>
      <c r="H96" s="356">
        <f t="shared" si="10"/>
        <v>0</v>
      </c>
      <c r="J96" s="351" t="b">
        <f t="shared" si="11"/>
        <v>1</v>
      </c>
    </row>
    <row r="97" spans="1:10" x14ac:dyDescent="0.25">
      <c r="A97" s="352" t="s">
        <v>3532</v>
      </c>
      <c r="B97" s="352" t="s">
        <v>3109</v>
      </c>
      <c r="C97" s="353" t="s">
        <v>3110</v>
      </c>
      <c r="D97" s="351"/>
      <c r="E97" s="354" t="s">
        <v>2425</v>
      </c>
      <c r="F97" s="352" t="s">
        <v>2371</v>
      </c>
      <c r="H97" s="356">
        <f t="shared" si="10"/>
        <v>0</v>
      </c>
      <c r="J97" s="351" t="b">
        <f t="shared" si="11"/>
        <v>1</v>
      </c>
    </row>
    <row r="98" spans="1:10" x14ac:dyDescent="0.25">
      <c r="A98" s="352" t="s">
        <v>3533</v>
      </c>
      <c r="B98" s="352" t="s">
        <v>3111</v>
      </c>
      <c r="C98" s="353" t="s">
        <v>3112</v>
      </c>
      <c r="D98" s="351"/>
      <c r="E98" s="354" t="s">
        <v>2426</v>
      </c>
      <c r="F98" s="352" t="s">
        <v>2338</v>
      </c>
      <c r="H98" s="356">
        <f t="shared" si="10"/>
        <v>0</v>
      </c>
      <c r="J98" s="351" t="b">
        <f t="shared" si="11"/>
        <v>1</v>
      </c>
    </row>
    <row r="99" spans="1:10" x14ac:dyDescent="0.25">
      <c r="A99" s="352" t="s">
        <v>3534</v>
      </c>
      <c r="B99" s="352" t="s">
        <v>3113</v>
      </c>
      <c r="C99" s="353" t="s">
        <v>3114</v>
      </c>
      <c r="D99" s="351"/>
      <c r="E99" s="354" t="s">
        <v>2427</v>
      </c>
      <c r="F99" s="352" t="s">
        <v>2338</v>
      </c>
      <c r="H99" s="356">
        <f t="shared" si="10"/>
        <v>0</v>
      </c>
      <c r="J99" s="351" t="b">
        <f t="shared" si="11"/>
        <v>1</v>
      </c>
    </row>
    <row r="100" spans="1:10" x14ac:dyDescent="0.25">
      <c r="A100" s="210" t="s">
        <v>3535</v>
      </c>
      <c r="B100" s="357" t="s">
        <v>2420</v>
      </c>
      <c r="C100" s="358"/>
      <c r="D100" s="359"/>
      <c r="E100" s="211" t="s">
        <v>1118</v>
      </c>
      <c r="F100" s="357"/>
      <c r="G100" s="360"/>
      <c r="H100" s="361"/>
      <c r="I100" s="360"/>
      <c r="J100" s="359"/>
    </row>
    <row r="101" spans="1:10" x14ac:dyDescent="0.25">
      <c r="A101" s="352" t="s">
        <v>3536</v>
      </c>
      <c r="B101" s="352" t="s">
        <v>3115</v>
      </c>
      <c r="C101" s="353" t="s">
        <v>3116</v>
      </c>
      <c r="D101" s="351"/>
      <c r="E101" s="354" t="s">
        <v>2428</v>
      </c>
      <c r="F101" s="352" t="s">
        <v>2371</v>
      </c>
      <c r="H101" s="356">
        <f>ROUND(I101,2)</f>
        <v>0</v>
      </c>
      <c r="J101" s="351" t="b">
        <f>H101=G101</f>
        <v>1</v>
      </c>
    </row>
    <row r="102" spans="1:10" x14ac:dyDescent="0.25">
      <c r="A102" s="352" t="s">
        <v>3537</v>
      </c>
      <c r="B102" s="352" t="s">
        <v>3117</v>
      </c>
      <c r="C102" s="353" t="s">
        <v>1974</v>
      </c>
      <c r="D102" s="351"/>
      <c r="E102" s="354" t="s">
        <v>2429</v>
      </c>
      <c r="F102" s="352" t="s">
        <v>2371</v>
      </c>
      <c r="H102" s="356">
        <f>ROUND(I102,2)</f>
        <v>0</v>
      </c>
      <c r="J102" s="351" t="b">
        <f>H102=G102</f>
        <v>1</v>
      </c>
    </row>
    <row r="103" spans="1:10" x14ac:dyDescent="0.25">
      <c r="A103" s="210" t="s">
        <v>3538</v>
      </c>
      <c r="B103" s="357" t="s">
        <v>2420</v>
      </c>
      <c r="C103" s="358"/>
      <c r="D103" s="359"/>
      <c r="E103" s="211" t="s">
        <v>2430</v>
      </c>
      <c r="F103" s="357"/>
      <c r="G103" s="360"/>
      <c r="H103" s="361"/>
      <c r="I103" s="360"/>
      <c r="J103" s="359"/>
    </row>
    <row r="104" spans="1:10" x14ac:dyDescent="0.25">
      <c r="A104" s="352" t="s">
        <v>3539</v>
      </c>
      <c r="B104" s="352" t="s">
        <v>3118</v>
      </c>
      <c r="C104" s="353" t="s">
        <v>3119</v>
      </c>
      <c r="D104" s="351"/>
      <c r="E104" s="354" t="s">
        <v>2431</v>
      </c>
      <c r="F104" s="352" t="s">
        <v>2371</v>
      </c>
      <c r="H104" s="356">
        <f>ROUND(I104,2)</f>
        <v>0</v>
      </c>
      <c r="J104" s="351" t="b">
        <f>H104=G104</f>
        <v>1</v>
      </c>
    </row>
    <row r="105" spans="1:10" x14ac:dyDescent="0.25">
      <c r="A105" s="352"/>
      <c r="B105" s="352"/>
      <c r="D105" s="351"/>
      <c r="E105" s="354"/>
      <c r="F105" s="352"/>
    </row>
    <row r="106" spans="1:10" x14ac:dyDescent="0.2">
      <c r="A106" s="206" t="s">
        <v>3540</v>
      </c>
      <c r="B106" s="206" t="s">
        <v>2420</v>
      </c>
      <c r="C106" s="206"/>
      <c r="D106" s="206"/>
      <c r="E106" s="207" t="s">
        <v>2432</v>
      </c>
      <c r="F106" s="206"/>
      <c r="G106" s="208"/>
      <c r="H106" s="208"/>
      <c r="I106" s="209"/>
      <c r="J106" s="209"/>
    </row>
    <row r="107" spans="1:10" x14ac:dyDescent="0.25">
      <c r="A107" s="210" t="s">
        <v>3541</v>
      </c>
      <c r="B107" s="357" t="s">
        <v>2420</v>
      </c>
      <c r="C107" s="358"/>
      <c r="D107" s="359"/>
      <c r="E107" s="211" t="s">
        <v>2433</v>
      </c>
      <c r="F107" s="357"/>
      <c r="G107" s="360"/>
      <c r="H107" s="361"/>
      <c r="I107" s="360"/>
      <c r="J107" s="359"/>
    </row>
    <row r="108" spans="1:10" x14ac:dyDescent="0.25">
      <c r="A108" s="352" t="s">
        <v>3542</v>
      </c>
      <c r="B108" s="352" t="s">
        <v>3120</v>
      </c>
      <c r="C108" s="353" t="s">
        <v>1765</v>
      </c>
      <c r="D108" s="351"/>
      <c r="E108" s="354" t="s">
        <v>2434</v>
      </c>
      <c r="F108" s="352" t="s">
        <v>11</v>
      </c>
      <c r="H108" s="356">
        <f t="shared" ref="H108:H144" si="12">ROUND(I108,2)</f>
        <v>0</v>
      </c>
      <c r="J108" s="351" t="b">
        <f t="shared" ref="J108:J144" si="13">H108=G108</f>
        <v>1</v>
      </c>
    </row>
    <row r="109" spans="1:10" x14ac:dyDescent="0.25">
      <c r="A109" s="352" t="s">
        <v>3543</v>
      </c>
      <c r="B109" s="352" t="s">
        <v>3121</v>
      </c>
      <c r="C109" s="353" t="s">
        <v>1140</v>
      </c>
      <c r="D109" s="351"/>
      <c r="E109" s="354" t="s">
        <v>2435</v>
      </c>
      <c r="F109" s="352" t="s">
        <v>11</v>
      </c>
      <c r="H109" s="356">
        <f t="shared" si="12"/>
        <v>0</v>
      </c>
      <c r="J109" s="351" t="b">
        <f t="shared" si="13"/>
        <v>1</v>
      </c>
    </row>
    <row r="110" spans="1:10" x14ac:dyDescent="0.25">
      <c r="A110" s="352" t="s">
        <v>3544</v>
      </c>
      <c r="B110" s="352" t="s">
        <v>3122</v>
      </c>
      <c r="C110" s="353" t="s">
        <v>1161</v>
      </c>
      <c r="D110" s="351"/>
      <c r="E110" s="354" t="s">
        <v>2436</v>
      </c>
      <c r="F110" s="352" t="s">
        <v>11</v>
      </c>
      <c r="H110" s="356">
        <f t="shared" si="12"/>
        <v>0</v>
      </c>
      <c r="J110" s="351" t="b">
        <f t="shared" si="13"/>
        <v>1</v>
      </c>
    </row>
    <row r="111" spans="1:10" x14ac:dyDescent="0.25">
      <c r="A111" s="352" t="s">
        <v>3545</v>
      </c>
      <c r="B111" s="352" t="s">
        <v>3123</v>
      </c>
      <c r="C111" s="353" t="s">
        <v>3124</v>
      </c>
      <c r="D111" s="351"/>
      <c r="E111" s="354" t="s">
        <v>2437</v>
      </c>
      <c r="F111" s="352" t="s">
        <v>11</v>
      </c>
      <c r="H111" s="356">
        <f t="shared" si="12"/>
        <v>0</v>
      </c>
      <c r="J111" s="351" t="b">
        <f t="shared" si="13"/>
        <v>1</v>
      </c>
    </row>
    <row r="112" spans="1:10" x14ac:dyDescent="0.25">
      <c r="A112" s="352" t="s">
        <v>3546</v>
      </c>
      <c r="B112" s="352" t="s">
        <v>3125</v>
      </c>
      <c r="C112" s="353" t="s">
        <v>1144</v>
      </c>
      <c r="D112" s="351"/>
      <c r="E112" s="354" t="s">
        <v>2438</v>
      </c>
      <c r="F112" s="352" t="s">
        <v>2371</v>
      </c>
      <c r="H112" s="356">
        <f t="shared" si="12"/>
        <v>0</v>
      </c>
      <c r="J112" s="351" t="b">
        <f t="shared" si="13"/>
        <v>1</v>
      </c>
    </row>
    <row r="113" spans="1:10" x14ac:dyDescent="0.25">
      <c r="A113" s="352" t="s">
        <v>3547</v>
      </c>
      <c r="B113" s="352" t="s">
        <v>3126</v>
      </c>
      <c r="C113" s="353" t="s">
        <v>3127</v>
      </c>
      <c r="D113" s="351"/>
      <c r="E113" s="354" t="s">
        <v>2439</v>
      </c>
      <c r="F113" s="352" t="s">
        <v>2371</v>
      </c>
      <c r="H113" s="356">
        <f t="shared" si="12"/>
        <v>0</v>
      </c>
      <c r="J113" s="351" t="b">
        <f t="shared" si="13"/>
        <v>1</v>
      </c>
    </row>
    <row r="114" spans="1:10" x14ac:dyDescent="0.25">
      <c r="A114" s="352" t="s">
        <v>3548</v>
      </c>
      <c r="B114" s="352" t="s">
        <v>3128</v>
      </c>
      <c r="C114" s="353" t="s">
        <v>3129</v>
      </c>
      <c r="D114" s="351"/>
      <c r="E114" s="354" t="s">
        <v>2440</v>
      </c>
      <c r="F114" s="352" t="s">
        <v>2371</v>
      </c>
      <c r="H114" s="356">
        <f t="shared" si="12"/>
        <v>0</v>
      </c>
      <c r="J114" s="351" t="b">
        <f t="shared" si="13"/>
        <v>1</v>
      </c>
    </row>
    <row r="115" spans="1:10" x14ac:dyDescent="0.25">
      <c r="A115" s="352" t="s">
        <v>3549</v>
      </c>
      <c r="B115" s="352" t="s">
        <v>3130</v>
      </c>
      <c r="C115" s="353" t="s">
        <v>1145</v>
      </c>
      <c r="D115" s="351"/>
      <c r="E115" s="354" t="s">
        <v>2441</v>
      </c>
      <c r="F115" s="352" t="s">
        <v>2371</v>
      </c>
      <c r="H115" s="356">
        <f t="shared" si="12"/>
        <v>0</v>
      </c>
      <c r="J115" s="351" t="b">
        <f t="shared" si="13"/>
        <v>1</v>
      </c>
    </row>
    <row r="116" spans="1:10" x14ac:dyDescent="0.25">
      <c r="A116" s="352" t="s">
        <v>3550</v>
      </c>
      <c r="B116" s="352" t="s">
        <v>3131</v>
      </c>
      <c r="C116" s="353" t="s">
        <v>1141</v>
      </c>
      <c r="D116" s="351"/>
      <c r="E116" s="354" t="s">
        <v>2442</v>
      </c>
      <c r="F116" s="352" t="s">
        <v>2371</v>
      </c>
      <c r="H116" s="356">
        <f t="shared" si="12"/>
        <v>0</v>
      </c>
      <c r="J116" s="351" t="b">
        <f t="shared" si="13"/>
        <v>1</v>
      </c>
    </row>
    <row r="117" spans="1:10" x14ac:dyDescent="0.25">
      <c r="A117" s="352" t="s">
        <v>3551</v>
      </c>
      <c r="B117" s="352" t="s">
        <v>3132</v>
      </c>
      <c r="C117" s="353" t="s">
        <v>1135</v>
      </c>
      <c r="D117" s="351"/>
      <c r="E117" s="354" t="s">
        <v>2443</v>
      </c>
      <c r="F117" s="352" t="s">
        <v>2371</v>
      </c>
      <c r="H117" s="356">
        <f t="shared" si="12"/>
        <v>0</v>
      </c>
      <c r="J117" s="351" t="b">
        <f t="shared" si="13"/>
        <v>1</v>
      </c>
    </row>
    <row r="118" spans="1:10" x14ac:dyDescent="0.25">
      <c r="A118" s="352" t="s">
        <v>3552</v>
      </c>
      <c r="B118" s="352" t="s">
        <v>3133</v>
      </c>
      <c r="C118" s="353" t="s">
        <v>1149</v>
      </c>
      <c r="D118" s="351"/>
      <c r="E118" s="354" t="s">
        <v>2444</v>
      </c>
      <c r="F118" s="352" t="s">
        <v>2371</v>
      </c>
      <c r="H118" s="356">
        <f t="shared" si="12"/>
        <v>0</v>
      </c>
      <c r="J118" s="351" t="b">
        <f t="shared" si="13"/>
        <v>1</v>
      </c>
    </row>
    <row r="119" spans="1:10" x14ac:dyDescent="0.25">
      <c r="A119" s="352" t="s">
        <v>3553</v>
      </c>
      <c r="B119" s="352" t="s">
        <v>3134</v>
      </c>
      <c r="C119" s="353" t="s">
        <v>1142</v>
      </c>
      <c r="D119" s="351"/>
      <c r="E119" s="354" t="s">
        <v>2445</v>
      </c>
      <c r="F119" s="352" t="s">
        <v>2371</v>
      </c>
      <c r="H119" s="356">
        <f t="shared" si="12"/>
        <v>0</v>
      </c>
      <c r="J119" s="351" t="b">
        <f t="shared" si="13"/>
        <v>1</v>
      </c>
    </row>
    <row r="120" spans="1:10" x14ac:dyDescent="0.25">
      <c r="A120" s="352" t="s">
        <v>3554</v>
      </c>
      <c r="B120" s="352" t="s">
        <v>3135</v>
      </c>
      <c r="C120" s="353" t="s">
        <v>3136</v>
      </c>
      <c r="D120" s="351"/>
      <c r="E120" s="354" t="s">
        <v>2446</v>
      </c>
      <c r="F120" s="352" t="s">
        <v>2371</v>
      </c>
      <c r="H120" s="356">
        <f t="shared" si="12"/>
        <v>0</v>
      </c>
      <c r="J120" s="351" t="b">
        <f t="shared" si="13"/>
        <v>1</v>
      </c>
    </row>
    <row r="121" spans="1:10" x14ac:dyDescent="0.25">
      <c r="A121" s="352" t="s">
        <v>3555</v>
      </c>
      <c r="B121" s="352" t="s">
        <v>3137</v>
      </c>
      <c r="C121" s="353" t="s">
        <v>1147</v>
      </c>
      <c r="D121" s="351"/>
      <c r="E121" s="354" t="s">
        <v>2447</v>
      </c>
      <c r="F121" s="352" t="s">
        <v>2371</v>
      </c>
      <c r="H121" s="356">
        <f t="shared" si="12"/>
        <v>0</v>
      </c>
      <c r="J121" s="351" t="b">
        <f t="shared" si="13"/>
        <v>1</v>
      </c>
    </row>
    <row r="122" spans="1:10" x14ac:dyDescent="0.25">
      <c r="A122" s="352" t="s">
        <v>3556</v>
      </c>
      <c r="B122" s="352" t="s">
        <v>3138</v>
      </c>
      <c r="C122" s="353" t="s">
        <v>1156</v>
      </c>
      <c r="D122" s="351"/>
      <c r="E122" s="354" t="s">
        <v>2448</v>
      </c>
      <c r="F122" s="352" t="s">
        <v>11</v>
      </c>
      <c r="H122" s="356">
        <f t="shared" si="12"/>
        <v>0</v>
      </c>
      <c r="J122" s="351" t="b">
        <f t="shared" si="13"/>
        <v>1</v>
      </c>
    </row>
    <row r="123" spans="1:10" x14ac:dyDescent="0.25">
      <c r="A123" s="352" t="s">
        <v>3557</v>
      </c>
      <c r="B123" s="352" t="s">
        <v>3139</v>
      </c>
      <c r="C123" s="353" t="s">
        <v>1170</v>
      </c>
      <c r="D123" s="351"/>
      <c r="E123" s="354" t="s">
        <v>2449</v>
      </c>
      <c r="F123" s="352" t="s">
        <v>2371</v>
      </c>
      <c r="H123" s="356">
        <f t="shared" si="12"/>
        <v>0</v>
      </c>
      <c r="J123" s="351" t="b">
        <f t="shared" si="13"/>
        <v>1</v>
      </c>
    </row>
    <row r="124" spans="1:10" x14ac:dyDescent="0.25">
      <c r="A124" s="352" t="s">
        <v>3558</v>
      </c>
      <c r="B124" s="352" t="s">
        <v>3140</v>
      </c>
      <c r="C124" s="353" t="s">
        <v>1181</v>
      </c>
      <c r="D124" s="351"/>
      <c r="E124" s="354" t="s">
        <v>2450</v>
      </c>
      <c r="F124" s="352" t="s">
        <v>2371</v>
      </c>
      <c r="H124" s="356">
        <f t="shared" si="12"/>
        <v>0</v>
      </c>
      <c r="J124" s="351" t="b">
        <f t="shared" si="13"/>
        <v>1</v>
      </c>
    </row>
    <row r="125" spans="1:10" x14ac:dyDescent="0.25">
      <c r="A125" s="352" t="s">
        <v>3559</v>
      </c>
      <c r="B125" s="352" t="s">
        <v>3141</v>
      </c>
      <c r="C125" s="353" t="s">
        <v>1146</v>
      </c>
      <c r="D125" s="351"/>
      <c r="E125" s="354" t="s">
        <v>2451</v>
      </c>
      <c r="F125" s="352" t="s">
        <v>2371</v>
      </c>
      <c r="H125" s="356">
        <f t="shared" si="12"/>
        <v>0</v>
      </c>
      <c r="J125" s="351" t="b">
        <f t="shared" si="13"/>
        <v>1</v>
      </c>
    </row>
    <row r="126" spans="1:10" x14ac:dyDescent="0.25">
      <c r="A126" s="352" t="s">
        <v>3560</v>
      </c>
      <c r="B126" s="352" t="s">
        <v>3142</v>
      </c>
      <c r="C126" s="353" t="s">
        <v>1143</v>
      </c>
      <c r="D126" s="351"/>
      <c r="E126" s="354" t="s">
        <v>2452</v>
      </c>
      <c r="F126" s="352" t="s">
        <v>2371</v>
      </c>
      <c r="H126" s="356">
        <f t="shared" si="12"/>
        <v>0</v>
      </c>
      <c r="J126" s="351" t="b">
        <f t="shared" si="13"/>
        <v>1</v>
      </c>
    </row>
    <row r="127" spans="1:10" x14ac:dyDescent="0.25">
      <c r="A127" s="352" t="s">
        <v>3561</v>
      </c>
      <c r="B127" s="352" t="s">
        <v>3143</v>
      </c>
      <c r="C127" s="353" t="s">
        <v>1150</v>
      </c>
      <c r="D127" s="351"/>
      <c r="E127" s="354" t="s">
        <v>2453</v>
      </c>
      <c r="F127" s="352" t="s">
        <v>2371</v>
      </c>
      <c r="H127" s="356">
        <f t="shared" si="12"/>
        <v>0</v>
      </c>
      <c r="J127" s="351" t="b">
        <f t="shared" si="13"/>
        <v>1</v>
      </c>
    </row>
    <row r="128" spans="1:10" x14ac:dyDescent="0.25">
      <c r="A128" s="352" t="s">
        <v>3562</v>
      </c>
      <c r="B128" s="352" t="s">
        <v>3144</v>
      </c>
      <c r="C128" s="353" t="s">
        <v>1148</v>
      </c>
      <c r="D128" s="351"/>
      <c r="E128" s="354" t="s">
        <v>2454</v>
      </c>
      <c r="F128" s="352" t="s">
        <v>2371</v>
      </c>
      <c r="H128" s="356">
        <f t="shared" si="12"/>
        <v>0</v>
      </c>
      <c r="J128" s="351" t="b">
        <f t="shared" si="13"/>
        <v>1</v>
      </c>
    </row>
    <row r="129" spans="1:10" x14ac:dyDescent="0.25">
      <c r="A129" s="352" t="s">
        <v>3563</v>
      </c>
      <c r="B129" s="352" t="s">
        <v>3145</v>
      </c>
      <c r="C129" s="353" t="s">
        <v>1167</v>
      </c>
      <c r="D129" s="351"/>
      <c r="E129" s="354" t="s">
        <v>2455</v>
      </c>
      <c r="F129" s="352" t="s">
        <v>2371</v>
      </c>
      <c r="H129" s="356">
        <f t="shared" si="12"/>
        <v>0</v>
      </c>
      <c r="J129" s="351" t="b">
        <f t="shared" si="13"/>
        <v>1</v>
      </c>
    </row>
    <row r="130" spans="1:10" x14ac:dyDescent="0.25">
      <c r="A130" s="352" t="s">
        <v>3564</v>
      </c>
      <c r="B130" s="352" t="s">
        <v>3146</v>
      </c>
      <c r="C130" s="353" t="s">
        <v>1179</v>
      </c>
      <c r="D130" s="351"/>
      <c r="E130" s="354" t="s">
        <v>2456</v>
      </c>
      <c r="F130" s="352" t="s">
        <v>2371</v>
      </c>
      <c r="H130" s="356">
        <f t="shared" si="12"/>
        <v>0</v>
      </c>
      <c r="J130" s="351" t="b">
        <f t="shared" si="13"/>
        <v>1</v>
      </c>
    </row>
    <row r="131" spans="1:10" x14ac:dyDescent="0.25">
      <c r="A131" s="352" t="s">
        <v>3565</v>
      </c>
      <c r="B131" s="352" t="s">
        <v>3147</v>
      </c>
      <c r="C131" s="353" t="s">
        <v>1127</v>
      </c>
      <c r="D131" s="351"/>
      <c r="E131" s="354" t="s">
        <v>2457</v>
      </c>
      <c r="F131" s="352" t="s">
        <v>2371</v>
      </c>
      <c r="H131" s="356">
        <f t="shared" si="12"/>
        <v>0</v>
      </c>
      <c r="J131" s="351" t="b">
        <f t="shared" si="13"/>
        <v>1</v>
      </c>
    </row>
    <row r="132" spans="1:10" x14ac:dyDescent="0.25">
      <c r="A132" s="352" t="s">
        <v>3566</v>
      </c>
      <c r="B132" s="352" t="s">
        <v>2458</v>
      </c>
      <c r="D132" s="351"/>
      <c r="E132" s="354" t="s">
        <v>2459</v>
      </c>
      <c r="F132" s="352" t="s">
        <v>2338</v>
      </c>
      <c r="H132" s="356">
        <f t="shared" si="12"/>
        <v>0</v>
      </c>
      <c r="J132" s="351" t="b">
        <f t="shared" si="13"/>
        <v>1</v>
      </c>
    </row>
    <row r="133" spans="1:10" x14ac:dyDescent="0.25">
      <c r="A133" s="352" t="s">
        <v>3567</v>
      </c>
      <c r="B133" s="352" t="s">
        <v>3148</v>
      </c>
      <c r="C133" s="353" t="s">
        <v>1151</v>
      </c>
      <c r="D133" s="351"/>
      <c r="E133" s="354" t="s">
        <v>2460</v>
      </c>
      <c r="F133" s="352" t="s">
        <v>2338</v>
      </c>
      <c r="H133" s="356">
        <f t="shared" si="12"/>
        <v>0</v>
      </c>
      <c r="J133" s="351" t="b">
        <f t="shared" si="13"/>
        <v>1</v>
      </c>
    </row>
    <row r="134" spans="1:10" x14ac:dyDescent="0.25">
      <c r="A134" s="352" t="s">
        <v>3568</v>
      </c>
      <c r="B134" s="352" t="s">
        <v>3149</v>
      </c>
      <c r="C134" s="353" t="s">
        <v>1127</v>
      </c>
      <c r="D134" s="351"/>
      <c r="E134" s="354" t="s">
        <v>2457</v>
      </c>
      <c r="F134" s="352" t="s">
        <v>2371</v>
      </c>
      <c r="H134" s="356">
        <f t="shared" si="12"/>
        <v>0</v>
      </c>
      <c r="J134" s="351" t="b">
        <f t="shared" si="13"/>
        <v>1</v>
      </c>
    </row>
    <row r="135" spans="1:10" x14ac:dyDescent="0.25">
      <c r="A135" s="352" t="s">
        <v>3569</v>
      </c>
      <c r="B135" s="352" t="s">
        <v>2461</v>
      </c>
      <c r="D135" s="351"/>
      <c r="E135" s="354" t="s">
        <v>2459</v>
      </c>
      <c r="F135" s="352" t="s">
        <v>2338</v>
      </c>
      <c r="H135" s="356">
        <f t="shared" si="12"/>
        <v>0</v>
      </c>
      <c r="J135" s="351" t="b">
        <f t="shared" si="13"/>
        <v>1</v>
      </c>
    </row>
    <row r="136" spans="1:10" x14ac:dyDescent="0.25">
      <c r="A136" s="352" t="s">
        <v>3570</v>
      </c>
      <c r="B136" s="352" t="s">
        <v>3150</v>
      </c>
      <c r="C136" s="353" t="s">
        <v>3151</v>
      </c>
      <c r="D136" s="351"/>
      <c r="E136" s="354" t="s">
        <v>2462</v>
      </c>
      <c r="F136" s="352" t="s">
        <v>2463</v>
      </c>
      <c r="H136" s="356">
        <f t="shared" si="12"/>
        <v>0</v>
      </c>
      <c r="J136" s="351" t="b">
        <f t="shared" si="13"/>
        <v>1</v>
      </c>
    </row>
    <row r="137" spans="1:10" x14ac:dyDescent="0.25">
      <c r="A137" s="352" t="s">
        <v>3571</v>
      </c>
      <c r="B137" s="352" t="s">
        <v>3152</v>
      </c>
      <c r="C137" s="353" t="s">
        <v>3153</v>
      </c>
      <c r="D137" s="351"/>
      <c r="E137" s="354" t="s">
        <v>2464</v>
      </c>
      <c r="F137" s="352" t="s">
        <v>2371</v>
      </c>
      <c r="H137" s="356">
        <f t="shared" si="12"/>
        <v>0</v>
      </c>
      <c r="J137" s="351" t="b">
        <f t="shared" si="13"/>
        <v>1</v>
      </c>
    </row>
    <row r="138" spans="1:10" x14ac:dyDescent="0.25">
      <c r="A138" s="352" t="s">
        <v>3572</v>
      </c>
      <c r="B138" s="352" t="s">
        <v>3154</v>
      </c>
      <c r="C138" s="353" t="s">
        <v>1121</v>
      </c>
      <c r="D138" s="351"/>
      <c r="E138" s="354" t="s">
        <v>2465</v>
      </c>
      <c r="F138" s="352" t="s">
        <v>2371</v>
      </c>
      <c r="H138" s="356">
        <f t="shared" si="12"/>
        <v>0</v>
      </c>
      <c r="J138" s="351" t="b">
        <f t="shared" si="13"/>
        <v>1</v>
      </c>
    </row>
    <row r="139" spans="1:10" x14ac:dyDescent="0.25">
      <c r="A139" s="352" t="s">
        <v>3573</v>
      </c>
      <c r="B139" s="352" t="s">
        <v>2466</v>
      </c>
      <c r="C139" s="353" t="s">
        <v>1180</v>
      </c>
      <c r="D139" s="351"/>
      <c r="E139" s="354" t="s">
        <v>2467</v>
      </c>
      <c r="F139" s="352" t="s">
        <v>2338</v>
      </c>
      <c r="H139" s="356">
        <f t="shared" si="12"/>
        <v>0</v>
      </c>
      <c r="J139" s="351" t="b">
        <f t="shared" si="13"/>
        <v>1</v>
      </c>
    </row>
    <row r="140" spans="1:10" x14ac:dyDescent="0.25">
      <c r="A140" s="352" t="s">
        <v>3574</v>
      </c>
      <c r="B140" s="352" t="s">
        <v>3155</v>
      </c>
      <c r="C140" s="353" t="s">
        <v>1182</v>
      </c>
      <c r="D140" s="351"/>
      <c r="E140" s="354" t="s">
        <v>2468</v>
      </c>
      <c r="F140" s="352" t="s">
        <v>2469</v>
      </c>
      <c r="H140" s="356">
        <f t="shared" si="12"/>
        <v>0</v>
      </c>
      <c r="J140" s="351" t="b">
        <f t="shared" si="13"/>
        <v>1</v>
      </c>
    </row>
    <row r="141" spans="1:10" x14ac:dyDescent="0.25">
      <c r="A141" s="352" t="s">
        <v>3575</v>
      </c>
      <c r="B141" s="352" t="s">
        <v>3156</v>
      </c>
      <c r="C141" s="353" t="s">
        <v>1178</v>
      </c>
      <c r="D141" s="351"/>
      <c r="E141" s="354" t="s">
        <v>2470</v>
      </c>
      <c r="F141" s="352" t="s">
        <v>2371</v>
      </c>
      <c r="H141" s="356">
        <f t="shared" si="12"/>
        <v>0</v>
      </c>
      <c r="J141" s="351" t="b">
        <f t="shared" si="13"/>
        <v>1</v>
      </c>
    </row>
    <row r="142" spans="1:10" x14ac:dyDescent="0.25">
      <c r="A142" s="352" t="s">
        <v>3576</v>
      </c>
      <c r="B142" s="352" t="s">
        <v>3157</v>
      </c>
      <c r="C142" s="353" t="s">
        <v>1183</v>
      </c>
      <c r="D142" s="351"/>
      <c r="E142" s="354" t="s">
        <v>2471</v>
      </c>
      <c r="F142" s="352" t="s">
        <v>2371</v>
      </c>
      <c r="H142" s="356">
        <f t="shared" si="12"/>
        <v>0</v>
      </c>
      <c r="J142" s="351" t="b">
        <f t="shared" si="13"/>
        <v>1</v>
      </c>
    </row>
    <row r="143" spans="1:10" x14ac:dyDescent="0.25">
      <c r="A143" s="352" t="s">
        <v>3577</v>
      </c>
      <c r="B143" s="352" t="s">
        <v>3158</v>
      </c>
      <c r="C143" s="353" t="s">
        <v>1177</v>
      </c>
      <c r="D143" s="351"/>
      <c r="E143" s="354" t="s">
        <v>2472</v>
      </c>
      <c r="F143" s="352" t="s">
        <v>2371</v>
      </c>
      <c r="H143" s="356">
        <f t="shared" si="12"/>
        <v>0</v>
      </c>
      <c r="J143" s="351" t="b">
        <f t="shared" si="13"/>
        <v>1</v>
      </c>
    </row>
    <row r="144" spans="1:10" x14ac:dyDescent="0.25">
      <c r="A144" s="352" t="s">
        <v>3578</v>
      </c>
      <c r="B144" s="352" t="s">
        <v>3159</v>
      </c>
      <c r="C144" s="353" t="s">
        <v>3160</v>
      </c>
      <c r="D144" s="351"/>
      <c r="E144" s="354" t="s">
        <v>2473</v>
      </c>
      <c r="F144" s="352" t="s">
        <v>2371</v>
      </c>
      <c r="H144" s="356">
        <f t="shared" si="12"/>
        <v>0</v>
      </c>
      <c r="J144" s="351" t="b">
        <f t="shared" si="13"/>
        <v>1</v>
      </c>
    </row>
    <row r="145" spans="1:10" x14ac:dyDescent="0.25">
      <c r="A145" s="210" t="s">
        <v>3579</v>
      </c>
      <c r="B145" s="357" t="s">
        <v>2420</v>
      </c>
      <c r="C145" s="358"/>
      <c r="D145" s="359"/>
      <c r="E145" s="211" t="s">
        <v>2474</v>
      </c>
      <c r="F145" s="357"/>
      <c r="G145" s="360"/>
      <c r="H145" s="361"/>
      <c r="I145" s="360"/>
      <c r="J145" s="359"/>
    </row>
    <row r="146" spans="1:10" x14ac:dyDescent="0.25">
      <c r="A146" s="352" t="s">
        <v>3580</v>
      </c>
      <c r="B146" s="352" t="s">
        <v>2475</v>
      </c>
      <c r="C146" s="353" t="s">
        <v>1129</v>
      </c>
      <c r="D146" s="351"/>
      <c r="E146" s="354" t="s">
        <v>2476</v>
      </c>
      <c r="F146" s="352" t="s">
        <v>2371</v>
      </c>
      <c r="H146" s="356">
        <f t="shared" ref="H146:H151" si="14">ROUND(I146,2)</f>
        <v>0</v>
      </c>
      <c r="J146" s="351" t="b">
        <f t="shared" ref="J146:J151" si="15">H146=G146</f>
        <v>1</v>
      </c>
    </row>
    <row r="147" spans="1:10" x14ac:dyDescent="0.25">
      <c r="A147" s="352" t="s">
        <v>3581</v>
      </c>
      <c r="B147" s="352" t="s">
        <v>2477</v>
      </c>
      <c r="D147" s="351"/>
      <c r="E147" s="354" t="s">
        <v>2478</v>
      </c>
      <c r="F147" s="352" t="s">
        <v>11</v>
      </c>
      <c r="H147" s="356">
        <f t="shared" si="14"/>
        <v>0</v>
      </c>
      <c r="J147" s="351" t="b">
        <f t="shared" si="15"/>
        <v>1</v>
      </c>
    </row>
    <row r="148" spans="1:10" x14ac:dyDescent="0.25">
      <c r="A148" s="352" t="s">
        <v>3582</v>
      </c>
      <c r="B148" s="352" t="s">
        <v>2479</v>
      </c>
      <c r="C148" s="353" t="s">
        <v>1168</v>
      </c>
      <c r="D148" s="351"/>
      <c r="E148" s="354" t="s">
        <v>2480</v>
      </c>
      <c r="F148" s="352" t="s">
        <v>2371</v>
      </c>
      <c r="H148" s="356">
        <f t="shared" si="14"/>
        <v>0</v>
      </c>
      <c r="J148" s="351" t="b">
        <f t="shared" si="15"/>
        <v>1</v>
      </c>
    </row>
    <row r="149" spans="1:10" x14ac:dyDescent="0.25">
      <c r="A149" s="352" t="s">
        <v>3583</v>
      </c>
      <c r="B149" s="352" t="s">
        <v>2481</v>
      </c>
      <c r="C149" s="353" t="s">
        <v>3161</v>
      </c>
      <c r="D149" s="351"/>
      <c r="E149" s="354" t="s">
        <v>2482</v>
      </c>
      <c r="F149" s="352" t="s">
        <v>16</v>
      </c>
      <c r="H149" s="356">
        <f t="shared" si="14"/>
        <v>0</v>
      </c>
      <c r="J149" s="351" t="b">
        <f t="shared" si="15"/>
        <v>1</v>
      </c>
    </row>
    <row r="150" spans="1:10" x14ac:dyDescent="0.25">
      <c r="A150" s="352" t="s">
        <v>3584</v>
      </c>
      <c r="B150" s="352" t="s">
        <v>3162</v>
      </c>
      <c r="C150" s="353" t="s">
        <v>2065</v>
      </c>
      <c r="D150" s="351"/>
      <c r="E150" s="354" t="s">
        <v>2483</v>
      </c>
      <c r="F150" s="352" t="s">
        <v>2371</v>
      </c>
      <c r="H150" s="356">
        <f t="shared" si="14"/>
        <v>0</v>
      </c>
      <c r="J150" s="351" t="b">
        <f t="shared" si="15"/>
        <v>1</v>
      </c>
    </row>
    <row r="151" spans="1:10" x14ac:dyDescent="0.25">
      <c r="A151" s="352" t="s">
        <v>3585</v>
      </c>
      <c r="B151" s="352" t="s">
        <v>3163</v>
      </c>
      <c r="C151" s="353" t="s">
        <v>1155</v>
      </c>
      <c r="D151" s="351"/>
      <c r="E151" s="354" t="s">
        <v>2484</v>
      </c>
      <c r="F151" s="352" t="s">
        <v>2338</v>
      </c>
      <c r="H151" s="356">
        <f t="shared" si="14"/>
        <v>0</v>
      </c>
      <c r="J151" s="351" t="b">
        <f t="shared" si="15"/>
        <v>1</v>
      </c>
    </row>
    <row r="152" spans="1:10" x14ac:dyDescent="0.25">
      <c r="A152" s="352"/>
      <c r="B152" s="352"/>
      <c r="D152" s="351"/>
      <c r="E152" s="354"/>
      <c r="F152" s="352"/>
    </row>
    <row r="153" spans="1:10" x14ac:dyDescent="0.2">
      <c r="A153" s="206" t="s">
        <v>3586</v>
      </c>
      <c r="B153" s="206" t="s">
        <v>2420</v>
      </c>
      <c r="C153" s="206"/>
      <c r="D153" s="206"/>
      <c r="E153" s="207" t="s">
        <v>2485</v>
      </c>
      <c r="F153" s="206"/>
      <c r="G153" s="208"/>
      <c r="H153" s="208"/>
      <c r="I153" s="209"/>
      <c r="J153" s="209"/>
    </row>
    <row r="154" spans="1:10" x14ac:dyDescent="0.25">
      <c r="A154" s="352" t="s">
        <v>3587</v>
      </c>
      <c r="B154" s="352" t="s">
        <v>2486</v>
      </c>
      <c r="D154" s="351"/>
      <c r="E154" s="354" t="s">
        <v>2487</v>
      </c>
      <c r="F154" s="352" t="s">
        <v>2488</v>
      </c>
      <c r="H154" s="356">
        <f t="shared" ref="H154:H162" si="16">ROUND(I154,2)</f>
        <v>0</v>
      </c>
      <c r="J154" s="351" t="b">
        <f t="shared" ref="J154:J162" si="17">H154=G154</f>
        <v>1</v>
      </c>
    </row>
    <row r="155" spans="1:10" x14ac:dyDescent="0.25">
      <c r="A155" s="352" t="s">
        <v>3588</v>
      </c>
      <c r="B155" s="352" t="s">
        <v>2489</v>
      </c>
      <c r="C155" s="353" t="s">
        <v>1154</v>
      </c>
      <c r="D155" s="351"/>
      <c r="E155" s="354" t="s">
        <v>2490</v>
      </c>
      <c r="F155" s="352" t="s">
        <v>2371</v>
      </c>
      <c r="H155" s="356">
        <f t="shared" si="16"/>
        <v>0</v>
      </c>
      <c r="J155" s="351" t="b">
        <f t="shared" si="17"/>
        <v>1</v>
      </c>
    </row>
    <row r="156" spans="1:10" x14ac:dyDescent="0.25">
      <c r="A156" s="352" t="s">
        <v>3589</v>
      </c>
      <c r="B156" s="352" t="s">
        <v>2491</v>
      </c>
      <c r="D156" s="351"/>
      <c r="E156" s="354" t="s">
        <v>2492</v>
      </c>
      <c r="F156" s="352" t="s">
        <v>2488</v>
      </c>
      <c r="H156" s="356">
        <f t="shared" si="16"/>
        <v>0</v>
      </c>
      <c r="J156" s="351" t="b">
        <f t="shared" si="17"/>
        <v>1</v>
      </c>
    </row>
    <row r="157" spans="1:10" x14ac:dyDescent="0.25">
      <c r="A157" s="352" t="s">
        <v>3590</v>
      </c>
      <c r="B157" s="352" t="s">
        <v>2493</v>
      </c>
      <c r="D157" s="351"/>
      <c r="E157" s="354" t="s">
        <v>2494</v>
      </c>
      <c r="F157" s="352" t="s">
        <v>2488</v>
      </c>
      <c r="H157" s="356">
        <f t="shared" si="16"/>
        <v>0</v>
      </c>
      <c r="J157" s="351" t="b">
        <f t="shared" si="17"/>
        <v>1</v>
      </c>
    </row>
    <row r="158" spans="1:10" x14ac:dyDescent="0.25">
      <c r="A158" s="352" t="s">
        <v>3591</v>
      </c>
      <c r="B158" s="352" t="s">
        <v>2495</v>
      </c>
      <c r="C158" s="353" t="s">
        <v>1343</v>
      </c>
      <c r="D158" s="351"/>
      <c r="E158" s="354" t="s">
        <v>2496</v>
      </c>
      <c r="F158" s="352" t="s">
        <v>2371</v>
      </c>
      <c r="H158" s="356">
        <f t="shared" si="16"/>
        <v>0</v>
      </c>
      <c r="J158" s="351" t="b">
        <f t="shared" si="17"/>
        <v>1</v>
      </c>
    </row>
    <row r="159" spans="1:10" x14ac:dyDescent="0.25">
      <c r="A159" s="352" t="s">
        <v>3592</v>
      </c>
      <c r="B159" s="352" t="s">
        <v>2491</v>
      </c>
      <c r="D159" s="351"/>
      <c r="E159" s="354" t="s">
        <v>2497</v>
      </c>
      <c r="F159" s="352" t="s">
        <v>2488</v>
      </c>
      <c r="H159" s="356">
        <f t="shared" si="16"/>
        <v>0</v>
      </c>
      <c r="J159" s="351" t="b">
        <f t="shared" si="17"/>
        <v>1</v>
      </c>
    </row>
    <row r="160" spans="1:10" x14ac:dyDescent="0.25">
      <c r="A160" s="352" t="s">
        <v>3593</v>
      </c>
      <c r="B160" s="352" t="s">
        <v>2498</v>
      </c>
      <c r="D160" s="351"/>
      <c r="E160" s="354" t="s">
        <v>2499</v>
      </c>
      <c r="F160" s="352" t="s">
        <v>16</v>
      </c>
      <c r="H160" s="356">
        <f t="shared" si="16"/>
        <v>0</v>
      </c>
      <c r="J160" s="351" t="b">
        <f t="shared" si="17"/>
        <v>1</v>
      </c>
    </row>
    <row r="161" spans="1:10" x14ac:dyDescent="0.25">
      <c r="A161" s="352" t="s">
        <v>3594</v>
      </c>
      <c r="B161" s="352" t="s">
        <v>2500</v>
      </c>
      <c r="D161" s="351"/>
      <c r="E161" s="354" t="s">
        <v>2501</v>
      </c>
      <c r="F161" s="352" t="s">
        <v>16</v>
      </c>
      <c r="H161" s="356">
        <f t="shared" si="16"/>
        <v>0</v>
      </c>
      <c r="J161" s="351" t="b">
        <f t="shared" si="17"/>
        <v>1</v>
      </c>
    </row>
    <row r="162" spans="1:10" x14ac:dyDescent="0.25">
      <c r="A162" s="352" t="s">
        <v>3595</v>
      </c>
      <c r="B162" s="352" t="s">
        <v>3164</v>
      </c>
      <c r="C162" s="353" t="s">
        <v>3165</v>
      </c>
      <c r="D162" s="351"/>
      <c r="E162" s="354" t="s">
        <v>2502</v>
      </c>
      <c r="F162" s="352" t="s">
        <v>2371</v>
      </c>
      <c r="H162" s="356">
        <f t="shared" si="16"/>
        <v>0</v>
      </c>
      <c r="J162" s="351" t="b">
        <f t="shared" si="17"/>
        <v>1</v>
      </c>
    </row>
    <row r="163" spans="1:10" x14ac:dyDescent="0.25">
      <c r="A163" s="352"/>
      <c r="B163" s="352"/>
      <c r="D163" s="351"/>
      <c r="E163" s="354"/>
      <c r="F163" s="352"/>
      <c r="J163" s="355"/>
    </row>
    <row r="164" spans="1:10" x14ac:dyDescent="0.2">
      <c r="A164" s="206" t="s">
        <v>3596</v>
      </c>
      <c r="B164" s="206" t="s">
        <v>2420</v>
      </c>
      <c r="C164" s="206"/>
      <c r="D164" s="206"/>
      <c r="E164" s="207" t="s">
        <v>2503</v>
      </c>
      <c r="F164" s="206"/>
      <c r="G164" s="208"/>
      <c r="H164" s="208"/>
      <c r="I164" s="209"/>
      <c r="J164" s="209"/>
    </row>
    <row r="165" spans="1:10" x14ac:dyDescent="0.25">
      <c r="A165" s="210" t="s">
        <v>3597</v>
      </c>
      <c r="B165" s="357" t="s">
        <v>2420</v>
      </c>
      <c r="C165" s="358"/>
      <c r="D165" s="359"/>
      <c r="E165" s="211" t="s">
        <v>2504</v>
      </c>
      <c r="F165" s="357"/>
      <c r="G165" s="360"/>
      <c r="H165" s="361"/>
      <c r="I165" s="360"/>
      <c r="J165" s="359"/>
    </row>
    <row r="166" spans="1:10" x14ac:dyDescent="0.25">
      <c r="A166" s="352" t="s">
        <v>3598</v>
      </c>
      <c r="B166" s="352" t="s">
        <v>3166</v>
      </c>
      <c r="C166" s="353" t="s">
        <v>3167</v>
      </c>
      <c r="D166" s="351"/>
      <c r="E166" s="354" t="s">
        <v>2505</v>
      </c>
      <c r="F166" s="352" t="s">
        <v>2371</v>
      </c>
      <c r="H166" s="356">
        <f>ROUND(I166,2)</f>
        <v>0</v>
      </c>
      <c r="J166" s="351" t="b">
        <f>H166=G166</f>
        <v>1</v>
      </c>
    </row>
    <row r="167" spans="1:10" x14ac:dyDescent="0.25">
      <c r="A167" s="352" t="s">
        <v>3599</v>
      </c>
      <c r="B167" s="352" t="s">
        <v>3168</v>
      </c>
      <c r="C167" s="353" t="s">
        <v>3169</v>
      </c>
      <c r="D167" s="351"/>
      <c r="E167" s="354" t="s">
        <v>2506</v>
      </c>
      <c r="F167" s="352" t="s">
        <v>2371</v>
      </c>
      <c r="H167" s="356">
        <f>ROUND(I167,2)</f>
        <v>0</v>
      </c>
      <c r="J167" s="351" t="b">
        <f>H167=G167</f>
        <v>1</v>
      </c>
    </row>
    <row r="168" spans="1:10" x14ac:dyDescent="0.25">
      <c r="A168" s="352" t="s">
        <v>3600</v>
      </c>
      <c r="B168" s="352" t="s">
        <v>3170</v>
      </c>
      <c r="C168" s="353" t="s">
        <v>3171</v>
      </c>
      <c r="D168" s="351"/>
      <c r="E168" s="354" t="s">
        <v>2507</v>
      </c>
      <c r="F168" s="352" t="s">
        <v>2371</v>
      </c>
      <c r="H168" s="356">
        <f>ROUND(I168,2)</f>
        <v>0</v>
      </c>
      <c r="J168" s="351" t="b">
        <f>H168=G168</f>
        <v>1</v>
      </c>
    </row>
    <row r="169" spans="1:10" x14ac:dyDescent="0.25">
      <c r="A169" s="210" t="s">
        <v>3601</v>
      </c>
      <c r="B169" s="357" t="s">
        <v>2420</v>
      </c>
      <c r="C169" s="358"/>
      <c r="D169" s="359"/>
      <c r="E169" s="211" t="s">
        <v>2508</v>
      </c>
      <c r="F169" s="357"/>
      <c r="G169" s="360"/>
      <c r="H169" s="361"/>
      <c r="I169" s="360"/>
      <c r="J169" s="359"/>
    </row>
    <row r="170" spans="1:10" x14ac:dyDescent="0.25">
      <c r="A170" s="352" t="s">
        <v>3602</v>
      </c>
      <c r="B170" s="352" t="s">
        <v>3172</v>
      </c>
      <c r="C170" s="353" t="s">
        <v>3173</v>
      </c>
      <c r="D170" s="351"/>
      <c r="E170" s="354" t="s">
        <v>2509</v>
      </c>
      <c r="F170" s="352" t="s">
        <v>2371</v>
      </c>
      <c r="H170" s="356">
        <f>ROUND(I170,2)</f>
        <v>0</v>
      </c>
      <c r="J170" s="351" t="b">
        <f>H170=G170</f>
        <v>1</v>
      </c>
    </row>
    <row r="171" spans="1:10" x14ac:dyDescent="0.25">
      <c r="A171" s="352" t="s">
        <v>3603</v>
      </c>
      <c r="B171" s="352" t="s">
        <v>3174</v>
      </c>
      <c r="C171" s="353" t="s">
        <v>3175</v>
      </c>
      <c r="D171" s="351"/>
      <c r="E171" s="354" t="s">
        <v>2510</v>
      </c>
      <c r="F171" s="352" t="s">
        <v>2338</v>
      </c>
      <c r="H171" s="356">
        <f>ROUND(I171,2)</f>
        <v>0</v>
      </c>
      <c r="J171" s="351" t="b">
        <f>H171=G171</f>
        <v>1</v>
      </c>
    </row>
    <row r="172" spans="1:10" x14ac:dyDescent="0.25">
      <c r="A172" s="352" t="s">
        <v>3604</v>
      </c>
      <c r="B172" s="352" t="s">
        <v>3176</v>
      </c>
      <c r="C172" s="353" t="s">
        <v>1476</v>
      </c>
      <c r="D172" s="351"/>
      <c r="E172" s="354" t="s">
        <v>2511</v>
      </c>
      <c r="F172" s="352" t="s">
        <v>2371</v>
      </c>
      <c r="H172" s="356">
        <f>ROUND(I172,2)</f>
        <v>0</v>
      </c>
      <c r="J172" s="351" t="b">
        <f>H172=G172</f>
        <v>1</v>
      </c>
    </row>
    <row r="173" spans="1:10" x14ac:dyDescent="0.25">
      <c r="A173" s="352" t="s">
        <v>3605</v>
      </c>
      <c r="B173" s="352" t="s">
        <v>3177</v>
      </c>
      <c r="C173" s="353" t="s">
        <v>3178</v>
      </c>
      <c r="D173" s="351"/>
      <c r="E173" s="354" t="s">
        <v>2512</v>
      </c>
      <c r="F173" s="352" t="s">
        <v>2338</v>
      </c>
      <c r="H173" s="356">
        <f>ROUND(I173,2)</f>
        <v>0</v>
      </c>
      <c r="J173" s="351" t="b">
        <f>H173=G173</f>
        <v>1</v>
      </c>
    </row>
    <row r="174" spans="1:10" x14ac:dyDescent="0.25">
      <c r="A174" s="352"/>
      <c r="B174" s="352"/>
      <c r="D174" s="351"/>
      <c r="E174" s="354"/>
      <c r="F174" s="352"/>
    </row>
    <row r="175" spans="1:10" x14ac:dyDescent="0.2">
      <c r="A175" s="206" t="s">
        <v>3606</v>
      </c>
      <c r="B175" s="206" t="s">
        <v>2420</v>
      </c>
      <c r="C175" s="206"/>
      <c r="D175" s="206"/>
      <c r="E175" s="207" t="s">
        <v>2513</v>
      </c>
      <c r="F175" s="206"/>
      <c r="G175" s="208"/>
      <c r="H175" s="208"/>
      <c r="I175" s="209"/>
      <c r="J175" s="209"/>
    </row>
    <row r="176" spans="1:10" x14ac:dyDescent="0.25">
      <c r="A176" s="352" t="s">
        <v>3607</v>
      </c>
      <c r="B176" s="352" t="s">
        <v>3179</v>
      </c>
      <c r="C176" s="353" t="s">
        <v>3180</v>
      </c>
      <c r="D176" s="351"/>
      <c r="E176" s="354" t="s">
        <v>2514</v>
      </c>
      <c r="F176" s="352" t="s">
        <v>2371</v>
      </c>
      <c r="H176" s="356">
        <f>ROUND(I176,2)</f>
        <v>0</v>
      </c>
      <c r="J176" s="351" t="b">
        <f>H176=G176</f>
        <v>1</v>
      </c>
    </row>
    <row r="177" spans="1:10" x14ac:dyDescent="0.25">
      <c r="A177" s="352" t="s">
        <v>3608</v>
      </c>
      <c r="B177" s="352" t="s">
        <v>2515</v>
      </c>
      <c r="C177" s="353" t="s">
        <v>3181</v>
      </c>
      <c r="D177" s="351"/>
      <c r="E177" s="354" t="s">
        <v>2516</v>
      </c>
      <c r="F177" s="352" t="s">
        <v>2371</v>
      </c>
      <c r="H177" s="356">
        <f>ROUND(I177,2)</f>
        <v>0</v>
      </c>
      <c r="J177" s="351" t="b">
        <f>H177=G177</f>
        <v>1</v>
      </c>
    </row>
    <row r="178" spans="1:10" x14ac:dyDescent="0.25">
      <c r="A178" s="352" t="s">
        <v>3609</v>
      </c>
      <c r="B178" s="352" t="s">
        <v>2517</v>
      </c>
      <c r="C178" s="353" t="s">
        <v>1157</v>
      </c>
      <c r="D178" s="351"/>
      <c r="E178" s="354" t="s">
        <v>2518</v>
      </c>
      <c r="F178" s="352" t="s">
        <v>2371</v>
      </c>
      <c r="H178" s="356">
        <f>ROUND(I178,2)</f>
        <v>0</v>
      </c>
      <c r="J178" s="351" t="b">
        <f>H178=G178</f>
        <v>1</v>
      </c>
    </row>
    <row r="179" spans="1:10" x14ac:dyDescent="0.25">
      <c r="A179" s="352"/>
      <c r="B179" s="352"/>
      <c r="D179" s="351"/>
      <c r="E179" s="354"/>
      <c r="F179" s="352"/>
    </row>
    <row r="180" spans="1:10" x14ac:dyDescent="0.2">
      <c r="A180" s="206" t="s">
        <v>3610</v>
      </c>
      <c r="B180" s="206" t="s">
        <v>2420</v>
      </c>
      <c r="C180" s="206"/>
      <c r="D180" s="206"/>
      <c r="E180" s="207" t="s">
        <v>2519</v>
      </c>
      <c r="F180" s="206"/>
      <c r="G180" s="208"/>
      <c r="H180" s="208"/>
      <c r="I180" s="209"/>
      <c r="J180" s="209"/>
    </row>
    <row r="181" spans="1:10" x14ac:dyDescent="0.25">
      <c r="A181" s="352" t="s">
        <v>3611</v>
      </c>
      <c r="B181" s="352" t="s">
        <v>3182</v>
      </c>
      <c r="C181" s="353" t="s">
        <v>3183</v>
      </c>
      <c r="D181" s="351"/>
      <c r="E181" s="354" t="s">
        <v>2520</v>
      </c>
      <c r="F181" s="352" t="s">
        <v>2338</v>
      </c>
      <c r="H181" s="356">
        <f>ROUND(I181,2)</f>
        <v>0</v>
      </c>
      <c r="J181" s="351" t="b">
        <f>H181=G181</f>
        <v>1</v>
      </c>
    </row>
    <row r="182" spans="1:10" x14ac:dyDescent="0.25">
      <c r="A182" s="352"/>
      <c r="B182" s="352"/>
      <c r="D182" s="351"/>
      <c r="E182" s="354"/>
      <c r="F182" s="352"/>
    </row>
    <row r="183" spans="1:10" x14ac:dyDescent="0.2">
      <c r="A183" s="206" t="s">
        <v>3612</v>
      </c>
      <c r="B183" s="206" t="s">
        <v>2420</v>
      </c>
      <c r="C183" s="206"/>
      <c r="D183" s="206"/>
      <c r="E183" s="207" t="s">
        <v>2521</v>
      </c>
      <c r="F183" s="206"/>
      <c r="G183" s="208"/>
      <c r="H183" s="208"/>
      <c r="I183" s="209"/>
      <c r="J183" s="209"/>
    </row>
    <row r="184" spans="1:10" x14ac:dyDescent="0.25">
      <c r="A184" s="352" t="s">
        <v>3613</v>
      </c>
      <c r="B184" s="352" t="s">
        <v>3184</v>
      </c>
      <c r="C184" s="353" t="s">
        <v>3185</v>
      </c>
      <c r="D184" s="351"/>
      <c r="E184" s="354" t="s">
        <v>2522</v>
      </c>
      <c r="F184" s="352" t="s">
        <v>2338</v>
      </c>
      <c r="H184" s="356">
        <f t="shared" ref="H184:H190" si="18">ROUND(I184,2)</f>
        <v>0</v>
      </c>
      <c r="J184" s="351" t="b">
        <f t="shared" ref="J184:J190" si="19">H184=G184</f>
        <v>1</v>
      </c>
    </row>
    <row r="185" spans="1:10" x14ac:dyDescent="0.25">
      <c r="A185" s="352" t="s">
        <v>3614</v>
      </c>
      <c r="B185" s="352" t="s">
        <v>3186</v>
      </c>
      <c r="C185" s="353" t="s">
        <v>3187</v>
      </c>
      <c r="D185" s="351"/>
      <c r="E185" s="354" t="s">
        <v>2523</v>
      </c>
      <c r="F185" s="352" t="s">
        <v>2371</v>
      </c>
      <c r="H185" s="356">
        <f t="shared" si="18"/>
        <v>0</v>
      </c>
      <c r="J185" s="351" t="b">
        <f t="shared" si="19"/>
        <v>1</v>
      </c>
    </row>
    <row r="186" spans="1:10" x14ac:dyDescent="0.25">
      <c r="A186" s="352" t="s">
        <v>3615</v>
      </c>
      <c r="B186" s="352" t="s">
        <v>3188</v>
      </c>
      <c r="C186" s="353" t="s">
        <v>3189</v>
      </c>
      <c r="D186" s="351"/>
      <c r="E186" s="354" t="s">
        <v>2524</v>
      </c>
      <c r="F186" s="352" t="s">
        <v>2338</v>
      </c>
      <c r="H186" s="356">
        <f t="shared" si="18"/>
        <v>0</v>
      </c>
      <c r="J186" s="351" t="b">
        <f t="shared" si="19"/>
        <v>1</v>
      </c>
    </row>
    <row r="187" spans="1:10" x14ac:dyDescent="0.25">
      <c r="A187" s="352" t="s">
        <v>3616</v>
      </c>
      <c r="B187" s="352" t="s">
        <v>3190</v>
      </c>
      <c r="C187" s="353" t="s">
        <v>3191</v>
      </c>
      <c r="D187" s="351"/>
      <c r="E187" s="354" t="s">
        <v>2525</v>
      </c>
      <c r="F187" s="352" t="s">
        <v>2338</v>
      </c>
      <c r="H187" s="356">
        <f t="shared" si="18"/>
        <v>0</v>
      </c>
      <c r="J187" s="351" t="b">
        <f t="shared" si="19"/>
        <v>1</v>
      </c>
    </row>
    <row r="188" spans="1:10" x14ac:dyDescent="0.25">
      <c r="A188" s="352" t="s">
        <v>3617</v>
      </c>
      <c r="B188" s="352" t="s">
        <v>3192</v>
      </c>
      <c r="C188" s="353" t="s">
        <v>3193</v>
      </c>
      <c r="D188" s="351"/>
      <c r="E188" s="354" t="s">
        <v>2526</v>
      </c>
      <c r="F188" s="352" t="s">
        <v>2338</v>
      </c>
      <c r="H188" s="356">
        <f t="shared" si="18"/>
        <v>0</v>
      </c>
      <c r="J188" s="351" t="b">
        <f t="shared" si="19"/>
        <v>1</v>
      </c>
    </row>
    <row r="189" spans="1:10" x14ac:dyDescent="0.25">
      <c r="A189" s="352" t="s">
        <v>3618</v>
      </c>
      <c r="B189" s="352" t="s">
        <v>3194</v>
      </c>
      <c r="C189" s="353" t="s">
        <v>3195</v>
      </c>
      <c r="D189" s="351"/>
      <c r="E189" s="354" t="s">
        <v>2527</v>
      </c>
      <c r="F189" s="352" t="s">
        <v>2338</v>
      </c>
      <c r="H189" s="356">
        <f t="shared" si="18"/>
        <v>0</v>
      </c>
      <c r="J189" s="351" t="b">
        <f t="shared" si="19"/>
        <v>1</v>
      </c>
    </row>
    <row r="190" spans="1:10" x14ac:dyDescent="0.25">
      <c r="A190" s="352" t="s">
        <v>3619</v>
      </c>
      <c r="B190" s="352" t="s">
        <v>3196</v>
      </c>
      <c r="C190" s="353" t="s">
        <v>3197</v>
      </c>
      <c r="D190" s="351"/>
      <c r="E190" s="354" t="s">
        <v>2528</v>
      </c>
      <c r="F190" s="352" t="s">
        <v>2371</v>
      </c>
      <c r="H190" s="356">
        <f t="shared" si="18"/>
        <v>0</v>
      </c>
      <c r="J190" s="351" t="b">
        <f t="shared" si="19"/>
        <v>1</v>
      </c>
    </row>
    <row r="191" spans="1:10" x14ac:dyDescent="0.25">
      <c r="A191" s="352"/>
      <c r="B191" s="352"/>
      <c r="D191" s="351"/>
      <c r="E191" s="354"/>
      <c r="F191" s="352"/>
    </row>
    <row r="192" spans="1:10" x14ac:dyDescent="0.2">
      <c r="A192" s="206" t="s">
        <v>3620</v>
      </c>
      <c r="B192" s="206" t="s">
        <v>2420</v>
      </c>
      <c r="C192" s="206"/>
      <c r="D192" s="206"/>
      <c r="E192" s="207" t="s">
        <v>2529</v>
      </c>
      <c r="F192" s="206"/>
      <c r="G192" s="208"/>
      <c r="H192" s="208"/>
      <c r="I192" s="209"/>
      <c r="J192" s="209"/>
    </row>
    <row r="193" spans="1:10" x14ac:dyDescent="0.25">
      <c r="A193" s="352" t="s">
        <v>3621</v>
      </c>
      <c r="B193" s="352" t="s">
        <v>223</v>
      </c>
      <c r="D193" s="351"/>
      <c r="E193" s="354" t="s">
        <v>2530</v>
      </c>
      <c r="F193" s="352" t="s">
        <v>16</v>
      </c>
      <c r="H193" s="356">
        <f>ROUND(I193,2)</f>
        <v>0</v>
      </c>
      <c r="J193" s="351" t="b">
        <f>H193=G193</f>
        <v>1</v>
      </c>
    </row>
    <row r="194" spans="1:10" x14ac:dyDescent="0.25">
      <c r="A194" s="352"/>
      <c r="B194" s="352"/>
      <c r="D194" s="351"/>
      <c r="E194" s="354"/>
      <c r="F194" s="352"/>
    </row>
    <row r="195" spans="1:10" x14ac:dyDescent="0.2">
      <c r="A195" s="206" t="s">
        <v>3622</v>
      </c>
      <c r="B195" s="206" t="s">
        <v>2420</v>
      </c>
      <c r="C195" s="206"/>
      <c r="D195" s="206"/>
      <c r="E195" s="207" t="s">
        <v>2531</v>
      </c>
      <c r="F195" s="206"/>
      <c r="G195" s="208"/>
      <c r="H195" s="208"/>
      <c r="I195" s="209"/>
      <c r="J195" s="209"/>
    </row>
    <row r="196" spans="1:10" x14ac:dyDescent="0.25">
      <c r="A196" s="352" t="s">
        <v>3623</v>
      </c>
      <c r="B196" s="352" t="s">
        <v>3198</v>
      </c>
      <c r="C196" s="353" t="s">
        <v>222</v>
      </c>
      <c r="D196" s="351"/>
      <c r="E196" s="354" t="s">
        <v>2532</v>
      </c>
      <c r="F196" s="352" t="s">
        <v>2338</v>
      </c>
      <c r="H196" s="356">
        <f>ROUND(I196,2)</f>
        <v>0</v>
      </c>
      <c r="J196" s="351" t="b">
        <f>H196=G196</f>
        <v>1</v>
      </c>
    </row>
    <row r="197" spans="1:10" x14ac:dyDescent="0.25">
      <c r="A197" s="352"/>
      <c r="B197" s="352"/>
      <c r="D197" s="351"/>
      <c r="E197" s="354"/>
      <c r="F197" s="352"/>
    </row>
    <row r="198" spans="1:10" x14ac:dyDescent="0.2">
      <c r="A198" s="206" t="s">
        <v>3624</v>
      </c>
      <c r="B198" s="206" t="s">
        <v>2420</v>
      </c>
      <c r="C198" s="206"/>
      <c r="D198" s="206"/>
      <c r="E198" s="207" t="s">
        <v>2533</v>
      </c>
      <c r="F198" s="206"/>
      <c r="G198" s="208"/>
      <c r="H198" s="208"/>
      <c r="I198" s="209"/>
      <c r="J198" s="209"/>
    </row>
    <row r="199" spans="1:10" x14ac:dyDescent="0.25">
      <c r="A199" s="352" t="s">
        <v>3625</v>
      </c>
      <c r="B199" s="352" t="s">
        <v>3199</v>
      </c>
      <c r="C199" s="353" t="s">
        <v>226</v>
      </c>
      <c r="D199" s="351"/>
      <c r="E199" s="354" t="s">
        <v>2534</v>
      </c>
      <c r="F199" s="352" t="s">
        <v>2469</v>
      </c>
      <c r="H199" s="356">
        <f t="shared" ref="H199:H200" si="20">ROUND(I199,2)</f>
        <v>0</v>
      </c>
      <c r="J199" s="351" t="b">
        <f t="shared" ref="J199:J200" si="21">H199=G199</f>
        <v>1</v>
      </c>
    </row>
    <row r="200" spans="1:10" x14ac:dyDescent="0.25">
      <c r="A200" s="352" t="s">
        <v>3626</v>
      </c>
      <c r="B200" s="352" t="s">
        <v>3200</v>
      </c>
      <c r="C200" s="353" t="s">
        <v>227</v>
      </c>
      <c r="D200" s="351"/>
      <c r="E200" s="354" t="s">
        <v>2535</v>
      </c>
      <c r="F200" s="352" t="s">
        <v>2371</v>
      </c>
      <c r="H200" s="356">
        <f t="shared" si="20"/>
        <v>0</v>
      </c>
      <c r="J200" s="351" t="b">
        <f t="shared" si="21"/>
        <v>1</v>
      </c>
    </row>
    <row r="201" spans="1:10" x14ac:dyDescent="0.25">
      <c r="A201" s="352"/>
      <c r="B201" s="352"/>
      <c r="D201" s="351"/>
      <c r="E201" s="354"/>
      <c r="F201" s="352"/>
      <c r="J201" s="355"/>
    </row>
    <row r="202" spans="1:10" x14ac:dyDescent="0.2">
      <c r="A202" s="206" t="s">
        <v>3627</v>
      </c>
      <c r="B202" s="206" t="s">
        <v>2420</v>
      </c>
      <c r="C202" s="206"/>
      <c r="D202" s="206"/>
      <c r="E202" s="207" t="s">
        <v>2536</v>
      </c>
      <c r="F202" s="206"/>
      <c r="G202" s="208"/>
      <c r="H202" s="208"/>
      <c r="I202" s="209"/>
      <c r="J202" s="209"/>
    </row>
    <row r="203" spans="1:10" x14ac:dyDescent="0.25">
      <c r="A203" s="352" t="s">
        <v>3628</v>
      </c>
      <c r="B203" s="352" t="s">
        <v>224</v>
      </c>
      <c r="D203" s="351"/>
      <c r="E203" s="354" t="s">
        <v>2537</v>
      </c>
      <c r="F203" s="352" t="s">
        <v>16</v>
      </c>
      <c r="H203" s="356">
        <f>ROUND(I203,2)</f>
        <v>0</v>
      </c>
      <c r="J203" s="351" t="b">
        <f>H203=G203</f>
        <v>1</v>
      </c>
    </row>
    <row r="204" spans="1:10" x14ac:dyDescent="0.25">
      <c r="A204" s="352" t="s">
        <v>3629</v>
      </c>
      <c r="B204" s="352" t="s">
        <v>225</v>
      </c>
      <c r="D204" s="351"/>
      <c r="E204" s="354" t="s">
        <v>2538</v>
      </c>
      <c r="F204" s="352" t="s">
        <v>16</v>
      </c>
      <c r="H204" s="356">
        <f>ROUND(I204,2)</f>
        <v>0</v>
      </c>
      <c r="J204" s="351" t="b">
        <f>H204=G204</f>
        <v>1</v>
      </c>
    </row>
    <row r="205" spans="1:10" x14ac:dyDescent="0.25">
      <c r="A205" s="352"/>
      <c r="B205" s="352"/>
      <c r="D205" s="351"/>
      <c r="E205" s="354"/>
      <c r="F205" s="352"/>
    </row>
    <row r="206" spans="1:10" x14ac:dyDescent="0.2">
      <c r="A206" s="206" t="s">
        <v>3630</v>
      </c>
      <c r="B206" s="206" t="s">
        <v>2420</v>
      </c>
      <c r="C206" s="206"/>
      <c r="D206" s="206"/>
      <c r="E206" s="207" t="s">
        <v>2539</v>
      </c>
      <c r="F206" s="206"/>
      <c r="G206" s="208"/>
      <c r="H206" s="208"/>
      <c r="I206" s="209"/>
      <c r="J206" s="209"/>
    </row>
    <row r="207" spans="1:10" x14ac:dyDescent="0.25">
      <c r="A207" s="210" t="s">
        <v>3631</v>
      </c>
      <c r="B207" s="357" t="s">
        <v>3201</v>
      </c>
      <c r="C207" s="358"/>
      <c r="D207" s="359"/>
      <c r="E207" s="211" t="s">
        <v>2540</v>
      </c>
      <c r="F207" s="357"/>
      <c r="G207" s="360"/>
      <c r="H207" s="361"/>
      <c r="I207" s="360"/>
      <c r="J207" s="359"/>
    </row>
    <row r="208" spans="1:10" x14ac:dyDescent="0.25">
      <c r="A208" s="210" t="s">
        <v>3632</v>
      </c>
      <c r="B208" s="357" t="s">
        <v>3202</v>
      </c>
      <c r="C208" s="358"/>
      <c r="D208" s="359"/>
      <c r="E208" s="211" t="s">
        <v>2541</v>
      </c>
      <c r="F208" s="357"/>
      <c r="G208" s="360"/>
      <c r="H208" s="361"/>
      <c r="I208" s="360"/>
      <c r="J208" s="359"/>
    </row>
    <row r="209" spans="1:10" x14ac:dyDescent="0.25">
      <c r="A209" s="352"/>
      <c r="B209" s="352"/>
      <c r="D209" s="351"/>
      <c r="E209" s="354"/>
      <c r="F209" s="352"/>
      <c r="J209" s="355"/>
    </row>
    <row r="210" spans="1:10" x14ac:dyDescent="0.2">
      <c r="A210" s="206" t="s">
        <v>3633</v>
      </c>
      <c r="B210" s="206" t="s">
        <v>2420</v>
      </c>
      <c r="C210" s="206"/>
      <c r="D210" s="206"/>
      <c r="E210" s="207" t="s">
        <v>2542</v>
      </c>
      <c r="F210" s="206"/>
      <c r="G210" s="208"/>
      <c r="H210" s="208"/>
      <c r="I210" s="209"/>
      <c r="J210" s="209"/>
    </row>
    <row r="211" spans="1:10" x14ac:dyDescent="0.25">
      <c r="A211" s="352" t="s">
        <v>3634</v>
      </c>
      <c r="B211" s="352" t="s">
        <v>3203</v>
      </c>
      <c r="C211" s="353" t="s">
        <v>3204</v>
      </c>
      <c r="D211" s="351"/>
      <c r="E211" s="354" t="s">
        <v>2543</v>
      </c>
      <c r="F211" s="352" t="s">
        <v>2338</v>
      </c>
      <c r="H211" s="356">
        <f t="shared" ref="H211:H217" si="22">ROUND(I211,2)</f>
        <v>0</v>
      </c>
      <c r="J211" s="351" t="b">
        <f t="shared" ref="J211:J217" si="23">H211=G211</f>
        <v>1</v>
      </c>
    </row>
    <row r="212" spans="1:10" x14ac:dyDescent="0.25">
      <c r="A212" s="352" t="s">
        <v>3635</v>
      </c>
      <c r="B212" s="352" t="s">
        <v>3205</v>
      </c>
      <c r="C212" s="353" t="s">
        <v>229</v>
      </c>
      <c r="D212" s="351"/>
      <c r="E212" s="354" t="s">
        <v>2544</v>
      </c>
      <c r="F212" s="352" t="s">
        <v>52</v>
      </c>
      <c r="H212" s="356">
        <f t="shared" si="22"/>
        <v>0</v>
      </c>
      <c r="J212" s="351" t="b">
        <f t="shared" si="23"/>
        <v>1</v>
      </c>
    </row>
    <row r="213" spans="1:10" x14ac:dyDescent="0.25">
      <c r="A213" s="352" t="s">
        <v>3636</v>
      </c>
      <c r="B213" s="352" t="s">
        <v>3206</v>
      </c>
      <c r="C213" s="353" t="s">
        <v>3207</v>
      </c>
      <c r="D213" s="351"/>
      <c r="E213" s="354" t="s">
        <v>2545</v>
      </c>
      <c r="F213" s="352" t="s">
        <v>52</v>
      </c>
      <c r="H213" s="356">
        <f t="shared" si="22"/>
        <v>0</v>
      </c>
      <c r="J213" s="351" t="b">
        <f t="shared" si="23"/>
        <v>1</v>
      </c>
    </row>
    <row r="214" spans="1:10" x14ac:dyDescent="0.25">
      <c r="A214" s="352" t="s">
        <v>3637</v>
      </c>
      <c r="B214" s="352" t="s">
        <v>3208</v>
      </c>
      <c r="C214" s="353" t="s">
        <v>1884</v>
      </c>
      <c r="D214" s="351"/>
      <c r="E214" s="354" t="s">
        <v>2546</v>
      </c>
      <c r="F214" s="352" t="s">
        <v>52</v>
      </c>
      <c r="H214" s="356">
        <f t="shared" si="22"/>
        <v>0</v>
      </c>
      <c r="J214" s="351" t="b">
        <f t="shared" si="23"/>
        <v>1</v>
      </c>
    </row>
    <row r="215" spans="1:10" x14ac:dyDescent="0.25">
      <c r="A215" s="352" t="s">
        <v>3638</v>
      </c>
      <c r="B215" s="352" t="s">
        <v>3209</v>
      </c>
      <c r="C215" s="353" t="s">
        <v>232</v>
      </c>
      <c r="D215" s="351"/>
      <c r="E215" s="354" t="s">
        <v>2547</v>
      </c>
      <c r="F215" s="352" t="s">
        <v>52</v>
      </c>
      <c r="H215" s="356">
        <f t="shared" si="22"/>
        <v>0</v>
      </c>
      <c r="J215" s="351" t="b">
        <f t="shared" si="23"/>
        <v>1</v>
      </c>
    </row>
    <row r="216" spans="1:10" x14ac:dyDescent="0.25">
      <c r="A216" s="352" t="s">
        <v>3639</v>
      </c>
      <c r="B216" s="352" t="s">
        <v>3210</v>
      </c>
      <c r="C216" s="353" t="s">
        <v>233</v>
      </c>
      <c r="D216" s="351"/>
      <c r="E216" s="354" t="s">
        <v>2548</v>
      </c>
      <c r="F216" s="352" t="s">
        <v>52</v>
      </c>
      <c r="H216" s="356">
        <f t="shared" si="22"/>
        <v>0</v>
      </c>
      <c r="J216" s="351" t="b">
        <f t="shared" si="23"/>
        <v>1</v>
      </c>
    </row>
    <row r="217" spans="1:10" x14ac:dyDescent="0.25">
      <c r="A217" s="352" t="s">
        <v>3640</v>
      </c>
      <c r="B217" s="352" t="s">
        <v>3211</v>
      </c>
      <c r="C217" s="353" t="s">
        <v>234</v>
      </c>
      <c r="D217" s="351"/>
      <c r="E217" s="354" t="s">
        <v>2549</v>
      </c>
      <c r="F217" s="352" t="s">
        <v>52</v>
      </c>
      <c r="H217" s="356">
        <f t="shared" si="22"/>
        <v>0</v>
      </c>
      <c r="J217" s="351" t="b">
        <f t="shared" si="23"/>
        <v>1</v>
      </c>
    </row>
    <row r="218" spans="1:10" x14ac:dyDescent="0.25">
      <c r="A218" s="352"/>
      <c r="B218" s="352"/>
      <c r="D218" s="351"/>
      <c r="E218" s="354"/>
      <c r="F218" s="352"/>
    </row>
    <row r="219" spans="1:10" x14ac:dyDescent="0.2">
      <c r="A219" s="206" t="s">
        <v>3641</v>
      </c>
      <c r="B219" s="206" t="s">
        <v>2420</v>
      </c>
      <c r="C219" s="206"/>
      <c r="D219" s="206"/>
      <c r="E219" s="207" t="s">
        <v>2550</v>
      </c>
      <c r="F219" s="206"/>
      <c r="G219" s="208"/>
      <c r="H219" s="208"/>
      <c r="I219" s="209"/>
      <c r="J219" s="209"/>
    </row>
    <row r="220" spans="1:10" x14ac:dyDescent="0.25">
      <c r="A220" s="210" t="s">
        <v>3642</v>
      </c>
      <c r="B220" s="210" t="s">
        <v>2420</v>
      </c>
      <c r="C220" s="212"/>
      <c r="D220" s="213"/>
      <c r="E220" s="211" t="s">
        <v>2551</v>
      </c>
      <c r="F220" s="210"/>
      <c r="G220" s="214"/>
      <c r="H220" s="215"/>
      <c r="I220" s="214"/>
      <c r="J220" s="213"/>
    </row>
    <row r="221" spans="1:10" x14ac:dyDescent="0.25">
      <c r="A221" s="216" t="s">
        <v>3643</v>
      </c>
      <c r="B221" s="216" t="s">
        <v>2420</v>
      </c>
      <c r="C221" s="197"/>
      <c r="D221" s="198"/>
      <c r="E221" s="217" t="s">
        <v>2552</v>
      </c>
      <c r="F221" s="352"/>
    </row>
    <row r="222" spans="1:10" x14ac:dyDescent="0.25">
      <c r="A222" s="352" t="s">
        <v>3644</v>
      </c>
      <c r="B222" s="352" t="s">
        <v>2553</v>
      </c>
      <c r="C222" s="369" t="s">
        <v>2032</v>
      </c>
      <c r="D222" s="351"/>
      <c r="E222" s="370" t="s">
        <v>2554</v>
      </c>
      <c r="F222" s="352" t="s">
        <v>52</v>
      </c>
      <c r="H222" s="356">
        <f t="shared" ref="H222:H227" si="24">ROUND(I222,2)</f>
        <v>0</v>
      </c>
      <c r="J222" s="351" t="b">
        <f t="shared" ref="J222:J227" si="25">H222=G222</f>
        <v>1</v>
      </c>
    </row>
    <row r="223" spans="1:10" x14ac:dyDescent="0.25">
      <c r="A223" s="352" t="s">
        <v>3645</v>
      </c>
      <c r="B223" s="352" t="s">
        <v>147</v>
      </c>
      <c r="C223" s="353" t="s">
        <v>2177</v>
      </c>
      <c r="D223" s="351"/>
      <c r="E223" s="354" t="s">
        <v>2555</v>
      </c>
      <c r="F223" s="352" t="s">
        <v>16</v>
      </c>
      <c r="H223" s="356">
        <f t="shared" si="24"/>
        <v>0</v>
      </c>
      <c r="J223" s="351" t="b">
        <f t="shared" si="25"/>
        <v>1</v>
      </c>
    </row>
    <row r="224" spans="1:10" x14ac:dyDescent="0.25">
      <c r="A224" s="352" t="s">
        <v>3646</v>
      </c>
      <c r="B224" s="352" t="s">
        <v>148</v>
      </c>
      <c r="C224" s="353" t="s">
        <v>1278</v>
      </c>
      <c r="D224" s="351"/>
      <c r="E224" s="354" t="s">
        <v>2556</v>
      </c>
      <c r="F224" s="352" t="s">
        <v>2557</v>
      </c>
      <c r="H224" s="356">
        <f t="shared" si="24"/>
        <v>0</v>
      </c>
      <c r="J224" s="351" t="b">
        <f t="shared" si="25"/>
        <v>1</v>
      </c>
    </row>
    <row r="225" spans="1:10" x14ac:dyDescent="0.25">
      <c r="A225" s="352" t="s">
        <v>3647</v>
      </c>
      <c r="B225" s="352" t="s">
        <v>235</v>
      </c>
      <c r="C225" s="353" t="s">
        <v>1458</v>
      </c>
      <c r="D225" s="351"/>
      <c r="E225" s="354" t="s">
        <v>2558</v>
      </c>
      <c r="F225" s="352" t="s">
        <v>52</v>
      </c>
      <c r="H225" s="356">
        <f t="shared" si="24"/>
        <v>0</v>
      </c>
      <c r="J225" s="351" t="b">
        <f t="shared" si="25"/>
        <v>1</v>
      </c>
    </row>
    <row r="226" spans="1:10" x14ac:dyDescent="0.25">
      <c r="A226" s="352" t="s">
        <v>3648</v>
      </c>
      <c r="B226" s="352" t="s">
        <v>216</v>
      </c>
      <c r="D226" s="351"/>
      <c r="E226" s="370" t="s">
        <v>2559</v>
      </c>
      <c r="F226" s="352" t="s">
        <v>52</v>
      </c>
      <c r="H226" s="356">
        <f t="shared" si="24"/>
        <v>0</v>
      </c>
      <c r="J226" s="351" t="b">
        <f t="shared" si="25"/>
        <v>1</v>
      </c>
    </row>
    <row r="227" spans="1:10" x14ac:dyDescent="0.25">
      <c r="A227" s="352" t="s">
        <v>3649</v>
      </c>
      <c r="B227" s="352" t="s">
        <v>236</v>
      </c>
      <c r="D227" s="351"/>
      <c r="E227" s="354" t="s">
        <v>2560</v>
      </c>
      <c r="F227" s="352" t="s">
        <v>52</v>
      </c>
      <c r="H227" s="356">
        <f t="shared" si="24"/>
        <v>0</v>
      </c>
      <c r="J227" s="351" t="b">
        <f t="shared" si="25"/>
        <v>1</v>
      </c>
    </row>
    <row r="228" spans="1:10" x14ac:dyDescent="0.25">
      <c r="A228" s="216" t="s">
        <v>3650</v>
      </c>
      <c r="B228" s="216" t="s">
        <v>2420</v>
      </c>
      <c r="C228" s="197"/>
      <c r="D228" s="198"/>
      <c r="E228" s="217" t="s">
        <v>2561</v>
      </c>
      <c r="F228" s="352"/>
    </row>
    <row r="229" spans="1:10" x14ac:dyDescent="0.25">
      <c r="A229" s="352" t="s">
        <v>3651</v>
      </c>
      <c r="B229" s="352" t="s">
        <v>3212</v>
      </c>
      <c r="C229" s="353" t="s">
        <v>237</v>
      </c>
      <c r="D229" s="351"/>
      <c r="E229" s="354" t="s">
        <v>2562</v>
      </c>
      <c r="F229" s="352" t="s">
        <v>16</v>
      </c>
      <c r="H229" s="356">
        <f t="shared" ref="H229:H234" si="26">ROUND(I229,2)</f>
        <v>0</v>
      </c>
      <c r="J229" s="351" t="b">
        <f t="shared" ref="J229:J234" si="27">H229=G229</f>
        <v>1</v>
      </c>
    </row>
    <row r="230" spans="1:10" x14ac:dyDescent="0.25">
      <c r="A230" s="352" t="s">
        <v>3652</v>
      </c>
      <c r="B230" s="352" t="s">
        <v>148</v>
      </c>
      <c r="C230" s="353" t="s">
        <v>1278</v>
      </c>
      <c r="D230" s="351"/>
      <c r="E230" s="354" t="s">
        <v>2556</v>
      </c>
      <c r="F230" s="352" t="s">
        <v>2557</v>
      </c>
      <c r="H230" s="356">
        <f t="shared" si="26"/>
        <v>0</v>
      </c>
      <c r="J230" s="351" t="b">
        <f t="shared" si="27"/>
        <v>1</v>
      </c>
    </row>
    <row r="231" spans="1:10" x14ac:dyDescent="0.25">
      <c r="A231" s="352" t="s">
        <v>3653</v>
      </c>
      <c r="B231" s="352" t="s">
        <v>238</v>
      </c>
      <c r="D231" s="351"/>
      <c r="E231" s="354" t="s">
        <v>2563</v>
      </c>
      <c r="F231" s="352" t="s">
        <v>52</v>
      </c>
      <c r="H231" s="356">
        <f t="shared" si="26"/>
        <v>0</v>
      </c>
      <c r="J231" s="351" t="b">
        <f t="shared" si="27"/>
        <v>1</v>
      </c>
    </row>
    <row r="232" spans="1:10" x14ac:dyDescent="0.25">
      <c r="A232" s="352" t="s">
        <v>3654</v>
      </c>
      <c r="B232" s="352" t="s">
        <v>239</v>
      </c>
      <c r="D232" s="351"/>
      <c r="E232" s="354" t="s">
        <v>2564</v>
      </c>
      <c r="F232" s="352" t="s">
        <v>52</v>
      </c>
      <c r="H232" s="356">
        <f t="shared" si="26"/>
        <v>0</v>
      </c>
      <c r="J232" s="351" t="b">
        <f t="shared" si="27"/>
        <v>1</v>
      </c>
    </row>
    <row r="233" spans="1:10" x14ac:dyDescent="0.25">
      <c r="A233" s="352" t="s">
        <v>3655</v>
      </c>
      <c r="B233" s="352" t="s">
        <v>3213</v>
      </c>
      <c r="D233" s="351"/>
      <c r="E233" s="354" t="s">
        <v>2565</v>
      </c>
      <c r="F233" s="352" t="s">
        <v>52</v>
      </c>
      <c r="H233" s="356">
        <f t="shared" si="26"/>
        <v>0</v>
      </c>
      <c r="J233" s="351" t="b">
        <f t="shared" si="27"/>
        <v>1</v>
      </c>
    </row>
    <row r="234" spans="1:10" x14ac:dyDescent="0.25">
      <c r="A234" s="352" t="s">
        <v>3656</v>
      </c>
      <c r="B234" s="352" t="s">
        <v>236</v>
      </c>
      <c r="D234" s="351"/>
      <c r="E234" s="354" t="s">
        <v>2560</v>
      </c>
      <c r="F234" s="352" t="s">
        <v>52</v>
      </c>
      <c r="H234" s="356">
        <f t="shared" si="26"/>
        <v>0</v>
      </c>
      <c r="J234" s="351" t="b">
        <f t="shared" si="27"/>
        <v>1</v>
      </c>
    </row>
    <row r="235" spans="1:10" x14ac:dyDescent="0.25">
      <c r="A235" s="216" t="s">
        <v>3657</v>
      </c>
      <c r="B235" s="216" t="s">
        <v>2420</v>
      </c>
      <c r="C235" s="197"/>
      <c r="D235" s="198"/>
      <c r="E235" s="217" t="s">
        <v>2566</v>
      </c>
      <c r="F235" s="352"/>
    </row>
    <row r="236" spans="1:10" x14ac:dyDescent="0.25">
      <c r="A236" s="352" t="s">
        <v>3658</v>
      </c>
      <c r="B236" s="352" t="s">
        <v>2553</v>
      </c>
      <c r="C236" s="353" t="s">
        <v>2032</v>
      </c>
      <c r="D236" s="351"/>
      <c r="E236" s="354" t="s">
        <v>2554</v>
      </c>
      <c r="F236" s="352" t="s">
        <v>52</v>
      </c>
      <c r="H236" s="356">
        <f t="shared" ref="H236:H241" si="28">ROUND(I236,2)</f>
        <v>0</v>
      </c>
      <c r="J236" s="351" t="b">
        <f t="shared" ref="J236:J241" si="29">H236=G236</f>
        <v>1</v>
      </c>
    </row>
    <row r="237" spans="1:10" x14ac:dyDescent="0.25">
      <c r="A237" s="352" t="s">
        <v>3659</v>
      </c>
      <c r="B237" s="352" t="s">
        <v>147</v>
      </c>
      <c r="C237" s="353" t="s">
        <v>2177</v>
      </c>
      <c r="D237" s="351"/>
      <c r="E237" s="354" t="s">
        <v>2555</v>
      </c>
      <c r="F237" s="352" t="s">
        <v>16</v>
      </c>
      <c r="H237" s="356">
        <f t="shared" si="28"/>
        <v>0</v>
      </c>
      <c r="J237" s="351" t="b">
        <f t="shared" si="29"/>
        <v>1</v>
      </c>
    </row>
    <row r="238" spans="1:10" x14ac:dyDescent="0.25">
      <c r="A238" s="352" t="s">
        <v>3660</v>
      </c>
      <c r="B238" s="352" t="s">
        <v>148</v>
      </c>
      <c r="C238" s="353" t="s">
        <v>1278</v>
      </c>
      <c r="D238" s="351"/>
      <c r="E238" s="354" t="s">
        <v>2556</v>
      </c>
      <c r="F238" s="352" t="s">
        <v>2557</v>
      </c>
      <c r="H238" s="356">
        <f t="shared" si="28"/>
        <v>0</v>
      </c>
      <c r="J238" s="351" t="b">
        <f t="shared" si="29"/>
        <v>1</v>
      </c>
    </row>
    <row r="239" spans="1:10" x14ac:dyDescent="0.25">
      <c r="A239" s="352" t="s">
        <v>3661</v>
      </c>
      <c r="B239" s="352" t="s">
        <v>149</v>
      </c>
      <c r="C239" s="353" t="s">
        <v>1460</v>
      </c>
      <c r="D239" s="351"/>
      <c r="E239" s="354" t="s">
        <v>2567</v>
      </c>
      <c r="F239" s="352" t="s">
        <v>52</v>
      </c>
      <c r="H239" s="356">
        <f t="shared" si="28"/>
        <v>0</v>
      </c>
      <c r="J239" s="351" t="b">
        <f t="shared" si="29"/>
        <v>1</v>
      </c>
    </row>
    <row r="240" spans="1:10" x14ac:dyDescent="0.25">
      <c r="A240" s="352" t="s">
        <v>3662</v>
      </c>
      <c r="B240" s="352" t="s">
        <v>216</v>
      </c>
      <c r="D240" s="351"/>
      <c r="E240" s="370" t="s">
        <v>2559</v>
      </c>
      <c r="F240" s="352" t="s">
        <v>52</v>
      </c>
      <c r="H240" s="356">
        <f t="shared" si="28"/>
        <v>0</v>
      </c>
      <c r="J240" s="351" t="b">
        <f t="shared" si="29"/>
        <v>1</v>
      </c>
    </row>
    <row r="241" spans="1:10" x14ac:dyDescent="0.25">
      <c r="A241" s="352" t="s">
        <v>3663</v>
      </c>
      <c r="B241" s="352" t="s">
        <v>236</v>
      </c>
      <c r="D241" s="351"/>
      <c r="E241" s="354" t="s">
        <v>2560</v>
      </c>
      <c r="F241" s="352" t="s">
        <v>52</v>
      </c>
      <c r="H241" s="356">
        <f t="shared" si="28"/>
        <v>0</v>
      </c>
      <c r="J241" s="351" t="b">
        <f t="shared" si="29"/>
        <v>1</v>
      </c>
    </row>
    <row r="242" spans="1:10" x14ac:dyDescent="0.25">
      <c r="A242" s="210" t="s">
        <v>3664</v>
      </c>
      <c r="B242" s="210" t="s">
        <v>2420</v>
      </c>
      <c r="C242" s="212"/>
      <c r="D242" s="213"/>
      <c r="E242" s="211" t="s">
        <v>2568</v>
      </c>
      <c r="F242" s="210"/>
      <c r="G242" s="214"/>
      <c r="H242" s="215"/>
      <c r="I242" s="214"/>
      <c r="J242" s="213"/>
    </row>
    <row r="243" spans="1:10" x14ac:dyDescent="0.25">
      <c r="A243" s="352" t="s">
        <v>3665</v>
      </c>
      <c r="B243" s="352" t="s">
        <v>2553</v>
      </c>
      <c r="C243" s="353" t="s">
        <v>2032</v>
      </c>
      <c r="D243" s="351"/>
      <c r="E243" s="354" t="s">
        <v>2554</v>
      </c>
      <c r="F243" s="352" t="s">
        <v>52</v>
      </c>
      <c r="H243" s="356">
        <f t="shared" ref="H243:H252" si="30">ROUND(I243,2)</f>
        <v>0</v>
      </c>
      <c r="J243" s="351" t="b">
        <f t="shared" ref="J243:J252" si="31">H243=G243</f>
        <v>1</v>
      </c>
    </row>
    <row r="244" spans="1:10" x14ac:dyDescent="0.25">
      <c r="A244" s="352" t="s">
        <v>3666</v>
      </c>
      <c r="B244" s="352" t="s">
        <v>145</v>
      </c>
      <c r="D244" s="351"/>
      <c r="E244" s="370" t="s">
        <v>2569</v>
      </c>
      <c r="F244" s="352" t="s">
        <v>16</v>
      </c>
      <c r="H244" s="356">
        <f t="shared" si="30"/>
        <v>0</v>
      </c>
      <c r="J244" s="351" t="b">
        <f t="shared" si="31"/>
        <v>1</v>
      </c>
    </row>
    <row r="245" spans="1:10" x14ac:dyDescent="0.25">
      <c r="A245" s="352" t="s">
        <v>3667</v>
      </c>
      <c r="B245" s="352" t="s">
        <v>146</v>
      </c>
      <c r="D245" s="351"/>
      <c r="E245" s="354" t="s">
        <v>2570</v>
      </c>
      <c r="F245" s="352" t="s">
        <v>52</v>
      </c>
      <c r="H245" s="356">
        <f t="shared" si="30"/>
        <v>0</v>
      </c>
      <c r="J245" s="351" t="b">
        <f t="shared" si="31"/>
        <v>1</v>
      </c>
    </row>
    <row r="246" spans="1:10" x14ac:dyDescent="0.25">
      <c r="A246" s="352" t="s">
        <v>3668</v>
      </c>
      <c r="B246" s="352" t="s">
        <v>147</v>
      </c>
      <c r="C246" s="353" t="s">
        <v>2177</v>
      </c>
      <c r="D246" s="351"/>
      <c r="E246" s="354" t="s">
        <v>2555</v>
      </c>
      <c r="F246" s="352" t="s">
        <v>16</v>
      </c>
      <c r="H246" s="356">
        <f t="shared" si="30"/>
        <v>0</v>
      </c>
      <c r="J246" s="351" t="b">
        <f t="shared" si="31"/>
        <v>1</v>
      </c>
    </row>
    <row r="247" spans="1:10" x14ac:dyDescent="0.25">
      <c r="A247" s="352" t="s">
        <v>3669</v>
      </c>
      <c r="B247" s="352" t="s">
        <v>148</v>
      </c>
      <c r="C247" s="353" t="s">
        <v>1278</v>
      </c>
      <c r="D247" s="351"/>
      <c r="E247" s="354" t="s">
        <v>2556</v>
      </c>
      <c r="F247" s="352" t="s">
        <v>2557</v>
      </c>
      <c r="H247" s="356">
        <f t="shared" si="30"/>
        <v>0</v>
      </c>
      <c r="J247" s="351" t="b">
        <f t="shared" si="31"/>
        <v>1</v>
      </c>
    </row>
    <row r="248" spans="1:10" x14ac:dyDescent="0.25">
      <c r="A248" s="352" t="s">
        <v>3670</v>
      </c>
      <c r="B248" s="352" t="s">
        <v>149</v>
      </c>
      <c r="C248" s="353" t="s">
        <v>1460</v>
      </c>
      <c r="D248" s="351"/>
      <c r="E248" s="354" t="s">
        <v>2567</v>
      </c>
      <c r="F248" s="352" t="s">
        <v>52</v>
      </c>
      <c r="H248" s="356">
        <f t="shared" si="30"/>
        <v>0</v>
      </c>
      <c r="J248" s="351" t="b">
        <f t="shared" si="31"/>
        <v>1</v>
      </c>
    </row>
    <row r="249" spans="1:10" x14ac:dyDescent="0.25">
      <c r="A249" s="352" t="s">
        <v>3671</v>
      </c>
      <c r="B249" s="352" t="s">
        <v>241</v>
      </c>
      <c r="D249" s="351"/>
      <c r="E249" s="354" t="s">
        <v>2571</v>
      </c>
      <c r="F249" s="352" t="s">
        <v>16</v>
      </c>
      <c r="H249" s="356">
        <f t="shared" si="30"/>
        <v>0</v>
      </c>
      <c r="J249" s="351" t="b">
        <f t="shared" si="31"/>
        <v>1</v>
      </c>
    </row>
    <row r="250" spans="1:10" x14ac:dyDescent="0.25">
      <c r="A250" s="352" t="s">
        <v>3672</v>
      </c>
      <c r="B250" s="352" t="s">
        <v>242</v>
      </c>
      <c r="D250" s="351"/>
      <c r="E250" s="354" t="s">
        <v>2572</v>
      </c>
      <c r="F250" s="352" t="s">
        <v>16</v>
      </c>
      <c r="H250" s="356">
        <f t="shared" si="30"/>
        <v>0</v>
      </c>
      <c r="J250" s="351" t="b">
        <f t="shared" si="31"/>
        <v>1</v>
      </c>
    </row>
    <row r="251" spans="1:10" x14ac:dyDescent="0.25">
      <c r="A251" s="352" t="s">
        <v>3673</v>
      </c>
      <c r="B251" s="352" t="s">
        <v>216</v>
      </c>
      <c r="D251" s="351"/>
      <c r="E251" s="370" t="s">
        <v>2559</v>
      </c>
      <c r="F251" s="352" t="s">
        <v>52</v>
      </c>
      <c r="H251" s="356">
        <f t="shared" si="30"/>
        <v>0</v>
      </c>
      <c r="J251" s="351" t="b">
        <f t="shared" si="31"/>
        <v>1</v>
      </c>
    </row>
    <row r="252" spans="1:10" x14ac:dyDescent="0.25">
      <c r="A252" s="352" t="s">
        <v>3674</v>
      </c>
      <c r="B252" s="352" t="s">
        <v>236</v>
      </c>
      <c r="D252" s="351"/>
      <c r="E252" s="354" t="s">
        <v>2560</v>
      </c>
      <c r="F252" s="352" t="s">
        <v>52</v>
      </c>
      <c r="H252" s="356">
        <f t="shared" si="30"/>
        <v>0</v>
      </c>
      <c r="J252" s="351" t="b">
        <f t="shared" si="31"/>
        <v>1</v>
      </c>
    </row>
    <row r="253" spans="1:10" x14ac:dyDescent="0.25">
      <c r="A253" s="210" t="s">
        <v>3675</v>
      </c>
      <c r="B253" s="210" t="s">
        <v>2420</v>
      </c>
      <c r="C253" s="212"/>
      <c r="D253" s="213"/>
      <c r="E253" s="211" t="s">
        <v>2573</v>
      </c>
      <c r="F253" s="210"/>
      <c r="G253" s="214"/>
      <c r="H253" s="215"/>
      <c r="I253" s="214"/>
      <c r="J253" s="213"/>
    </row>
    <row r="254" spans="1:10" x14ac:dyDescent="0.25">
      <c r="A254" s="216" t="s">
        <v>3676</v>
      </c>
      <c r="B254" s="216" t="s">
        <v>2420</v>
      </c>
      <c r="C254" s="197"/>
      <c r="D254" s="198"/>
      <c r="E254" s="217" t="s">
        <v>2574</v>
      </c>
      <c r="F254" s="352"/>
    </row>
    <row r="255" spans="1:10" x14ac:dyDescent="0.25">
      <c r="A255" s="352" t="s">
        <v>3677</v>
      </c>
      <c r="B255" s="352" t="s">
        <v>3214</v>
      </c>
      <c r="C255" s="353" t="s">
        <v>243</v>
      </c>
      <c r="D255" s="351"/>
      <c r="E255" s="354" t="s">
        <v>2575</v>
      </c>
      <c r="F255" s="352" t="s">
        <v>52</v>
      </c>
      <c r="H255" s="356">
        <f t="shared" ref="H255" si="32">ROUND(I255,2)</f>
        <v>0</v>
      </c>
      <c r="J255" s="351" t="b">
        <f t="shared" ref="J255" si="33">H255=G255</f>
        <v>1</v>
      </c>
    </row>
    <row r="256" spans="1:10" x14ac:dyDescent="0.25">
      <c r="A256" s="216" t="s">
        <v>3678</v>
      </c>
      <c r="B256" s="216" t="s">
        <v>2420</v>
      </c>
      <c r="C256" s="197"/>
      <c r="D256" s="198"/>
      <c r="E256" s="217" t="s">
        <v>2576</v>
      </c>
      <c r="F256" s="352"/>
    </row>
    <row r="257" spans="1:10" x14ac:dyDescent="0.25">
      <c r="A257" s="352" t="s">
        <v>3679</v>
      </c>
      <c r="B257" s="352" t="s">
        <v>3215</v>
      </c>
      <c r="C257" s="353" t="s">
        <v>3216</v>
      </c>
      <c r="D257" s="351"/>
      <c r="E257" s="354" t="s">
        <v>2577</v>
      </c>
      <c r="F257" s="352" t="s">
        <v>2338</v>
      </c>
      <c r="H257" s="356">
        <f t="shared" ref="H257:H260" si="34">ROUND(I257,2)</f>
        <v>0</v>
      </c>
      <c r="J257" s="351" t="b">
        <f t="shared" ref="J257:J260" si="35">H257=G257</f>
        <v>1</v>
      </c>
    </row>
    <row r="258" spans="1:10" x14ac:dyDescent="0.25">
      <c r="A258" s="352" t="s">
        <v>3680</v>
      </c>
      <c r="B258" s="352" t="s">
        <v>3217</v>
      </c>
      <c r="C258" s="353" t="s">
        <v>245</v>
      </c>
      <c r="D258" s="351"/>
      <c r="E258" s="354" t="s">
        <v>2578</v>
      </c>
      <c r="F258" s="352" t="s">
        <v>52</v>
      </c>
      <c r="H258" s="356">
        <f t="shared" si="34"/>
        <v>0</v>
      </c>
      <c r="J258" s="351" t="b">
        <f t="shared" si="35"/>
        <v>1</v>
      </c>
    </row>
    <row r="259" spans="1:10" x14ac:dyDescent="0.25">
      <c r="A259" s="352" t="s">
        <v>3681</v>
      </c>
      <c r="B259" s="352" t="s">
        <v>148</v>
      </c>
      <c r="C259" s="353" t="s">
        <v>1278</v>
      </c>
      <c r="D259" s="351"/>
      <c r="E259" s="354" t="s">
        <v>2556</v>
      </c>
      <c r="F259" s="352" t="s">
        <v>2557</v>
      </c>
      <c r="H259" s="356">
        <f t="shared" si="34"/>
        <v>0</v>
      </c>
      <c r="J259" s="351" t="b">
        <f t="shared" si="35"/>
        <v>1</v>
      </c>
    </row>
    <row r="260" spans="1:10" x14ac:dyDescent="0.25">
      <c r="A260" s="352" t="s">
        <v>3682</v>
      </c>
      <c r="B260" s="352" t="s">
        <v>246</v>
      </c>
      <c r="C260" s="353" t="s">
        <v>1459</v>
      </c>
      <c r="D260" s="351"/>
      <c r="E260" s="354" t="s">
        <v>2579</v>
      </c>
      <c r="F260" s="352" t="s">
        <v>52</v>
      </c>
      <c r="H260" s="356">
        <f t="shared" si="34"/>
        <v>0</v>
      </c>
      <c r="J260" s="351" t="b">
        <f t="shared" si="35"/>
        <v>1</v>
      </c>
    </row>
    <row r="261" spans="1:10" x14ac:dyDescent="0.25">
      <c r="A261" s="216" t="s">
        <v>3683</v>
      </c>
      <c r="B261" s="216" t="s">
        <v>2420</v>
      </c>
      <c r="C261" s="197"/>
      <c r="D261" s="198"/>
      <c r="E261" s="217" t="s">
        <v>2580</v>
      </c>
      <c r="F261" s="352"/>
    </row>
    <row r="262" spans="1:10" x14ac:dyDescent="0.25">
      <c r="A262" s="352" t="s">
        <v>3684</v>
      </c>
      <c r="B262" s="352" t="s">
        <v>2553</v>
      </c>
      <c r="C262" s="353" t="s">
        <v>2032</v>
      </c>
      <c r="D262" s="351"/>
      <c r="E262" s="354" t="s">
        <v>2554</v>
      </c>
      <c r="F262" s="352" t="s">
        <v>52</v>
      </c>
      <c r="H262" s="356">
        <f t="shared" ref="H262:H268" si="36">ROUND(I262,2)</f>
        <v>0</v>
      </c>
      <c r="J262" s="351" t="b">
        <f t="shared" ref="J262:J268" si="37">H262=G262</f>
        <v>1</v>
      </c>
    </row>
    <row r="263" spans="1:10" x14ac:dyDescent="0.25">
      <c r="A263" s="352" t="s">
        <v>3685</v>
      </c>
      <c r="B263" s="352" t="s">
        <v>145</v>
      </c>
      <c r="D263" s="351"/>
      <c r="E263" s="370" t="s">
        <v>2569</v>
      </c>
      <c r="F263" s="352" t="s">
        <v>16</v>
      </c>
      <c r="H263" s="356">
        <f t="shared" si="36"/>
        <v>0</v>
      </c>
      <c r="J263" s="351" t="b">
        <f t="shared" si="37"/>
        <v>1</v>
      </c>
    </row>
    <row r="264" spans="1:10" x14ac:dyDescent="0.25">
      <c r="A264" s="352" t="s">
        <v>3686</v>
      </c>
      <c r="B264" s="352" t="s">
        <v>146</v>
      </c>
      <c r="D264" s="351"/>
      <c r="E264" s="354" t="s">
        <v>2570</v>
      </c>
      <c r="F264" s="352" t="s">
        <v>52</v>
      </c>
      <c r="H264" s="356">
        <f t="shared" si="36"/>
        <v>0</v>
      </c>
      <c r="J264" s="351" t="b">
        <f t="shared" si="37"/>
        <v>1</v>
      </c>
    </row>
    <row r="265" spans="1:10" x14ac:dyDescent="0.25">
      <c r="A265" s="352" t="s">
        <v>3687</v>
      </c>
      <c r="B265" s="352" t="s">
        <v>147</v>
      </c>
      <c r="C265" s="353" t="s">
        <v>2177</v>
      </c>
      <c r="D265" s="351"/>
      <c r="E265" s="354" t="s">
        <v>2555</v>
      </c>
      <c r="F265" s="352" t="s">
        <v>16</v>
      </c>
      <c r="H265" s="356">
        <f t="shared" si="36"/>
        <v>0</v>
      </c>
      <c r="J265" s="351" t="b">
        <f t="shared" si="37"/>
        <v>1</v>
      </c>
    </row>
    <row r="266" spans="1:10" x14ac:dyDescent="0.25">
      <c r="A266" s="352" t="s">
        <v>3688</v>
      </c>
      <c r="B266" s="352" t="s">
        <v>148</v>
      </c>
      <c r="C266" s="353" t="s">
        <v>1278</v>
      </c>
      <c r="D266" s="351"/>
      <c r="E266" s="354" t="s">
        <v>2556</v>
      </c>
      <c r="F266" s="352" t="s">
        <v>2557</v>
      </c>
      <c r="H266" s="356">
        <f t="shared" si="36"/>
        <v>0</v>
      </c>
      <c r="J266" s="351" t="b">
        <f t="shared" si="37"/>
        <v>1</v>
      </c>
    </row>
    <row r="267" spans="1:10" x14ac:dyDescent="0.25">
      <c r="A267" s="352" t="s">
        <v>3689</v>
      </c>
      <c r="B267" s="352" t="s">
        <v>246</v>
      </c>
      <c r="D267" s="351"/>
      <c r="E267" s="354" t="s">
        <v>2579</v>
      </c>
      <c r="F267" s="352" t="s">
        <v>52</v>
      </c>
      <c r="H267" s="356">
        <f t="shared" si="36"/>
        <v>0</v>
      </c>
      <c r="J267" s="351" t="b">
        <f t="shared" si="37"/>
        <v>1</v>
      </c>
    </row>
    <row r="268" spans="1:10" x14ac:dyDescent="0.25">
      <c r="A268" s="352" t="s">
        <v>3690</v>
      </c>
      <c r="B268" s="352" t="s">
        <v>216</v>
      </c>
      <c r="D268" s="351"/>
      <c r="E268" s="370" t="s">
        <v>2559</v>
      </c>
      <c r="F268" s="352" t="s">
        <v>52</v>
      </c>
      <c r="H268" s="356">
        <f t="shared" si="36"/>
        <v>0</v>
      </c>
      <c r="J268" s="351" t="b">
        <f t="shared" si="37"/>
        <v>1</v>
      </c>
    </row>
    <row r="269" spans="1:10" x14ac:dyDescent="0.25">
      <c r="A269" s="216" t="s">
        <v>3691</v>
      </c>
      <c r="B269" s="216" t="s">
        <v>2420</v>
      </c>
      <c r="C269" s="197"/>
      <c r="D269" s="198"/>
      <c r="E269" s="217" t="s">
        <v>2573</v>
      </c>
      <c r="F269" s="352"/>
    </row>
    <row r="270" spans="1:10" x14ac:dyDescent="0.25">
      <c r="A270" s="352" t="s">
        <v>3692</v>
      </c>
      <c r="B270" s="352" t="s">
        <v>247</v>
      </c>
      <c r="C270" s="353" t="s">
        <v>2035</v>
      </c>
      <c r="D270" s="351"/>
      <c r="E270" s="354" t="s">
        <v>2581</v>
      </c>
      <c r="F270" s="352" t="s">
        <v>16</v>
      </c>
      <c r="H270" s="356">
        <f t="shared" ref="H270:H272" si="38">ROUND(I270,2)</f>
        <v>0</v>
      </c>
      <c r="J270" s="351" t="b">
        <f t="shared" ref="J270:J272" si="39">H270=G270</f>
        <v>1</v>
      </c>
    </row>
    <row r="271" spans="1:10" x14ac:dyDescent="0.25">
      <c r="A271" s="352" t="s">
        <v>3693</v>
      </c>
      <c r="B271" s="352" t="s">
        <v>148</v>
      </c>
      <c r="C271" s="353" t="s">
        <v>1278</v>
      </c>
      <c r="D271" s="351"/>
      <c r="E271" s="354" t="s">
        <v>2556</v>
      </c>
      <c r="F271" s="352" t="s">
        <v>2557</v>
      </c>
      <c r="H271" s="356">
        <f t="shared" si="38"/>
        <v>0</v>
      </c>
      <c r="J271" s="351" t="b">
        <f t="shared" si="39"/>
        <v>1</v>
      </c>
    </row>
    <row r="272" spans="1:10" x14ac:dyDescent="0.25">
      <c r="A272" s="352" t="s">
        <v>3694</v>
      </c>
      <c r="B272" s="352" t="s">
        <v>248</v>
      </c>
      <c r="C272" s="353" t="s">
        <v>1461</v>
      </c>
      <c r="D272" s="351"/>
      <c r="E272" s="354" t="s">
        <v>2582</v>
      </c>
      <c r="F272" s="352" t="s">
        <v>52</v>
      </c>
      <c r="H272" s="356">
        <f t="shared" si="38"/>
        <v>0</v>
      </c>
      <c r="J272" s="351" t="b">
        <f t="shared" si="39"/>
        <v>1</v>
      </c>
    </row>
    <row r="273" spans="1:10" x14ac:dyDescent="0.25">
      <c r="A273" s="216" t="s">
        <v>3695</v>
      </c>
      <c r="B273" s="216" t="s">
        <v>2420</v>
      </c>
      <c r="C273" s="197"/>
      <c r="D273" s="198"/>
      <c r="E273" s="217" t="s">
        <v>2583</v>
      </c>
      <c r="F273" s="352"/>
    </row>
    <row r="274" spans="1:10" x14ac:dyDescent="0.25">
      <c r="A274" s="352" t="s">
        <v>3696</v>
      </c>
      <c r="B274" s="352" t="s">
        <v>2553</v>
      </c>
      <c r="C274" s="353" t="s">
        <v>2032</v>
      </c>
      <c r="D274" s="351"/>
      <c r="E274" s="354" t="s">
        <v>2554</v>
      </c>
      <c r="F274" s="352" t="s">
        <v>52</v>
      </c>
      <c r="H274" s="356">
        <f t="shared" ref="H274:H275" si="40">ROUND(I274,2)</f>
        <v>0</v>
      </c>
      <c r="J274" s="351" t="b">
        <f t="shared" ref="J274:J275" si="41">H274=G274</f>
        <v>1</v>
      </c>
    </row>
    <row r="275" spans="1:10" x14ac:dyDescent="0.25">
      <c r="A275" s="352" t="s">
        <v>3697</v>
      </c>
      <c r="B275" s="352" t="s">
        <v>242</v>
      </c>
      <c r="D275" s="351"/>
      <c r="E275" s="354" t="s">
        <v>2584</v>
      </c>
      <c r="F275" s="352" t="s">
        <v>16</v>
      </c>
      <c r="H275" s="356">
        <f t="shared" si="40"/>
        <v>0</v>
      </c>
      <c r="J275" s="351" t="b">
        <f t="shared" si="41"/>
        <v>1</v>
      </c>
    </row>
    <row r="276" spans="1:10" x14ac:dyDescent="0.25">
      <c r="A276" s="216" t="s">
        <v>3698</v>
      </c>
      <c r="B276" s="216" t="s">
        <v>2420</v>
      </c>
      <c r="C276" s="197"/>
      <c r="D276" s="198"/>
      <c r="E276" s="217" t="s">
        <v>2585</v>
      </c>
      <c r="F276" s="352"/>
    </row>
    <row r="277" spans="1:10" x14ac:dyDescent="0.25">
      <c r="A277" s="352" t="s">
        <v>3699</v>
      </c>
      <c r="B277" s="352" t="s">
        <v>247</v>
      </c>
      <c r="C277" s="353" t="s">
        <v>2035</v>
      </c>
      <c r="D277" s="351"/>
      <c r="E277" s="354" t="s">
        <v>2581</v>
      </c>
      <c r="F277" s="352" t="s">
        <v>16</v>
      </c>
      <c r="H277" s="356">
        <f t="shared" ref="H277:H279" si="42">ROUND(I277,2)</f>
        <v>0</v>
      </c>
      <c r="J277" s="351" t="b">
        <f t="shared" ref="J277:J279" si="43">H277=G277</f>
        <v>1</v>
      </c>
    </row>
    <row r="278" spans="1:10" x14ac:dyDescent="0.25">
      <c r="A278" s="352" t="s">
        <v>3700</v>
      </c>
      <c r="B278" s="352" t="s">
        <v>148</v>
      </c>
      <c r="C278" s="353" t="s">
        <v>1278</v>
      </c>
      <c r="D278" s="351"/>
      <c r="E278" s="354" t="s">
        <v>2556</v>
      </c>
      <c r="F278" s="352" t="s">
        <v>2557</v>
      </c>
      <c r="H278" s="356">
        <f t="shared" si="42"/>
        <v>0</v>
      </c>
      <c r="J278" s="351" t="b">
        <f t="shared" si="43"/>
        <v>1</v>
      </c>
    </row>
    <row r="279" spans="1:10" x14ac:dyDescent="0.25">
      <c r="A279" s="352" t="s">
        <v>3701</v>
      </c>
      <c r="B279" s="352" t="s">
        <v>248</v>
      </c>
      <c r="C279" s="353" t="s">
        <v>1461</v>
      </c>
      <c r="D279" s="351"/>
      <c r="E279" s="354" t="s">
        <v>2582</v>
      </c>
      <c r="F279" s="352" t="s">
        <v>52</v>
      </c>
      <c r="H279" s="356">
        <f t="shared" si="42"/>
        <v>0</v>
      </c>
      <c r="J279" s="351" t="b">
        <f t="shared" si="43"/>
        <v>1</v>
      </c>
    </row>
    <row r="280" spans="1:10" x14ac:dyDescent="0.25">
      <c r="A280" s="216" t="s">
        <v>3702</v>
      </c>
      <c r="B280" s="216" t="s">
        <v>2420</v>
      </c>
      <c r="C280" s="197"/>
      <c r="D280" s="198"/>
      <c r="E280" s="217" t="s">
        <v>2586</v>
      </c>
      <c r="F280" s="352"/>
    </row>
    <row r="281" spans="1:10" x14ac:dyDescent="0.25">
      <c r="A281" s="352" t="s">
        <v>3703</v>
      </c>
      <c r="B281" s="352" t="s">
        <v>216</v>
      </c>
      <c r="D281" s="351"/>
      <c r="E281" s="370" t="s">
        <v>2587</v>
      </c>
      <c r="F281" s="352" t="s">
        <v>52</v>
      </c>
      <c r="H281" s="356">
        <f t="shared" ref="H281:H282" si="44">ROUND(I281,2)</f>
        <v>0</v>
      </c>
      <c r="J281" s="351" t="b">
        <f t="shared" ref="J281:J282" si="45">H281=G281</f>
        <v>1</v>
      </c>
    </row>
    <row r="282" spans="1:10" x14ac:dyDescent="0.25">
      <c r="A282" s="352" t="s">
        <v>3704</v>
      </c>
      <c r="B282" s="352" t="s">
        <v>3218</v>
      </c>
      <c r="C282" s="353" t="s">
        <v>232</v>
      </c>
      <c r="D282" s="351"/>
      <c r="E282" s="354" t="s">
        <v>2547</v>
      </c>
      <c r="F282" s="352" t="s">
        <v>52</v>
      </c>
      <c r="H282" s="356">
        <f t="shared" si="44"/>
        <v>0</v>
      </c>
      <c r="J282" s="351" t="b">
        <f t="shared" si="45"/>
        <v>1</v>
      </c>
    </row>
    <row r="283" spans="1:10" x14ac:dyDescent="0.25">
      <c r="A283" s="210" t="s">
        <v>3705</v>
      </c>
      <c r="B283" s="210" t="s">
        <v>2420</v>
      </c>
      <c r="C283" s="212"/>
      <c r="D283" s="213"/>
      <c r="E283" s="211" t="s">
        <v>2588</v>
      </c>
      <c r="F283" s="210"/>
      <c r="G283" s="214"/>
      <c r="H283" s="215"/>
      <c r="I283" s="214"/>
      <c r="J283" s="213"/>
    </row>
    <row r="284" spans="1:10" x14ac:dyDescent="0.25">
      <c r="A284" s="216" t="s">
        <v>3706</v>
      </c>
      <c r="B284" s="216" t="s">
        <v>2420</v>
      </c>
      <c r="C284" s="197"/>
      <c r="D284" s="198"/>
      <c r="E284" s="217" t="s">
        <v>2589</v>
      </c>
      <c r="F284" s="352"/>
    </row>
    <row r="285" spans="1:10" x14ac:dyDescent="0.25">
      <c r="A285" s="352" t="s">
        <v>3707</v>
      </c>
      <c r="B285" s="352" t="s">
        <v>3219</v>
      </c>
      <c r="D285" s="351"/>
      <c r="E285" s="354" t="s">
        <v>2590</v>
      </c>
      <c r="F285" s="352" t="s">
        <v>52</v>
      </c>
      <c r="H285" s="356">
        <f t="shared" ref="H285:H287" si="46">ROUND(I285,2)</f>
        <v>0</v>
      </c>
      <c r="J285" s="351" t="b">
        <f t="shared" ref="J285:J287" si="47">H285=G285</f>
        <v>1</v>
      </c>
    </row>
    <row r="286" spans="1:10" x14ac:dyDescent="0.25">
      <c r="A286" s="352" t="s">
        <v>3708</v>
      </c>
      <c r="B286" s="352" t="s">
        <v>148</v>
      </c>
      <c r="C286" s="353" t="s">
        <v>1278</v>
      </c>
      <c r="D286" s="351"/>
      <c r="E286" s="354" t="s">
        <v>2556</v>
      </c>
      <c r="F286" s="352" t="s">
        <v>2557</v>
      </c>
      <c r="H286" s="356">
        <f t="shared" si="46"/>
        <v>0</v>
      </c>
      <c r="J286" s="351" t="b">
        <f t="shared" si="47"/>
        <v>1</v>
      </c>
    </row>
    <row r="287" spans="1:10" x14ac:dyDescent="0.25">
      <c r="A287" s="352" t="s">
        <v>3709</v>
      </c>
      <c r="B287" s="352" t="s">
        <v>246</v>
      </c>
      <c r="D287" s="351"/>
      <c r="E287" s="354" t="s">
        <v>2579</v>
      </c>
      <c r="F287" s="352" t="s">
        <v>52</v>
      </c>
      <c r="H287" s="356">
        <f t="shared" si="46"/>
        <v>0</v>
      </c>
      <c r="J287" s="351" t="b">
        <f t="shared" si="47"/>
        <v>1</v>
      </c>
    </row>
    <row r="288" spans="1:10" x14ac:dyDescent="0.25">
      <c r="A288" s="216" t="s">
        <v>3710</v>
      </c>
      <c r="B288" s="216" t="s">
        <v>2420</v>
      </c>
      <c r="C288" s="197"/>
      <c r="D288" s="198"/>
      <c r="E288" s="217" t="s">
        <v>2591</v>
      </c>
      <c r="F288" s="352"/>
    </row>
    <row r="289" spans="1:10" x14ac:dyDescent="0.25">
      <c r="A289" s="352" t="s">
        <v>3711</v>
      </c>
      <c r="B289" s="352" t="s">
        <v>2553</v>
      </c>
      <c r="C289" s="353" t="s">
        <v>2032</v>
      </c>
      <c r="D289" s="351"/>
      <c r="E289" s="354" t="s">
        <v>2554</v>
      </c>
      <c r="F289" s="352" t="s">
        <v>52</v>
      </c>
      <c r="H289" s="356">
        <f t="shared" ref="H289:H290" si="48">ROUND(I289,2)</f>
        <v>0</v>
      </c>
      <c r="J289" s="351" t="b">
        <f t="shared" ref="J289:J290" si="49">H289=G289</f>
        <v>1</v>
      </c>
    </row>
    <row r="290" spans="1:10" x14ac:dyDescent="0.25">
      <c r="A290" s="352" t="s">
        <v>3712</v>
      </c>
      <c r="B290" s="352" t="s">
        <v>242</v>
      </c>
      <c r="D290" s="351"/>
      <c r="E290" s="354" t="s">
        <v>2584</v>
      </c>
      <c r="F290" s="352" t="s">
        <v>16</v>
      </c>
      <c r="H290" s="356">
        <f t="shared" si="48"/>
        <v>0</v>
      </c>
      <c r="J290" s="351" t="b">
        <f t="shared" si="49"/>
        <v>1</v>
      </c>
    </row>
    <row r="291" spans="1:10" x14ac:dyDescent="0.25">
      <c r="A291" s="216" t="s">
        <v>3713</v>
      </c>
      <c r="B291" s="216" t="s">
        <v>2420</v>
      </c>
      <c r="C291" s="197"/>
      <c r="D291" s="198"/>
      <c r="E291" s="217" t="s">
        <v>2592</v>
      </c>
      <c r="F291" s="352"/>
    </row>
    <row r="292" spans="1:10" x14ac:dyDescent="0.25">
      <c r="A292" s="352" t="s">
        <v>3714</v>
      </c>
      <c r="B292" s="352" t="s">
        <v>247</v>
      </c>
      <c r="D292" s="351"/>
      <c r="E292" s="354" t="s">
        <v>2581</v>
      </c>
      <c r="F292" s="352" t="s">
        <v>16</v>
      </c>
      <c r="H292" s="356">
        <f t="shared" ref="H292:H294" si="50">ROUND(I292,2)</f>
        <v>0</v>
      </c>
      <c r="J292" s="351" t="b">
        <f t="shared" ref="J292:J294" si="51">H292=G292</f>
        <v>1</v>
      </c>
    </row>
    <row r="293" spans="1:10" x14ac:dyDescent="0.25">
      <c r="A293" s="352" t="s">
        <v>3715</v>
      </c>
      <c r="B293" s="352" t="s">
        <v>148</v>
      </c>
      <c r="C293" s="353" t="s">
        <v>1278</v>
      </c>
      <c r="D293" s="351"/>
      <c r="E293" s="354" t="s">
        <v>2556</v>
      </c>
      <c r="F293" s="352" t="s">
        <v>2557</v>
      </c>
      <c r="H293" s="356">
        <f t="shared" si="50"/>
        <v>0</v>
      </c>
      <c r="J293" s="351" t="b">
        <f t="shared" si="51"/>
        <v>1</v>
      </c>
    </row>
    <row r="294" spans="1:10" x14ac:dyDescent="0.25">
      <c r="A294" s="352" t="s">
        <v>3716</v>
      </c>
      <c r="B294" s="352" t="s">
        <v>248</v>
      </c>
      <c r="D294" s="351"/>
      <c r="E294" s="354" t="s">
        <v>2582</v>
      </c>
      <c r="F294" s="352" t="s">
        <v>52</v>
      </c>
      <c r="H294" s="356">
        <f t="shared" si="50"/>
        <v>0</v>
      </c>
      <c r="J294" s="351" t="b">
        <f t="shared" si="51"/>
        <v>1</v>
      </c>
    </row>
    <row r="295" spans="1:10" x14ac:dyDescent="0.25">
      <c r="A295" s="216" t="s">
        <v>3717</v>
      </c>
      <c r="B295" s="216" t="s">
        <v>2420</v>
      </c>
      <c r="C295" s="197"/>
      <c r="D295" s="198"/>
      <c r="E295" s="217" t="s">
        <v>2593</v>
      </c>
      <c r="F295" s="352"/>
    </row>
    <row r="296" spans="1:10" x14ac:dyDescent="0.25">
      <c r="A296" s="352" t="s">
        <v>3718</v>
      </c>
      <c r="B296" s="352" t="s">
        <v>3220</v>
      </c>
      <c r="D296" s="351"/>
      <c r="E296" s="354" t="s">
        <v>2547</v>
      </c>
      <c r="F296" s="352" t="s">
        <v>52</v>
      </c>
      <c r="H296" s="356">
        <f t="shared" ref="H296" si="52">ROUND(I296,2)</f>
        <v>0</v>
      </c>
      <c r="J296" s="351" t="b">
        <f t="shared" ref="J296" si="53">H296=G296</f>
        <v>1</v>
      </c>
    </row>
    <row r="297" spans="1:10" x14ac:dyDescent="0.25">
      <c r="A297" s="352"/>
      <c r="B297" s="352"/>
      <c r="D297" s="351"/>
      <c r="E297" s="354"/>
      <c r="F297" s="352"/>
    </row>
    <row r="298" spans="1:10" x14ac:dyDescent="0.2">
      <c r="A298" s="206" t="s">
        <v>3719</v>
      </c>
      <c r="B298" s="206" t="s">
        <v>2420</v>
      </c>
      <c r="C298" s="206"/>
      <c r="D298" s="206"/>
      <c r="E298" s="207" t="s">
        <v>2594</v>
      </c>
      <c r="F298" s="206"/>
      <c r="G298" s="208"/>
      <c r="H298" s="208"/>
      <c r="I298" s="209"/>
      <c r="J298" s="209"/>
    </row>
    <row r="299" spans="1:10" x14ac:dyDescent="0.25">
      <c r="A299" s="218" t="s">
        <v>3720</v>
      </c>
      <c r="B299" s="363" t="s">
        <v>2420</v>
      </c>
      <c r="C299" s="364"/>
      <c r="D299" s="365"/>
      <c r="E299" s="219" t="s">
        <v>2595</v>
      </c>
      <c r="F299" s="363"/>
      <c r="G299" s="366"/>
      <c r="H299" s="367"/>
      <c r="I299" s="366"/>
      <c r="J299" s="365"/>
    </row>
    <row r="300" spans="1:10" x14ac:dyDescent="0.25">
      <c r="A300" s="210" t="s">
        <v>3721</v>
      </c>
      <c r="B300" s="210" t="s">
        <v>2420</v>
      </c>
      <c r="C300" s="212"/>
      <c r="D300" s="213"/>
      <c r="E300" s="211" t="s">
        <v>2596</v>
      </c>
      <c r="F300" s="210"/>
      <c r="G300" s="214"/>
      <c r="H300" s="215"/>
      <c r="I300" s="214"/>
      <c r="J300" s="213"/>
    </row>
    <row r="301" spans="1:10" x14ac:dyDescent="0.25">
      <c r="A301" s="352" t="s">
        <v>3722</v>
      </c>
      <c r="B301" s="352" t="s">
        <v>3221</v>
      </c>
      <c r="C301" s="353" t="s">
        <v>3216</v>
      </c>
      <c r="D301" s="351"/>
      <c r="E301" s="354" t="s">
        <v>2577</v>
      </c>
      <c r="F301" s="352" t="s">
        <v>2338</v>
      </c>
      <c r="H301" s="356">
        <f t="shared" ref="H301:H312" si="54">ROUND(I301,2)</f>
        <v>0</v>
      </c>
      <c r="J301" s="351" t="b">
        <f t="shared" ref="J301:J312" si="55">H301=G301</f>
        <v>1</v>
      </c>
    </row>
    <row r="302" spans="1:10" x14ac:dyDescent="0.25">
      <c r="A302" s="352" t="s">
        <v>3723</v>
      </c>
      <c r="B302" s="352" t="s">
        <v>3222</v>
      </c>
      <c r="C302" s="353" t="s">
        <v>3223</v>
      </c>
      <c r="D302" s="351"/>
      <c r="E302" s="354" t="s">
        <v>2597</v>
      </c>
      <c r="F302" s="352" t="s">
        <v>2488</v>
      </c>
      <c r="H302" s="356">
        <f t="shared" si="54"/>
        <v>0</v>
      </c>
      <c r="J302" s="351" t="b">
        <f t="shared" si="55"/>
        <v>1</v>
      </c>
    </row>
    <row r="303" spans="1:10" x14ac:dyDescent="0.25">
      <c r="A303" s="352" t="s">
        <v>3724</v>
      </c>
      <c r="B303" s="352" t="s">
        <v>3224</v>
      </c>
      <c r="C303" s="353" t="s">
        <v>251</v>
      </c>
      <c r="D303" s="351"/>
      <c r="E303" s="354" t="s">
        <v>2598</v>
      </c>
      <c r="F303" s="352" t="s">
        <v>2488</v>
      </c>
      <c r="H303" s="356">
        <f t="shared" si="54"/>
        <v>0</v>
      </c>
      <c r="J303" s="351" t="b">
        <f t="shared" si="55"/>
        <v>1</v>
      </c>
    </row>
    <row r="304" spans="1:10" x14ac:dyDescent="0.25">
      <c r="A304" s="352" t="s">
        <v>3725</v>
      </c>
      <c r="B304" s="352" t="s">
        <v>3225</v>
      </c>
      <c r="C304" s="353" t="s">
        <v>252</v>
      </c>
      <c r="D304" s="351"/>
      <c r="E304" s="354" t="s">
        <v>2599</v>
      </c>
      <c r="F304" s="352" t="s">
        <v>2488</v>
      </c>
      <c r="H304" s="356">
        <f t="shared" si="54"/>
        <v>0</v>
      </c>
      <c r="J304" s="351" t="b">
        <f t="shared" si="55"/>
        <v>1</v>
      </c>
    </row>
    <row r="305" spans="1:10" x14ac:dyDescent="0.25">
      <c r="A305" s="352" t="s">
        <v>3726</v>
      </c>
      <c r="B305" s="352" t="s">
        <v>3226</v>
      </c>
      <c r="C305" s="353" t="s">
        <v>253</v>
      </c>
      <c r="D305" s="351"/>
      <c r="E305" s="354" t="s">
        <v>2600</v>
      </c>
      <c r="F305" s="352" t="s">
        <v>2488</v>
      </c>
      <c r="H305" s="356">
        <f t="shared" si="54"/>
        <v>0</v>
      </c>
      <c r="J305" s="351" t="b">
        <f t="shared" si="55"/>
        <v>1</v>
      </c>
    </row>
    <row r="306" spans="1:10" x14ac:dyDescent="0.25">
      <c r="A306" s="352" t="s">
        <v>3727</v>
      </c>
      <c r="B306" s="352" t="s">
        <v>3227</v>
      </c>
      <c r="C306" s="353" t="s">
        <v>254</v>
      </c>
      <c r="D306" s="351"/>
      <c r="E306" s="354" t="s">
        <v>2601</v>
      </c>
      <c r="F306" s="352" t="s">
        <v>2488</v>
      </c>
      <c r="H306" s="356">
        <f t="shared" si="54"/>
        <v>0</v>
      </c>
      <c r="J306" s="351" t="b">
        <f t="shared" si="55"/>
        <v>1</v>
      </c>
    </row>
    <row r="307" spans="1:10" x14ac:dyDescent="0.25">
      <c r="A307" s="352" t="s">
        <v>3728</v>
      </c>
      <c r="B307" s="352" t="s">
        <v>3228</v>
      </c>
      <c r="C307" s="353" t="s">
        <v>255</v>
      </c>
      <c r="D307" s="351"/>
      <c r="E307" s="354" t="s">
        <v>2602</v>
      </c>
      <c r="F307" s="352" t="s">
        <v>2488</v>
      </c>
      <c r="H307" s="356">
        <f t="shared" si="54"/>
        <v>0</v>
      </c>
      <c r="J307" s="351" t="b">
        <f t="shared" si="55"/>
        <v>1</v>
      </c>
    </row>
    <row r="308" spans="1:10" x14ac:dyDescent="0.25">
      <c r="A308" s="352" t="s">
        <v>3729</v>
      </c>
      <c r="B308" s="352" t="s">
        <v>148</v>
      </c>
      <c r="C308" s="353" t="s">
        <v>1278</v>
      </c>
      <c r="D308" s="351"/>
      <c r="E308" s="354" t="s">
        <v>2556</v>
      </c>
      <c r="F308" s="352" t="s">
        <v>2557</v>
      </c>
      <c r="H308" s="356">
        <f t="shared" si="54"/>
        <v>0</v>
      </c>
      <c r="J308" s="351" t="b">
        <f t="shared" si="55"/>
        <v>1</v>
      </c>
    </row>
    <row r="309" spans="1:10" x14ac:dyDescent="0.25">
      <c r="A309" s="352" t="s">
        <v>3730</v>
      </c>
      <c r="B309" s="352" t="s">
        <v>235</v>
      </c>
      <c r="D309" s="351"/>
      <c r="E309" s="354" t="s">
        <v>2558</v>
      </c>
      <c r="F309" s="352" t="s">
        <v>52</v>
      </c>
      <c r="H309" s="356">
        <f t="shared" si="54"/>
        <v>0</v>
      </c>
      <c r="J309" s="351" t="b">
        <f t="shared" si="55"/>
        <v>1</v>
      </c>
    </row>
    <row r="310" spans="1:10" x14ac:dyDescent="0.25">
      <c r="A310" s="352" t="s">
        <v>3731</v>
      </c>
      <c r="B310" s="352" t="s">
        <v>3229</v>
      </c>
      <c r="C310" s="353" t="s">
        <v>256</v>
      </c>
      <c r="D310" s="351"/>
      <c r="E310" s="354" t="s">
        <v>2603</v>
      </c>
      <c r="F310" s="352" t="s">
        <v>2371</v>
      </c>
      <c r="H310" s="356">
        <f t="shared" si="54"/>
        <v>0</v>
      </c>
      <c r="J310" s="351" t="b">
        <f t="shared" si="55"/>
        <v>1</v>
      </c>
    </row>
    <row r="311" spans="1:10" x14ac:dyDescent="0.25">
      <c r="A311" s="352" t="s">
        <v>3732</v>
      </c>
      <c r="B311" s="352" t="s">
        <v>257</v>
      </c>
      <c r="D311" s="351"/>
      <c r="E311" s="354" t="s">
        <v>2604</v>
      </c>
      <c r="F311" s="352" t="s">
        <v>11</v>
      </c>
      <c r="H311" s="356">
        <f t="shared" si="54"/>
        <v>0</v>
      </c>
      <c r="J311" s="351" t="b">
        <f t="shared" si="55"/>
        <v>1</v>
      </c>
    </row>
    <row r="312" spans="1:10" x14ac:dyDescent="0.25">
      <c r="A312" s="352" t="s">
        <v>3733</v>
      </c>
      <c r="B312" s="352" t="s">
        <v>236</v>
      </c>
      <c r="D312" s="351"/>
      <c r="E312" s="354" t="s">
        <v>2560</v>
      </c>
      <c r="F312" s="352" t="s">
        <v>52</v>
      </c>
      <c r="H312" s="356">
        <f t="shared" si="54"/>
        <v>0</v>
      </c>
      <c r="J312" s="351" t="b">
        <f t="shared" si="55"/>
        <v>1</v>
      </c>
    </row>
    <row r="313" spans="1:10" x14ac:dyDescent="0.25">
      <c r="A313" s="210" t="s">
        <v>3734</v>
      </c>
      <c r="B313" s="210" t="s">
        <v>2420</v>
      </c>
      <c r="C313" s="212"/>
      <c r="D313" s="213"/>
      <c r="E313" s="211" t="s">
        <v>2576</v>
      </c>
      <c r="F313" s="210"/>
      <c r="G313" s="214"/>
      <c r="H313" s="215"/>
      <c r="I313" s="214"/>
      <c r="J313" s="213"/>
    </row>
    <row r="314" spans="1:10" x14ac:dyDescent="0.25">
      <c r="A314" s="352" t="s">
        <v>3735</v>
      </c>
      <c r="B314" s="352" t="s">
        <v>3230</v>
      </c>
      <c r="C314" s="353" t="s">
        <v>3216</v>
      </c>
      <c r="D314" s="351"/>
      <c r="E314" s="354" t="s">
        <v>2577</v>
      </c>
      <c r="F314" s="352" t="s">
        <v>2338</v>
      </c>
      <c r="H314" s="356">
        <f t="shared" ref="H314:H319" si="56">ROUND(I314,2)</f>
        <v>0</v>
      </c>
      <c r="J314" s="351" t="b">
        <f t="shared" ref="J314:J319" si="57">H314=G314</f>
        <v>1</v>
      </c>
    </row>
    <row r="315" spans="1:10" x14ac:dyDescent="0.25">
      <c r="A315" s="352" t="s">
        <v>3736</v>
      </c>
      <c r="B315" s="352" t="s">
        <v>3231</v>
      </c>
      <c r="C315" s="353" t="s">
        <v>258</v>
      </c>
      <c r="D315" s="351"/>
      <c r="E315" s="354" t="s">
        <v>2605</v>
      </c>
      <c r="F315" s="352" t="s">
        <v>2488</v>
      </c>
      <c r="H315" s="356">
        <f t="shared" si="56"/>
        <v>0</v>
      </c>
      <c r="J315" s="351" t="b">
        <f t="shared" si="57"/>
        <v>1</v>
      </c>
    </row>
    <row r="316" spans="1:10" x14ac:dyDescent="0.25">
      <c r="A316" s="352" t="s">
        <v>3737</v>
      </c>
      <c r="B316" s="352" t="s">
        <v>3232</v>
      </c>
      <c r="C316" s="353" t="s">
        <v>245</v>
      </c>
      <c r="D316" s="351"/>
      <c r="E316" s="354" t="s">
        <v>2578</v>
      </c>
      <c r="F316" s="352" t="s">
        <v>52</v>
      </c>
      <c r="H316" s="356">
        <f t="shared" si="56"/>
        <v>0</v>
      </c>
      <c r="J316" s="351" t="b">
        <f t="shared" si="57"/>
        <v>1</v>
      </c>
    </row>
    <row r="317" spans="1:10" x14ac:dyDescent="0.25">
      <c r="A317" s="352" t="s">
        <v>3738</v>
      </c>
      <c r="B317" s="352" t="s">
        <v>148</v>
      </c>
      <c r="C317" s="353" t="s">
        <v>1278</v>
      </c>
      <c r="D317" s="351"/>
      <c r="E317" s="354" t="s">
        <v>2556</v>
      </c>
      <c r="F317" s="352" t="s">
        <v>2557</v>
      </c>
      <c r="H317" s="356">
        <f t="shared" si="56"/>
        <v>0</v>
      </c>
      <c r="J317" s="351" t="b">
        <f t="shared" si="57"/>
        <v>1</v>
      </c>
    </row>
    <row r="318" spans="1:10" x14ac:dyDescent="0.25">
      <c r="A318" s="352" t="s">
        <v>3739</v>
      </c>
      <c r="B318" s="352" t="s">
        <v>235</v>
      </c>
      <c r="D318" s="351"/>
      <c r="E318" s="354" t="s">
        <v>2558</v>
      </c>
      <c r="F318" s="352" t="s">
        <v>52</v>
      </c>
      <c r="H318" s="356">
        <f t="shared" si="56"/>
        <v>0</v>
      </c>
      <c r="J318" s="351" t="b">
        <f t="shared" si="57"/>
        <v>1</v>
      </c>
    </row>
    <row r="319" spans="1:10" x14ac:dyDescent="0.25">
      <c r="A319" s="352" t="s">
        <v>3740</v>
      </c>
      <c r="B319" s="352" t="s">
        <v>236</v>
      </c>
      <c r="D319" s="351"/>
      <c r="E319" s="354" t="s">
        <v>2560</v>
      </c>
      <c r="F319" s="352" t="s">
        <v>52</v>
      </c>
      <c r="H319" s="356">
        <f t="shared" si="56"/>
        <v>0</v>
      </c>
      <c r="J319" s="351" t="b">
        <f t="shared" si="57"/>
        <v>1</v>
      </c>
    </row>
    <row r="320" spans="1:10" x14ac:dyDescent="0.25">
      <c r="A320" s="210" t="s">
        <v>3741</v>
      </c>
      <c r="B320" s="210" t="s">
        <v>2420</v>
      </c>
      <c r="C320" s="212"/>
      <c r="D320" s="213"/>
      <c r="E320" s="211" t="s">
        <v>2606</v>
      </c>
      <c r="F320" s="210"/>
      <c r="G320" s="214"/>
      <c r="H320" s="215"/>
      <c r="I320" s="214"/>
      <c r="J320" s="213"/>
    </row>
    <row r="321" spans="1:10" x14ac:dyDescent="0.25">
      <c r="A321" s="352" t="s">
        <v>3742</v>
      </c>
      <c r="B321" s="352" t="s">
        <v>3233</v>
      </c>
      <c r="C321" s="353" t="s">
        <v>3234</v>
      </c>
      <c r="D321" s="351"/>
      <c r="E321" s="354" t="s">
        <v>2607</v>
      </c>
      <c r="F321" s="352" t="s">
        <v>2338</v>
      </c>
      <c r="H321" s="356">
        <f t="shared" ref="H321:H332" si="58">ROUND(I321,2)</f>
        <v>0</v>
      </c>
      <c r="J321" s="351" t="b">
        <f t="shared" ref="J321:J332" si="59">H321=G321</f>
        <v>1</v>
      </c>
    </row>
    <row r="322" spans="1:10" x14ac:dyDescent="0.25">
      <c r="A322" s="352" t="s">
        <v>3743</v>
      </c>
      <c r="B322" s="352" t="s">
        <v>3235</v>
      </c>
      <c r="C322" s="353" t="s">
        <v>260</v>
      </c>
      <c r="D322" s="351"/>
      <c r="E322" s="354" t="s">
        <v>2608</v>
      </c>
      <c r="F322" s="352" t="s">
        <v>2488</v>
      </c>
      <c r="H322" s="356">
        <f t="shared" si="58"/>
        <v>0</v>
      </c>
      <c r="J322" s="351" t="b">
        <f t="shared" si="59"/>
        <v>1</v>
      </c>
    </row>
    <row r="323" spans="1:10" x14ac:dyDescent="0.25">
      <c r="A323" s="352" t="s">
        <v>3744</v>
      </c>
      <c r="B323" s="352" t="s">
        <v>3236</v>
      </c>
      <c r="C323" s="353" t="s">
        <v>261</v>
      </c>
      <c r="D323" s="351"/>
      <c r="E323" s="354" t="s">
        <v>2609</v>
      </c>
      <c r="F323" s="352" t="s">
        <v>2488</v>
      </c>
      <c r="H323" s="356">
        <f t="shared" si="58"/>
        <v>0</v>
      </c>
      <c r="J323" s="351" t="b">
        <f t="shared" si="59"/>
        <v>1</v>
      </c>
    </row>
    <row r="324" spans="1:10" x14ac:dyDescent="0.25">
      <c r="A324" s="352" t="s">
        <v>3745</v>
      </c>
      <c r="B324" s="352" t="s">
        <v>3237</v>
      </c>
      <c r="C324" s="353" t="s">
        <v>262</v>
      </c>
      <c r="D324" s="351"/>
      <c r="E324" s="354" t="s">
        <v>2610</v>
      </c>
      <c r="F324" s="352" t="s">
        <v>2488</v>
      </c>
      <c r="H324" s="356">
        <f t="shared" si="58"/>
        <v>0</v>
      </c>
      <c r="J324" s="351" t="b">
        <f t="shared" si="59"/>
        <v>1</v>
      </c>
    </row>
    <row r="325" spans="1:10" x14ac:dyDescent="0.25">
      <c r="A325" s="352" t="s">
        <v>3746</v>
      </c>
      <c r="B325" s="352" t="s">
        <v>3238</v>
      </c>
      <c r="C325" s="353" t="s">
        <v>263</v>
      </c>
      <c r="D325" s="351"/>
      <c r="E325" s="354" t="s">
        <v>2611</v>
      </c>
      <c r="F325" s="352" t="s">
        <v>2488</v>
      </c>
      <c r="H325" s="356">
        <f t="shared" si="58"/>
        <v>0</v>
      </c>
      <c r="J325" s="351" t="b">
        <f t="shared" si="59"/>
        <v>1</v>
      </c>
    </row>
    <row r="326" spans="1:10" x14ac:dyDescent="0.25">
      <c r="A326" s="352" t="s">
        <v>3747</v>
      </c>
      <c r="B326" s="352" t="s">
        <v>3239</v>
      </c>
      <c r="C326" s="353" t="s">
        <v>264</v>
      </c>
      <c r="D326" s="351"/>
      <c r="E326" s="354" t="s">
        <v>2612</v>
      </c>
      <c r="F326" s="352" t="s">
        <v>2488</v>
      </c>
      <c r="H326" s="356">
        <f t="shared" si="58"/>
        <v>0</v>
      </c>
      <c r="J326" s="351" t="b">
        <f t="shared" si="59"/>
        <v>1</v>
      </c>
    </row>
    <row r="327" spans="1:10" x14ac:dyDescent="0.25">
      <c r="A327" s="352" t="s">
        <v>3748</v>
      </c>
      <c r="B327" s="352" t="s">
        <v>3240</v>
      </c>
      <c r="C327" s="353" t="s">
        <v>265</v>
      </c>
      <c r="D327" s="351"/>
      <c r="E327" s="354" t="s">
        <v>2613</v>
      </c>
      <c r="F327" s="352" t="s">
        <v>2488</v>
      </c>
      <c r="H327" s="356">
        <f t="shared" si="58"/>
        <v>0</v>
      </c>
      <c r="J327" s="351" t="b">
        <f t="shared" si="59"/>
        <v>1</v>
      </c>
    </row>
    <row r="328" spans="1:10" x14ac:dyDescent="0.25">
      <c r="A328" s="352" t="s">
        <v>3749</v>
      </c>
      <c r="B328" s="352" t="s">
        <v>148</v>
      </c>
      <c r="C328" s="353" t="s">
        <v>1278</v>
      </c>
      <c r="D328" s="351"/>
      <c r="E328" s="354" t="s">
        <v>2556</v>
      </c>
      <c r="F328" s="352" t="s">
        <v>2557</v>
      </c>
      <c r="H328" s="356">
        <f t="shared" si="58"/>
        <v>0</v>
      </c>
      <c r="J328" s="351" t="b">
        <f t="shared" si="59"/>
        <v>1</v>
      </c>
    </row>
    <row r="329" spans="1:10" x14ac:dyDescent="0.25">
      <c r="A329" s="352" t="s">
        <v>3750</v>
      </c>
      <c r="B329" s="352" t="s">
        <v>238</v>
      </c>
      <c r="D329" s="351"/>
      <c r="E329" s="354" t="s">
        <v>2563</v>
      </c>
      <c r="F329" s="352" t="s">
        <v>52</v>
      </c>
      <c r="H329" s="356">
        <f t="shared" si="58"/>
        <v>0</v>
      </c>
      <c r="J329" s="351" t="b">
        <f t="shared" si="59"/>
        <v>1</v>
      </c>
    </row>
    <row r="330" spans="1:10" x14ac:dyDescent="0.25">
      <c r="A330" s="352" t="s">
        <v>3751</v>
      </c>
      <c r="B330" s="352" t="s">
        <v>3241</v>
      </c>
      <c r="D330" s="351"/>
      <c r="E330" s="354" t="s">
        <v>2614</v>
      </c>
      <c r="F330" s="352" t="s">
        <v>2371</v>
      </c>
      <c r="H330" s="356">
        <f t="shared" si="58"/>
        <v>0</v>
      </c>
      <c r="J330" s="351" t="b">
        <f t="shared" si="59"/>
        <v>1</v>
      </c>
    </row>
    <row r="331" spans="1:10" x14ac:dyDescent="0.25">
      <c r="A331" s="352" t="s">
        <v>3752</v>
      </c>
      <c r="B331" s="352" t="s">
        <v>257</v>
      </c>
      <c r="D331" s="351"/>
      <c r="E331" s="354" t="s">
        <v>2604</v>
      </c>
      <c r="F331" s="352" t="s">
        <v>11</v>
      </c>
      <c r="H331" s="356">
        <f t="shared" si="58"/>
        <v>0</v>
      </c>
      <c r="J331" s="351" t="b">
        <f t="shared" si="59"/>
        <v>1</v>
      </c>
    </row>
    <row r="332" spans="1:10" x14ac:dyDescent="0.25">
      <c r="A332" s="352" t="s">
        <v>3753</v>
      </c>
      <c r="B332" s="352" t="s">
        <v>236</v>
      </c>
      <c r="D332" s="351"/>
      <c r="E332" s="354" t="s">
        <v>2560</v>
      </c>
      <c r="F332" s="352" t="s">
        <v>52</v>
      </c>
      <c r="H332" s="356">
        <f t="shared" si="58"/>
        <v>0</v>
      </c>
      <c r="J332" s="351" t="b">
        <f t="shared" si="59"/>
        <v>1</v>
      </c>
    </row>
    <row r="333" spans="1:10" x14ac:dyDescent="0.25">
      <c r="A333" s="352"/>
      <c r="B333" s="352"/>
      <c r="D333" s="351"/>
      <c r="E333" s="354"/>
      <c r="F333" s="352"/>
    </row>
    <row r="334" spans="1:10" x14ac:dyDescent="0.25">
      <c r="A334" s="218" t="s">
        <v>3754</v>
      </c>
      <c r="B334" s="363" t="s">
        <v>2420</v>
      </c>
      <c r="C334" s="364"/>
      <c r="D334" s="365"/>
      <c r="E334" s="219" t="s">
        <v>2615</v>
      </c>
      <c r="F334" s="363"/>
      <c r="G334" s="366"/>
      <c r="H334" s="367"/>
      <c r="I334" s="366"/>
      <c r="J334" s="365"/>
    </row>
    <row r="335" spans="1:10" x14ac:dyDescent="0.25">
      <c r="A335" s="352" t="s">
        <v>3755</v>
      </c>
      <c r="B335" s="352" t="s">
        <v>2553</v>
      </c>
      <c r="C335" s="353" t="s">
        <v>2032</v>
      </c>
      <c r="D335" s="351"/>
      <c r="E335" s="354" t="s">
        <v>2554</v>
      </c>
      <c r="F335" s="352" t="s">
        <v>52</v>
      </c>
      <c r="H335" s="356">
        <f t="shared" ref="H335:H348" si="60">ROUND(I335,2)</f>
        <v>0</v>
      </c>
      <c r="J335" s="351" t="b">
        <f t="shared" ref="J335:J348" si="61">H335=G335</f>
        <v>1</v>
      </c>
    </row>
    <row r="336" spans="1:10" x14ac:dyDescent="0.25">
      <c r="A336" s="352" t="s">
        <v>3756</v>
      </c>
      <c r="B336" s="352" t="s">
        <v>145</v>
      </c>
      <c r="D336" s="351"/>
      <c r="E336" s="370" t="s">
        <v>2569</v>
      </c>
      <c r="F336" s="352" t="s">
        <v>16</v>
      </c>
      <c r="H336" s="356">
        <f t="shared" si="60"/>
        <v>0</v>
      </c>
      <c r="J336" s="351" t="b">
        <f t="shared" si="61"/>
        <v>1</v>
      </c>
    </row>
    <row r="337" spans="1:10" x14ac:dyDescent="0.25">
      <c r="A337" s="352" t="s">
        <v>3757</v>
      </c>
      <c r="B337" s="352" t="s">
        <v>146</v>
      </c>
      <c r="D337" s="351"/>
      <c r="E337" s="354" t="s">
        <v>2616</v>
      </c>
      <c r="F337" s="352" t="s">
        <v>52</v>
      </c>
      <c r="H337" s="356">
        <f t="shared" si="60"/>
        <v>0</v>
      </c>
      <c r="J337" s="351" t="b">
        <f t="shared" si="61"/>
        <v>1</v>
      </c>
    </row>
    <row r="338" spans="1:10" x14ac:dyDescent="0.25">
      <c r="A338" s="352" t="s">
        <v>3758</v>
      </c>
      <c r="B338" s="352" t="s">
        <v>147</v>
      </c>
      <c r="C338" s="353" t="s">
        <v>2177</v>
      </c>
      <c r="D338" s="351"/>
      <c r="E338" s="354" t="s">
        <v>2555</v>
      </c>
      <c r="F338" s="352" t="s">
        <v>16</v>
      </c>
      <c r="H338" s="356">
        <f t="shared" si="60"/>
        <v>0</v>
      </c>
      <c r="J338" s="351" t="b">
        <f t="shared" si="61"/>
        <v>1</v>
      </c>
    </row>
    <row r="339" spans="1:10" x14ac:dyDescent="0.25">
      <c r="A339" s="352" t="s">
        <v>3759</v>
      </c>
      <c r="B339" s="352" t="s">
        <v>148</v>
      </c>
      <c r="C339" s="353" t="s">
        <v>1278</v>
      </c>
      <c r="D339" s="351"/>
      <c r="E339" s="354" t="s">
        <v>2556</v>
      </c>
      <c r="F339" s="352" t="s">
        <v>2557</v>
      </c>
      <c r="H339" s="356">
        <f t="shared" si="60"/>
        <v>0</v>
      </c>
      <c r="J339" s="351" t="b">
        <f t="shared" si="61"/>
        <v>1</v>
      </c>
    </row>
    <row r="340" spans="1:10" x14ac:dyDescent="0.25">
      <c r="A340" s="352" t="s">
        <v>3760</v>
      </c>
      <c r="B340" s="352" t="s">
        <v>235</v>
      </c>
      <c r="D340" s="351"/>
      <c r="E340" s="354" t="s">
        <v>2558</v>
      </c>
      <c r="F340" s="352" t="s">
        <v>52</v>
      </c>
      <c r="H340" s="356">
        <f t="shared" si="60"/>
        <v>0</v>
      </c>
      <c r="J340" s="351" t="b">
        <f t="shared" si="61"/>
        <v>1</v>
      </c>
    </row>
    <row r="341" spans="1:10" x14ac:dyDescent="0.25">
      <c r="A341" s="352" t="s">
        <v>3761</v>
      </c>
      <c r="B341" s="352" t="s">
        <v>246</v>
      </c>
      <c r="D341" s="351"/>
      <c r="E341" s="354" t="s">
        <v>2617</v>
      </c>
      <c r="F341" s="352" t="s">
        <v>52</v>
      </c>
      <c r="H341" s="356">
        <f t="shared" si="60"/>
        <v>0</v>
      </c>
      <c r="J341" s="351" t="b">
        <f t="shared" si="61"/>
        <v>1</v>
      </c>
    </row>
    <row r="342" spans="1:10" x14ac:dyDescent="0.25">
      <c r="A342" s="352" t="s">
        <v>3762</v>
      </c>
      <c r="B342" s="352" t="s">
        <v>149</v>
      </c>
      <c r="D342" s="351"/>
      <c r="E342" s="354" t="s">
        <v>2618</v>
      </c>
      <c r="F342" s="352" t="s">
        <v>52</v>
      </c>
      <c r="H342" s="356">
        <f t="shared" si="60"/>
        <v>0</v>
      </c>
      <c r="J342" s="351" t="b">
        <f t="shared" si="61"/>
        <v>1</v>
      </c>
    </row>
    <row r="343" spans="1:10" x14ac:dyDescent="0.25">
      <c r="A343" s="352" t="s">
        <v>3763</v>
      </c>
      <c r="B343" s="352" t="s">
        <v>266</v>
      </c>
      <c r="D343" s="351"/>
      <c r="E343" s="354" t="s">
        <v>2619</v>
      </c>
      <c r="F343" s="352" t="s">
        <v>52</v>
      </c>
      <c r="H343" s="356">
        <f t="shared" si="60"/>
        <v>0</v>
      </c>
      <c r="J343" s="351" t="b">
        <f t="shared" si="61"/>
        <v>1</v>
      </c>
    </row>
    <row r="344" spans="1:10" x14ac:dyDescent="0.25">
      <c r="A344" s="352" t="s">
        <v>3764</v>
      </c>
      <c r="B344" s="352" t="s">
        <v>267</v>
      </c>
      <c r="D344" s="351"/>
      <c r="E344" s="354" t="s">
        <v>2620</v>
      </c>
      <c r="F344" s="352" t="s">
        <v>16</v>
      </c>
      <c r="H344" s="356">
        <f t="shared" si="60"/>
        <v>0</v>
      </c>
      <c r="J344" s="351" t="b">
        <f t="shared" si="61"/>
        <v>1</v>
      </c>
    </row>
    <row r="345" spans="1:10" x14ac:dyDescent="0.25">
      <c r="A345" s="352" t="s">
        <v>3765</v>
      </c>
      <c r="B345" s="352" t="s">
        <v>268</v>
      </c>
      <c r="E345" s="354" t="s">
        <v>2621</v>
      </c>
      <c r="F345" s="352" t="s">
        <v>2488</v>
      </c>
      <c r="H345" s="356">
        <f t="shared" si="60"/>
        <v>0</v>
      </c>
      <c r="J345" s="351" t="b">
        <f t="shared" si="61"/>
        <v>1</v>
      </c>
    </row>
    <row r="346" spans="1:10" x14ac:dyDescent="0.25">
      <c r="A346" s="352" t="s">
        <v>3766</v>
      </c>
      <c r="B346" s="352" t="s">
        <v>2622</v>
      </c>
      <c r="E346" s="370" t="s">
        <v>2623</v>
      </c>
      <c r="F346" s="352" t="s">
        <v>16</v>
      </c>
      <c r="H346" s="356">
        <f t="shared" si="60"/>
        <v>0</v>
      </c>
      <c r="J346" s="351" t="b">
        <f t="shared" si="61"/>
        <v>1</v>
      </c>
    </row>
    <row r="347" spans="1:10" x14ac:dyDescent="0.25">
      <c r="A347" s="352" t="s">
        <v>3767</v>
      </c>
      <c r="B347" s="352" t="s">
        <v>216</v>
      </c>
      <c r="E347" s="370" t="s">
        <v>2559</v>
      </c>
      <c r="F347" s="352" t="s">
        <v>52</v>
      </c>
      <c r="H347" s="356">
        <f t="shared" si="60"/>
        <v>0</v>
      </c>
      <c r="J347" s="351" t="b">
        <f t="shared" si="61"/>
        <v>1</v>
      </c>
    </row>
    <row r="348" spans="1:10" x14ac:dyDescent="0.25">
      <c r="A348" s="352" t="s">
        <v>3768</v>
      </c>
      <c r="B348" s="352" t="s">
        <v>236</v>
      </c>
      <c r="E348" s="354" t="s">
        <v>2560</v>
      </c>
      <c r="F348" s="352" t="s">
        <v>52</v>
      </c>
      <c r="H348" s="356">
        <f t="shared" si="60"/>
        <v>0</v>
      </c>
      <c r="J348" s="351" t="b">
        <f t="shared" si="61"/>
        <v>1</v>
      </c>
    </row>
    <row r="349" spans="1:10" x14ac:dyDescent="0.25">
      <c r="A349" s="352"/>
      <c r="B349" s="352"/>
      <c r="D349" s="351"/>
      <c r="E349" s="354"/>
      <c r="F349" s="352"/>
    </row>
    <row r="350" spans="1:10" x14ac:dyDescent="0.2">
      <c r="A350" s="206" t="s">
        <v>3769</v>
      </c>
      <c r="B350" s="206" t="s">
        <v>2420</v>
      </c>
      <c r="C350" s="206"/>
      <c r="D350" s="206"/>
      <c r="E350" s="207" t="s">
        <v>2624</v>
      </c>
      <c r="F350" s="206"/>
      <c r="G350" s="208"/>
      <c r="H350" s="208"/>
      <c r="I350" s="209"/>
      <c r="J350" s="209"/>
    </row>
    <row r="351" spans="1:10" x14ac:dyDescent="0.25">
      <c r="A351" s="210" t="s">
        <v>3770</v>
      </c>
      <c r="B351" s="357" t="s">
        <v>2420</v>
      </c>
      <c r="C351" s="358"/>
      <c r="D351" s="359"/>
      <c r="E351" s="211" t="s">
        <v>2625</v>
      </c>
      <c r="F351" s="357"/>
      <c r="G351" s="360"/>
      <c r="H351" s="361"/>
      <c r="I351" s="360"/>
      <c r="J351" s="359"/>
    </row>
    <row r="352" spans="1:10" x14ac:dyDescent="0.25">
      <c r="A352" s="352" t="s">
        <v>3771</v>
      </c>
      <c r="B352" s="352" t="s">
        <v>247</v>
      </c>
      <c r="E352" s="354" t="s">
        <v>2581</v>
      </c>
      <c r="F352" s="352" t="s">
        <v>16</v>
      </c>
      <c r="H352" s="356">
        <f t="shared" ref="H352:H366" si="62">ROUND(I352,2)</f>
        <v>0</v>
      </c>
      <c r="J352" s="351" t="b">
        <f t="shared" ref="J352:J366" si="63">H352=G352</f>
        <v>1</v>
      </c>
    </row>
    <row r="353" spans="1:10" x14ac:dyDescent="0.25">
      <c r="A353" s="352" t="s">
        <v>3772</v>
      </c>
      <c r="B353" s="352" t="s">
        <v>269</v>
      </c>
      <c r="E353" s="354" t="s">
        <v>2626</v>
      </c>
      <c r="F353" s="352" t="s">
        <v>16</v>
      </c>
      <c r="H353" s="356">
        <f t="shared" si="62"/>
        <v>0</v>
      </c>
      <c r="J353" s="351" t="b">
        <f t="shared" si="63"/>
        <v>1</v>
      </c>
    </row>
    <row r="354" spans="1:10" x14ac:dyDescent="0.25">
      <c r="A354" s="352" t="s">
        <v>3773</v>
      </c>
      <c r="B354" s="352" t="s">
        <v>270</v>
      </c>
      <c r="E354" s="354" t="s">
        <v>2627</v>
      </c>
      <c r="F354" s="352" t="s">
        <v>16</v>
      </c>
      <c r="H354" s="356">
        <f t="shared" si="62"/>
        <v>0</v>
      </c>
      <c r="J354" s="351" t="b">
        <f t="shared" si="63"/>
        <v>1</v>
      </c>
    </row>
    <row r="355" spans="1:10" x14ac:dyDescent="0.25">
      <c r="A355" s="352" t="s">
        <v>3774</v>
      </c>
      <c r="B355" s="352" t="s">
        <v>642</v>
      </c>
      <c r="E355" s="354" t="s">
        <v>2628</v>
      </c>
      <c r="F355" s="352" t="s">
        <v>16</v>
      </c>
      <c r="H355" s="356">
        <f t="shared" si="62"/>
        <v>0</v>
      </c>
      <c r="J355" s="351" t="b">
        <f t="shared" si="63"/>
        <v>1</v>
      </c>
    </row>
    <row r="356" spans="1:10" x14ac:dyDescent="0.25">
      <c r="A356" s="352" t="s">
        <v>3775</v>
      </c>
      <c r="B356" s="352" t="s">
        <v>148</v>
      </c>
      <c r="C356" s="353" t="s">
        <v>1278</v>
      </c>
      <c r="E356" s="354" t="s">
        <v>2556</v>
      </c>
      <c r="F356" s="352" t="s">
        <v>2557</v>
      </c>
      <c r="H356" s="356">
        <f t="shared" si="62"/>
        <v>0</v>
      </c>
      <c r="J356" s="351" t="b">
        <f t="shared" si="63"/>
        <v>1</v>
      </c>
    </row>
    <row r="357" spans="1:10" x14ac:dyDescent="0.25">
      <c r="A357" s="352" t="s">
        <v>3776</v>
      </c>
      <c r="B357" s="352" t="s">
        <v>644</v>
      </c>
      <c r="E357" s="354" t="s">
        <v>2629</v>
      </c>
      <c r="F357" s="352" t="s">
        <v>2557</v>
      </c>
      <c r="H357" s="356">
        <f t="shared" si="62"/>
        <v>0</v>
      </c>
      <c r="J357" s="351" t="b">
        <f t="shared" si="63"/>
        <v>1</v>
      </c>
    </row>
    <row r="358" spans="1:10" x14ac:dyDescent="0.25">
      <c r="A358" s="352" t="s">
        <v>3777</v>
      </c>
      <c r="B358" s="352" t="s">
        <v>646</v>
      </c>
      <c r="E358" s="354" t="s">
        <v>2630</v>
      </c>
      <c r="F358" s="352" t="s">
        <v>52</v>
      </c>
      <c r="H358" s="356">
        <f t="shared" si="62"/>
        <v>0</v>
      </c>
      <c r="J358" s="351" t="b">
        <f t="shared" si="63"/>
        <v>1</v>
      </c>
    </row>
    <row r="359" spans="1:10" x14ac:dyDescent="0.25">
      <c r="A359" s="352" t="s">
        <v>3778</v>
      </c>
      <c r="B359" s="352" t="s">
        <v>248</v>
      </c>
      <c r="E359" s="354" t="s">
        <v>2582</v>
      </c>
      <c r="F359" s="352" t="s">
        <v>52</v>
      </c>
      <c r="H359" s="356">
        <f t="shared" si="62"/>
        <v>0</v>
      </c>
      <c r="J359" s="351" t="b">
        <f t="shared" si="63"/>
        <v>1</v>
      </c>
    </row>
    <row r="360" spans="1:10" x14ac:dyDescent="0.25">
      <c r="A360" s="352" t="s">
        <v>3779</v>
      </c>
      <c r="B360" s="352" t="s">
        <v>648</v>
      </c>
      <c r="E360" s="354" t="s">
        <v>2631</v>
      </c>
      <c r="F360" s="352" t="s">
        <v>52</v>
      </c>
      <c r="H360" s="356">
        <f t="shared" si="62"/>
        <v>0</v>
      </c>
      <c r="J360" s="351" t="b">
        <f t="shared" si="63"/>
        <v>1</v>
      </c>
    </row>
    <row r="361" spans="1:10" x14ac:dyDescent="0.25">
      <c r="A361" s="352" t="s">
        <v>3780</v>
      </c>
      <c r="B361" s="352" t="s">
        <v>650</v>
      </c>
      <c r="E361" s="354" t="s">
        <v>2632</v>
      </c>
      <c r="F361" s="352" t="s">
        <v>52</v>
      </c>
      <c r="H361" s="356">
        <f t="shared" si="62"/>
        <v>0</v>
      </c>
      <c r="J361" s="351" t="b">
        <f t="shared" si="63"/>
        <v>1</v>
      </c>
    </row>
    <row r="362" spans="1:10" x14ac:dyDescent="0.25">
      <c r="A362" s="352" t="s">
        <v>3781</v>
      </c>
      <c r="B362" s="352" t="s">
        <v>652</v>
      </c>
      <c r="E362" s="354" t="s">
        <v>2633</v>
      </c>
      <c r="F362" s="352" t="s">
        <v>52</v>
      </c>
      <c r="H362" s="356">
        <f t="shared" si="62"/>
        <v>0</v>
      </c>
      <c r="J362" s="351" t="b">
        <f t="shared" si="63"/>
        <v>1</v>
      </c>
    </row>
    <row r="363" spans="1:10" x14ac:dyDescent="0.25">
      <c r="A363" s="352" t="s">
        <v>3782</v>
      </c>
      <c r="B363" s="352" t="s">
        <v>3242</v>
      </c>
      <c r="C363" s="353" t="s">
        <v>654</v>
      </c>
      <c r="E363" s="354" t="s">
        <v>2634</v>
      </c>
      <c r="F363" s="352" t="s">
        <v>16</v>
      </c>
      <c r="H363" s="356">
        <f t="shared" si="62"/>
        <v>0</v>
      </c>
      <c r="J363" s="351" t="b">
        <f t="shared" si="63"/>
        <v>1</v>
      </c>
    </row>
    <row r="364" spans="1:10" x14ac:dyDescent="0.25">
      <c r="A364" s="352" t="s">
        <v>3783</v>
      </c>
      <c r="B364" s="352" t="s">
        <v>3243</v>
      </c>
      <c r="C364" s="353" t="s">
        <v>656</v>
      </c>
      <c r="E364" s="354" t="s">
        <v>2635</v>
      </c>
      <c r="F364" s="352" t="s">
        <v>16</v>
      </c>
      <c r="H364" s="356">
        <f t="shared" si="62"/>
        <v>0</v>
      </c>
      <c r="J364" s="351" t="b">
        <f t="shared" si="63"/>
        <v>1</v>
      </c>
    </row>
    <row r="365" spans="1:10" x14ac:dyDescent="0.25">
      <c r="A365" s="352" t="s">
        <v>3784</v>
      </c>
      <c r="B365" s="352" t="s">
        <v>267</v>
      </c>
      <c r="E365" s="354" t="s">
        <v>2620</v>
      </c>
      <c r="F365" s="352" t="s">
        <v>16</v>
      </c>
      <c r="H365" s="356">
        <f t="shared" si="62"/>
        <v>0</v>
      </c>
      <c r="J365" s="351" t="b">
        <f t="shared" si="63"/>
        <v>1</v>
      </c>
    </row>
    <row r="366" spans="1:10" x14ac:dyDescent="0.25">
      <c r="A366" s="352" t="s">
        <v>3785</v>
      </c>
      <c r="B366" s="352" t="s">
        <v>268</v>
      </c>
      <c r="E366" s="354" t="s">
        <v>2621</v>
      </c>
      <c r="F366" s="352" t="s">
        <v>2488</v>
      </c>
      <c r="H366" s="356">
        <f t="shared" si="62"/>
        <v>0</v>
      </c>
      <c r="J366" s="351" t="b">
        <f t="shared" si="63"/>
        <v>1</v>
      </c>
    </row>
    <row r="367" spans="1:10" x14ac:dyDescent="0.25">
      <c r="A367" s="210" t="s">
        <v>3786</v>
      </c>
      <c r="B367" s="357" t="s">
        <v>2420</v>
      </c>
      <c r="C367" s="358"/>
      <c r="D367" s="359"/>
      <c r="E367" s="211" t="s">
        <v>2636</v>
      </c>
      <c r="F367" s="357"/>
      <c r="G367" s="360"/>
      <c r="H367" s="361"/>
      <c r="I367" s="360"/>
      <c r="J367" s="359"/>
    </row>
    <row r="368" spans="1:10" x14ac:dyDescent="0.25">
      <c r="A368" s="210" t="s">
        <v>3787</v>
      </c>
      <c r="B368" s="357" t="s">
        <v>2420</v>
      </c>
      <c r="C368" s="358"/>
      <c r="D368" s="359"/>
      <c r="E368" s="211" t="s">
        <v>2637</v>
      </c>
      <c r="F368" s="357"/>
      <c r="G368" s="360"/>
      <c r="H368" s="361"/>
      <c r="I368" s="360"/>
      <c r="J368" s="359"/>
    </row>
    <row r="369" spans="1:10" x14ac:dyDescent="0.25">
      <c r="A369" s="210" t="s">
        <v>3788</v>
      </c>
      <c r="B369" s="357" t="s">
        <v>2420</v>
      </c>
      <c r="C369" s="358"/>
      <c r="D369" s="359"/>
      <c r="E369" s="211" t="s">
        <v>2638</v>
      </c>
      <c r="F369" s="357"/>
      <c r="G369" s="360"/>
      <c r="H369" s="361"/>
      <c r="I369" s="360"/>
      <c r="J369" s="359"/>
    </row>
    <row r="370" spans="1:10" x14ac:dyDescent="0.25">
      <c r="A370" s="352"/>
      <c r="B370" s="352"/>
      <c r="D370" s="351"/>
      <c r="E370" s="354"/>
      <c r="F370" s="352"/>
    </row>
    <row r="371" spans="1:10" x14ac:dyDescent="0.2">
      <c r="A371" s="206" t="s">
        <v>3789</v>
      </c>
      <c r="B371" s="206" t="s">
        <v>2420</v>
      </c>
      <c r="C371" s="206"/>
      <c r="D371" s="206"/>
      <c r="E371" s="207" t="s">
        <v>2639</v>
      </c>
      <c r="F371" s="206"/>
      <c r="G371" s="208"/>
      <c r="H371" s="208"/>
      <c r="I371" s="209"/>
      <c r="J371" s="209"/>
    </row>
    <row r="372" spans="1:10" x14ac:dyDescent="0.25">
      <c r="A372" s="352" t="s">
        <v>3790</v>
      </c>
      <c r="B372" s="352" t="s">
        <v>150</v>
      </c>
      <c r="E372" s="354" t="s">
        <v>2640</v>
      </c>
      <c r="F372" s="352" t="s">
        <v>2488</v>
      </c>
      <c r="H372" s="356">
        <f t="shared" ref="H372:H387" si="64">ROUND(I372,2)</f>
        <v>0</v>
      </c>
      <c r="J372" s="351" t="b">
        <f t="shared" ref="J372:J387" si="65">H372=G372</f>
        <v>1</v>
      </c>
    </row>
    <row r="373" spans="1:10" x14ac:dyDescent="0.25">
      <c r="A373" s="352" t="s">
        <v>3791</v>
      </c>
      <c r="B373" s="352" t="s">
        <v>151</v>
      </c>
      <c r="E373" s="354" t="s">
        <v>2641</v>
      </c>
      <c r="F373" s="352" t="s">
        <v>16</v>
      </c>
      <c r="H373" s="356">
        <f t="shared" si="64"/>
        <v>0</v>
      </c>
      <c r="J373" s="351" t="b">
        <f t="shared" si="65"/>
        <v>1</v>
      </c>
    </row>
    <row r="374" spans="1:10" x14ac:dyDescent="0.25">
      <c r="A374" s="352" t="s">
        <v>3792</v>
      </c>
      <c r="B374" s="352" t="s">
        <v>152</v>
      </c>
      <c r="E374" s="354" t="s">
        <v>2642</v>
      </c>
      <c r="F374" s="352" t="s">
        <v>16</v>
      </c>
      <c r="H374" s="356">
        <f t="shared" si="64"/>
        <v>0</v>
      </c>
      <c r="J374" s="351" t="b">
        <f t="shared" si="65"/>
        <v>1</v>
      </c>
    </row>
    <row r="375" spans="1:10" x14ac:dyDescent="0.25">
      <c r="A375" s="352" t="s">
        <v>3793</v>
      </c>
      <c r="B375" s="352" t="s">
        <v>271</v>
      </c>
      <c r="E375" s="354" t="s">
        <v>2643</v>
      </c>
      <c r="F375" s="352" t="s">
        <v>16</v>
      </c>
      <c r="H375" s="356">
        <f t="shared" si="64"/>
        <v>0</v>
      </c>
      <c r="J375" s="351" t="b">
        <f t="shared" si="65"/>
        <v>1</v>
      </c>
    </row>
    <row r="376" spans="1:10" x14ac:dyDescent="0.25">
      <c r="A376" s="352" t="s">
        <v>3794</v>
      </c>
      <c r="B376" s="352" t="s">
        <v>272</v>
      </c>
      <c r="E376" s="354" t="s">
        <v>2644</v>
      </c>
      <c r="F376" s="352" t="s">
        <v>16</v>
      </c>
      <c r="H376" s="356">
        <f t="shared" si="64"/>
        <v>0</v>
      </c>
      <c r="J376" s="351" t="b">
        <f t="shared" si="65"/>
        <v>1</v>
      </c>
    </row>
    <row r="377" spans="1:10" x14ac:dyDescent="0.25">
      <c r="A377" s="352" t="s">
        <v>3795</v>
      </c>
      <c r="B377" s="352" t="s">
        <v>217</v>
      </c>
      <c r="E377" s="354" t="s">
        <v>2645</v>
      </c>
      <c r="F377" s="352" t="s">
        <v>16</v>
      </c>
      <c r="H377" s="356">
        <f t="shared" si="64"/>
        <v>0</v>
      </c>
      <c r="J377" s="351" t="b">
        <f t="shared" si="65"/>
        <v>1</v>
      </c>
    </row>
    <row r="378" spans="1:10" x14ac:dyDescent="0.25">
      <c r="A378" s="352" t="s">
        <v>3796</v>
      </c>
      <c r="B378" s="352" t="s">
        <v>273</v>
      </c>
      <c r="E378" s="354" t="s">
        <v>2646</v>
      </c>
      <c r="F378" s="352" t="s">
        <v>16</v>
      </c>
      <c r="H378" s="356">
        <f t="shared" si="64"/>
        <v>0</v>
      </c>
      <c r="J378" s="351" t="b">
        <f t="shared" si="65"/>
        <v>1</v>
      </c>
    </row>
    <row r="379" spans="1:10" x14ac:dyDescent="0.25">
      <c r="A379" s="352" t="s">
        <v>3797</v>
      </c>
      <c r="B379" s="352" t="s">
        <v>153</v>
      </c>
      <c r="E379" s="354" t="s">
        <v>2647</v>
      </c>
      <c r="F379" s="352" t="s">
        <v>52</v>
      </c>
      <c r="H379" s="356">
        <f t="shared" si="64"/>
        <v>0</v>
      </c>
      <c r="J379" s="351" t="b">
        <f t="shared" si="65"/>
        <v>1</v>
      </c>
    </row>
    <row r="380" spans="1:10" x14ac:dyDescent="0.25">
      <c r="A380" s="352" t="s">
        <v>3798</v>
      </c>
      <c r="B380" s="352" t="s">
        <v>274</v>
      </c>
      <c r="E380" s="354" t="s">
        <v>2648</v>
      </c>
      <c r="F380" s="352" t="s">
        <v>16</v>
      </c>
      <c r="H380" s="356">
        <f t="shared" si="64"/>
        <v>0</v>
      </c>
      <c r="J380" s="351" t="b">
        <f t="shared" si="65"/>
        <v>1</v>
      </c>
    </row>
    <row r="381" spans="1:10" x14ac:dyDescent="0.25">
      <c r="A381" s="352" t="s">
        <v>3799</v>
      </c>
      <c r="B381" s="352" t="s">
        <v>275</v>
      </c>
      <c r="E381" s="354" t="s">
        <v>2649</v>
      </c>
      <c r="F381" s="352" t="s">
        <v>16</v>
      </c>
      <c r="H381" s="356">
        <f t="shared" si="64"/>
        <v>0</v>
      </c>
      <c r="J381" s="351" t="b">
        <f t="shared" si="65"/>
        <v>1</v>
      </c>
    </row>
    <row r="382" spans="1:10" x14ac:dyDescent="0.25">
      <c r="A382" s="352" t="s">
        <v>3800</v>
      </c>
      <c r="B382" s="352" t="s">
        <v>276</v>
      </c>
      <c r="E382" s="354" t="s">
        <v>2650</v>
      </c>
      <c r="F382" s="352" t="s">
        <v>16</v>
      </c>
      <c r="H382" s="356">
        <f t="shared" si="64"/>
        <v>0</v>
      </c>
      <c r="J382" s="351" t="b">
        <f t="shared" si="65"/>
        <v>1</v>
      </c>
    </row>
    <row r="383" spans="1:10" x14ac:dyDescent="0.25">
      <c r="A383" s="352" t="s">
        <v>3801</v>
      </c>
      <c r="B383" s="352" t="s">
        <v>277</v>
      </c>
      <c r="E383" s="354" t="s">
        <v>2651</v>
      </c>
      <c r="F383" s="352" t="s">
        <v>2488</v>
      </c>
      <c r="H383" s="356">
        <f t="shared" si="64"/>
        <v>0</v>
      </c>
      <c r="J383" s="351" t="b">
        <f t="shared" si="65"/>
        <v>1</v>
      </c>
    </row>
    <row r="384" spans="1:10" x14ac:dyDescent="0.25">
      <c r="A384" s="352" t="s">
        <v>3802</v>
      </c>
      <c r="B384" s="352" t="s">
        <v>278</v>
      </c>
      <c r="E384" s="354" t="s">
        <v>2652</v>
      </c>
      <c r="F384" s="352" t="s">
        <v>2488</v>
      </c>
      <c r="H384" s="356">
        <f t="shared" si="64"/>
        <v>0</v>
      </c>
      <c r="J384" s="351" t="b">
        <f t="shared" si="65"/>
        <v>1</v>
      </c>
    </row>
    <row r="385" spans="1:10" x14ac:dyDescent="0.25">
      <c r="A385" s="352" t="s">
        <v>3803</v>
      </c>
      <c r="B385" s="352" t="s">
        <v>279</v>
      </c>
      <c r="E385" s="354" t="s">
        <v>2653</v>
      </c>
      <c r="F385" s="352" t="s">
        <v>2488</v>
      </c>
      <c r="H385" s="356">
        <f t="shared" si="64"/>
        <v>0</v>
      </c>
      <c r="J385" s="351" t="b">
        <f t="shared" si="65"/>
        <v>1</v>
      </c>
    </row>
    <row r="386" spans="1:10" x14ac:dyDescent="0.25">
      <c r="A386" s="352" t="s">
        <v>3804</v>
      </c>
      <c r="B386" s="352" t="s">
        <v>154</v>
      </c>
      <c r="E386" s="354" t="s">
        <v>2654</v>
      </c>
      <c r="F386" s="352" t="s">
        <v>2488</v>
      </c>
      <c r="H386" s="356">
        <f t="shared" si="64"/>
        <v>0</v>
      </c>
      <c r="J386" s="351" t="b">
        <f t="shared" si="65"/>
        <v>1</v>
      </c>
    </row>
    <row r="387" spans="1:10" x14ac:dyDescent="0.25">
      <c r="A387" s="352" t="s">
        <v>3805</v>
      </c>
      <c r="B387" s="352" t="s">
        <v>143</v>
      </c>
      <c r="E387" s="354" t="s">
        <v>2655</v>
      </c>
      <c r="F387" s="352" t="s">
        <v>52</v>
      </c>
      <c r="H387" s="356">
        <f t="shared" si="64"/>
        <v>0</v>
      </c>
      <c r="J387" s="351" t="b">
        <f t="shared" si="65"/>
        <v>1</v>
      </c>
    </row>
    <row r="388" spans="1:10" x14ac:dyDescent="0.25">
      <c r="A388" s="352"/>
      <c r="B388" s="352"/>
      <c r="D388" s="351"/>
      <c r="E388" s="354"/>
      <c r="F388" s="352"/>
      <c r="J388" s="355"/>
    </row>
    <row r="389" spans="1:10" x14ac:dyDescent="0.2">
      <c r="A389" s="206" t="s">
        <v>3806</v>
      </c>
      <c r="B389" s="206" t="s">
        <v>2420</v>
      </c>
      <c r="C389" s="206"/>
      <c r="D389" s="206"/>
      <c r="E389" s="207" t="s">
        <v>2656</v>
      </c>
      <c r="F389" s="206"/>
      <c r="G389" s="208"/>
      <c r="H389" s="208"/>
      <c r="I389" s="209"/>
      <c r="J389" s="209"/>
    </row>
    <row r="390" spans="1:10" x14ac:dyDescent="0.25">
      <c r="A390" s="352" t="s">
        <v>3807</v>
      </c>
      <c r="B390" s="352" t="s">
        <v>3244</v>
      </c>
      <c r="C390" s="353" t="s">
        <v>155</v>
      </c>
      <c r="E390" s="354" t="s">
        <v>2657</v>
      </c>
      <c r="F390" s="352" t="s">
        <v>16</v>
      </c>
      <c r="H390" s="356">
        <f t="shared" ref="H390:H392" si="66">ROUND(I390,2)</f>
        <v>0</v>
      </c>
      <c r="J390" s="351" t="b">
        <f t="shared" ref="J390:J392" si="67">H390=G390</f>
        <v>1</v>
      </c>
    </row>
    <row r="391" spans="1:10" x14ac:dyDescent="0.25">
      <c r="A391" s="352" t="s">
        <v>3808</v>
      </c>
      <c r="B391" s="352" t="s">
        <v>3245</v>
      </c>
      <c r="C391" s="353" t="s">
        <v>3246</v>
      </c>
      <c r="E391" s="354" t="s">
        <v>2658</v>
      </c>
      <c r="F391" s="352" t="s">
        <v>16</v>
      </c>
      <c r="H391" s="356">
        <f t="shared" si="66"/>
        <v>0</v>
      </c>
      <c r="J391" s="351" t="b">
        <f t="shared" si="67"/>
        <v>1</v>
      </c>
    </row>
    <row r="392" spans="1:10" x14ac:dyDescent="0.25">
      <c r="A392" s="352" t="s">
        <v>3809</v>
      </c>
      <c r="B392" s="352" t="s">
        <v>3247</v>
      </c>
      <c r="C392" s="353" t="s">
        <v>3248</v>
      </c>
      <c r="E392" s="354" t="s">
        <v>2659</v>
      </c>
      <c r="F392" s="352" t="s">
        <v>16</v>
      </c>
      <c r="H392" s="356">
        <f t="shared" si="66"/>
        <v>0</v>
      </c>
      <c r="J392" s="351" t="b">
        <f t="shared" si="67"/>
        <v>1</v>
      </c>
    </row>
    <row r="393" spans="1:10" x14ac:dyDescent="0.25">
      <c r="A393" s="352"/>
      <c r="B393" s="352"/>
      <c r="D393" s="351"/>
      <c r="E393" s="354"/>
      <c r="F393" s="352"/>
      <c r="J393" s="355"/>
    </row>
    <row r="394" spans="1:10" x14ac:dyDescent="0.2">
      <c r="A394" s="206" t="s">
        <v>3810</v>
      </c>
      <c r="B394" s="206" t="s">
        <v>2420</v>
      </c>
      <c r="C394" s="206"/>
      <c r="D394" s="206"/>
      <c r="E394" s="207" t="s">
        <v>2660</v>
      </c>
      <c r="F394" s="206"/>
      <c r="G394" s="208"/>
      <c r="H394" s="208"/>
      <c r="I394" s="209"/>
      <c r="J394" s="209"/>
    </row>
    <row r="395" spans="1:10" x14ac:dyDescent="0.25">
      <c r="A395" s="210" t="s">
        <v>3811</v>
      </c>
      <c r="B395" s="357" t="s">
        <v>2420</v>
      </c>
      <c r="C395" s="358"/>
      <c r="D395" s="359"/>
      <c r="E395" s="211" t="s">
        <v>2661</v>
      </c>
      <c r="F395" s="357"/>
      <c r="G395" s="360"/>
      <c r="H395" s="361"/>
      <c r="I395" s="360"/>
      <c r="J395" s="359"/>
    </row>
    <row r="396" spans="1:10" x14ac:dyDescent="0.25">
      <c r="A396" s="352" t="s">
        <v>3812</v>
      </c>
      <c r="B396" s="352" t="s">
        <v>162</v>
      </c>
      <c r="E396" s="354" t="s">
        <v>2662</v>
      </c>
      <c r="F396" s="352" t="s">
        <v>16</v>
      </c>
      <c r="H396" s="356">
        <f t="shared" ref="H396:H400" si="68">ROUND(I396,2)</f>
        <v>0</v>
      </c>
      <c r="J396" s="351" t="b">
        <f t="shared" ref="J396:J400" si="69">H396=G396</f>
        <v>1</v>
      </c>
    </row>
    <row r="397" spans="1:10" x14ac:dyDescent="0.25">
      <c r="A397" s="352" t="s">
        <v>3813</v>
      </c>
      <c r="B397" s="352" t="s">
        <v>3249</v>
      </c>
      <c r="E397" s="354" t="s">
        <v>2663</v>
      </c>
      <c r="F397" s="352" t="s">
        <v>16</v>
      </c>
      <c r="H397" s="356">
        <f t="shared" si="68"/>
        <v>0</v>
      </c>
      <c r="J397" s="351" t="b">
        <f t="shared" si="69"/>
        <v>1</v>
      </c>
    </row>
    <row r="398" spans="1:10" x14ac:dyDescent="0.25">
      <c r="A398" s="352" t="s">
        <v>3814</v>
      </c>
      <c r="B398" s="352" t="s">
        <v>348</v>
      </c>
      <c r="E398" s="354" t="s">
        <v>2664</v>
      </c>
      <c r="F398" s="352" t="s">
        <v>16</v>
      </c>
      <c r="H398" s="356">
        <f t="shared" si="68"/>
        <v>0</v>
      </c>
      <c r="J398" s="351" t="b">
        <f t="shared" si="69"/>
        <v>1</v>
      </c>
    </row>
    <row r="399" spans="1:10" x14ac:dyDescent="0.25">
      <c r="A399" s="352" t="s">
        <v>3815</v>
      </c>
      <c r="B399" s="352" t="s">
        <v>163</v>
      </c>
      <c r="E399" s="354" t="s">
        <v>2665</v>
      </c>
      <c r="F399" s="352" t="s">
        <v>16</v>
      </c>
      <c r="H399" s="356">
        <f t="shared" si="68"/>
        <v>0</v>
      </c>
      <c r="J399" s="351" t="b">
        <f t="shared" si="69"/>
        <v>1</v>
      </c>
    </row>
    <row r="400" spans="1:10" x14ac:dyDescent="0.25">
      <c r="A400" s="352" t="s">
        <v>3816</v>
      </c>
      <c r="B400" s="352" t="s">
        <v>164</v>
      </c>
      <c r="E400" s="354" t="s">
        <v>2666</v>
      </c>
      <c r="F400" s="352" t="s">
        <v>16</v>
      </c>
      <c r="H400" s="356">
        <f t="shared" si="68"/>
        <v>0</v>
      </c>
      <c r="J400" s="351" t="b">
        <f t="shared" si="69"/>
        <v>1</v>
      </c>
    </row>
    <row r="401" spans="1:10" x14ac:dyDescent="0.25">
      <c r="A401" s="210" t="s">
        <v>3817</v>
      </c>
      <c r="B401" s="357" t="s">
        <v>2420</v>
      </c>
      <c r="C401" s="358"/>
      <c r="D401" s="359"/>
      <c r="E401" s="211" t="s">
        <v>2667</v>
      </c>
      <c r="F401" s="357"/>
      <c r="G401" s="360"/>
      <c r="H401" s="361"/>
      <c r="I401" s="360"/>
      <c r="J401" s="359"/>
    </row>
    <row r="402" spans="1:10" x14ac:dyDescent="0.25">
      <c r="A402" s="352" t="s">
        <v>3818</v>
      </c>
      <c r="B402" s="352" t="s">
        <v>367</v>
      </c>
      <c r="E402" s="354" t="s">
        <v>2668</v>
      </c>
      <c r="F402" s="352" t="s">
        <v>16</v>
      </c>
      <c r="H402" s="356">
        <f>ROUND(I402,2)</f>
        <v>0</v>
      </c>
      <c r="J402" s="351" t="b">
        <f>H402=G402</f>
        <v>1</v>
      </c>
    </row>
    <row r="403" spans="1:10" x14ac:dyDescent="0.25">
      <c r="A403" s="352" t="s">
        <v>3819</v>
      </c>
      <c r="B403" s="352" t="s">
        <v>172</v>
      </c>
      <c r="E403" s="354" t="s">
        <v>2669</v>
      </c>
      <c r="F403" s="352" t="s">
        <v>16</v>
      </c>
      <c r="H403" s="356">
        <f>ROUND(I403,2)</f>
        <v>0</v>
      </c>
      <c r="J403" s="351" t="b">
        <f>H403=G403</f>
        <v>1</v>
      </c>
    </row>
    <row r="404" spans="1:10" x14ac:dyDescent="0.25">
      <c r="A404" s="352" t="s">
        <v>3820</v>
      </c>
      <c r="B404" s="352" t="s">
        <v>173</v>
      </c>
      <c r="E404" s="354" t="s">
        <v>2670</v>
      </c>
      <c r="F404" s="352" t="s">
        <v>16</v>
      </c>
      <c r="H404" s="356">
        <f>ROUND(I404,2)</f>
        <v>0</v>
      </c>
      <c r="J404" s="351" t="b">
        <f>H404=G404</f>
        <v>1</v>
      </c>
    </row>
    <row r="405" spans="1:10" x14ac:dyDescent="0.25">
      <c r="A405" s="352" t="s">
        <v>3821</v>
      </c>
      <c r="B405" s="352" t="s">
        <v>368</v>
      </c>
      <c r="E405" s="354" t="s">
        <v>2671</v>
      </c>
      <c r="F405" s="352" t="s">
        <v>52</v>
      </c>
      <c r="H405" s="356">
        <f>ROUND(I405,2)</f>
        <v>0</v>
      </c>
      <c r="J405" s="351" t="b">
        <f>H405=G405</f>
        <v>1</v>
      </c>
    </row>
    <row r="406" spans="1:10" x14ac:dyDescent="0.25">
      <c r="A406" s="352" t="s">
        <v>3822</v>
      </c>
      <c r="B406" s="352" t="s">
        <v>174</v>
      </c>
      <c r="E406" s="354" t="s">
        <v>2672</v>
      </c>
      <c r="F406" s="352" t="s">
        <v>16</v>
      </c>
      <c r="H406" s="356">
        <f>ROUND(I406,2)</f>
        <v>0</v>
      </c>
      <c r="J406" s="351" t="b">
        <f>H406=G406</f>
        <v>1</v>
      </c>
    </row>
    <row r="407" spans="1:10" x14ac:dyDescent="0.25">
      <c r="A407" s="210" t="s">
        <v>3823</v>
      </c>
      <c r="B407" s="357" t="s">
        <v>2420</v>
      </c>
      <c r="C407" s="358"/>
      <c r="D407" s="359"/>
      <c r="E407" s="211" t="s">
        <v>2673</v>
      </c>
      <c r="F407" s="357"/>
      <c r="G407" s="360"/>
      <c r="H407" s="361"/>
      <c r="I407" s="360"/>
      <c r="J407" s="359"/>
    </row>
    <row r="408" spans="1:10" x14ac:dyDescent="0.25">
      <c r="A408" s="352" t="s">
        <v>3824</v>
      </c>
      <c r="B408" s="352" t="s">
        <v>173</v>
      </c>
      <c r="E408" s="354" t="s">
        <v>2670</v>
      </c>
      <c r="F408" s="352" t="s">
        <v>16</v>
      </c>
      <c r="H408" s="356">
        <f>ROUND(I408,2)</f>
        <v>0</v>
      </c>
      <c r="J408" s="351" t="b">
        <f>H408=G408</f>
        <v>1</v>
      </c>
    </row>
    <row r="409" spans="1:10" x14ac:dyDescent="0.25">
      <c r="A409" s="352" t="s">
        <v>3825</v>
      </c>
      <c r="B409" s="371" t="s">
        <v>2674</v>
      </c>
      <c r="E409" s="370" t="s">
        <v>2675</v>
      </c>
      <c r="F409" s="352" t="s">
        <v>16</v>
      </c>
      <c r="H409" s="356">
        <f>ROUND(I409,2)</f>
        <v>0</v>
      </c>
      <c r="J409" s="351" t="b">
        <f>H409=G409</f>
        <v>1</v>
      </c>
    </row>
    <row r="410" spans="1:10" x14ac:dyDescent="0.25">
      <c r="A410" s="210" t="s">
        <v>3826</v>
      </c>
      <c r="B410" s="357" t="s">
        <v>2420</v>
      </c>
      <c r="C410" s="358"/>
      <c r="D410" s="359"/>
      <c r="E410" s="211" t="s">
        <v>2676</v>
      </c>
      <c r="F410" s="357"/>
      <c r="G410" s="360"/>
      <c r="H410" s="361"/>
      <c r="I410" s="360"/>
      <c r="J410" s="359"/>
    </row>
    <row r="411" spans="1:10" x14ac:dyDescent="0.25">
      <c r="A411" s="352" t="s">
        <v>3827</v>
      </c>
      <c r="B411" s="352" t="s">
        <v>162</v>
      </c>
      <c r="E411" s="354" t="s">
        <v>2664</v>
      </c>
      <c r="F411" s="352" t="s">
        <v>16</v>
      </c>
      <c r="H411" s="356">
        <f t="shared" ref="H411:H414" si="70">ROUND(I411,2)</f>
        <v>0</v>
      </c>
      <c r="J411" s="351" t="b">
        <f t="shared" ref="J411:J414" si="71">H411=G411</f>
        <v>1</v>
      </c>
    </row>
    <row r="412" spans="1:10" x14ac:dyDescent="0.25">
      <c r="A412" s="352" t="s">
        <v>3828</v>
      </c>
      <c r="B412" s="352" t="s">
        <v>3249</v>
      </c>
      <c r="E412" s="354" t="s">
        <v>6619</v>
      </c>
      <c r="F412" s="352" t="s">
        <v>16</v>
      </c>
      <c r="H412" s="356">
        <f t="shared" si="70"/>
        <v>0</v>
      </c>
      <c r="J412" s="351" t="b">
        <f t="shared" si="71"/>
        <v>1</v>
      </c>
    </row>
    <row r="413" spans="1:10" x14ac:dyDescent="0.25">
      <c r="A413" s="352" t="s">
        <v>3829</v>
      </c>
      <c r="B413" s="352" t="s">
        <v>163</v>
      </c>
      <c r="E413" s="354" t="s">
        <v>2665</v>
      </c>
      <c r="F413" s="352" t="s">
        <v>16</v>
      </c>
      <c r="H413" s="356">
        <f t="shared" si="70"/>
        <v>0</v>
      </c>
      <c r="J413" s="351" t="b">
        <f t="shared" si="71"/>
        <v>1</v>
      </c>
    </row>
    <row r="414" spans="1:10" x14ac:dyDescent="0.25">
      <c r="A414" s="352" t="s">
        <v>3830</v>
      </c>
      <c r="B414" s="352" t="s">
        <v>164</v>
      </c>
      <c r="E414" s="354" t="s">
        <v>2666</v>
      </c>
      <c r="F414" s="352" t="s">
        <v>16</v>
      </c>
      <c r="H414" s="356">
        <f t="shared" si="70"/>
        <v>0</v>
      </c>
      <c r="J414" s="351" t="b">
        <f t="shared" si="71"/>
        <v>1</v>
      </c>
    </row>
    <row r="415" spans="1:10" x14ac:dyDescent="0.25">
      <c r="A415" s="210" t="s">
        <v>3831</v>
      </c>
      <c r="B415" s="357"/>
      <c r="C415" s="358"/>
      <c r="D415" s="359"/>
      <c r="E415" s="211" t="s">
        <v>2677</v>
      </c>
      <c r="F415" s="357"/>
      <c r="G415" s="360"/>
      <c r="H415" s="361"/>
      <c r="I415" s="360"/>
      <c r="J415" s="359"/>
    </row>
    <row r="416" spans="1:10" x14ac:dyDescent="0.25">
      <c r="A416" s="216" t="s">
        <v>3832</v>
      </c>
      <c r="B416" s="216" t="s">
        <v>2420</v>
      </c>
      <c r="C416" s="197"/>
      <c r="D416" s="198"/>
      <c r="E416" s="217" t="s">
        <v>1040</v>
      </c>
      <c r="F416" s="216"/>
      <c r="G416" s="220"/>
      <c r="H416" s="221"/>
      <c r="I416" s="220"/>
      <c r="J416" s="198"/>
    </row>
    <row r="417" spans="1:10" x14ac:dyDescent="0.25">
      <c r="A417" s="352" t="s">
        <v>3833</v>
      </c>
      <c r="B417" s="369" t="s">
        <v>2678</v>
      </c>
      <c r="C417" s="369"/>
      <c r="E417" s="354" t="s">
        <v>2679</v>
      </c>
      <c r="F417" s="352" t="s">
        <v>16</v>
      </c>
      <c r="H417" s="356">
        <f t="shared" ref="H417:H418" si="72">ROUND(I417,2)</f>
        <v>0</v>
      </c>
      <c r="J417" s="351" t="b">
        <f t="shared" ref="J417:J418" si="73">H417=G417</f>
        <v>1</v>
      </c>
    </row>
    <row r="418" spans="1:10" x14ac:dyDescent="0.25">
      <c r="A418" s="352" t="s">
        <v>3834</v>
      </c>
      <c r="B418" s="369" t="s">
        <v>2680</v>
      </c>
      <c r="C418" s="369"/>
      <c r="E418" s="354" t="s">
        <v>2681</v>
      </c>
      <c r="F418" s="352" t="s">
        <v>16</v>
      </c>
      <c r="H418" s="356">
        <f t="shared" si="72"/>
        <v>0</v>
      </c>
      <c r="J418" s="351" t="b">
        <f t="shared" si="73"/>
        <v>1</v>
      </c>
    </row>
    <row r="419" spans="1:10" x14ac:dyDescent="0.25">
      <c r="A419" s="216" t="s">
        <v>3835</v>
      </c>
      <c r="B419" s="197" t="s">
        <v>2420</v>
      </c>
      <c r="C419" s="197"/>
      <c r="D419" s="198"/>
      <c r="E419" s="217" t="s">
        <v>2682</v>
      </c>
      <c r="F419" s="216"/>
      <c r="G419" s="220"/>
      <c r="H419" s="221"/>
      <c r="I419" s="220"/>
      <c r="J419" s="198"/>
    </row>
    <row r="420" spans="1:10" x14ac:dyDescent="0.25">
      <c r="A420" s="352" t="s">
        <v>3836</v>
      </c>
      <c r="B420" s="369" t="s">
        <v>2683</v>
      </c>
      <c r="C420" s="369"/>
      <c r="E420" s="354" t="s">
        <v>2684</v>
      </c>
      <c r="F420" s="352" t="s">
        <v>11</v>
      </c>
      <c r="H420" s="356">
        <f t="shared" ref="H420:H428" si="74">ROUND(I420,2)</f>
        <v>0</v>
      </c>
      <c r="J420" s="351" t="b">
        <f t="shared" ref="J420:J428" si="75">H420=G420</f>
        <v>1</v>
      </c>
    </row>
    <row r="421" spans="1:10" x14ac:dyDescent="0.25">
      <c r="A421" s="352" t="s">
        <v>3837</v>
      </c>
      <c r="B421" s="369" t="s">
        <v>2685</v>
      </c>
      <c r="C421" s="369"/>
      <c r="E421" s="354" t="s">
        <v>2686</v>
      </c>
      <c r="F421" s="352" t="s">
        <v>2488</v>
      </c>
      <c r="H421" s="356">
        <f t="shared" si="74"/>
        <v>0</v>
      </c>
      <c r="J421" s="351" t="b">
        <f t="shared" si="75"/>
        <v>1</v>
      </c>
    </row>
    <row r="422" spans="1:10" x14ac:dyDescent="0.25">
      <c r="A422" s="352" t="s">
        <v>3838</v>
      </c>
      <c r="B422" s="369" t="s">
        <v>2687</v>
      </c>
      <c r="C422" s="369"/>
      <c r="E422" s="354" t="s">
        <v>2688</v>
      </c>
      <c r="F422" s="352" t="s">
        <v>2488</v>
      </c>
      <c r="H422" s="356">
        <f t="shared" si="74"/>
        <v>0</v>
      </c>
      <c r="J422" s="351" t="b">
        <f t="shared" si="75"/>
        <v>1</v>
      </c>
    </row>
    <row r="423" spans="1:10" x14ac:dyDescent="0.25">
      <c r="A423" s="352" t="s">
        <v>3839</v>
      </c>
      <c r="B423" s="369" t="s">
        <v>2689</v>
      </c>
      <c r="C423" s="369"/>
      <c r="E423" s="354" t="s">
        <v>2690</v>
      </c>
      <c r="F423" s="352" t="s">
        <v>2488</v>
      </c>
      <c r="H423" s="356">
        <f t="shared" si="74"/>
        <v>0</v>
      </c>
      <c r="J423" s="351" t="b">
        <f t="shared" si="75"/>
        <v>1</v>
      </c>
    </row>
    <row r="424" spans="1:10" x14ac:dyDescent="0.25">
      <c r="A424" s="352" t="s">
        <v>3840</v>
      </c>
      <c r="B424" s="369" t="s">
        <v>2691</v>
      </c>
      <c r="C424" s="369"/>
      <c r="E424" s="354" t="s">
        <v>2692</v>
      </c>
      <c r="F424" s="352" t="s">
        <v>11</v>
      </c>
      <c r="H424" s="356">
        <f t="shared" si="74"/>
        <v>0</v>
      </c>
      <c r="J424" s="351" t="b">
        <f t="shared" si="75"/>
        <v>1</v>
      </c>
    </row>
    <row r="425" spans="1:10" x14ac:dyDescent="0.25">
      <c r="A425" s="352" t="s">
        <v>3841</v>
      </c>
      <c r="B425" s="369" t="s">
        <v>2693</v>
      </c>
      <c r="C425" s="369"/>
      <c r="E425" s="354" t="s">
        <v>2694</v>
      </c>
      <c r="F425" s="352" t="s">
        <v>11</v>
      </c>
      <c r="H425" s="356">
        <f t="shared" si="74"/>
        <v>0</v>
      </c>
      <c r="J425" s="351" t="b">
        <f t="shared" si="75"/>
        <v>1</v>
      </c>
    </row>
    <row r="426" spans="1:10" x14ac:dyDescent="0.25">
      <c r="A426" s="352" t="s">
        <v>3842</v>
      </c>
      <c r="B426" s="369" t="s">
        <v>2695</v>
      </c>
      <c r="C426" s="369"/>
      <c r="E426" s="354" t="s">
        <v>2696</v>
      </c>
      <c r="F426" s="352" t="s">
        <v>11</v>
      </c>
      <c r="H426" s="356">
        <f t="shared" si="74"/>
        <v>0</v>
      </c>
      <c r="J426" s="351" t="b">
        <f t="shared" si="75"/>
        <v>1</v>
      </c>
    </row>
    <row r="427" spans="1:10" x14ac:dyDescent="0.25">
      <c r="A427" s="352" t="s">
        <v>3843</v>
      </c>
      <c r="B427" s="369" t="s">
        <v>2697</v>
      </c>
      <c r="C427" s="369"/>
      <c r="E427" s="354" t="s">
        <v>2698</v>
      </c>
      <c r="F427" s="352" t="s">
        <v>2488</v>
      </c>
      <c r="H427" s="356">
        <f t="shared" si="74"/>
        <v>0</v>
      </c>
      <c r="J427" s="351" t="b">
        <f t="shared" si="75"/>
        <v>1</v>
      </c>
    </row>
    <row r="428" spans="1:10" x14ac:dyDescent="0.25">
      <c r="A428" s="352" t="s">
        <v>3844</v>
      </c>
      <c r="B428" s="369" t="s">
        <v>2699</v>
      </c>
      <c r="C428" s="369"/>
      <c r="E428" s="354" t="s">
        <v>2700</v>
      </c>
      <c r="F428" s="352" t="s">
        <v>16</v>
      </c>
      <c r="H428" s="356">
        <f t="shared" si="74"/>
        <v>0</v>
      </c>
      <c r="J428" s="351" t="b">
        <f t="shared" si="75"/>
        <v>1</v>
      </c>
    </row>
    <row r="429" spans="1:10" x14ac:dyDescent="0.25">
      <c r="A429" s="210" t="s">
        <v>3845</v>
      </c>
      <c r="B429" s="357" t="s">
        <v>2420</v>
      </c>
      <c r="C429" s="358"/>
      <c r="D429" s="359"/>
      <c r="E429" s="211" t="s">
        <v>2701</v>
      </c>
      <c r="F429" s="357"/>
      <c r="G429" s="360"/>
      <c r="H429" s="361"/>
      <c r="I429" s="360"/>
      <c r="J429" s="359"/>
    </row>
    <row r="430" spans="1:10" x14ac:dyDescent="0.25">
      <c r="A430" s="352" t="s">
        <v>3846</v>
      </c>
      <c r="B430" s="352" t="s">
        <v>218</v>
      </c>
      <c r="E430" s="354" t="s">
        <v>2702</v>
      </c>
      <c r="F430" s="352" t="s">
        <v>16</v>
      </c>
      <c r="H430" s="356">
        <f t="shared" ref="H430:H433" si="76">ROUND(I430,2)</f>
        <v>0</v>
      </c>
      <c r="J430" s="351" t="b">
        <f t="shared" ref="J430:J433" si="77">H430=G430</f>
        <v>1</v>
      </c>
    </row>
    <row r="431" spans="1:10" x14ac:dyDescent="0.25">
      <c r="A431" s="352" t="s">
        <v>3847</v>
      </c>
      <c r="B431" s="352" t="s">
        <v>400</v>
      </c>
      <c r="E431" s="354" t="s">
        <v>2703</v>
      </c>
      <c r="F431" s="352" t="s">
        <v>16</v>
      </c>
      <c r="H431" s="356">
        <f t="shared" si="76"/>
        <v>0</v>
      </c>
      <c r="J431" s="351" t="b">
        <f t="shared" si="77"/>
        <v>1</v>
      </c>
    </row>
    <row r="432" spans="1:10" x14ac:dyDescent="0.25">
      <c r="A432" s="352" t="s">
        <v>3848</v>
      </c>
      <c r="B432" s="352" t="s">
        <v>219</v>
      </c>
      <c r="E432" s="354" t="s">
        <v>2704</v>
      </c>
      <c r="F432" s="352" t="s">
        <v>16</v>
      </c>
      <c r="H432" s="356">
        <f t="shared" si="76"/>
        <v>0</v>
      </c>
      <c r="J432" s="351" t="b">
        <f t="shared" si="77"/>
        <v>1</v>
      </c>
    </row>
    <row r="433" spans="1:10" x14ac:dyDescent="0.25">
      <c r="A433" s="372" t="s">
        <v>6620</v>
      </c>
      <c r="B433" s="352" t="s">
        <v>401</v>
      </c>
      <c r="E433" s="354" t="s">
        <v>2705</v>
      </c>
      <c r="F433" s="352" t="s">
        <v>16</v>
      </c>
      <c r="H433" s="356">
        <f t="shared" si="76"/>
        <v>0</v>
      </c>
      <c r="J433" s="351" t="b">
        <f t="shared" si="77"/>
        <v>1</v>
      </c>
    </row>
    <row r="434" spans="1:10" x14ac:dyDescent="0.25">
      <c r="A434" s="352"/>
      <c r="B434" s="352"/>
      <c r="D434" s="351"/>
      <c r="E434" s="354"/>
      <c r="F434" s="352"/>
    </row>
    <row r="435" spans="1:10" x14ac:dyDescent="0.2">
      <c r="A435" s="206" t="s">
        <v>3849</v>
      </c>
      <c r="B435" s="206" t="s">
        <v>2420</v>
      </c>
      <c r="C435" s="206"/>
      <c r="D435" s="206"/>
      <c r="E435" s="207" t="s">
        <v>2706</v>
      </c>
      <c r="F435" s="206"/>
      <c r="G435" s="208"/>
      <c r="H435" s="208"/>
      <c r="I435" s="209"/>
      <c r="J435" s="209"/>
    </row>
    <row r="436" spans="1:10" x14ac:dyDescent="0.25">
      <c r="A436" s="210" t="s">
        <v>3850</v>
      </c>
      <c r="B436" s="357" t="s">
        <v>2420</v>
      </c>
      <c r="C436" s="358"/>
      <c r="D436" s="359"/>
      <c r="E436" s="211" t="s">
        <v>2707</v>
      </c>
      <c r="F436" s="357"/>
      <c r="G436" s="360"/>
      <c r="H436" s="361"/>
      <c r="I436" s="360"/>
      <c r="J436" s="359"/>
    </row>
    <row r="437" spans="1:10" x14ac:dyDescent="0.25">
      <c r="A437" s="352" t="s">
        <v>3851</v>
      </c>
      <c r="B437" s="352" t="s">
        <v>350</v>
      </c>
      <c r="C437" s="353" t="s">
        <v>2104</v>
      </c>
      <c r="E437" s="354" t="s">
        <v>2708</v>
      </c>
      <c r="F437" s="352" t="s">
        <v>16</v>
      </c>
      <c r="H437" s="356">
        <f t="shared" ref="H437:H438" si="78">ROUND(I437,2)</f>
        <v>0</v>
      </c>
      <c r="J437" s="351" t="b">
        <f t="shared" ref="J437:J438" si="79">H437=G437</f>
        <v>1</v>
      </c>
    </row>
    <row r="438" spans="1:10" x14ac:dyDescent="0.25">
      <c r="A438" s="352" t="s">
        <v>3852</v>
      </c>
      <c r="B438" s="352" t="s">
        <v>351</v>
      </c>
      <c r="C438" s="353" t="s">
        <v>2037</v>
      </c>
      <c r="E438" s="354" t="s">
        <v>2709</v>
      </c>
      <c r="F438" s="352" t="s">
        <v>16</v>
      </c>
      <c r="H438" s="356">
        <f t="shared" si="78"/>
        <v>0</v>
      </c>
      <c r="J438" s="351" t="b">
        <f t="shared" si="79"/>
        <v>1</v>
      </c>
    </row>
    <row r="439" spans="1:10" x14ac:dyDescent="0.25">
      <c r="A439" s="210" t="s">
        <v>3853</v>
      </c>
      <c r="B439" s="357" t="s">
        <v>2420</v>
      </c>
      <c r="C439" s="358"/>
      <c r="D439" s="359"/>
      <c r="E439" s="211" t="s">
        <v>2710</v>
      </c>
      <c r="F439" s="357"/>
      <c r="G439" s="360"/>
      <c r="H439" s="361"/>
      <c r="I439" s="360"/>
      <c r="J439" s="359"/>
    </row>
    <row r="440" spans="1:10" x14ac:dyDescent="0.25">
      <c r="A440" s="352" t="s">
        <v>3854</v>
      </c>
      <c r="B440" s="352" t="s">
        <v>350</v>
      </c>
      <c r="C440" s="353" t="s">
        <v>2104</v>
      </c>
      <c r="E440" s="354" t="s">
        <v>2708</v>
      </c>
      <c r="F440" s="352" t="s">
        <v>16</v>
      </c>
      <c r="H440" s="356">
        <f t="shared" ref="H440:H441" si="80">ROUND(I440,2)</f>
        <v>0</v>
      </c>
      <c r="J440" s="351" t="b">
        <f t="shared" ref="J440:J441" si="81">H440=G440</f>
        <v>1</v>
      </c>
    </row>
    <row r="441" spans="1:10" x14ac:dyDescent="0.25">
      <c r="A441" s="373" t="s">
        <v>6618</v>
      </c>
      <c r="B441" s="352" t="s">
        <v>351</v>
      </c>
      <c r="C441" s="353" t="s">
        <v>2037</v>
      </c>
      <c r="E441" s="354" t="s">
        <v>2709</v>
      </c>
      <c r="F441" s="352" t="s">
        <v>16</v>
      </c>
      <c r="H441" s="356">
        <f t="shared" si="80"/>
        <v>0</v>
      </c>
      <c r="J441" s="351" t="b">
        <f t="shared" si="81"/>
        <v>1</v>
      </c>
    </row>
    <row r="442" spans="1:10" x14ac:dyDescent="0.25">
      <c r="A442" s="352"/>
      <c r="B442" s="352"/>
      <c r="D442" s="351"/>
      <c r="E442" s="354"/>
      <c r="F442" s="352"/>
    </row>
    <row r="443" spans="1:10" x14ac:dyDescent="0.2">
      <c r="A443" s="206" t="s">
        <v>3855</v>
      </c>
      <c r="B443" s="206" t="s">
        <v>2420</v>
      </c>
      <c r="C443" s="206"/>
      <c r="D443" s="206"/>
      <c r="E443" s="207" t="s">
        <v>2711</v>
      </c>
      <c r="F443" s="206"/>
      <c r="G443" s="208"/>
      <c r="H443" s="208"/>
      <c r="I443" s="209"/>
      <c r="J443" s="209"/>
    </row>
    <row r="444" spans="1:10" x14ac:dyDescent="0.25">
      <c r="A444" s="210" t="s">
        <v>3856</v>
      </c>
      <c r="B444" s="357" t="s">
        <v>2420</v>
      </c>
      <c r="C444" s="358"/>
      <c r="D444" s="359"/>
      <c r="E444" s="211" t="s">
        <v>1034</v>
      </c>
      <c r="F444" s="357"/>
      <c r="G444" s="360"/>
      <c r="H444" s="361"/>
      <c r="I444" s="360"/>
      <c r="J444" s="359"/>
    </row>
    <row r="445" spans="1:10" x14ac:dyDescent="0.25">
      <c r="A445" s="352" t="s">
        <v>3857</v>
      </c>
      <c r="B445" s="352" t="s">
        <v>282</v>
      </c>
      <c r="C445" s="353" t="s">
        <v>1603</v>
      </c>
      <c r="E445" s="354" t="s">
        <v>2712</v>
      </c>
      <c r="F445" s="352" t="s">
        <v>11</v>
      </c>
      <c r="H445" s="356">
        <f t="shared" ref="H445:H459" si="82">ROUND(I445,2)</f>
        <v>0</v>
      </c>
      <c r="J445" s="351" t="b">
        <f t="shared" ref="J445:J459" si="83">H445=G445</f>
        <v>1</v>
      </c>
    </row>
    <row r="446" spans="1:10" x14ac:dyDescent="0.25">
      <c r="A446" s="352" t="s">
        <v>3858</v>
      </c>
      <c r="B446" s="352" t="s">
        <v>283</v>
      </c>
      <c r="C446" s="353" t="s">
        <v>1602</v>
      </c>
      <c r="E446" s="354" t="s">
        <v>2713</v>
      </c>
      <c r="F446" s="352" t="s">
        <v>11</v>
      </c>
      <c r="H446" s="356">
        <f t="shared" si="82"/>
        <v>0</v>
      </c>
      <c r="J446" s="351" t="b">
        <f t="shared" si="83"/>
        <v>1</v>
      </c>
    </row>
    <row r="447" spans="1:10" x14ac:dyDescent="0.25">
      <c r="A447" s="352" t="s">
        <v>3859</v>
      </c>
      <c r="B447" s="352" t="s">
        <v>284</v>
      </c>
      <c r="C447" s="353" t="s">
        <v>1601</v>
      </c>
      <c r="E447" s="354" t="s">
        <v>2714</v>
      </c>
      <c r="F447" s="352" t="s">
        <v>11</v>
      </c>
      <c r="H447" s="356">
        <f t="shared" si="82"/>
        <v>0</v>
      </c>
      <c r="J447" s="351" t="b">
        <f t="shared" si="83"/>
        <v>1</v>
      </c>
    </row>
    <row r="448" spans="1:10" x14ac:dyDescent="0.25">
      <c r="A448" s="352" t="s">
        <v>3860</v>
      </c>
      <c r="B448" s="352" t="s">
        <v>285</v>
      </c>
      <c r="C448" s="353" t="s">
        <v>1752</v>
      </c>
      <c r="E448" s="354" t="s">
        <v>2715</v>
      </c>
      <c r="F448" s="352" t="s">
        <v>11</v>
      </c>
      <c r="H448" s="356">
        <f t="shared" si="82"/>
        <v>0</v>
      </c>
      <c r="J448" s="351" t="b">
        <f t="shared" si="83"/>
        <v>1</v>
      </c>
    </row>
    <row r="449" spans="1:11" x14ac:dyDescent="0.25">
      <c r="A449" s="352" t="s">
        <v>3861</v>
      </c>
      <c r="B449" s="352" t="s">
        <v>286</v>
      </c>
      <c r="C449" s="353" t="s">
        <v>1753</v>
      </c>
      <c r="E449" s="354" t="s">
        <v>2716</v>
      </c>
      <c r="F449" s="352" t="s">
        <v>11</v>
      </c>
      <c r="H449" s="356">
        <f t="shared" si="82"/>
        <v>0</v>
      </c>
      <c r="J449" s="351" t="b">
        <f t="shared" si="83"/>
        <v>1</v>
      </c>
    </row>
    <row r="450" spans="1:11" x14ac:dyDescent="0.25">
      <c r="A450" s="352" t="s">
        <v>3862</v>
      </c>
      <c r="B450" s="352" t="s">
        <v>287</v>
      </c>
      <c r="C450" s="353" t="s">
        <v>1750</v>
      </c>
      <c r="E450" s="354" t="s">
        <v>2717</v>
      </c>
      <c r="F450" s="352" t="s">
        <v>11</v>
      </c>
      <c r="H450" s="356">
        <f t="shared" si="82"/>
        <v>0</v>
      </c>
      <c r="J450" s="351" t="b">
        <f t="shared" si="83"/>
        <v>1</v>
      </c>
    </row>
    <row r="451" spans="1:11" x14ac:dyDescent="0.25">
      <c r="A451" s="352" t="s">
        <v>3863</v>
      </c>
      <c r="B451" s="352" t="s">
        <v>288</v>
      </c>
      <c r="C451" s="353" t="s">
        <v>1735</v>
      </c>
      <c r="E451" s="354" t="s">
        <v>2718</v>
      </c>
      <c r="F451" s="352" t="s">
        <v>11</v>
      </c>
      <c r="H451" s="356">
        <f t="shared" si="82"/>
        <v>0</v>
      </c>
      <c r="J451" s="351" t="b">
        <f t="shared" si="83"/>
        <v>1</v>
      </c>
    </row>
    <row r="452" spans="1:11" x14ac:dyDescent="0.25">
      <c r="A452" s="352" t="s">
        <v>3864</v>
      </c>
      <c r="B452" s="352" t="s">
        <v>289</v>
      </c>
      <c r="C452" s="353" t="s">
        <v>1590</v>
      </c>
      <c r="E452" s="354" t="s">
        <v>2719</v>
      </c>
      <c r="F452" s="352" t="s">
        <v>11</v>
      </c>
      <c r="H452" s="356">
        <f t="shared" si="82"/>
        <v>0</v>
      </c>
      <c r="J452" s="351" t="b">
        <f t="shared" si="83"/>
        <v>1</v>
      </c>
    </row>
    <row r="453" spans="1:11" x14ac:dyDescent="0.25">
      <c r="A453" s="352" t="s">
        <v>3865</v>
      </c>
      <c r="B453" s="352" t="s">
        <v>290</v>
      </c>
      <c r="C453" s="353" t="s">
        <v>1591</v>
      </c>
      <c r="E453" s="354" t="s">
        <v>2720</v>
      </c>
      <c r="F453" s="352" t="s">
        <v>11</v>
      </c>
      <c r="H453" s="356">
        <f t="shared" si="82"/>
        <v>0</v>
      </c>
      <c r="J453" s="351" t="b">
        <f t="shared" si="83"/>
        <v>1</v>
      </c>
    </row>
    <row r="454" spans="1:11" x14ac:dyDescent="0.25">
      <c r="A454" s="352" t="s">
        <v>3866</v>
      </c>
      <c r="B454" s="352" t="s">
        <v>3250</v>
      </c>
      <c r="C454" s="353" t="s">
        <v>291</v>
      </c>
      <c r="E454" s="354" t="s">
        <v>2721</v>
      </c>
      <c r="F454" s="352" t="s">
        <v>11</v>
      </c>
      <c r="H454" s="356">
        <f t="shared" si="82"/>
        <v>0</v>
      </c>
      <c r="J454" s="351" t="b">
        <f t="shared" si="83"/>
        <v>1</v>
      </c>
    </row>
    <row r="455" spans="1:11" x14ac:dyDescent="0.25">
      <c r="A455" s="352" t="s">
        <v>3867</v>
      </c>
      <c r="B455" s="352" t="s">
        <v>3251</v>
      </c>
      <c r="C455" s="353" t="s">
        <v>292</v>
      </c>
      <c r="E455" s="354" t="s">
        <v>2722</v>
      </c>
      <c r="F455" s="352" t="s">
        <v>11</v>
      </c>
      <c r="H455" s="356">
        <f t="shared" si="82"/>
        <v>0</v>
      </c>
      <c r="J455" s="351" t="b">
        <f t="shared" si="83"/>
        <v>1</v>
      </c>
    </row>
    <row r="456" spans="1:11" x14ac:dyDescent="0.25">
      <c r="A456" s="352" t="s">
        <v>3868</v>
      </c>
      <c r="B456" s="352" t="s">
        <v>3252</v>
      </c>
      <c r="C456" s="353" t="s">
        <v>293</v>
      </c>
      <c r="E456" s="354" t="s">
        <v>2723</v>
      </c>
      <c r="F456" s="352" t="s">
        <v>11</v>
      </c>
      <c r="H456" s="356">
        <f t="shared" si="82"/>
        <v>0</v>
      </c>
      <c r="J456" s="351" t="b">
        <f t="shared" si="83"/>
        <v>1</v>
      </c>
    </row>
    <row r="457" spans="1:11" x14ac:dyDescent="0.25">
      <c r="A457" s="352" t="s">
        <v>3869</v>
      </c>
      <c r="B457" s="352" t="s">
        <v>3253</v>
      </c>
      <c r="C457" s="353" t="s">
        <v>294</v>
      </c>
      <c r="E457" s="354" t="s">
        <v>2724</v>
      </c>
      <c r="F457" s="352" t="s">
        <v>11</v>
      </c>
      <c r="H457" s="356">
        <f t="shared" si="82"/>
        <v>0</v>
      </c>
      <c r="J457" s="351" t="b">
        <f t="shared" si="83"/>
        <v>1</v>
      </c>
    </row>
    <row r="458" spans="1:11" x14ac:dyDescent="0.25">
      <c r="A458" s="352" t="s">
        <v>3870</v>
      </c>
      <c r="B458" s="352" t="s">
        <v>3254</v>
      </c>
      <c r="C458" s="353" t="s">
        <v>1982</v>
      </c>
      <c r="E458" s="354" t="s">
        <v>2725</v>
      </c>
      <c r="F458" s="352" t="s">
        <v>16</v>
      </c>
      <c r="H458" s="356">
        <f t="shared" si="82"/>
        <v>0</v>
      </c>
      <c r="J458" s="351" t="b">
        <f t="shared" si="83"/>
        <v>1</v>
      </c>
    </row>
    <row r="459" spans="1:11" x14ac:dyDescent="0.25">
      <c r="A459" s="352" t="s">
        <v>3871</v>
      </c>
      <c r="B459" s="352" t="s">
        <v>3255</v>
      </c>
      <c r="C459" s="353" t="s">
        <v>296</v>
      </c>
      <c r="E459" s="354" t="s">
        <v>2726</v>
      </c>
      <c r="F459" s="352" t="s">
        <v>16</v>
      </c>
      <c r="H459" s="356">
        <f t="shared" si="82"/>
        <v>0</v>
      </c>
      <c r="J459" s="351" t="b">
        <f t="shared" si="83"/>
        <v>1</v>
      </c>
    </row>
    <row r="460" spans="1:11" x14ac:dyDescent="0.25">
      <c r="A460" s="210" t="s">
        <v>3872</v>
      </c>
      <c r="B460" s="357" t="s">
        <v>2420</v>
      </c>
      <c r="C460" s="358"/>
      <c r="D460" s="359"/>
      <c r="E460" s="211" t="s">
        <v>1040</v>
      </c>
      <c r="F460" s="357"/>
      <c r="G460" s="360"/>
      <c r="H460" s="361"/>
      <c r="I460" s="360"/>
      <c r="J460" s="359"/>
    </row>
    <row r="461" spans="1:11" x14ac:dyDescent="0.25">
      <c r="A461" s="222" t="s">
        <v>3873</v>
      </c>
      <c r="B461" s="222" t="s">
        <v>2420</v>
      </c>
      <c r="C461" s="223"/>
      <c r="D461" s="224"/>
      <c r="E461" s="225" t="s">
        <v>2727</v>
      </c>
      <c r="F461" s="222"/>
      <c r="G461" s="226"/>
      <c r="H461" s="227"/>
      <c r="I461" s="226"/>
      <c r="J461" s="224"/>
    </row>
    <row r="462" spans="1:11" x14ac:dyDescent="0.25">
      <c r="A462" s="352" t="s">
        <v>3874</v>
      </c>
      <c r="B462" s="352" t="s">
        <v>157</v>
      </c>
      <c r="C462" s="353" t="s">
        <v>3256</v>
      </c>
      <c r="E462" s="354" t="s">
        <v>2679</v>
      </c>
      <c r="F462" s="352" t="s">
        <v>16</v>
      </c>
      <c r="H462" s="356">
        <f t="shared" ref="H462:H463" si="84">ROUND(I462,2)</f>
        <v>0</v>
      </c>
      <c r="J462" s="351" t="b">
        <f t="shared" ref="J462:J463" si="85">H462=G462</f>
        <v>1</v>
      </c>
      <c r="K462" s="374"/>
    </row>
    <row r="463" spans="1:11" x14ac:dyDescent="0.25">
      <c r="A463" s="352" t="s">
        <v>3875</v>
      </c>
      <c r="B463" s="352" t="s">
        <v>297</v>
      </c>
      <c r="C463" s="353" t="s">
        <v>2036</v>
      </c>
      <c r="E463" s="354" t="s">
        <v>2681</v>
      </c>
      <c r="F463" s="352" t="s">
        <v>16</v>
      </c>
      <c r="H463" s="356">
        <f t="shared" si="84"/>
        <v>0</v>
      </c>
      <c r="J463" s="351" t="b">
        <f t="shared" si="85"/>
        <v>1</v>
      </c>
      <c r="K463" s="374"/>
    </row>
    <row r="464" spans="1:11" x14ac:dyDescent="0.25">
      <c r="A464" s="222" t="s">
        <v>3876</v>
      </c>
      <c r="B464" s="222" t="s">
        <v>2420</v>
      </c>
      <c r="C464" s="223"/>
      <c r="D464" s="224"/>
      <c r="E464" s="225" t="s">
        <v>2728</v>
      </c>
      <c r="F464" s="222"/>
      <c r="G464" s="226"/>
      <c r="H464" s="227"/>
      <c r="I464" s="226"/>
      <c r="J464" s="224"/>
    </row>
    <row r="465" spans="1:10" x14ac:dyDescent="0.25">
      <c r="A465" s="352" t="s">
        <v>3877</v>
      </c>
      <c r="B465" s="352" t="s">
        <v>3257</v>
      </c>
      <c r="C465" s="353" t="s">
        <v>298</v>
      </c>
      <c r="E465" s="354" t="s">
        <v>2729</v>
      </c>
      <c r="F465" s="352" t="s">
        <v>11</v>
      </c>
      <c r="H465" s="356">
        <f t="shared" ref="H465:H510" si="86">ROUND(I465,2)</f>
        <v>0</v>
      </c>
      <c r="J465" s="351" t="b">
        <f t="shared" ref="J465:J510" si="87">H465=G465</f>
        <v>1</v>
      </c>
    </row>
    <row r="466" spans="1:10" x14ac:dyDescent="0.25">
      <c r="A466" s="352" t="s">
        <v>3878</v>
      </c>
      <c r="B466" s="352" t="s">
        <v>3258</v>
      </c>
      <c r="C466" s="353" t="s">
        <v>158</v>
      </c>
      <c r="E466" s="354" t="s">
        <v>2730</v>
      </c>
      <c r="F466" s="352" t="s">
        <v>11</v>
      </c>
      <c r="H466" s="356">
        <f t="shared" si="86"/>
        <v>0</v>
      </c>
      <c r="J466" s="351" t="b">
        <f t="shared" si="87"/>
        <v>1</v>
      </c>
    </row>
    <row r="467" spans="1:10" x14ac:dyDescent="0.25">
      <c r="A467" s="352" t="s">
        <v>3879</v>
      </c>
      <c r="B467" s="352" t="s">
        <v>3259</v>
      </c>
      <c r="C467" s="353" t="s">
        <v>299</v>
      </c>
      <c r="E467" s="354" t="s">
        <v>2731</v>
      </c>
      <c r="F467" s="352" t="s">
        <v>11</v>
      </c>
      <c r="H467" s="356">
        <f t="shared" si="86"/>
        <v>0</v>
      </c>
      <c r="J467" s="351" t="b">
        <f t="shared" si="87"/>
        <v>1</v>
      </c>
    </row>
    <row r="468" spans="1:10" x14ac:dyDescent="0.25">
      <c r="A468" s="352" t="s">
        <v>3880</v>
      </c>
      <c r="B468" s="352" t="s">
        <v>3260</v>
      </c>
      <c r="C468" s="353" t="s">
        <v>300</v>
      </c>
      <c r="E468" s="354" t="s">
        <v>2732</v>
      </c>
      <c r="F468" s="352" t="s">
        <v>11</v>
      </c>
      <c r="H468" s="356">
        <f t="shared" si="86"/>
        <v>0</v>
      </c>
      <c r="J468" s="351" t="b">
        <f t="shared" si="87"/>
        <v>1</v>
      </c>
    </row>
    <row r="469" spans="1:10" x14ac:dyDescent="0.25">
      <c r="A469" s="352" t="s">
        <v>3881</v>
      </c>
      <c r="B469" s="352" t="s">
        <v>3261</v>
      </c>
      <c r="C469" s="353" t="s">
        <v>301</v>
      </c>
      <c r="E469" s="354" t="s">
        <v>2733</v>
      </c>
      <c r="F469" s="352" t="s">
        <v>11</v>
      </c>
      <c r="H469" s="356">
        <f t="shared" si="86"/>
        <v>0</v>
      </c>
      <c r="J469" s="351" t="b">
        <f t="shared" si="87"/>
        <v>1</v>
      </c>
    </row>
    <row r="470" spans="1:10" x14ac:dyDescent="0.25">
      <c r="A470" s="352" t="s">
        <v>3882</v>
      </c>
      <c r="B470" s="352" t="s">
        <v>3262</v>
      </c>
      <c r="C470" s="353" t="s">
        <v>302</v>
      </c>
      <c r="E470" s="354" t="s">
        <v>2734</v>
      </c>
      <c r="F470" s="352" t="s">
        <v>11</v>
      </c>
      <c r="H470" s="356">
        <f t="shared" si="86"/>
        <v>0</v>
      </c>
      <c r="J470" s="351" t="b">
        <f t="shared" si="87"/>
        <v>1</v>
      </c>
    </row>
    <row r="471" spans="1:10" x14ac:dyDescent="0.25">
      <c r="A471" s="352" t="s">
        <v>3883</v>
      </c>
      <c r="B471" s="352" t="s">
        <v>3263</v>
      </c>
      <c r="C471" s="353" t="s">
        <v>303</v>
      </c>
      <c r="E471" s="354" t="s">
        <v>2735</v>
      </c>
      <c r="F471" s="352" t="s">
        <v>11</v>
      </c>
      <c r="H471" s="356">
        <f t="shared" si="86"/>
        <v>0</v>
      </c>
      <c r="J471" s="351" t="b">
        <f t="shared" si="87"/>
        <v>1</v>
      </c>
    </row>
    <row r="472" spans="1:10" x14ac:dyDescent="0.25">
      <c r="A472" s="352" t="s">
        <v>3884</v>
      </c>
      <c r="B472" s="352" t="s">
        <v>3264</v>
      </c>
      <c r="C472" s="353" t="s">
        <v>3265</v>
      </c>
      <c r="E472" s="354" t="s">
        <v>2736</v>
      </c>
      <c r="F472" s="352" t="s">
        <v>11</v>
      </c>
      <c r="H472" s="356">
        <f t="shared" si="86"/>
        <v>0</v>
      </c>
      <c r="J472" s="351" t="b">
        <f t="shared" si="87"/>
        <v>1</v>
      </c>
    </row>
    <row r="473" spans="1:10" x14ac:dyDescent="0.25">
      <c r="A473" s="352" t="s">
        <v>3885</v>
      </c>
      <c r="B473" s="352" t="s">
        <v>3266</v>
      </c>
      <c r="C473" s="353" t="s">
        <v>3267</v>
      </c>
      <c r="E473" s="354" t="s">
        <v>2737</v>
      </c>
      <c r="F473" s="352" t="s">
        <v>11</v>
      </c>
      <c r="H473" s="356">
        <f t="shared" si="86"/>
        <v>0</v>
      </c>
      <c r="J473" s="351" t="b">
        <f t="shared" si="87"/>
        <v>1</v>
      </c>
    </row>
    <row r="474" spans="1:10" x14ac:dyDescent="0.25">
      <c r="A474" s="352" t="s">
        <v>3886</v>
      </c>
      <c r="B474" s="352" t="s">
        <v>3268</v>
      </c>
      <c r="C474" s="353" t="s">
        <v>3269</v>
      </c>
      <c r="E474" s="354" t="s">
        <v>2738</v>
      </c>
      <c r="F474" s="352" t="s">
        <v>11</v>
      </c>
      <c r="H474" s="356">
        <f t="shared" si="86"/>
        <v>0</v>
      </c>
      <c r="J474" s="351" t="b">
        <f t="shared" si="87"/>
        <v>1</v>
      </c>
    </row>
    <row r="475" spans="1:10" x14ac:dyDescent="0.25">
      <c r="A475" s="352" t="s">
        <v>3887</v>
      </c>
      <c r="B475" s="352" t="s">
        <v>3270</v>
      </c>
      <c r="C475" s="353" t="s">
        <v>3271</v>
      </c>
      <c r="E475" s="354" t="s">
        <v>2739</v>
      </c>
      <c r="F475" s="352" t="s">
        <v>11</v>
      </c>
      <c r="H475" s="356">
        <f t="shared" si="86"/>
        <v>0</v>
      </c>
      <c r="J475" s="351" t="b">
        <f t="shared" si="87"/>
        <v>1</v>
      </c>
    </row>
    <row r="476" spans="1:10" x14ac:dyDescent="0.25">
      <c r="A476" s="352" t="s">
        <v>3888</v>
      </c>
      <c r="B476" s="352" t="s">
        <v>3272</v>
      </c>
      <c r="C476" s="353" t="s">
        <v>3273</v>
      </c>
      <c r="E476" s="354" t="s">
        <v>2740</v>
      </c>
      <c r="F476" s="352" t="s">
        <v>11</v>
      </c>
      <c r="H476" s="356">
        <f t="shared" si="86"/>
        <v>0</v>
      </c>
      <c r="J476" s="351" t="b">
        <f t="shared" si="87"/>
        <v>1</v>
      </c>
    </row>
    <row r="477" spans="1:10" x14ac:dyDescent="0.25">
      <c r="A477" s="352" t="s">
        <v>3889</v>
      </c>
      <c r="B477" s="352" t="s">
        <v>3274</v>
      </c>
      <c r="C477" s="353" t="s">
        <v>3275</v>
      </c>
      <c r="E477" s="354" t="s">
        <v>2741</v>
      </c>
      <c r="F477" s="352" t="s">
        <v>11</v>
      </c>
      <c r="H477" s="356">
        <f t="shared" si="86"/>
        <v>0</v>
      </c>
      <c r="J477" s="351" t="b">
        <f t="shared" si="87"/>
        <v>1</v>
      </c>
    </row>
    <row r="478" spans="1:10" x14ac:dyDescent="0.25">
      <c r="A478" s="352" t="s">
        <v>3890</v>
      </c>
      <c r="B478" s="352" t="s">
        <v>3276</v>
      </c>
      <c r="C478" s="353" t="s">
        <v>3277</v>
      </c>
      <c r="E478" s="354" t="s">
        <v>2742</v>
      </c>
      <c r="F478" s="352" t="s">
        <v>11</v>
      </c>
      <c r="H478" s="356">
        <f t="shared" si="86"/>
        <v>0</v>
      </c>
      <c r="J478" s="351" t="b">
        <f t="shared" si="87"/>
        <v>1</v>
      </c>
    </row>
    <row r="479" spans="1:10" x14ac:dyDescent="0.25">
      <c r="A479" s="352" t="s">
        <v>3891</v>
      </c>
      <c r="B479" s="352" t="s">
        <v>3278</v>
      </c>
      <c r="C479" s="353" t="s">
        <v>3279</v>
      </c>
      <c r="E479" s="354" t="s">
        <v>2743</v>
      </c>
      <c r="F479" s="352" t="s">
        <v>11</v>
      </c>
      <c r="H479" s="356">
        <f t="shared" si="86"/>
        <v>0</v>
      </c>
      <c r="J479" s="351" t="b">
        <f t="shared" si="87"/>
        <v>1</v>
      </c>
    </row>
    <row r="480" spans="1:10" x14ac:dyDescent="0.25">
      <c r="A480" s="352" t="s">
        <v>3892</v>
      </c>
      <c r="B480" s="352" t="s">
        <v>3280</v>
      </c>
      <c r="C480" s="353" t="s">
        <v>3281</v>
      </c>
      <c r="E480" s="354" t="s">
        <v>2744</v>
      </c>
      <c r="F480" s="352" t="s">
        <v>11</v>
      </c>
      <c r="H480" s="356">
        <f t="shared" si="86"/>
        <v>0</v>
      </c>
      <c r="J480" s="351" t="b">
        <f t="shared" si="87"/>
        <v>1</v>
      </c>
    </row>
    <row r="481" spans="1:10" x14ac:dyDescent="0.25">
      <c r="A481" s="352" t="s">
        <v>3893</v>
      </c>
      <c r="B481" s="352" t="s">
        <v>3282</v>
      </c>
      <c r="C481" s="353" t="s">
        <v>3283</v>
      </c>
      <c r="E481" s="354" t="s">
        <v>2745</v>
      </c>
      <c r="F481" s="352" t="s">
        <v>11</v>
      </c>
      <c r="H481" s="356">
        <f t="shared" si="86"/>
        <v>0</v>
      </c>
      <c r="J481" s="351" t="b">
        <f t="shared" si="87"/>
        <v>1</v>
      </c>
    </row>
    <row r="482" spans="1:10" x14ac:dyDescent="0.25">
      <c r="A482" s="352" t="s">
        <v>3894</v>
      </c>
      <c r="B482" s="352" t="s">
        <v>3284</v>
      </c>
      <c r="C482" s="353" t="s">
        <v>3285</v>
      </c>
      <c r="E482" s="354" t="s">
        <v>2746</v>
      </c>
      <c r="F482" s="352" t="s">
        <v>11</v>
      </c>
      <c r="H482" s="356">
        <f t="shared" si="86"/>
        <v>0</v>
      </c>
      <c r="J482" s="351" t="b">
        <f t="shared" si="87"/>
        <v>1</v>
      </c>
    </row>
    <row r="483" spans="1:10" x14ac:dyDescent="0.25">
      <c r="A483" s="352" t="s">
        <v>3895</v>
      </c>
      <c r="B483" s="352" t="s">
        <v>3286</v>
      </c>
      <c r="C483" s="353" t="s">
        <v>3287</v>
      </c>
      <c r="E483" s="354" t="s">
        <v>2747</v>
      </c>
      <c r="F483" s="352" t="s">
        <v>11</v>
      </c>
      <c r="H483" s="356">
        <f t="shared" si="86"/>
        <v>0</v>
      </c>
      <c r="J483" s="351" t="b">
        <f t="shared" si="87"/>
        <v>1</v>
      </c>
    </row>
    <row r="484" spans="1:10" x14ac:dyDescent="0.25">
      <c r="A484" s="352" t="s">
        <v>3896</v>
      </c>
      <c r="B484" s="352" t="s">
        <v>3288</v>
      </c>
      <c r="C484" s="353" t="s">
        <v>3289</v>
      </c>
      <c r="E484" s="354" t="s">
        <v>2748</v>
      </c>
      <c r="F484" s="352" t="s">
        <v>11</v>
      </c>
      <c r="H484" s="356">
        <f t="shared" si="86"/>
        <v>0</v>
      </c>
      <c r="J484" s="351" t="b">
        <f t="shared" si="87"/>
        <v>1</v>
      </c>
    </row>
    <row r="485" spans="1:10" x14ac:dyDescent="0.25">
      <c r="A485" s="352" t="s">
        <v>3897</v>
      </c>
      <c r="B485" s="352" t="s">
        <v>3290</v>
      </c>
      <c r="C485" s="353" t="s">
        <v>3291</v>
      </c>
      <c r="E485" s="354" t="s">
        <v>1117</v>
      </c>
      <c r="F485" s="352" t="s">
        <v>11</v>
      </c>
      <c r="H485" s="356">
        <f t="shared" si="86"/>
        <v>0</v>
      </c>
      <c r="J485" s="351" t="b">
        <f t="shared" si="87"/>
        <v>1</v>
      </c>
    </row>
    <row r="486" spans="1:10" x14ac:dyDescent="0.25">
      <c r="A486" s="352" t="s">
        <v>3898</v>
      </c>
      <c r="B486" s="352" t="s">
        <v>3292</v>
      </c>
      <c r="C486" s="353" t="s">
        <v>3293</v>
      </c>
      <c r="E486" s="354" t="s">
        <v>2749</v>
      </c>
      <c r="F486" s="352" t="s">
        <v>11</v>
      </c>
      <c r="H486" s="356">
        <f t="shared" si="86"/>
        <v>0</v>
      </c>
      <c r="J486" s="351" t="b">
        <f t="shared" si="87"/>
        <v>1</v>
      </c>
    </row>
    <row r="487" spans="1:10" x14ac:dyDescent="0.25">
      <c r="A487" s="352" t="s">
        <v>3899</v>
      </c>
      <c r="B487" s="352" t="s">
        <v>3294</v>
      </c>
      <c r="C487" s="353" t="s">
        <v>3295</v>
      </c>
      <c r="E487" s="354" t="s">
        <v>2750</v>
      </c>
      <c r="F487" s="352" t="s">
        <v>11</v>
      </c>
      <c r="H487" s="356">
        <f t="shared" si="86"/>
        <v>0</v>
      </c>
      <c r="J487" s="351" t="b">
        <f t="shared" si="87"/>
        <v>1</v>
      </c>
    </row>
    <row r="488" spans="1:10" x14ac:dyDescent="0.25">
      <c r="A488" s="352" t="s">
        <v>3900</v>
      </c>
      <c r="B488" s="352" t="s">
        <v>3296</v>
      </c>
      <c r="C488" s="353" t="s">
        <v>3297</v>
      </c>
      <c r="E488" s="354" t="s">
        <v>2751</v>
      </c>
      <c r="F488" s="352" t="s">
        <v>11</v>
      </c>
      <c r="H488" s="356">
        <f t="shared" si="86"/>
        <v>0</v>
      </c>
      <c r="J488" s="351" t="b">
        <f t="shared" si="87"/>
        <v>1</v>
      </c>
    </row>
    <row r="489" spans="1:10" x14ac:dyDescent="0.25">
      <c r="A489" s="352" t="s">
        <v>3901</v>
      </c>
      <c r="B489" s="352" t="s">
        <v>3298</v>
      </c>
      <c r="C489" s="353" t="s">
        <v>3299</v>
      </c>
      <c r="E489" s="354" t="s">
        <v>2752</v>
      </c>
      <c r="F489" s="352" t="s">
        <v>11</v>
      </c>
      <c r="H489" s="356">
        <f t="shared" si="86"/>
        <v>0</v>
      </c>
      <c r="J489" s="351" t="b">
        <f t="shared" si="87"/>
        <v>1</v>
      </c>
    </row>
    <row r="490" spans="1:10" x14ac:dyDescent="0.25">
      <c r="A490" s="352" t="s">
        <v>3902</v>
      </c>
      <c r="B490" s="352" t="s">
        <v>3300</v>
      </c>
      <c r="C490" s="353" t="s">
        <v>3301</v>
      </c>
      <c r="E490" s="354" t="s">
        <v>2753</v>
      </c>
      <c r="F490" s="352" t="s">
        <v>11</v>
      </c>
      <c r="H490" s="356">
        <f t="shared" si="86"/>
        <v>0</v>
      </c>
      <c r="J490" s="351" t="b">
        <f t="shared" si="87"/>
        <v>1</v>
      </c>
    </row>
    <row r="491" spans="1:10" x14ac:dyDescent="0.25">
      <c r="A491" s="352" t="s">
        <v>3903</v>
      </c>
      <c r="B491" s="352" t="s">
        <v>3302</v>
      </c>
      <c r="C491" s="353" t="s">
        <v>3303</v>
      </c>
      <c r="E491" s="354" t="s">
        <v>2754</v>
      </c>
      <c r="F491" s="352" t="s">
        <v>11</v>
      </c>
      <c r="H491" s="356">
        <f t="shared" si="86"/>
        <v>0</v>
      </c>
      <c r="J491" s="351" t="b">
        <f t="shared" si="87"/>
        <v>1</v>
      </c>
    </row>
    <row r="492" spans="1:10" x14ac:dyDescent="0.25">
      <c r="A492" s="352" t="s">
        <v>3904</v>
      </c>
      <c r="B492" s="352" t="s">
        <v>3304</v>
      </c>
      <c r="C492" s="353" t="s">
        <v>3305</v>
      </c>
      <c r="E492" s="354" t="s">
        <v>2755</v>
      </c>
      <c r="F492" s="352" t="s">
        <v>11</v>
      </c>
      <c r="H492" s="356">
        <f t="shared" si="86"/>
        <v>0</v>
      </c>
      <c r="J492" s="351" t="b">
        <f t="shared" si="87"/>
        <v>1</v>
      </c>
    </row>
    <row r="493" spans="1:10" x14ac:dyDescent="0.25">
      <c r="A493" s="352" t="s">
        <v>3905</v>
      </c>
      <c r="B493" s="352" t="s">
        <v>3306</v>
      </c>
      <c r="C493" s="353" t="s">
        <v>3307</v>
      </c>
      <c r="E493" s="354" t="s">
        <v>2756</v>
      </c>
      <c r="F493" s="352" t="s">
        <v>11</v>
      </c>
      <c r="H493" s="356">
        <f t="shared" si="86"/>
        <v>0</v>
      </c>
      <c r="J493" s="351" t="b">
        <f t="shared" si="87"/>
        <v>1</v>
      </c>
    </row>
    <row r="494" spans="1:10" x14ac:dyDescent="0.25">
      <c r="A494" s="352" t="s">
        <v>3906</v>
      </c>
      <c r="B494" s="352" t="s">
        <v>3308</v>
      </c>
      <c r="C494" s="353" t="s">
        <v>3309</v>
      </c>
      <c r="E494" s="354" t="s">
        <v>1069</v>
      </c>
      <c r="F494" s="352" t="s">
        <v>11</v>
      </c>
      <c r="H494" s="356">
        <f t="shared" si="86"/>
        <v>0</v>
      </c>
      <c r="J494" s="351" t="b">
        <f t="shared" si="87"/>
        <v>1</v>
      </c>
    </row>
    <row r="495" spans="1:10" x14ac:dyDescent="0.25">
      <c r="A495" s="352" t="s">
        <v>3907</v>
      </c>
      <c r="B495" s="352" t="s">
        <v>3310</v>
      </c>
      <c r="C495" s="353" t="s">
        <v>3311</v>
      </c>
      <c r="E495" s="354" t="s">
        <v>1070</v>
      </c>
      <c r="F495" s="352" t="s">
        <v>11</v>
      </c>
      <c r="H495" s="356">
        <f t="shared" si="86"/>
        <v>0</v>
      </c>
      <c r="J495" s="351" t="b">
        <f t="shared" si="87"/>
        <v>1</v>
      </c>
    </row>
    <row r="496" spans="1:10" x14ac:dyDescent="0.25">
      <c r="A496" s="352" t="s">
        <v>3908</v>
      </c>
      <c r="B496" s="352" t="s">
        <v>3312</v>
      </c>
      <c r="C496" s="353" t="s">
        <v>3313</v>
      </c>
      <c r="E496" s="354" t="s">
        <v>1071</v>
      </c>
      <c r="F496" s="352" t="s">
        <v>11</v>
      </c>
      <c r="H496" s="356">
        <f t="shared" si="86"/>
        <v>0</v>
      </c>
      <c r="J496" s="351" t="b">
        <f t="shared" si="87"/>
        <v>1</v>
      </c>
    </row>
    <row r="497" spans="1:10" x14ac:dyDescent="0.25">
      <c r="A497" s="352" t="s">
        <v>3909</v>
      </c>
      <c r="B497" s="352" t="s">
        <v>3314</v>
      </c>
      <c r="C497" s="353" t="s">
        <v>3315</v>
      </c>
      <c r="E497" s="354" t="s">
        <v>1072</v>
      </c>
      <c r="F497" s="352" t="s">
        <v>11</v>
      </c>
      <c r="H497" s="356">
        <f t="shared" si="86"/>
        <v>0</v>
      </c>
      <c r="J497" s="351" t="b">
        <f t="shared" si="87"/>
        <v>1</v>
      </c>
    </row>
    <row r="498" spans="1:10" x14ac:dyDescent="0.25">
      <c r="A498" s="352" t="s">
        <v>3910</v>
      </c>
      <c r="B498" s="352" t="s">
        <v>3316</v>
      </c>
      <c r="C498" s="353" t="s">
        <v>3317</v>
      </c>
      <c r="E498" s="354" t="s">
        <v>1073</v>
      </c>
      <c r="F498" s="352" t="s">
        <v>11</v>
      </c>
      <c r="H498" s="356">
        <f t="shared" si="86"/>
        <v>0</v>
      </c>
      <c r="J498" s="351" t="b">
        <f t="shared" si="87"/>
        <v>1</v>
      </c>
    </row>
    <row r="499" spans="1:10" x14ac:dyDescent="0.25">
      <c r="A499" s="352" t="s">
        <v>3911</v>
      </c>
      <c r="B499" s="352" t="s">
        <v>3318</v>
      </c>
      <c r="C499" s="353" t="s">
        <v>3319</v>
      </c>
      <c r="E499" s="354" t="s">
        <v>1074</v>
      </c>
      <c r="F499" s="352" t="s">
        <v>11</v>
      </c>
      <c r="H499" s="356">
        <f t="shared" si="86"/>
        <v>0</v>
      </c>
      <c r="J499" s="351" t="b">
        <f t="shared" si="87"/>
        <v>1</v>
      </c>
    </row>
    <row r="500" spans="1:10" x14ac:dyDescent="0.25">
      <c r="A500" s="352" t="s">
        <v>3912</v>
      </c>
      <c r="B500" s="352" t="s">
        <v>3320</v>
      </c>
      <c r="C500" s="353" t="s">
        <v>3321</v>
      </c>
      <c r="E500" s="354" t="s">
        <v>128</v>
      </c>
      <c r="F500" s="352" t="s">
        <v>11</v>
      </c>
      <c r="H500" s="356">
        <f t="shared" si="86"/>
        <v>0</v>
      </c>
      <c r="J500" s="351" t="b">
        <f t="shared" si="87"/>
        <v>1</v>
      </c>
    </row>
    <row r="501" spans="1:10" x14ac:dyDescent="0.25">
      <c r="A501" s="352" t="s">
        <v>3913</v>
      </c>
      <c r="B501" s="352" t="s">
        <v>3322</v>
      </c>
      <c r="C501" s="353" t="s">
        <v>3323</v>
      </c>
      <c r="E501" s="354" t="s">
        <v>129</v>
      </c>
      <c r="F501" s="352" t="s">
        <v>11</v>
      </c>
      <c r="H501" s="356">
        <f t="shared" si="86"/>
        <v>0</v>
      </c>
      <c r="J501" s="351" t="b">
        <f t="shared" si="87"/>
        <v>1</v>
      </c>
    </row>
    <row r="502" spans="1:10" x14ac:dyDescent="0.25">
      <c r="A502" s="352" t="s">
        <v>3914</v>
      </c>
      <c r="B502" s="352" t="s">
        <v>3324</v>
      </c>
      <c r="C502" s="353" t="s">
        <v>1977</v>
      </c>
      <c r="E502" s="354" t="s">
        <v>130</v>
      </c>
      <c r="F502" s="352" t="s">
        <v>11</v>
      </c>
      <c r="H502" s="356">
        <f t="shared" si="86"/>
        <v>0</v>
      </c>
      <c r="J502" s="351" t="b">
        <f t="shared" si="87"/>
        <v>1</v>
      </c>
    </row>
    <row r="503" spans="1:10" x14ac:dyDescent="0.25">
      <c r="A503" s="352" t="s">
        <v>3915</v>
      </c>
      <c r="B503" s="352" t="s">
        <v>3325</v>
      </c>
      <c r="C503" s="353" t="s">
        <v>1978</v>
      </c>
      <c r="E503" s="354" t="s">
        <v>131</v>
      </c>
      <c r="F503" s="352" t="s">
        <v>11</v>
      </c>
      <c r="H503" s="356">
        <f t="shared" si="86"/>
        <v>0</v>
      </c>
      <c r="J503" s="351" t="b">
        <f t="shared" si="87"/>
        <v>1</v>
      </c>
    </row>
    <row r="504" spans="1:10" x14ac:dyDescent="0.25">
      <c r="A504" s="352" t="s">
        <v>3916</v>
      </c>
      <c r="B504" s="352" t="s">
        <v>3326</v>
      </c>
      <c r="C504" s="353" t="s">
        <v>3327</v>
      </c>
      <c r="E504" s="354" t="s">
        <v>2757</v>
      </c>
      <c r="F504" s="352" t="s">
        <v>11</v>
      </c>
      <c r="H504" s="356">
        <f t="shared" si="86"/>
        <v>0</v>
      </c>
      <c r="J504" s="351" t="b">
        <f t="shared" si="87"/>
        <v>1</v>
      </c>
    </row>
    <row r="505" spans="1:10" x14ac:dyDescent="0.25">
      <c r="A505" s="352" t="s">
        <v>3917</v>
      </c>
      <c r="B505" s="352" t="s">
        <v>3328</v>
      </c>
      <c r="C505" s="353" t="s">
        <v>335</v>
      </c>
      <c r="E505" s="354" t="s">
        <v>2758</v>
      </c>
      <c r="F505" s="352" t="s">
        <v>2488</v>
      </c>
      <c r="H505" s="356">
        <f t="shared" si="86"/>
        <v>0</v>
      </c>
      <c r="J505" s="351" t="b">
        <f t="shared" si="87"/>
        <v>1</v>
      </c>
    </row>
    <row r="506" spans="1:10" x14ac:dyDescent="0.25">
      <c r="A506" s="352" t="s">
        <v>3918</v>
      </c>
      <c r="B506" s="352" t="s">
        <v>3329</v>
      </c>
      <c r="C506" s="353" t="s">
        <v>336</v>
      </c>
      <c r="E506" s="354" t="s">
        <v>2759</v>
      </c>
      <c r="F506" s="352" t="s">
        <v>2488</v>
      </c>
      <c r="H506" s="356">
        <f t="shared" si="86"/>
        <v>0</v>
      </c>
      <c r="J506" s="351" t="b">
        <f t="shared" si="87"/>
        <v>1</v>
      </c>
    </row>
    <row r="507" spans="1:10" x14ac:dyDescent="0.25">
      <c r="A507" s="352" t="s">
        <v>3919</v>
      </c>
      <c r="B507" s="352" t="s">
        <v>3330</v>
      </c>
      <c r="C507" s="353" t="s">
        <v>3331</v>
      </c>
      <c r="E507" s="354" t="s">
        <v>2760</v>
      </c>
      <c r="F507" s="352" t="s">
        <v>2488</v>
      </c>
      <c r="H507" s="356">
        <f t="shared" si="86"/>
        <v>0</v>
      </c>
      <c r="J507" s="351" t="b">
        <f t="shared" si="87"/>
        <v>1</v>
      </c>
    </row>
    <row r="508" spans="1:10" x14ac:dyDescent="0.25">
      <c r="A508" s="352" t="s">
        <v>3920</v>
      </c>
      <c r="B508" s="352" t="s">
        <v>3332</v>
      </c>
      <c r="C508" s="353" t="s">
        <v>3333</v>
      </c>
      <c r="E508" s="354" t="s">
        <v>2761</v>
      </c>
      <c r="F508" s="352" t="s">
        <v>2488</v>
      </c>
      <c r="H508" s="356">
        <f t="shared" si="86"/>
        <v>0</v>
      </c>
      <c r="J508" s="351" t="b">
        <f t="shared" si="87"/>
        <v>1</v>
      </c>
    </row>
    <row r="509" spans="1:10" x14ac:dyDescent="0.25">
      <c r="A509" s="352" t="s">
        <v>3921</v>
      </c>
      <c r="B509" s="352" t="s">
        <v>3334</v>
      </c>
      <c r="C509" s="353" t="s">
        <v>3335</v>
      </c>
      <c r="E509" s="354" t="s">
        <v>2762</v>
      </c>
      <c r="F509" s="352" t="s">
        <v>11</v>
      </c>
      <c r="H509" s="356">
        <f t="shared" si="86"/>
        <v>0</v>
      </c>
      <c r="J509" s="351" t="b">
        <f t="shared" si="87"/>
        <v>1</v>
      </c>
    </row>
    <row r="510" spans="1:10" x14ac:dyDescent="0.25">
      <c r="A510" s="352" t="s">
        <v>3922</v>
      </c>
      <c r="B510" s="352" t="s">
        <v>3336</v>
      </c>
      <c r="C510" s="353" t="s">
        <v>3337</v>
      </c>
      <c r="E510" s="354" t="s">
        <v>2763</v>
      </c>
      <c r="F510" s="352" t="s">
        <v>11</v>
      </c>
      <c r="H510" s="356">
        <f t="shared" si="86"/>
        <v>0</v>
      </c>
      <c r="J510" s="351" t="b">
        <f t="shared" si="87"/>
        <v>1</v>
      </c>
    </row>
    <row r="511" spans="1:10" x14ac:dyDescent="0.25">
      <c r="A511" s="210" t="s">
        <v>3923</v>
      </c>
      <c r="B511" s="357" t="s">
        <v>2420</v>
      </c>
      <c r="C511" s="358"/>
      <c r="D511" s="359"/>
      <c r="E511" s="211" t="s">
        <v>2764</v>
      </c>
      <c r="F511" s="357"/>
      <c r="G511" s="360"/>
      <c r="H511" s="361"/>
      <c r="I511" s="360"/>
      <c r="J511" s="359"/>
    </row>
    <row r="512" spans="1:10" x14ac:dyDescent="0.25">
      <c r="A512" s="352" t="s">
        <v>3924</v>
      </c>
      <c r="B512" s="352" t="s">
        <v>3338</v>
      </c>
      <c r="C512" s="353" t="s">
        <v>3339</v>
      </c>
      <c r="E512" s="354" t="s">
        <v>2765</v>
      </c>
      <c r="F512" s="352" t="s">
        <v>11</v>
      </c>
      <c r="H512" s="356">
        <f t="shared" ref="H512:H526" si="88">ROUND(I512,2)</f>
        <v>0</v>
      </c>
      <c r="J512" s="351" t="b">
        <f t="shared" ref="J512:J526" si="89">H512=G512</f>
        <v>1</v>
      </c>
    </row>
    <row r="513" spans="1:10" x14ac:dyDescent="0.25">
      <c r="A513" s="352" t="s">
        <v>3925</v>
      </c>
      <c r="B513" s="352" t="s">
        <v>3340</v>
      </c>
      <c r="C513" s="353" t="s">
        <v>3341</v>
      </c>
      <c r="E513" s="354" t="s">
        <v>2766</v>
      </c>
      <c r="F513" s="352" t="s">
        <v>11</v>
      </c>
      <c r="H513" s="356">
        <f t="shared" si="88"/>
        <v>0</v>
      </c>
      <c r="J513" s="351" t="b">
        <f t="shared" si="89"/>
        <v>1</v>
      </c>
    </row>
    <row r="514" spans="1:10" x14ac:dyDescent="0.25">
      <c r="A514" s="352" t="s">
        <v>3926</v>
      </c>
      <c r="B514" s="352" t="s">
        <v>3342</v>
      </c>
      <c r="C514" s="353" t="s">
        <v>3343</v>
      </c>
      <c r="E514" s="354" t="s">
        <v>2767</v>
      </c>
      <c r="F514" s="352" t="s">
        <v>11</v>
      </c>
      <c r="H514" s="356">
        <f t="shared" si="88"/>
        <v>0</v>
      </c>
      <c r="J514" s="351" t="b">
        <f t="shared" si="89"/>
        <v>1</v>
      </c>
    </row>
    <row r="515" spans="1:10" x14ac:dyDescent="0.25">
      <c r="A515" s="352" t="s">
        <v>3927</v>
      </c>
      <c r="B515" s="352" t="s">
        <v>3344</v>
      </c>
      <c r="C515" s="353" t="s">
        <v>3345</v>
      </c>
      <c r="E515" s="354" t="s">
        <v>2768</v>
      </c>
      <c r="F515" s="352" t="s">
        <v>11</v>
      </c>
      <c r="H515" s="356">
        <f t="shared" si="88"/>
        <v>0</v>
      </c>
      <c r="J515" s="351" t="b">
        <f t="shared" si="89"/>
        <v>1</v>
      </c>
    </row>
    <row r="516" spans="1:10" x14ac:dyDescent="0.25">
      <c r="A516" s="352" t="s">
        <v>3928</v>
      </c>
      <c r="B516" s="352" t="s">
        <v>3346</v>
      </c>
      <c r="C516" s="353" t="s">
        <v>3347</v>
      </c>
      <c r="E516" s="354" t="s">
        <v>2769</v>
      </c>
      <c r="F516" s="352" t="s">
        <v>11</v>
      </c>
      <c r="H516" s="356">
        <f t="shared" si="88"/>
        <v>0</v>
      </c>
      <c r="J516" s="351" t="b">
        <f t="shared" si="89"/>
        <v>1</v>
      </c>
    </row>
    <row r="517" spans="1:10" x14ac:dyDescent="0.25">
      <c r="A517" s="352" t="s">
        <v>3929</v>
      </c>
      <c r="B517" s="352" t="s">
        <v>3348</v>
      </c>
      <c r="C517" s="353" t="s">
        <v>3349</v>
      </c>
      <c r="E517" s="354" t="s">
        <v>2770</v>
      </c>
      <c r="F517" s="352" t="s">
        <v>11</v>
      </c>
      <c r="H517" s="356">
        <f t="shared" si="88"/>
        <v>0</v>
      </c>
      <c r="J517" s="351" t="b">
        <f t="shared" si="89"/>
        <v>1</v>
      </c>
    </row>
    <row r="518" spans="1:10" x14ac:dyDescent="0.25">
      <c r="A518" s="352" t="s">
        <v>3930</v>
      </c>
      <c r="B518" s="352" t="s">
        <v>3350</v>
      </c>
      <c r="C518" s="353" t="s">
        <v>3351</v>
      </c>
      <c r="E518" s="354" t="s">
        <v>2771</v>
      </c>
      <c r="F518" s="352" t="s">
        <v>11</v>
      </c>
      <c r="H518" s="356">
        <f t="shared" si="88"/>
        <v>0</v>
      </c>
      <c r="J518" s="351" t="b">
        <f t="shared" si="89"/>
        <v>1</v>
      </c>
    </row>
    <row r="519" spans="1:10" x14ac:dyDescent="0.25">
      <c r="A519" s="352" t="s">
        <v>3931</v>
      </c>
      <c r="B519" s="352" t="s">
        <v>3352</v>
      </c>
      <c r="C519" s="353" t="s">
        <v>3353</v>
      </c>
      <c r="E519" s="354" t="s">
        <v>2772</v>
      </c>
      <c r="F519" s="352" t="s">
        <v>11</v>
      </c>
      <c r="H519" s="356">
        <f t="shared" si="88"/>
        <v>0</v>
      </c>
      <c r="J519" s="351" t="b">
        <f t="shared" si="89"/>
        <v>1</v>
      </c>
    </row>
    <row r="520" spans="1:10" x14ac:dyDescent="0.25">
      <c r="A520" s="352" t="s">
        <v>3932</v>
      </c>
      <c r="B520" s="352" t="s">
        <v>3354</v>
      </c>
      <c r="C520" s="353" t="s">
        <v>3355</v>
      </c>
      <c r="E520" s="354" t="s">
        <v>2773</v>
      </c>
      <c r="F520" s="352" t="s">
        <v>11</v>
      </c>
      <c r="H520" s="356">
        <f t="shared" si="88"/>
        <v>0</v>
      </c>
      <c r="J520" s="351" t="b">
        <f t="shared" si="89"/>
        <v>1</v>
      </c>
    </row>
    <row r="521" spans="1:10" x14ac:dyDescent="0.25">
      <c r="A521" s="352" t="s">
        <v>3933</v>
      </c>
      <c r="B521" s="352" t="s">
        <v>3356</v>
      </c>
      <c r="C521" s="353" t="s">
        <v>3357</v>
      </c>
      <c r="E521" s="354" t="s">
        <v>2774</v>
      </c>
      <c r="F521" s="352" t="s">
        <v>11</v>
      </c>
      <c r="H521" s="356">
        <f t="shared" si="88"/>
        <v>0</v>
      </c>
      <c r="J521" s="351" t="b">
        <f t="shared" si="89"/>
        <v>1</v>
      </c>
    </row>
    <row r="522" spans="1:10" x14ac:dyDescent="0.25">
      <c r="A522" s="352" t="s">
        <v>3934</v>
      </c>
      <c r="B522" s="352" t="s">
        <v>3358</v>
      </c>
      <c r="C522" s="353" t="s">
        <v>3359</v>
      </c>
      <c r="E522" s="354" t="s">
        <v>2775</v>
      </c>
      <c r="F522" s="352" t="s">
        <v>11</v>
      </c>
      <c r="H522" s="356">
        <f t="shared" si="88"/>
        <v>0</v>
      </c>
      <c r="J522" s="351" t="b">
        <f t="shared" si="89"/>
        <v>1</v>
      </c>
    </row>
    <row r="523" spans="1:10" x14ac:dyDescent="0.25">
      <c r="A523" s="352" t="s">
        <v>3935</v>
      </c>
      <c r="B523" s="352" t="s">
        <v>3360</v>
      </c>
      <c r="C523" s="353" t="s">
        <v>3361</v>
      </c>
      <c r="E523" s="354" t="s">
        <v>2776</v>
      </c>
      <c r="F523" s="352" t="s">
        <v>11</v>
      </c>
      <c r="H523" s="356">
        <f t="shared" si="88"/>
        <v>0</v>
      </c>
      <c r="J523" s="351" t="b">
        <f t="shared" si="89"/>
        <v>1</v>
      </c>
    </row>
    <row r="524" spans="1:10" x14ac:dyDescent="0.25">
      <c r="A524" s="352" t="s">
        <v>3936</v>
      </c>
      <c r="B524" s="352" t="s">
        <v>3362</v>
      </c>
      <c r="C524" s="353" t="s">
        <v>3363</v>
      </c>
      <c r="E524" s="354" t="s">
        <v>2777</v>
      </c>
      <c r="F524" s="352" t="s">
        <v>11</v>
      </c>
      <c r="H524" s="356">
        <f t="shared" si="88"/>
        <v>0</v>
      </c>
      <c r="J524" s="351" t="b">
        <f t="shared" si="89"/>
        <v>1</v>
      </c>
    </row>
    <row r="525" spans="1:10" x14ac:dyDescent="0.25">
      <c r="A525" s="352" t="s">
        <v>3937</v>
      </c>
      <c r="B525" s="352" t="s">
        <v>3364</v>
      </c>
      <c r="C525" s="353" t="s">
        <v>3365</v>
      </c>
      <c r="E525" s="354" t="s">
        <v>2778</v>
      </c>
      <c r="F525" s="352" t="s">
        <v>11</v>
      </c>
      <c r="H525" s="356">
        <f t="shared" si="88"/>
        <v>0</v>
      </c>
      <c r="J525" s="351" t="b">
        <f t="shared" si="89"/>
        <v>1</v>
      </c>
    </row>
    <row r="526" spans="1:10" x14ac:dyDescent="0.25">
      <c r="A526" s="352" t="s">
        <v>3938</v>
      </c>
      <c r="B526" s="352" t="s">
        <v>3366</v>
      </c>
      <c r="C526" s="353" t="s">
        <v>3367</v>
      </c>
      <c r="E526" s="354" t="s">
        <v>2779</v>
      </c>
      <c r="F526" s="352" t="s">
        <v>11</v>
      </c>
      <c r="H526" s="356">
        <f t="shared" si="88"/>
        <v>0</v>
      </c>
      <c r="J526" s="351" t="b">
        <f t="shared" si="89"/>
        <v>1</v>
      </c>
    </row>
    <row r="527" spans="1:10" x14ac:dyDescent="0.25">
      <c r="A527" s="352"/>
      <c r="B527" s="352"/>
      <c r="D527" s="351"/>
      <c r="E527" s="354"/>
      <c r="F527" s="352"/>
    </row>
    <row r="528" spans="1:10" x14ac:dyDescent="0.2">
      <c r="A528" s="206" t="s">
        <v>3939</v>
      </c>
      <c r="B528" s="206" t="s">
        <v>2420</v>
      </c>
      <c r="C528" s="206"/>
      <c r="D528" s="206"/>
      <c r="E528" s="207" t="s">
        <v>2682</v>
      </c>
      <c r="F528" s="206"/>
      <c r="G528" s="208"/>
      <c r="H528" s="208"/>
      <c r="I528" s="209"/>
      <c r="J528" s="209"/>
    </row>
    <row r="529" spans="1:10" x14ac:dyDescent="0.25">
      <c r="A529" s="352" t="s">
        <v>3940</v>
      </c>
      <c r="B529" s="352" t="s">
        <v>341</v>
      </c>
      <c r="C529" s="353" t="s">
        <v>1363</v>
      </c>
      <c r="E529" s="354" t="s">
        <v>2684</v>
      </c>
      <c r="F529" s="352" t="s">
        <v>11</v>
      </c>
      <c r="H529" s="356">
        <f t="shared" ref="H529:H538" si="90">ROUND(I529,2)</f>
        <v>0</v>
      </c>
      <c r="J529" s="351" t="b">
        <f t="shared" ref="J529:J538" si="91">H529=G529</f>
        <v>1</v>
      </c>
    </row>
    <row r="530" spans="1:10" x14ac:dyDescent="0.25">
      <c r="A530" s="352" t="s">
        <v>3941</v>
      </c>
      <c r="B530" s="352" t="s">
        <v>159</v>
      </c>
      <c r="C530" s="353" t="s">
        <v>1482</v>
      </c>
      <c r="E530" s="354" t="s">
        <v>2686</v>
      </c>
      <c r="F530" s="352" t="s">
        <v>2488</v>
      </c>
      <c r="H530" s="356">
        <f t="shared" si="90"/>
        <v>0</v>
      </c>
      <c r="J530" s="351" t="b">
        <f t="shared" si="91"/>
        <v>1</v>
      </c>
    </row>
    <row r="531" spans="1:10" x14ac:dyDescent="0.25">
      <c r="A531" s="352" t="s">
        <v>3942</v>
      </c>
      <c r="B531" s="352" t="s">
        <v>342</v>
      </c>
      <c r="C531" s="353" t="s">
        <v>1717</v>
      </c>
      <c r="E531" s="354" t="s">
        <v>2688</v>
      </c>
      <c r="F531" s="352" t="s">
        <v>2488</v>
      </c>
      <c r="H531" s="356">
        <f t="shared" si="90"/>
        <v>0</v>
      </c>
      <c r="J531" s="351" t="b">
        <f t="shared" si="91"/>
        <v>1</v>
      </c>
    </row>
    <row r="532" spans="1:10" x14ac:dyDescent="0.25">
      <c r="A532" s="352" t="s">
        <v>3943</v>
      </c>
      <c r="B532" s="352" t="s">
        <v>343</v>
      </c>
      <c r="C532" s="353" t="s">
        <v>1716</v>
      </c>
      <c r="E532" s="354" t="s">
        <v>2690</v>
      </c>
      <c r="F532" s="352" t="s">
        <v>2488</v>
      </c>
      <c r="H532" s="356">
        <f t="shared" si="90"/>
        <v>0</v>
      </c>
      <c r="J532" s="351" t="b">
        <f t="shared" si="91"/>
        <v>1</v>
      </c>
    </row>
    <row r="533" spans="1:10" x14ac:dyDescent="0.25">
      <c r="A533" s="352" t="s">
        <v>3944</v>
      </c>
      <c r="B533" s="352" t="s">
        <v>344</v>
      </c>
      <c r="C533" s="353" t="s">
        <v>1651</v>
      </c>
      <c r="E533" s="354" t="s">
        <v>2692</v>
      </c>
      <c r="F533" s="352" t="s">
        <v>11</v>
      </c>
      <c r="H533" s="356">
        <f t="shared" si="90"/>
        <v>0</v>
      </c>
      <c r="J533" s="351" t="b">
        <f t="shared" si="91"/>
        <v>1</v>
      </c>
    </row>
    <row r="534" spans="1:10" x14ac:dyDescent="0.25">
      <c r="A534" s="352" t="s">
        <v>3945</v>
      </c>
      <c r="B534" s="352" t="s">
        <v>161</v>
      </c>
      <c r="C534" s="353" t="s">
        <v>1524</v>
      </c>
      <c r="E534" s="354" t="s">
        <v>2694</v>
      </c>
      <c r="F534" s="352" t="s">
        <v>11</v>
      </c>
      <c r="H534" s="356">
        <f t="shared" si="90"/>
        <v>0</v>
      </c>
      <c r="J534" s="351" t="b">
        <f t="shared" si="91"/>
        <v>1</v>
      </c>
    </row>
    <row r="535" spans="1:10" x14ac:dyDescent="0.25">
      <c r="A535" s="352" t="s">
        <v>3946</v>
      </c>
      <c r="B535" s="352" t="s">
        <v>160</v>
      </c>
      <c r="C535" s="353" t="s">
        <v>1615</v>
      </c>
      <c r="E535" s="354" t="s">
        <v>2696</v>
      </c>
      <c r="F535" s="352" t="s">
        <v>11</v>
      </c>
      <c r="H535" s="356">
        <f t="shared" si="90"/>
        <v>0</v>
      </c>
      <c r="J535" s="351" t="b">
        <f t="shared" si="91"/>
        <v>1</v>
      </c>
    </row>
    <row r="536" spans="1:10" x14ac:dyDescent="0.25">
      <c r="A536" s="352" t="s">
        <v>3947</v>
      </c>
      <c r="B536" s="352" t="s">
        <v>3368</v>
      </c>
      <c r="E536" s="354" t="s">
        <v>2780</v>
      </c>
      <c r="F536" s="352" t="s">
        <v>11</v>
      </c>
      <c r="H536" s="356">
        <f t="shared" si="90"/>
        <v>0</v>
      </c>
      <c r="J536" s="351" t="b">
        <f t="shared" si="91"/>
        <v>1</v>
      </c>
    </row>
    <row r="537" spans="1:10" x14ac:dyDescent="0.25">
      <c r="A537" s="352" t="s">
        <v>3948</v>
      </c>
      <c r="B537" s="352" t="s">
        <v>346</v>
      </c>
      <c r="C537" s="353" t="s">
        <v>1488</v>
      </c>
      <c r="E537" s="354" t="s">
        <v>2698</v>
      </c>
      <c r="F537" s="352" t="s">
        <v>2488</v>
      </c>
      <c r="H537" s="356">
        <f t="shared" si="90"/>
        <v>0</v>
      </c>
      <c r="J537" s="351" t="b">
        <f t="shared" si="91"/>
        <v>1</v>
      </c>
    </row>
    <row r="538" spans="1:10" x14ac:dyDescent="0.25">
      <c r="A538" s="352" t="s">
        <v>3949</v>
      </c>
      <c r="B538" s="352" t="s">
        <v>347</v>
      </c>
      <c r="C538" s="353" t="s">
        <v>1518</v>
      </c>
      <c r="E538" s="354" t="s">
        <v>2700</v>
      </c>
      <c r="F538" s="352" t="s">
        <v>16</v>
      </c>
      <c r="H538" s="356">
        <f t="shared" si="90"/>
        <v>0</v>
      </c>
      <c r="J538" s="351" t="b">
        <f t="shared" si="91"/>
        <v>1</v>
      </c>
    </row>
    <row r="539" spans="1:10" x14ac:dyDescent="0.25">
      <c r="A539" s="352"/>
      <c r="B539" s="352"/>
      <c r="D539" s="351"/>
      <c r="E539" s="354"/>
      <c r="F539" s="352"/>
    </row>
    <row r="540" spans="1:10" x14ac:dyDescent="0.2">
      <c r="A540" s="206" t="s">
        <v>3950</v>
      </c>
      <c r="B540" s="206" t="s">
        <v>2420</v>
      </c>
      <c r="C540" s="206"/>
      <c r="D540" s="206"/>
      <c r="E540" s="207" t="s">
        <v>10273</v>
      </c>
      <c r="F540" s="206"/>
      <c r="G540" s="208"/>
      <c r="H540" s="208"/>
      <c r="I540" s="209"/>
      <c r="J540" s="209"/>
    </row>
    <row r="541" spans="1:10" x14ac:dyDescent="0.25">
      <c r="A541" s="210" t="s">
        <v>3951</v>
      </c>
      <c r="B541" s="357" t="s">
        <v>2420</v>
      </c>
      <c r="C541" s="358"/>
      <c r="D541" s="359"/>
      <c r="E541" s="228" t="s">
        <v>10281</v>
      </c>
      <c r="F541" s="357"/>
      <c r="G541" s="360"/>
      <c r="H541" s="361"/>
      <c r="I541" s="360"/>
      <c r="J541" s="359"/>
    </row>
    <row r="542" spans="1:10" x14ac:dyDescent="0.25">
      <c r="A542" s="349">
        <v>27001001</v>
      </c>
      <c r="B542" s="222" t="s">
        <v>2420</v>
      </c>
      <c r="C542" s="223"/>
      <c r="D542" s="224"/>
      <c r="E542" s="225" t="s">
        <v>10276</v>
      </c>
      <c r="F542" s="222"/>
      <c r="G542" s="226"/>
      <c r="H542" s="227"/>
      <c r="I542" s="226"/>
      <c r="J542" s="224"/>
    </row>
    <row r="543" spans="1:10" x14ac:dyDescent="0.25">
      <c r="A543" s="352" t="s">
        <v>3952</v>
      </c>
      <c r="B543" s="352" t="s">
        <v>165</v>
      </c>
      <c r="C543" s="353" t="s">
        <v>1541</v>
      </c>
      <c r="E543" s="354" t="s">
        <v>2781</v>
      </c>
      <c r="F543" s="352" t="s">
        <v>16</v>
      </c>
      <c r="H543" s="356">
        <f t="shared" ref="H543:H556" si="92">ROUND(I543,2)</f>
        <v>0</v>
      </c>
      <c r="J543" s="351" t="b">
        <f t="shared" ref="J543:J556" si="93">H543=G543</f>
        <v>1</v>
      </c>
    </row>
    <row r="544" spans="1:10" x14ac:dyDescent="0.25">
      <c r="A544" s="352" t="s">
        <v>3953</v>
      </c>
      <c r="B544" s="352" t="s">
        <v>352</v>
      </c>
      <c r="C544" s="353" t="s">
        <v>1436</v>
      </c>
      <c r="E544" s="354" t="s">
        <v>2782</v>
      </c>
      <c r="F544" s="352" t="s">
        <v>16</v>
      </c>
      <c r="H544" s="356">
        <f t="shared" si="92"/>
        <v>0</v>
      </c>
      <c r="J544" s="351" t="b">
        <f t="shared" si="93"/>
        <v>1</v>
      </c>
    </row>
    <row r="545" spans="1:10" x14ac:dyDescent="0.25">
      <c r="A545" s="352" t="s">
        <v>3954</v>
      </c>
      <c r="B545" s="352" t="s">
        <v>353</v>
      </c>
      <c r="C545" s="353" t="s">
        <v>1437</v>
      </c>
      <c r="E545" s="354" t="s">
        <v>2783</v>
      </c>
      <c r="F545" s="352" t="s">
        <v>16</v>
      </c>
      <c r="H545" s="356">
        <f t="shared" si="92"/>
        <v>0</v>
      </c>
      <c r="J545" s="351" t="b">
        <f t="shared" si="93"/>
        <v>1</v>
      </c>
    </row>
    <row r="546" spans="1:10" x14ac:dyDescent="0.25">
      <c r="A546" s="352" t="s">
        <v>3955</v>
      </c>
      <c r="B546" s="352" t="s">
        <v>354</v>
      </c>
      <c r="C546" s="353" t="s">
        <v>1438</v>
      </c>
      <c r="E546" s="354" t="s">
        <v>2784</v>
      </c>
      <c r="F546" s="352" t="s">
        <v>16</v>
      </c>
      <c r="H546" s="356">
        <f t="shared" si="92"/>
        <v>0</v>
      </c>
      <c r="J546" s="351" t="b">
        <f t="shared" si="93"/>
        <v>1</v>
      </c>
    </row>
    <row r="547" spans="1:10" x14ac:dyDescent="0.25">
      <c r="A547" s="352" t="s">
        <v>3956</v>
      </c>
      <c r="B547" s="352" t="s">
        <v>355</v>
      </c>
      <c r="C547" s="353" t="s">
        <v>1439</v>
      </c>
      <c r="E547" s="354" t="s">
        <v>2785</v>
      </c>
      <c r="F547" s="352" t="s">
        <v>16</v>
      </c>
      <c r="H547" s="356">
        <f t="shared" si="92"/>
        <v>0</v>
      </c>
      <c r="J547" s="351" t="b">
        <f t="shared" si="93"/>
        <v>1</v>
      </c>
    </row>
    <row r="548" spans="1:10" x14ac:dyDescent="0.25">
      <c r="A548" s="352" t="s">
        <v>3957</v>
      </c>
      <c r="B548" s="352" t="s">
        <v>356</v>
      </c>
      <c r="C548" s="353" t="s">
        <v>1440</v>
      </c>
      <c r="E548" s="354" t="s">
        <v>2786</v>
      </c>
      <c r="F548" s="352" t="s">
        <v>16</v>
      </c>
      <c r="H548" s="356">
        <f t="shared" si="92"/>
        <v>0</v>
      </c>
      <c r="J548" s="351" t="b">
        <f t="shared" si="93"/>
        <v>1</v>
      </c>
    </row>
    <row r="549" spans="1:10" x14ac:dyDescent="0.25">
      <c r="A549" s="352" t="s">
        <v>3958</v>
      </c>
      <c r="B549" s="352" t="s">
        <v>357</v>
      </c>
      <c r="C549" s="353" t="s">
        <v>1550</v>
      </c>
      <c r="E549" s="354" t="s">
        <v>2787</v>
      </c>
      <c r="F549" s="352" t="s">
        <v>16</v>
      </c>
      <c r="H549" s="356">
        <f t="shared" si="92"/>
        <v>0</v>
      </c>
      <c r="J549" s="351" t="b">
        <f t="shared" si="93"/>
        <v>1</v>
      </c>
    </row>
    <row r="550" spans="1:10" x14ac:dyDescent="0.25">
      <c r="A550" s="352" t="s">
        <v>3959</v>
      </c>
      <c r="B550" s="352" t="s">
        <v>168</v>
      </c>
      <c r="C550" s="353" t="s">
        <v>1549</v>
      </c>
      <c r="E550" s="354" t="s">
        <v>2788</v>
      </c>
      <c r="F550" s="352" t="s">
        <v>16</v>
      </c>
      <c r="H550" s="356">
        <f t="shared" si="92"/>
        <v>0</v>
      </c>
      <c r="J550" s="351" t="b">
        <f t="shared" si="93"/>
        <v>1</v>
      </c>
    </row>
    <row r="551" spans="1:10" x14ac:dyDescent="0.25">
      <c r="A551" s="349">
        <v>27001002</v>
      </c>
      <c r="B551" s="222" t="s">
        <v>2420</v>
      </c>
      <c r="C551" s="223"/>
      <c r="D551" s="224"/>
      <c r="E551" s="225" t="s">
        <v>10277</v>
      </c>
      <c r="F551" s="222"/>
      <c r="G551" s="226"/>
      <c r="H551" s="227"/>
      <c r="I551" s="226"/>
      <c r="J551" s="224"/>
    </row>
    <row r="552" spans="1:10" x14ac:dyDescent="0.25">
      <c r="A552" s="368">
        <v>27002002001</v>
      </c>
      <c r="B552" s="352" t="s">
        <v>169</v>
      </c>
      <c r="C552" s="353" t="s">
        <v>1685</v>
      </c>
      <c r="E552" s="354" t="s">
        <v>2789</v>
      </c>
      <c r="F552" s="352" t="s">
        <v>16</v>
      </c>
      <c r="H552" s="356">
        <f t="shared" si="92"/>
        <v>0</v>
      </c>
      <c r="J552" s="351" t="b">
        <f t="shared" si="93"/>
        <v>1</v>
      </c>
    </row>
    <row r="553" spans="1:10" x14ac:dyDescent="0.25">
      <c r="A553" s="368">
        <v>27002002001</v>
      </c>
      <c r="B553" s="352" t="s">
        <v>358</v>
      </c>
      <c r="C553" s="353" t="s">
        <v>1657</v>
      </c>
      <c r="E553" s="354" t="s">
        <v>2790</v>
      </c>
      <c r="F553" s="352" t="s">
        <v>16</v>
      </c>
      <c r="H553" s="356">
        <f t="shared" si="92"/>
        <v>0</v>
      </c>
      <c r="J553" s="351" t="b">
        <f t="shared" si="93"/>
        <v>1</v>
      </c>
    </row>
    <row r="554" spans="1:10" x14ac:dyDescent="0.25">
      <c r="A554" s="368">
        <v>27002002001</v>
      </c>
      <c r="B554" s="352" t="s">
        <v>359</v>
      </c>
      <c r="C554" s="353" t="s">
        <v>1519</v>
      </c>
      <c r="E554" s="354" t="s">
        <v>2791</v>
      </c>
      <c r="F554" s="352" t="s">
        <v>16</v>
      </c>
      <c r="H554" s="356">
        <f t="shared" si="92"/>
        <v>0</v>
      </c>
      <c r="J554" s="351" t="b">
        <f t="shared" si="93"/>
        <v>1</v>
      </c>
    </row>
    <row r="555" spans="1:10" x14ac:dyDescent="0.25">
      <c r="A555" s="349">
        <v>27001003</v>
      </c>
      <c r="B555" s="222" t="s">
        <v>2420</v>
      </c>
      <c r="C555" s="223"/>
      <c r="D555" s="224"/>
      <c r="E555" s="225" t="s">
        <v>10278</v>
      </c>
      <c r="F555" s="222"/>
      <c r="G555" s="226"/>
      <c r="H555" s="227"/>
      <c r="I555" s="226"/>
      <c r="J555" s="224"/>
    </row>
    <row r="556" spans="1:10" x14ac:dyDescent="0.25">
      <c r="A556" s="368">
        <v>27001003001</v>
      </c>
      <c r="B556" s="352" t="s">
        <v>3369</v>
      </c>
      <c r="C556" s="353" t="s">
        <v>360</v>
      </c>
      <c r="E556" s="354" t="s">
        <v>2792</v>
      </c>
      <c r="F556" s="352" t="s">
        <v>16</v>
      </c>
      <c r="H556" s="356">
        <f t="shared" si="92"/>
        <v>0</v>
      </c>
      <c r="J556" s="351" t="b">
        <f t="shared" si="93"/>
        <v>1</v>
      </c>
    </row>
    <row r="557" spans="1:10" x14ac:dyDescent="0.25">
      <c r="A557" s="210" t="s">
        <v>3960</v>
      </c>
      <c r="B557" s="357"/>
      <c r="C557" s="358"/>
      <c r="D557" s="359"/>
      <c r="E557" s="228" t="s">
        <v>10282</v>
      </c>
      <c r="F557" s="357"/>
      <c r="G557" s="360"/>
      <c r="H557" s="361"/>
      <c r="I557" s="360"/>
      <c r="J557" s="359"/>
    </row>
    <row r="558" spans="1:10" x14ac:dyDescent="0.25">
      <c r="A558" s="222" t="s">
        <v>3961</v>
      </c>
      <c r="B558" s="222" t="s">
        <v>2420</v>
      </c>
      <c r="C558" s="223"/>
      <c r="D558" s="224"/>
      <c r="E558" s="225" t="s">
        <v>10280</v>
      </c>
      <c r="F558" s="222"/>
      <c r="G558" s="226"/>
      <c r="H558" s="227"/>
      <c r="I558" s="226"/>
      <c r="J558" s="224"/>
    </row>
    <row r="559" spans="1:10" x14ac:dyDescent="0.25">
      <c r="A559" s="352" t="s">
        <v>3962</v>
      </c>
      <c r="B559" s="352" t="s">
        <v>177</v>
      </c>
      <c r="C559" s="353" t="s">
        <v>1508</v>
      </c>
      <c r="E559" s="354" t="s">
        <v>2793</v>
      </c>
      <c r="F559" s="352" t="s">
        <v>16</v>
      </c>
      <c r="H559" s="356">
        <f t="shared" ref="H559:H577" si="94">ROUND(I559,2)</f>
        <v>0</v>
      </c>
      <c r="J559" s="351" t="b">
        <f t="shared" ref="J559:J577" si="95">H559=G559</f>
        <v>1</v>
      </c>
    </row>
    <row r="560" spans="1:10" x14ac:dyDescent="0.25">
      <c r="A560" s="352" t="s">
        <v>3963</v>
      </c>
      <c r="B560" s="352" t="s">
        <v>370</v>
      </c>
      <c r="C560" s="353" t="s">
        <v>1364</v>
      </c>
      <c r="E560" s="354" t="s">
        <v>2794</v>
      </c>
      <c r="F560" s="352" t="s">
        <v>16</v>
      </c>
      <c r="H560" s="356">
        <f t="shared" si="94"/>
        <v>0</v>
      </c>
      <c r="J560" s="351" t="b">
        <f t="shared" si="95"/>
        <v>1</v>
      </c>
    </row>
    <row r="561" spans="1:10" x14ac:dyDescent="0.25">
      <c r="A561" s="352" t="s">
        <v>3964</v>
      </c>
      <c r="B561" s="352" t="s">
        <v>371</v>
      </c>
      <c r="C561" s="353" t="s">
        <v>1599</v>
      </c>
      <c r="E561" s="354" t="s">
        <v>2795</v>
      </c>
      <c r="F561" s="352" t="s">
        <v>16</v>
      </c>
      <c r="H561" s="356">
        <f t="shared" si="94"/>
        <v>0</v>
      </c>
      <c r="J561" s="351" t="b">
        <f t="shared" si="95"/>
        <v>1</v>
      </c>
    </row>
    <row r="562" spans="1:10" x14ac:dyDescent="0.25">
      <c r="A562" s="352" t="s">
        <v>3965</v>
      </c>
      <c r="B562" s="352" t="s">
        <v>372</v>
      </c>
      <c r="C562" s="353" t="s">
        <v>1547</v>
      </c>
      <c r="E562" s="354" t="s">
        <v>2796</v>
      </c>
      <c r="F562" s="352" t="s">
        <v>16</v>
      </c>
      <c r="H562" s="356">
        <f t="shared" si="94"/>
        <v>0</v>
      </c>
      <c r="J562" s="351" t="b">
        <f t="shared" si="95"/>
        <v>1</v>
      </c>
    </row>
    <row r="563" spans="1:10" x14ac:dyDescent="0.25">
      <c r="A563" s="352" t="s">
        <v>3966</v>
      </c>
      <c r="B563" s="352" t="s">
        <v>373</v>
      </c>
      <c r="C563" s="353" t="s">
        <v>1612</v>
      </c>
      <c r="E563" s="354" t="s">
        <v>2797</v>
      </c>
      <c r="F563" s="352" t="s">
        <v>16</v>
      </c>
      <c r="H563" s="356">
        <f t="shared" si="94"/>
        <v>0</v>
      </c>
      <c r="J563" s="351" t="b">
        <f t="shared" si="95"/>
        <v>1</v>
      </c>
    </row>
    <row r="564" spans="1:10" x14ac:dyDescent="0.25">
      <c r="A564" s="352" t="s">
        <v>3967</v>
      </c>
      <c r="B564" s="352" t="s">
        <v>175</v>
      </c>
      <c r="C564" s="353" t="s">
        <v>1568</v>
      </c>
      <c r="E564" s="354" t="s">
        <v>2798</v>
      </c>
      <c r="F564" s="352" t="s">
        <v>16</v>
      </c>
      <c r="H564" s="356">
        <f t="shared" si="94"/>
        <v>0</v>
      </c>
      <c r="J564" s="351" t="b">
        <f t="shared" si="95"/>
        <v>1</v>
      </c>
    </row>
    <row r="565" spans="1:10" x14ac:dyDescent="0.25">
      <c r="A565" s="352" t="s">
        <v>3968</v>
      </c>
      <c r="B565" s="352" t="s">
        <v>176</v>
      </c>
      <c r="C565" s="353" t="s">
        <v>1450</v>
      </c>
      <c r="E565" s="354" t="s">
        <v>2799</v>
      </c>
      <c r="F565" s="352" t="s">
        <v>16</v>
      </c>
      <c r="H565" s="356">
        <f t="shared" si="94"/>
        <v>0</v>
      </c>
      <c r="J565" s="351" t="b">
        <f t="shared" si="95"/>
        <v>1</v>
      </c>
    </row>
    <row r="566" spans="1:10" x14ac:dyDescent="0.25">
      <c r="A566" s="352" t="s">
        <v>3969</v>
      </c>
      <c r="B566" s="352" t="s">
        <v>166</v>
      </c>
      <c r="C566" s="353" t="s">
        <v>1451</v>
      </c>
      <c r="E566" s="354" t="s">
        <v>2800</v>
      </c>
      <c r="F566" s="352" t="s">
        <v>16</v>
      </c>
      <c r="H566" s="356">
        <f t="shared" si="94"/>
        <v>0</v>
      </c>
      <c r="J566" s="351" t="b">
        <f t="shared" si="95"/>
        <v>1</v>
      </c>
    </row>
    <row r="567" spans="1:10" x14ac:dyDescent="0.25">
      <c r="A567" s="352" t="s">
        <v>3970</v>
      </c>
      <c r="B567" s="352" t="s">
        <v>374</v>
      </c>
      <c r="C567" s="353" t="s">
        <v>1452</v>
      </c>
      <c r="E567" s="354" t="s">
        <v>2801</v>
      </c>
      <c r="F567" s="352" t="s">
        <v>16</v>
      </c>
      <c r="H567" s="356">
        <f t="shared" si="94"/>
        <v>0</v>
      </c>
      <c r="J567" s="351" t="b">
        <f t="shared" si="95"/>
        <v>1</v>
      </c>
    </row>
    <row r="568" spans="1:10" x14ac:dyDescent="0.25">
      <c r="A568" s="352" t="s">
        <v>3971</v>
      </c>
      <c r="B568" s="352" t="s">
        <v>375</v>
      </c>
      <c r="C568" s="353" t="s">
        <v>1453</v>
      </c>
      <c r="E568" s="354" t="s">
        <v>2802</v>
      </c>
      <c r="F568" s="352" t="s">
        <v>16</v>
      </c>
      <c r="H568" s="356">
        <f t="shared" si="94"/>
        <v>0</v>
      </c>
      <c r="J568" s="351" t="b">
        <f t="shared" si="95"/>
        <v>1</v>
      </c>
    </row>
    <row r="569" spans="1:10" x14ac:dyDescent="0.25">
      <c r="A569" s="352" t="s">
        <v>3972</v>
      </c>
      <c r="B569" s="352" t="s">
        <v>167</v>
      </c>
      <c r="C569" s="353" t="s">
        <v>1454</v>
      </c>
      <c r="E569" s="354" t="s">
        <v>2803</v>
      </c>
      <c r="F569" s="352" t="s">
        <v>16</v>
      </c>
      <c r="H569" s="356">
        <f t="shared" si="94"/>
        <v>0</v>
      </c>
      <c r="J569" s="351" t="b">
        <f t="shared" si="95"/>
        <v>1</v>
      </c>
    </row>
    <row r="570" spans="1:10" x14ac:dyDescent="0.25">
      <c r="A570" s="349">
        <v>27002002</v>
      </c>
      <c r="B570" s="222" t="s">
        <v>2420</v>
      </c>
      <c r="C570" s="223"/>
      <c r="D570" s="224"/>
      <c r="E570" s="225" t="s">
        <v>10279</v>
      </c>
      <c r="F570" s="222"/>
      <c r="G570" s="226"/>
      <c r="H570" s="227"/>
      <c r="I570" s="226"/>
      <c r="J570" s="224"/>
    </row>
    <row r="571" spans="1:10" x14ac:dyDescent="0.25">
      <c r="A571" s="368">
        <v>27002002001</v>
      </c>
      <c r="B571" s="352" t="s">
        <v>376</v>
      </c>
      <c r="C571" s="353" t="s">
        <v>1684</v>
      </c>
      <c r="E571" s="354" t="s">
        <v>2804</v>
      </c>
      <c r="F571" s="352" t="s">
        <v>16</v>
      </c>
      <c r="H571" s="356">
        <f t="shared" si="94"/>
        <v>0</v>
      </c>
      <c r="J571" s="351" t="b">
        <f t="shared" si="95"/>
        <v>1</v>
      </c>
    </row>
    <row r="572" spans="1:10" x14ac:dyDescent="0.25">
      <c r="A572" s="368">
        <v>27002002002</v>
      </c>
      <c r="B572" s="352" t="s">
        <v>377</v>
      </c>
      <c r="C572" s="353" t="s">
        <v>1327</v>
      </c>
      <c r="E572" s="354" t="s">
        <v>2805</v>
      </c>
      <c r="F572" s="352" t="s">
        <v>16</v>
      </c>
      <c r="H572" s="356">
        <f t="shared" si="94"/>
        <v>0</v>
      </c>
      <c r="J572" s="351" t="b">
        <f t="shared" si="95"/>
        <v>1</v>
      </c>
    </row>
    <row r="573" spans="1:10" x14ac:dyDescent="0.25">
      <c r="A573" s="368">
        <v>27002002003</v>
      </c>
      <c r="B573" s="352" t="s">
        <v>378</v>
      </c>
      <c r="C573" s="353" t="s">
        <v>1687</v>
      </c>
      <c r="E573" s="354" t="s">
        <v>2806</v>
      </c>
      <c r="F573" s="352" t="s">
        <v>16</v>
      </c>
      <c r="H573" s="356">
        <f t="shared" si="94"/>
        <v>0</v>
      </c>
      <c r="J573" s="351" t="b">
        <f t="shared" si="95"/>
        <v>1</v>
      </c>
    </row>
    <row r="574" spans="1:10" x14ac:dyDescent="0.25">
      <c r="A574" s="368">
        <v>27002002004</v>
      </c>
      <c r="B574" s="352" t="s">
        <v>379</v>
      </c>
      <c r="C574" s="353" t="s">
        <v>1552</v>
      </c>
      <c r="E574" s="354" t="s">
        <v>2807</v>
      </c>
      <c r="F574" s="352" t="s">
        <v>16</v>
      </c>
      <c r="H574" s="356">
        <f t="shared" si="94"/>
        <v>0</v>
      </c>
      <c r="J574" s="351" t="b">
        <f t="shared" si="95"/>
        <v>1</v>
      </c>
    </row>
    <row r="575" spans="1:10" x14ac:dyDescent="0.25">
      <c r="A575" s="368">
        <v>27002002005</v>
      </c>
      <c r="B575" s="352" t="s">
        <v>380</v>
      </c>
      <c r="C575" s="353" t="s">
        <v>1593</v>
      </c>
      <c r="E575" s="354" t="s">
        <v>2808</v>
      </c>
      <c r="F575" s="352" t="s">
        <v>16</v>
      </c>
      <c r="H575" s="356">
        <f t="shared" si="94"/>
        <v>0</v>
      </c>
      <c r="J575" s="351" t="b">
        <f t="shared" si="95"/>
        <v>1</v>
      </c>
    </row>
    <row r="576" spans="1:10" x14ac:dyDescent="0.25">
      <c r="A576" s="368">
        <v>27002002006</v>
      </c>
      <c r="B576" s="352" t="s">
        <v>178</v>
      </c>
      <c r="C576" s="353" t="s">
        <v>1592</v>
      </c>
      <c r="E576" s="354" t="s">
        <v>2809</v>
      </c>
      <c r="F576" s="352" t="s">
        <v>16</v>
      </c>
      <c r="H576" s="356">
        <f t="shared" si="94"/>
        <v>0</v>
      </c>
      <c r="J576" s="351" t="b">
        <f t="shared" si="95"/>
        <v>1</v>
      </c>
    </row>
    <row r="577" spans="1:10" x14ac:dyDescent="0.25">
      <c r="A577" s="368">
        <v>27002002007</v>
      </c>
      <c r="B577" s="352" t="s">
        <v>381</v>
      </c>
      <c r="C577" s="353" t="s">
        <v>1521</v>
      </c>
      <c r="E577" s="354" t="s">
        <v>2810</v>
      </c>
      <c r="F577" s="352" t="s">
        <v>16</v>
      </c>
      <c r="H577" s="356">
        <f t="shared" si="94"/>
        <v>0</v>
      </c>
      <c r="J577" s="351" t="b">
        <f t="shared" si="95"/>
        <v>1</v>
      </c>
    </row>
    <row r="578" spans="1:10" x14ac:dyDescent="0.25">
      <c r="A578" s="349">
        <v>27002003</v>
      </c>
      <c r="B578" s="222"/>
      <c r="C578" s="223"/>
      <c r="D578" s="224"/>
      <c r="E578" s="225" t="s">
        <v>2811</v>
      </c>
      <c r="F578" s="222"/>
      <c r="G578" s="226"/>
      <c r="H578" s="227"/>
      <c r="I578" s="226"/>
      <c r="J578" s="224"/>
    </row>
    <row r="579" spans="1:10" x14ac:dyDescent="0.25">
      <c r="A579" s="368">
        <v>27002003001</v>
      </c>
      <c r="B579" s="352" t="s">
        <v>3370</v>
      </c>
      <c r="C579" s="353" t="s">
        <v>3371</v>
      </c>
      <c r="E579" s="354" t="s">
        <v>2812</v>
      </c>
      <c r="F579" s="352" t="s">
        <v>16</v>
      </c>
      <c r="H579" s="356">
        <f t="shared" ref="H579:H581" si="96">ROUND(I579,2)</f>
        <v>0</v>
      </c>
      <c r="J579" s="351" t="b">
        <f t="shared" ref="J579:J581" si="97">H579=G579</f>
        <v>1</v>
      </c>
    </row>
    <row r="580" spans="1:10" x14ac:dyDescent="0.25">
      <c r="A580" s="368">
        <v>27002003002</v>
      </c>
      <c r="B580" s="352" t="s">
        <v>3372</v>
      </c>
      <c r="C580" s="353" t="s">
        <v>3373</v>
      </c>
      <c r="E580" s="354" t="s">
        <v>2813</v>
      </c>
      <c r="F580" s="352" t="s">
        <v>16</v>
      </c>
      <c r="H580" s="356">
        <f t="shared" si="96"/>
        <v>0</v>
      </c>
      <c r="J580" s="351" t="b">
        <f t="shared" si="97"/>
        <v>1</v>
      </c>
    </row>
    <row r="581" spans="1:10" x14ac:dyDescent="0.25">
      <c r="A581" s="368">
        <v>27002003003</v>
      </c>
      <c r="B581" s="352" t="s">
        <v>3374</v>
      </c>
      <c r="C581" s="353" t="s">
        <v>2259</v>
      </c>
      <c r="E581" s="354" t="s">
        <v>2814</v>
      </c>
      <c r="F581" s="352" t="s">
        <v>16</v>
      </c>
      <c r="H581" s="356">
        <f t="shared" si="96"/>
        <v>0</v>
      </c>
      <c r="J581" s="351" t="b">
        <f t="shared" si="97"/>
        <v>1</v>
      </c>
    </row>
    <row r="582" spans="1:10" x14ac:dyDescent="0.25">
      <c r="A582" s="349">
        <v>27002004</v>
      </c>
      <c r="B582" s="222" t="s">
        <v>2420</v>
      </c>
      <c r="C582" s="223"/>
      <c r="D582" s="224"/>
      <c r="E582" s="225" t="s">
        <v>2815</v>
      </c>
      <c r="F582" s="222"/>
      <c r="G582" s="226"/>
      <c r="H582" s="227"/>
      <c r="I582" s="226"/>
      <c r="J582" s="224"/>
    </row>
    <row r="583" spans="1:10" x14ac:dyDescent="0.25">
      <c r="A583" s="368">
        <v>27002004001</v>
      </c>
      <c r="B583" s="352" t="s">
        <v>186</v>
      </c>
      <c r="E583" s="354" t="s">
        <v>2816</v>
      </c>
      <c r="F583" s="352" t="s">
        <v>16</v>
      </c>
      <c r="H583" s="356">
        <f t="shared" ref="H583" si="98">ROUND(I583,2)</f>
        <v>0</v>
      </c>
      <c r="J583" s="351" t="b">
        <f t="shared" ref="J583" si="99">H583=G583</f>
        <v>1</v>
      </c>
    </row>
    <row r="584" spans="1:10" x14ac:dyDescent="0.25">
      <c r="A584" s="349">
        <v>27002005</v>
      </c>
      <c r="B584" s="222" t="s">
        <v>2420</v>
      </c>
      <c r="C584" s="223"/>
      <c r="D584" s="224"/>
      <c r="E584" s="225" t="s">
        <v>2817</v>
      </c>
      <c r="F584" s="222"/>
      <c r="G584" s="226"/>
      <c r="H584" s="227"/>
      <c r="I584" s="226"/>
      <c r="J584" s="224"/>
    </row>
    <row r="585" spans="1:10" x14ac:dyDescent="0.25">
      <c r="A585" s="350">
        <v>27002005001</v>
      </c>
      <c r="B585" s="352" t="s">
        <v>2420</v>
      </c>
      <c r="D585" s="351"/>
      <c r="E585" s="229" t="s">
        <v>3</v>
      </c>
      <c r="F585" s="352"/>
    </row>
    <row r="586" spans="1:10" x14ac:dyDescent="0.25">
      <c r="A586" s="368">
        <v>27002005001001</v>
      </c>
      <c r="B586" s="352" t="s">
        <v>382</v>
      </c>
      <c r="C586" s="353" t="s">
        <v>1510</v>
      </c>
      <c r="E586" s="354" t="s">
        <v>2818</v>
      </c>
      <c r="F586" s="352" t="s">
        <v>2488</v>
      </c>
      <c r="H586" s="356">
        <f t="shared" ref="H586:H595" si="100">ROUND(I586,2)</f>
        <v>0</v>
      </c>
      <c r="J586" s="351" t="b">
        <f t="shared" ref="J586:J595" si="101">H586=G586</f>
        <v>1</v>
      </c>
    </row>
    <row r="587" spans="1:10" x14ac:dyDescent="0.25">
      <c r="A587" s="368">
        <v>27002005001002</v>
      </c>
      <c r="B587" s="352" t="s">
        <v>383</v>
      </c>
      <c r="C587" s="353" t="s">
        <v>1573</v>
      </c>
      <c r="E587" s="354" t="s">
        <v>2819</v>
      </c>
      <c r="F587" s="352" t="s">
        <v>2488</v>
      </c>
      <c r="H587" s="356">
        <f t="shared" si="100"/>
        <v>0</v>
      </c>
      <c r="J587" s="351" t="b">
        <f t="shared" si="101"/>
        <v>1</v>
      </c>
    </row>
    <row r="588" spans="1:10" x14ac:dyDescent="0.25">
      <c r="A588" s="368">
        <v>27002005001003</v>
      </c>
      <c r="B588" s="352" t="s">
        <v>384</v>
      </c>
      <c r="C588" s="353" t="s">
        <v>1680</v>
      </c>
      <c r="E588" s="354" t="s">
        <v>2820</v>
      </c>
      <c r="F588" s="352" t="s">
        <v>2488</v>
      </c>
      <c r="H588" s="356">
        <f t="shared" si="100"/>
        <v>0</v>
      </c>
      <c r="J588" s="351" t="b">
        <f t="shared" si="101"/>
        <v>1</v>
      </c>
    </row>
    <row r="589" spans="1:10" x14ac:dyDescent="0.25">
      <c r="A589" s="368">
        <v>27002005001004</v>
      </c>
      <c r="B589" s="352" t="s">
        <v>385</v>
      </c>
      <c r="C589" s="353" t="s">
        <v>1474</v>
      </c>
      <c r="E589" s="354" t="s">
        <v>2821</v>
      </c>
      <c r="F589" s="352" t="s">
        <v>2488</v>
      </c>
      <c r="H589" s="356">
        <f t="shared" si="100"/>
        <v>0</v>
      </c>
      <c r="J589" s="351" t="b">
        <f t="shared" si="101"/>
        <v>1</v>
      </c>
    </row>
    <row r="590" spans="1:10" x14ac:dyDescent="0.25">
      <c r="A590" s="368">
        <v>27002005001005</v>
      </c>
      <c r="B590" s="352" t="s">
        <v>386</v>
      </c>
      <c r="C590" s="353" t="s">
        <v>1738</v>
      </c>
      <c r="E590" s="354" t="s">
        <v>2822</v>
      </c>
      <c r="F590" s="352" t="s">
        <v>2488</v>
      </c>
      <c r="H590" s="356">
        <f t="shared" si="100"/>
        <v>0</v>
      </c>
      <c r="J590" s="351" t="b">
        <f t="shared" si="101"/>
        <v>1</v>
      </c>
    </row>
    <row r="591" spans="1:10" x14ac:dyDescent="0.25">
      <c r="A591" s="368">
        <v>27002005001006</v>
      </c>
      <c r="B591" s="352" t="s">
        <v>387</v>
      </c>
      <c r="C591" s="353" t="s">
        <v>1658</v>
      </c>
      <c r="E591" s="354" t="s">
        <v>2823</v>
      </c>
      <c r="F591" s="352" t="s">
        <v>2488</v>
      </c>
      <c r="H591" s="356">
        <f t="shared" si="100"/>
        <v>0</v>
      </c>
      <c r="J591" s="351" t="b">
        <f t="shared" si="101"/>
        <v>1</v>
      </c>
    </row>
    <row r="592" spans="1:10" x14ac:dyDescent="0.25">
      <c r="A592" s="368">
        <v>27002005001007</v>
      </c>
      <c r="B592" s="352" t="s">
        <v>388</v>
      </c>
      <c r="C592" s="353" t="s">
        <v>1693</v>
      </c>
      <c r="E592" s="354" t="s">
        <v>2824</v>
      </c>
      <c r="F592" s="352" t="s">
        <v>2488</v>
      </c>
      <c r="H592" s="356">
        <f t="shared" si="100"/>
        <v>0</v>
      </c>
      <c r="J592" s="351" t="b">
        <f t="shared" si="101"/>
        <v>1</v>
      </c>
    </row>
    <row r="593" spans="1:10" x14ac:dyDescent="0.25">
      <c r="A593" s="368">
        <v>27002005001008</v>
      </c>
      <c r="B593" s="352" t="s">
        <v>389</v>
      </c>
      <c r="C593" s="353" t="s">
        <v>1585</v>
      </c>
      <c r="E593" s="354" t="s">
        <v>2825</v>
      </c>
      <c r="F593" s="352" t="s">
        <v>2488</v>
      </c>
      <c r="H593" s="356">
        <f t="shared" si="100"/>
        <v>0</v>
      </c>
      <c r="J593" s="351" t="b">
        <f t="shared" si="101"/>
        <v>1</v>
      </c>
    </row>
    <row r="594" spans="1:10" x14ac:dyDescent="0.25">
      <c r="A594" s="368">
        <v>27002005001009</v>
      </c>
      <c r="B594" s="352" t="s">
        <v>180</v>
      </c>
      <c r="C594" s="353" t="s">
        <v>1672</v>
      </c>
      <c r="E594" s="354" t="s">
        <v>2826</v>
      </c>
      <c r="F594" s="352" t="s">
        <v>2488</v>
      </c>
      <c r="H594" s="356">
        <f t="shared" si="100"/>
        <v>0</v>
      </c>
      <c r="J594" s="351" t="b">
        <f t="shared" si="101"/>
        <v>1</v>
      </c>
    </row>
    <row r="595" spans="1:10" x14ac:dyDescent="0.25">
      <c r="A595" s="368">
        <v>27002005001010</v>
      </c>
      <c r="B595" s="352" t="s">
        <v>181</v>
      </c>
      <c r="C595" s="353" t="s">
        <v>1691</v>
      </c>
      <c r="E595" s="354" t="s">
        <v>2827</v>
      </c>
      <c r="F595" s="352" t="s">
        <v>2488</v>
      </c>
      <c r="H595" s="356">
        <f t="shared" si="100"/>
        <v>0</v>
      </c>
      <c r="J595" s="351" t="b">
        <f t="shared" si="101"/>
        <v>1</v>
      </c>
    </row>
    <row r="596" spans="1:10" x14ac:dyDescent="0.25">
      <c r="A596" s="350">
        <v>27002005002</v>
      </c>
      <c r="B596" s="352" t="s">
        <v>2420</v>
      </c>
      <c r="D596" s="351"/>
      <c r="E596" s="229" t="s">
        <v>6</v>
      </c>
      <c r="F596" s="352"/>
    </row>
    <row r="597" spans="1:10" x14ac:dyDescent="0.25">
      <c r="A597" s="368">
        <v>27002005002001</v>
      </c>
      <c r="B597" s="352" t="s">
        <v>182</v>
      </c>
      <c r="C597" s="353" t="s">
        <v>1255</v>
      </c>
      <c r="E597" s="354" t="s">
        <v>2828</v>
      </c>
      <c r="F597" s="352" t="s">
        <v>2488</v>
      </c>
      <c r="H597" s="356">
        <f>ROUND(I597,2)</f>
        <v>0</v>
      </c>
      <c r="J597" s="351" t="b">
        <f>H597=G597</f>
        <v>1</v>
      </c>
    </row>
    <row r="598" spans="1:10" x14ac:dyDescent="0.25">
      <c r="A598" s="368">
        <v>27002005002002</v>
      </c>
      <c r="B598" s="352" t="s">
        <v>390</v>
      </c>
      <c r="C598" s="353" t="s">
        <v>1406</v>
      </c>
      <c r="E598" s="354" t="s">
        <v>2829</v>
      </c>
      <c r="F598" s="352" t="s">
        <v>2488</v>
      </c>
      <c r="H598" s="356">
        <f>ROUND(I598,2)</f>
        <v>0</v>
      </c>
      <c r="J598" s="351" t="b">
        <f>H598=G598</f>
        <v>1</v>
      </c>
    </row>
    <row r="599" spans="1:10" x14ac:dyDescent="0.25">
      <c r="A599" s="368">
        <v>27002005002003</v>
      </c>
      <c r="B599" s="352" t="s">
        <v>391</v>
      </c>
      <c r="C599" s="353" t="s">
        <v>1256</v>
      </c>
      <c r="E599" s="354" t="s">
        <v>2830</v>
      </c>
      <c r="F599" s="352" t="s">
        <v>2488</v>
      </c>
      <c r="H599" s="356">
        <f>ROUND(I599,2)</f>
        <v>0</v>
      </c>
      <c r="J599" s="351" t="b">
        <f>H599=G599</f>
        <v>1</v>
      </c>
    </row>
    <row r="600" spans="1:10" x14ac:dyDescent="0.25">
      <c r="A600" s="368">
        <v>27002005002004</v>
      </c>
      <c r="B600" s="352" t="s">
        <v>392</v>
      </c>
      <c r="C600" s="353" t="s">
        <v>1580</v>
      </c>
      <c r="E600" s="354" t="s">
        <v>2831</v>
      </c>
      <c r="F600" s="352" t="s">
        <v>2488</v>
      </c>
      <c r="H600" s="356">
        <f>ROUND(I600,2)</f>
        <v>0</v>
      </c>
      <c r="J600" s="351" t="b">
        <f>H600=G600</f>
        <v>1</v>
      </c>
    </row>
    <row r="601" spans="1:10" x14ac:dyDescent="0.25">
      <c r="A601" s="350">
        <v>27002005003</v>
      </c>
      <c r="B601" s="352" t="s">
        <v>2420</v>
      </c>
      <c r="D601" s="351"/>
      <c r="E601" s="229" t="s">
        <v>1009</v>
      </c>
      <c r="F601" s="352"/>
    </row>
    <row r="602" spans="1:10" x14ac:dyDescent="0.25">
      <c r="A602" s="368">
        <v>27002005003001</v>
      </c>
      <c r="B602" s="371" t="s">
        <v>2832</v>
      </c>
      <c r="C602" s="369" t="s">
        <v>1732</v>
      </c>
      <c r="D602" s="351"/>
      <c r="E602" s="370" t="s">
        <v>2833</v>
      </c>
      <c r="F602" s="352" t="s">
        <v>2488</v>
      </c>
      <c r="H602" s="356">
        <f>ROUND(I602,2)</f>
        <v>0</v>
      </c>
      <c r="J602" s="351" t="b">
        <f>H602=G602</f>
        <v>1</v>
      </c>
    </row>
    <row r="603" spans="1:10" x14ac:dyDescent="0.25">
      <c r="A603" s="350">
        <v>27002005004</v>
      </c>
      <c r="B603" s="352" t="s">
        <v>2420</v>
      </c>
      <c r="D603" s="351"/>
      <c r="E603" s="229" t="s">
        <v>2834</v>
      </c>
      <c r="F603" s="352"/>
    </row>
    <row r="604" spans="1:10" x14ac:dyDescent="0.25">
      <c r="A604" s="368">
        <v>27002005004001</v>
      </c>
      <c r="B604" s="352" t="s">
        <v>361</v>
      </c>
      <c r="C604" s="353" t="s">
        <v>1755</v>
      </c>
      <c r="E604" s="354" t="s">
        <v>2835</v>
      </c>
      <c r="F604" s="352" t="s">
        <v>2488</v>
      </c>
      <c r="H604" s="356">
        <f>ROUND(I604,2)</f>
        <v>0</v>
      </c>
      <c r="J604" s="351" t="b">
        <f>H604=G604</f>
        <v>1</v>
      </c>
    </row>
    <row r="605" spans="1:10" x14ac:dyDescent="0.25">
      <c r="A605" s="368">
        <v>27002005004002</v>
      </c>
      <c r="B605" s="352" t="s">
        <v>362</v>
      </c>
      <c r="C605" s="353" t="s">
        <v>1731</v>
      </c>
      <c r="E605" s="354" t="s">
        <v>2836</v>
      </c>
      <c r="F605" s="352" t="s">
        <v>2488</v>
      </c>
      <c r="H605" s="356">
        <f>ROUND(I605,2)</f>
        <v>0</v>
      </c>
      <c r="J605" s="351" t="b">
        <f>H605=G605</f>
        <v>1</v>
      </c>
    </row>
    <row r="606" spans="1:10" x14ac:dyDescent="0.25">
      <c r="A606" s="368">
        <v>27002005004003</v>
      </c>
      <c r="B606" s="352" t="s">
        <v>363</v>
      </c>
      <c r="C606" s="353" t="s">
        <v>1317</v>
      </c>
      <c r="E606" s="354" t="s">
        <v>2837</v>
      </c>
      <c r="F606" s="352" t="s">
        <v>2488</v>
      </c>
      <c r="H606" s="356">
        <f>ROUND(I606,2)</f>
        <v>0</v>
      </c>
      <c r="J606" s="351" t="b">
        <f>H606=G606</f>
        <v>1</v>
      </c>
    </row>
    <row r="607" spans="1:10" x14ac:dyDescent="0.25">
      <c r="A607" s="368">
        <v>27002005004004</v>
      </c>
      <c r="B607" s="352" t="s">
        <v>364</v>
      </c>
      <c r="C607" s="353" t="s">
        <v>1523</v>
      </c>
      <c r="E607" s="354" t="s">
        <v>2838</v>
      </c>
      <c r="F607" s="352" t="s">
        <v>2488</v>
      </c>
      <c r="H607" s="356">
        <f>ROUND(I607,2)</f>
        <v>0</v>
      </c>
      <c r="J607" s="351" t="b">
        <f>H607=G607</f>
        <v>1</v>
      </c>
    </row>
    <row r="608" spans="1:10" x14ac:dyDescent="0.25">
      <c r="A608" s="210" t="s">
        <v>3973</v>
      </c>
      <c r="B608" s="357" t="s">
        <v>2420</v>
      </c>
      <c r="C608" s="358"/>
      <c r="D608" s="359"/>
      <c r="E608" s="228" t="s">
        <v>10283</v>
      </c>
      <c r="F608" s="357"/>
      <c r="G608" s="360"/>
      <c r="H608" s="361"/>
      <c r="I608" s="360"/>
      <c r="J608" s="359"/>
    </row>
    <row r="609" spans="1:10" x14ac:dyDescent="0.25">
      <c r="A609" s="352" t="s">
        <v>3974</v>
      </c>
      <c r="B609" s="352" t="s">
        <v>165</v>
      </c>
      <c r="C609" s="353" t="s">
        <v>1541</v>
      </c>
      <c r="E609" s="354" t="s">
        <v>2781</v>
      </c>
      <c r="F609" s="352" t="s">
        <v>16</v>
      </c>
      <c r="H609" s="356">
        <f t="shared" ref="H609:H611" si="102">ROUND(I609,2)</f>
        <v>0</v>
      </c>
      <c r="J609" s="351" t="b">
        <f t="shared" ref="J609:J611" si="103">H609=G609</f>
        <v>1</v>
      </c>
    </row>
    <row r="610" spans="1:10" x14ac:dyDescent="0.25">
      <c r="A610" s="352" t="s">
        <v>3975</v>
      </c>
      <c r="B610" s="352" t="s">
        <v>352</v>
      </c>
      <c r="C610" s="353" t="s">
        <v>1436</v>
      </c>
      <c r="E610" s="354" t="s">
        <v>2782</v>
      </c>
      <c r="F610" s="352" t="s">
        <v>16</v>
      </c>
      <c r="H610" s="356">
        <f t="shared" si="102"/>
        <v>0</v>
      </c>
      <c r="J610" s="351" t="b">
        <f t="shared" si="103"/>
        <v>1</v>
      </c>
    </row>
    <row r="611" spans="1:10" x14ac:dyDescent="0.25">
      <c r="A611" s="352" t="s">
        <v>3976</v>
      </c>
      <c r="B611" s="352" t="s">
        <v>353</v>
      </c>
      <c r="C611" s="353" t="s">
        <v>1437</v>
      </c>
      <c r="E611" s="354" t="s">
        <v>2783</v>
      </c>
      <c r="F611" s="352" t="s">
        <v>16</v>
      </c>
      <c r="H611" s="356">
        <f t="shared" si="102"/>
        <v>0</v>
      </c>
      <c r="J611" s="351" t="b">
        <f t="shared" si="103"/>
        <v>1</v>
      </c>
    </row>
    <row r="612" spans="1:10" x14ac:dyDescent="0.25">
      <c r="A612" s="352"/>
      <c r="B612" s="352"/>
      <c r="D612" s="351"/>
      <c r="E612" s="354"/>
      <c r="F612" s="352"/>
    </row>
    <row r="613" spans="1:10" x14ac:dyDescent="0.2">
      <c r="A613" s="206" t="s">
        <v>3977</v>
      </c>
      <c r="B613" s="206" t="s">
        <v>2420</v>
      </c>
      <c r="C613" s="206"/>
      <c r="D613" s="206"/>
      <c r="E613" s="207" t="s">
        <v>2839</v>
      </c>
      <c r="F613" s="206"/>
      <c r="G613" s="208"/>
      <c r="H613" s="208"/>
      <c r="I613" s="209"/>
      <c r="J613" s="209"/>
    </row>
    <row r="614" spans="1:10" x14ac:dyDescent="0.25">
      <c r="A614" s="352" t="s">
        <v>3978</v>
      </c>
      <c r="B614" s="352" t="s">
        <v>393</v>
      </c>
      <c r="C614" s="353" t="s">
        <v>1478</v>
      </c>
      <c r="E614" s="354" t="s">
        <v>2840</v>
      </c>
      <c r="F614" s="352" t="s">
        <v>16</v>
      </c>
      <c r="H614" s="356">
        <f t="shared" ref="H614:H619" si="104">ROUND(I614,2)</f>
        <v>0</v>
      </c>
      <c r="J614" s="351" t="b">
        <f t="shared" ref="J614:J619" si="105">H614=G614</f>
        <v>1</v>
      </c>
    </row>
    <row r="615" spans="1:10" x14ac:dyDescent="0.25">
      <c r="A615" s="352" t="s">
        <v>3979</v>
      </c>
      <c r="B615" s="352" t="s">
        <v>394</v>
      </c>
      <c r="C615" s="353" t="s">
        <v>1681</v>
      </c>
      <c r="E615" s="354" t="s">
        <v>2841</v>
      </c>
      <c r="F615" s="352" t="s">
        <v>16</v>
      </c>
      <c r="H615" s="356">
        <f t="shared" si="104"/>
        <v>0</v>
      </c>
      <c r="J615" s="351" t="b">
        <f t="shared" si="105"/>
        <v>1</v>
      </c>
    </row>
    <row r="616" spans="1:10" x14ac:dyDescent="0.25">
      <c r="A616" s="352" t="s">
        <v>3980</v>
      </c>
      <c r="B616" s="352" t="s">
        <v>395</v>
      </c>
      <c r="C616" s="353" t="s">
        <v>1639</v>
      </c>
      <c r="E616" s="354" t="s">
        <v>2842</v>
      </c>
      <c r="F616" s="352" t="s">
        <v>16</v>
      </c>
      <c r="H616" s="356">
        <f t="shared" si="104"/>
        <v>0</v>
      </c>
      <c r="J616" s="351" t="b">
        <f t="shared" si="105"/>
        <v>1</v>
      </c>
    </row>
    <row r="617" spans="1:10" x14ac:dyDescent="0.25">
      <c r="A617" s="352" t="s">
        <v>3981</v>
      </c>
      <c r="B617" s="352" t="s">
        <v>396</v>
      </c>
      <c r="C617" s="353" t="s">
        <v>1477</v>
      </c>
      <c r="E617" s="354" t="s">
        <v>2843</v>
      </c>
      <c r="F617" s="352" t="s">
        <v>16</v>
      </c>
      <c r="H617" s="356">
        <f t="shared" si="104"/>
        <v>0</v>
      </c>
      <c r="J617" s="351" t="b">
        <f t="shared" si="105"/>
        <v>1</v>
      </c>
    </row>
    <row r="618" spans="1:10" x14ac:dyDescent="0.25">
      <c r="A618" s="352" t="s">
        <v>3982</v>
      </c>
      <c r="B618" s="352" t="s">
        <v>397</v>
      </c>
      <c r="C618" s="353" t="s">
        <v>1522</v>
      </c>
      <c r="E618" s="354" t="s">
        <v>2844</v>
      </c>
      <c r="F618" s="352" t="s">
        <v>16</v>
      </c>
      <c r="H618" s="356">
        <f t="shared" si="104"/>
        <v>0</v>
      </c>
      <c r="J618" s="351" t="b">
        <f t="shared" si="105"/>
        <v>1</v>
      </c>
    </row>
    <row r="619" spans="1:10" x14ac:dyDescent="0.25">
      <c r="A619" s="352" t="s">
        <v>3983</v>
      </c>
      <c r="B619" s="352" t="s">
        <v>184</v>
      </c>
      <c r="C619" s="353" t="s">
        <v>1560</v>
      </c>
      <c r="E619" s="354" t="s">
        <v>2845</v>
      </c>
      <c r="F619" s="352" t="s">
        <v>16</v>
      </c>
      <c r="H619" s="356">
        <f t="shared" si="104"/>
        <v>0</v>
      </c>
      <c r="J619" s="351" t="b">
        <f t="shared" si="105"/>
        <v>1</v>
      </c>
    </row>
    <row r="620" spans="1:10" x14ac:dyDescent="0.25">
      <c r="A620" s="352"/>
      <c r="B620" s="352"/>
      <c r="D620" s="351"/>
      <c r="E620" s="354"/>
      <c r="F620" s="352"/>
    </row>
    <row r="621" spans="1:10" x14ac:dyDescent="0.2">
      <c r="A621" s="206" t="s">
        <v>3984</v>
      </c>
      <c r="B621" s="206" t="s">
        <v>2420</v>
      </c>
      <c r="C621" s="206"/>
      <c r="D621" s="206"/>
      <c r="E621" s="207" t="s">
        <v>2846</v>
      </c>
      <c r="F621" s="206"/>
      <c r="G621" s="208"/>
      <c r="H621" s="208"/>
      <c r="I621" s="209"/>
      <c r="J621" s="209"/>
    </row>
    <row r="622" spans="1:10" x14ac:dyDescent="0.25">
      <c r="A622" s="352" t="s">
        <v>3985</v>
      </c>
      <c r="B622" s="352" t="s">
        <v>402</v>
      </c>
      <c r="E622" s="354" t="s">
        <v>2847</v>
      </c>
      <c r="F622" s="352" t="s">
        <v>16</v>
      </c>
      <c r="H622" s="356">
        <f t="shared" ref="H622:H630" si="106">ROUND(I622,2)</f>
        <v>0</v>
      </c>
      <c r="J622" s="351" t="b">
        <f t="shared" ref="J622:J630" si="107">H622=G622</f>
        <v>1</v>
      </c>
    </row>
    <row r="623" spans="1:10" x14ac:dyDescent="0.25">
      <c r="A623" s="352" t="s">
        <v>3986</v>
      </c>
      <c r="B623" s="352" t="s">
        <v>403</v>
      </c>
      <c r="E623" s="354" t="s">
        <v>2848</v>
      </c>
      <c r="F623" s="352" t="s">
        <v>2488</v>
      </c>
      <c r="H623" s="356">
        <f t="shared" si="106"/>
        <v>0</v>
      </c>
      <c r="J623" s="351" t="b">
        <f t="shared" si="107"/>
        <v>1</v>
      </c>
    </row>
    <row r="624" spans="1:10" x14ac:dyDescent="0.25">
      <c r="A624" s="352" t="s">
        <v>3987</v>
      </c>
      <c r="B624" s="352" t="s">
        <v>404</v>
      </c>
      <c r="C624" s="353" t="s">
        <v>1551</v>
      </c>
      <c r="E624" s="354" t="s">
        <v>2849</v>
      </c>
      <c r="F624" s="352" t="s">
        <v>16</v>
      </c>
      <c r="H624" s="356">
        <f t="shared" si="106"/>
        <v>0</v>
      </c>
      <c r="J624" s="351" t="b">
        <f t="shared" si="107"/>
        <v>1</v>
      </c>
    </row>
    <row r="625" spans="1:10" x14ac:dyDescent="0.25">
      <c r="A625" s="352" t="s">
        <v>3988</v>
      </c>
      <c r="B625" s="352" t="s">
        <v>405</v>
      </c>
      <c r="C625" s="353" t="s">
        <v>3375</v>
      </c>
      <c r="E625" s="354" t="s">
        <v>2850</v>
      </c>
      <c r="F625" s="352" t="s">
        <v>16</v>
      </c>
      <c r="H625" s="356">
        <f t="shared" si="106"/>
        <v>0</v>
      </c>
      <c r="J625" s="351" t="b">
        <f t="shared" si="107"/>
        <v>1</v>
      </c>
    </row>
    <row r="626" spans="1:10" x14ac:dyDescent="0.25">
      <c r="A626" s="352" t="s">
        <v>3989</v>
      </c>
      <c r="B626" s="352" t="s">
        <v>406</v>
      </c>
      <c r="C626" s="353" t="s">
        <v>1445</v>
      </c>
      <c r="E626" s="354" t="s">
        <v>2851</v>
      </c>
      <c r="F626" s="352" t="s">
        <v>16</v>
      </c>
      <c r="H626" s="356">
        <f t="shared" si="106"/>
        <v>0</v>
      </c>
      <c r="J626" s="351" t="b">
        <f t="shared" si="107"/>
        <v>1</v>
      </c>
    </row>
    <row r="627" spans="1:10" x14ac:dyDescent="0.25">
      <c r="A627" s="352" t="s">
        <v>3990</v>
      </c>
      <c r="B627" s="352" t="s">
        <v>407</v>
      </c>
      <c r="C627" s="353" t="s">
        <v>1686</v>
      </c>
      <c r="E627" s="354" t="s">
        <v>2852</v>
      </c>
      <c r="F627" s="352" t="s">
        <v>16</v>
      </c>
      <c r="H627" s="356">
        <f t="shared" si="106"/>
        <v>0</v>
      </c>
      <c r="J627" s="351" t="b">
        <f t="shared" si="107"/>
        <v>1</v>
      </c>
    </row>
    <row r="628" spans="1:10" x14ac:dyDescent="0.25">
      <c r="A628" s="352" t="s">
        <v>3991</v>
      </c>
      <c r="B628" s="352" t="s">
        <v>408</v>
      </c>
      <c r="C628" s="353" t="s">
        <v>1520</v>
      </c>
      <c r="E628" s="354" t="s">
        <v>2853</v>
      </c>
      <c r="F628" s="352" t="s">
        <v>16</v>
      </c>
      <c r="H628" s="356">
        <f t="shared" si="106"/>
        <v>0</v>
      </c>
      <c r="J628" s="351" t="b">
        <f t="shared" si="107"/>
        <v>1</v>
      </c>
    </row>
    <row r="629" spans="1:10" x14ac:dyDescent="0.25">
      <c r="A629" s="352" t="s">
        <v>3992</v>
      </c>
      <c r="B629" s="352" t="s">
        <v>3376</v>
      </c>
      <c r="C629" s="353" t="s">
        <v>2057</v>
      </c>
      <c r="E629" s="354" t="s">
        <v>2854</v>
      </c>
      <c r="F629" s="352" t="s">
        <v>16</v>
      </c>
      <c r="H629" s="356">
        <f t="shared" si="106"/>
        <v>0</v>
      </c>
      <c r="J629" s="351" t="b">
        <f t="shared" si="107"/>
        <v>1</v>
      </c>
    </row>
    <row r="630" spans="1:10" x14ac:dyDescent="0.25">
      <c r="A630" s="353" t="s">
        <v>3993</v>
      </c>
      <c r="B630" s="352" t="s">
        <v>3377</v>
      </c>
      <c r="C630" s="353" t="s">
        <v>3378</v>
      </c>
      <c r="E630" s="354" t="s">
        <v>2855</v>
      </c>
      <c r="F630" s="352" t="s">
        <v>16</v>
      </c>
      <c r="H630" s="356">
        <f t="shared" si="106"/>
        <v>0</v>
      </c>
      <c r="J630" s="351" t="b">
        <f t="shared" si="107"/>
        <v>1</v>
      </c>
    </row>
    <row r="631" spans="1:10" x14ac:dyDescent="0.25">
      <c r="A631" s="216" t="s">
        <v>3994</v>
      </c>
      <c r="B631" s="352" t="s">
        <v>2420</v>
      </c>
      <c r="E631" s="217" t="s">
        <v>2856</v>
      </c>
      <c r="F631" s="352"/>
    </row>
    <row r="632" spans="1:10" x14ac:dyDescent="0.25">
      <c r="A632" s="352" t="s">
        <v>3995</v>
      </c>
      <c r="B632" s="352" t="s">
        <v>348</v>
      </c>
      <c r="E632" s="354" t="s">
        <v>2663</v>
      </c>
      <c r="F632" s="352" t="s">
        <v>16</v>
      </c>
      <c r="H632" s="356">
        <f t="shared" ref="H632:H643" si="108">ROUND(I632,2)</f>
        <v>0</v>
      </c>
      <c r="J632" s="351" t="b">
        <f t="shared" ref="J632:J643" si="109">H632=G632</f>
        <v>1</v>
      </c>
    </row>
    <row r="633" spans="1:10" x14ac:dyDescent="0.25">
      <c r="A633" s="352" t="s">
        <v>3996</v>
      </c>
      <c r="B633" s="352" t="s">
        <v>411</v>
      </c>
      <c r="C633" s="353" t="s">
        <v>1643</v>
      </c>
      <c r="E633" s="354" t="s">
        <v>2857</v>
      </c>
      <c r="F633" s="352" t="s">
        <v>16</v>
      </c>
      <c r="H633" s="356">
        <f t="shared" si="108"/>
        <v>0</v>
      </c>
      <c r="J633" s="351" t="b">
        <f t="shared" si="109"/>
        <v>1</v>
      </c>
    </row>
    <row r="634" spans="1:10" x14ac:dyDescent="0.25">
      <c r="A634" s="352" t="s">
        <v>3997</v>
      </c>
      <c r="B634" s="352" t="s">
        <v>412</v>
      </c>
      <c r="C634" s="353" t="s">
        <v>1643</v>
      </c>
      <c r="E634" s="354" t="s">
        <v>2858</v>
      </c>
      <c r="F634" s="352" t="s">
        <v>16</v>
      </c>
      <c r="H634" s="356">
        <f t="shared" si="108"/>
        <v>0</v>
      </c>
      <c r="J634" s="351" t="b">
        <f t="shared" si="109"/>
        <v>1</v>
      </c>
    </row>
    <row r="635" spans="1:10" x14ac:dyDescent="0.25">
      <c r="A635" s="352" t="s">
        <v>3998</v>
      </c>
      <c r="B635" s="352" t="s">
        <v>187</v>
      </c>
      <c r="C635" s="353" t="s">
        <v>1891</v>
      </c>
      <c r="E635" s="354" t="s">
        <v>2859</v>
      </c>
      <c r="F635" s="352" t="s">
        <v>16</v>
      </c>
      <c r="H635" s="356">
        <f t="shared" si="108"/>
        <v>0</v>
      </c>
      <c r="J635" s="351" t="b">
        <f t="shared" si="109"/>
        <v>1</v>
      </c>
    </row>
    <row r="636" spans="1:10" x14ac:dyDescent="0.25">
      <c r="A636" s="352" t="s">
        <v>3999</v>
      </c>
      <c r="B636" s="352" t="s">
        <v>413</v>
      </c>
      <c r="C636" s="353" t="s">
        <v>1379</v>
      </c>
      <c r="E636" s="354" t="s">
        <v>2860</v>
      </c>
      <c r="F636" s="352" t="s">
        <v>2488</v>
      </c>
      <c r="H636" s="356">
        <f t="shared" si="108"/>
        <v>0</v>
      </c>
      <c r="J636" s="351" t="b">
        <f t="shared" si="109"/>
        <v>1</v>
      </c>
    </row>
    <row r="637" spans="1:10" x14ac:dyDescent="0.25">
      <c r="A637" s="352" t="s">
        <v>4000</v>
      </c>
      <c r="B637" s="352" t="s">
        <v>414</v>
      </c>
      <c r="C637" s="353" t="s">
        <v>1261</v>
      </c>
      <c r="E637" s="354" t="s">
        <v>2861</v>
      </c>
      <c r="F637" s="352" t="s">
        <v>2488</v>
      </c>
      <c r="H637" s="356">
        <f t="shared" si="108"/>
        <v>0</v>
      </c>
      <c r="J637" s="351" t="b">
        <f t="shared" si="109"/>
        <v>1</v>
      </c>
    </row>
    <row r="638" spans="1:10" x14ac:dyDescent="0.25">
      <c r="A638" s="352" t="s">
        <v>4001</v>
      </c>
      <c r="B638" s="352" t="s">
        <v>415</v>
      </c>
      <c r="C638" s="353" t="s">
        <v>1632</v>
      </c>
      <c r="E638" s="354" t="s">
        <v>2862</v>
      </c>
      <c r="F638" s="352" t="s">
        <v>2488</v>
      </c>
      <c r="H638" s="356">
        <f t="shared" si="108"/>
        <v>0</v>
      </c>
      <c r="J638" s="351" t="b">
        <f t="shared" si="109"/>
        <v>1</v>
      </c>
    </row>
    <row r="639" spans="1:10" x14ac:dyDescent="0.25">
      <c r="A639" s="352" t="s">
        <v>4002</v>
      </c>
      <c r="B639" s="352" t="s">
        <v>183</v>
      </c>
      <c r="C639" s="353" t="s">
        <v>1367</v>
      </c>
      <c r="E639" s="354" t="s">
        <v>2863</v>
      </c>
      <c r="F639" s="352" t="s">
        <v>2488</v>
      </c>
      <c r="H639" s="356">
        <f t="shared" si="108"/>
        <v>0</v>
      </c>
      <c r="J639" s="351" t="b">
        <f t="shared" si="109"/>
        <v>1</v>
      </c>
    </row>
    <row r="640" spans="1:10" x14ac:dyDescent="0.25">
      <c r="A640" s="352" t="s">
        <v>4003</v>
      </c>
      <c r="B640" s="352" t="s">
        <v>416</v>
      </c>
      <c r="C640" s="353" t="s">
        <v>1566</v>
      </c>
      <c r="E640" s="354" t="s">
        <v>2864</v>
      </c>
      <c r="F640" s="352" t="s">
        <v>2488</v>
      </c>
      <c r="H640" s="356">
        <f t="shared" si="108"/>
        <v>0</v>
      </c>
      <c r="J640" s="351" t="b">
        <f t="shared" si="109"/>
        <v>1</v>
      </c>
    </row>
    <row r="641" spans="1:11" x14ac:dyDescent="0.25">
      <c r="A641" s="352" t="s">
        <v>4004</v>
      </c>
      <c r="B641" s="352" t="s">
        <v>417</v>
      </c>
      <c r="C641" s="353" t="s">
        <v>1491</v>
      </c>
      <c r="E641" s="354" t="s">
        <v>2865</v>
      </c>
      <c r="F641" s="352" t="s">
        <v>2488</v>
      </c>
      <c r="H641" s="356">
        <f t="shared" si="108"/>
        <v>0</v>
      </c>
      <c r="J641" s="351" t="b">
        <f t="shared" si="109"/>
        <v>1</v>
      </c>
    </row>
    <row r="642" spans="1:11" x14ac:dyDescent="0.25">
      <c r="A642" s="352" t="s">
        <v>4005</v>
      </c>
      <c r="B642" s="352" t="s">
        <v>418</v>
      </c>
      <c r="C642" s="353" t="s">
        <v>1556</v>
      </c>
      <c r="E642" s="354" t="s">
        <v>2866</v>
      </c>
      <c r="F642" s="352" t="s">
        <v>2488</v>
      </c>
      <c r="H642" s="356">
        <f t="shared" si="108"/>
        <v>0</v>
      </c>
      <c r="J642" s="351" t="b">
        <f t="shared" si="109"/>
        <v>1</v>
      </c>
    </row>
    <row r="643" spans="1:11" x14ac:dyDescent="0.25">
      <c r="A643" s="352" t="s">
        <v>4006</v>
      </c>
      <c r="B643" s="352" t="s">
        <v>419</v>
      </c>
      <c r="C643" s="353" t="s">
        <v>1581</v>
      </c>
      <c r="E643" s="354" t="s">
        <v>2867</v>
      </c>
      <c r="F643" s="352" t="s">
        <v>2488</v>
      </c>
      <c r="H643" s="356">
        <f t="shared" si="108"/>
        <v>0</v>
      </c>
      <c r="J643" s="351" t="b">
        <f t="shared" si="109"/>
        <v>1</v>
      </c>
    </row>
    <row r="644" spans="1:11" x14ac:dyDescent="0.25">
      <c r="A644" s="352"/>
      <c r="B644" s="352"/>
      <c r="D644" s="351"/>
      <c r="E644" s="354"/>
      <c r="F644" s="352"/>
    </row>
    <row r="645" spans="1:11" x14ac:dyDescent="0.2">
      <c r="A645" s="206" t="s">
        <v>4007</v>
      </c>
      <c r="B645" s="206" t="s">
        <v>2420</v>
      </c>
      <c r="C645" s="206"/>
      <c r="D645" s="206"/>
      <c r="E645" s="207" t="s">
        <v>2869</v>
      </c>
      <c r="F645" s="206"/>
      <c r="G645" s="208"/>
      <c r="H645" s="208"/>
      <c r="I645" s="209"/>
      <c r="J645" s="209"/>
    </row>
    <row r="646" spans="1:11" x14ac:dyDescent="0.25">
      <c r="A646" s="352" t="s">
        <v>4008</v>
      </c>
      <c r="B646" s="352" t="s">
        <v>3379</v>
      </c>
      <c r="C646" s="353" t="s">
        <v>170</v>
      </c>
      <c r="E646" s="354" t="s">
        <v>2870</v>
      </c>
      <c r="F646" s="352" t="s">
        <v>16</v>
      </c>
      <c r="H646" s="356">
        <f t="shared" ref="H646:H649" si="110">ROUND(I646,2)</f>
        <v>0</v>
      </c>
      <c r="J646" s="351" t="b">
        <f t="shared" ref="J646:J649" si="111">H646=G646</f>
        <v>1</v>
      </c>
    </row>
    <row r="647" spans="1:11" x14ac:dyDescent="0.25">
      <c r="A647" s="352" t="s">
        <v>4009</v>
      </c>
      <c r="B647" s="352" t="s">
        <v>3380</v>
      </c>
      <c r="C647" s="353" t="s">
        <v>171</v>
      </c>
      <c r="E647" s="354" t="s">
        <v>2871</v>
      </c>
      <c r="F647" s="352" t="s">
        <v>2488</v>
      </c>
      <c r="H647" s="356">
        <f t="shared" si="110"/>
        <v>0</v>
      </c>
      <c r="J647" s="351" t="b">
        <f t="shared" si="111"/>
        <v>1</v>
      </c>
    </row>
    <row r="648" spans="1:11" x14ac:dyDescent="0.25">
      <c r="A648" s="352" t="s">
        <v>4010</v>
      </c>
      <c r="B648" s="352" t="s">
        <v>3381</v>
      </c>
      <c r="C648" s="353" t="s">
        <v>1981</v>
      </c>
      <c r="E648" s="354" t="s">
        <v>2872</v>
      </c>
      <c r="F648" s="352" t="s">
        <v>16</v>
      </c>
      <c r="H648" s="356">
        <f t="shared" si="110"/>
        <v>0</v>
      </c>
      <c r="J648" s="351" t="b">
        <f t="shared" si="111"/>
        <v>1</v>
      </c>
    </row>
    <row r="649" spans="1:11" x14ac:dyDescent="0.25">
      <c r="A649" s="352" t="s">
        <v>4011</v>
      </c>
      <c r="B649" s="352" t="s">
        <v>3382</v>
      </c>
      <c r="C649" s="353" t="s">
        <v>3383</v>
      </c>
      <c r="E649" s="354" t="s">
        <v>2873</v>
      </c>
      <c r="F649" s="352" t="s">
        <v>16</v>
      </c>
      <c r="H649" s="356">
        <f t="shared" si="110"/>
        <v>0</v>
      </c>
      <c r="J649" s="351" t="b">
        <f t="shared" si="111"/>
        <v>1</v>
      </c>
    </row>
    <row r="650" spans="1:11" x14ac:dyDescent="0.25">
      <c r="A650" s="210" t="s">
        <v>4012</v>
      </c>
      <c r="B650" s="357" t="s">
        <v>3384</v>
      </c>
      <c r="C650" s="358"/>
      <c r="D650" s="359"/>
      <c r="E650" s="228" t="s">
        <v>2868</v>
      </c>
      <c r="F650" s="357"/>
      <c r="G650" s="360"/>
      <c r="H650" s="361"/>
      <c r="I650" s="360"/>
      <c r="J650" s="359"/>
    </row>
    <row r="651" spans="1:11" x14ac:dyDescent="0.25">
      <c r="A651" s="352"/>
      <c r="B651" s="352"/>
      <c r="D651" s="351"/>
      <c r="E651" s="354"/>
      <c r="F651" s="352"/>
    </row>
    <row r="652" spans="1:11" x14ac:dyDescent="0.2">
      <c r="A652" s="206" t="s">
        <v>4013</v>
      </c>
      <c r="B652" s="206" t="s">
        <v>2420</v>
      </c>
      <c r="C652" s="206"/>
      <c r="D652" s="206"/>
      <c r="E652" s="207" t="s">
        <v>2874</v>
      </c>
      <c r="F652" s="206"/>
      <c r="G652" s="208"/>
      <c r="H652" s="208"/>
      <c r="I652" s="209"/>
      <c r="J652" s="209"/>
      <c r="K652" s="374"/>
    </row>
    <row r="653" spans="1:11" x14ac:dyDescent="0.25">
      <c r="A653" s="352" t="s">
        <v>4014</v>
      </c>
      <c r="B653" s="352" t="s">
        <v>420</v>
      </c>
      <c r="E653" s="354" t="s">
        <v>421</v>
      </c>
      <c r="F653" s="352" t="s">
        <v>16</v>
      </c>
      <c r="H653" s="356">
        <f t="shared" ref="H653:H655" si="112">ROUND(I653,2)</f>
        <v>0</v>
      </c>
      <c r="J653" s="351" t="b">
        <f t="shared" ref="J653:J655" si="113">H653=G653</f>
        <v>1</v>
      </c>
    </row>
    <row r="654" spans="1:11" x14ac:dyDescent="0.25">
      <c r="A654" s="352" t="s">
        <v>4015</v>
      </c>
      <c r="B654" s="352" t="s">
        <v>422</v>
      </c>
      <c r="C654" s="353" t="s">
        <v>1887</v>
      </c>
      <c r="E654" s="354" t="s">
        <v>2875</v>
      </c>
      <c r="F654" s="352" t="s">
        <v>16</v>
      </c>
      <c r="H654" s="356">
        <f t="shared" si="112"/>
        <v>0</v>
      </c>
      <c r="J654" s="351" t="b">
        <f t="shared" si="113"/>
        <v>1</v>
      </c>
      <c r="K654" s="374"/>
    </row>
    <row r="655" spans="1:11" x14ac:dyDescent="0.25">
      <c r="A655" s="352" t="s">
        <v>4016</v>
      </c>
      <c r="B655" s="352" t="s">
        <v>426</v>
      </c>
      <c r="C655" s="353" t="s">
        <v>1911</v>
      </c>
      <c r="E655" s="354" t="s">
        <v>2876</v>
      </c>
      <c r="F655" s="352" t="s">
        <v>16</v>
      </c>
      <c r="H655" s="356">
        <f t="shared" si="112"/>
        <v>0</v>
      </c>
      <c r="J655" s="351" t="b">
        <f t="shared" si="113"/>
        <v>1</v>
      </c>
    </row>
    <row r="656" spans="1:11" x14ac:dyDescent="0.25">
      <c r="A656" s="352"/>
      <c r="B656" s="352"/>
      <c r="D656" s="351"/>
      <c r="E656" s="354"/>
      <c r="F656" s="352"/>
    </row>
    <row r="657" spans="1:10" x14ac:dyDescent="0.2">
      <c r="A657" s="206" t="s">
        <v>4017</v>
      </c>
      <c r="B657" s="206" t="s">
        <v>2420</v>
      </c>
      <c r="C657" s="206"/>
      <c r="D657" s="206"/>
      <c r="E657" s="207" t="s">
        <v>2877</v>
      </c>
      <c r="F657" s="206"/>
      <c r="G657" s="208"/>
      <c r="H657" s="208"/>
      <c r="I657" s="209"/>
      <c r="J657" s="209"/>
    </row>
    <row r="658" spans="1:10" x14ac:dyDescent="0.25">
      <c r="A658" s="352" t="s">
        <v>4018</v>
      </c>
      <c r="B658" s="352" t="s">
        <v>2420</v>
      </c>
      <c r="E658" s="354" t="s">
        <v>2878</v>
      </c>
      <c r="F658" s="352" t="s">
        <v>16</v>
      </c>
      <c r="H658" s="356">
        <f t="shared" ref="H658:H662" si="114">ROUND(I658,2)</f>
        <v>0</v>
      </c>
      <c r="J658" s="351" t="b">
        <f t="shared" ref="J658:J662" si="115">H658=G658</f>
        <v>1</v>
      </c>
    </row>
    <row r="659" spans="1:10" x14ac:dyDescent="0.25">
      <c r="A659" s="352" t="s">
        <v>4019</v>
      </c>
      <c r="B659" s="352" t="s">
        <v>429</v>
      </c>
      <c r="E659" s="354" t="s">
        <v>2879</v>
      </c>
      <c r="F659" s="352" t="s">
        <v>16</v>
      </c>
      <c r="H659" s="356">
        <f t="shared" si="114"/>
        <v>0</v>
      </c>
      <c r="J659" s="351" t="b">
        <f t="shared" si="115"/>
        <v>1</v>
      </c>
    </row>
    <row r="660" spans="1:10" x14ac:dyDescent="0.25">
      <c r="A660" s="352" t="s">
        <v>4020</v>
      </c>
      <c r="B660" s="352" t="s">
        <v>430</v>
      </c>
      <c r="C660" s="353" t="s">
        <v>1419</v>
      </c>
      <c r="E660" s="354" t="s">
        <v>2880</v>
      </c>
      <c r="F660" s="352" t="s">
        <v>16</v>
      </c>
      <c r="H660" s="356">
        <f t="shared" si="114"/>
        <v>0</v>
      </c>
      <c r="J660" s="351" t="b">
        <f t="shared" si="115"/>
        <v>1</v>
      </c>
    </row>
    <row r="661" spans="1:10" x14ac:dyDescent="0.25">
      <c r="A661" s="352" t="s">
        <v>4021</v>
      </c>
      <c r="B661" s="352" t="s">
        <v>431</v>
      </c>
      <c r="C661" s="353" t="s">
        <v>1640</v>
      </c>
      <c r="E661" s="354" t="s">
        <v>2881</v>
      </c>
      <c r="F661" s="352" t="s">
        <v>2488</v>
      </c>
      <c r="H661" s="356">
        <f t="shared" si="114"/>
        <v>0</v>
      </c>
      <c r="J661" s="351" t="b">
        <f t="shared" si="115"/>
        <v>1</v>
      </c>
    </row>
    <row r="662" spans="1:10" x14ac:dyDescent="0.25">
      <c r="A662" s="352" t="s">
        <v>4022</v>
      </c>
      <c r="B662" s="352" t="s">
        <v>432</v>
      </c>
      <c r="C662" s="353" t="s">
        <v>1388</v>
      </c>
      <c r="E662" s="354" t="s">
        <v>2882</v>
      </c>
      <c r="F662" s="352" t="s">
        <v>2488</v>
      </c>
      <c r="H662" s="356">
        <f t="shared" si="114"/>
        <v>0</v>
      </c>
      <c r="J662" s="351" t="b">
        <f t="shared" si="115"/>
        <v>1</v>
      </c>
    </row>
    <row r="663" spans="1:10" x14ac:dyDescent="0.25">
      <c r="A663" s="352"/>
      <c r="B663" s="352"/>
      <c r="D663" s="351"/>
      <c r="E663" s="354"/>
      <c r="F663" s="352"/>
    </row>
    <row r="664" spans="1:10" x14ac:dyDescent="0.2">
      <c r="A664" s="206" t="s">
        <v>4023</v>
      </c>
      <c r="B664" s="206" t="s">
        <v>2420</v>
      </c>
      <c r="C664" s="206"/>
      <c r="D664" s="206"/>
      <c r="E664" s="207" t="s">
        <v>2883</v>
      </c>
      <c r="F664" s="206"/>
      <c r="G664" s="208"/>
      <c r="H664" s="208"/>
      <c r="I664" s="209"/>
      <c r="J664" s="209"/>
    </row>
    <row r="665" spans="1:10" x14ac:dyDescent="0.25">
      <c r="A665" s="352" t="s">
        <v>4024</v>
      </c>
      <c r="B665" s="352" t="s">
        <v>3385</v>
      </c>
      <c r="C665" s="353" t="s">
        <v>488</v>
      </c>
      <c r="E665" s="370" t="s">
        <v>2884</v>
      </c>
      <c r="F665" s="352" t="s">
        <v>2338</v>
      </c>
      <c r="H665" s="356">
        <f t="shared" ref="H665:H666" si="116">ROUND(I665,2)</f>
        <v>0</v>
      </c>
      <c r="J665" s="351" t="b">
        <f t="shared" ref="J665:J666" si="117">H665=G665</f>
        <v>1</v>
      </c>
    </row>
    <row r="666" spans="1:10" x14ac:dyDescent="0.25">
      <c r="A666" s="352" t="s">
        <v>4025</v>
      </c>
      <c r="B666" s="352" t="s">
        <v>3386</v>
      </c>
      <c r="C666" s="353" t="s">
        <v>207</v>
      </c>
      <c r="E666" s="370" t="s">
        <v>2885</v>
      </c>
      <c r="F666" s="352" t="s">
        <v>2338</v>
      </c>
      <c r="H666" s="356">
        <f t="shared" si="116"/>
        <v>0</v>
      </c>
      <c r="J666" s="351" t="b">
        <f t="shared" si="117"/>
        <v>1</v>
      </c>
    </row>
    <row r="667" spans="1:10" x14ac:dyDescent="0.25">
      <c r="A667" s="352" t="s">
        <v>4026</v>
      </c>
      <c r="B667" s="352" t="s">
        <v>3387</v>
      </c>
      <c r="C667" s="353" t="s">
        <v>3388</v>
      </c>
      <c r="E667" s="354" t="s">
        <v>2886</v>
      </c>
      <c r="F667" s="352" t="s">
        <v>2338</v>
      </c>
      <c r="H667" s="356">
        <f>ROUND(I667,2)</f>
        <v>0</v>
      </c>
      <c r="J667" s="351" t="b">
        <f>H667=G667</f>
        <v>1</v>
      </c>
    </row>
    <row r="668" spans="1:10" x14ac:dyDescent="0.25">
      <c r="A668" s="352" t="s">
        <v>4027</v>
      </c>
      <c r="B668" s="352" t="s">
        <v>3389</v>
      </c>
      <c r="C668" s="353" t="s">
        <v>3390</v>
      </c>
      <c r="E668" s="354" t="s">
        <v>2887</v>
      </c>
      <c r="F668" s="352" t="s">
        <v>2338</v>
      </c>
      <c r="H668" s="356">
        <f>ROUND(I668,2)</f>
        <v>0</v>
      </c>
      <c r="J668" s="351" t="b">
        <f>H668=G668</f>
        <v>1</v>
      </c>
    </row>
    <row r="669" spans="1:10" x14ac:dyDescent="0.25">
      <c r="A669" s="216" t="s">
        <v>4028</v>
      </c>
      <c r="B669" s="352" t="s">
        <v>2420</v>
      </c>
      <c r="D669" s="351"/>
      <c r="E669" s="217" t="s">
        <v>2888</v>
      </c>
      <c r="F669" s="352"/>
    </row>
    <row r="670" spans="1:10" x14ac:dyDescent="0.25">
      <c r="A670" s="352" t="s">
        <v>4029</v>
      </c>
      <c r="B670" s="352" t="s">
        <v>3391</v>
      </c>
      <c r="C670" s="353" t="s">
        <v>489</v>
      </c>
      <c r="E670" s="354" t="s">
        <v>2889</v>
      </c>
      <c r="F670" s="352" t="s">
        <v>2338</v>
      </c>
      <c r="H670" s="356">
        <f t="shared" ref="H670" si="118">ROUND(I670,2)</f>
        <v>0</v>
      </c>
      <c r="J670" s="351" t="b">
        <f t="shared" ref="J670" si="119">H670=G670</f>
        <v>1</v>
      </c>
    </row>
    <row r="671" spans="1:10" x14ac:dyDescent="0.25">
      <c r="A671" s="352"/>
      <c r="B671" s="352"/>
      <c r="D671" s="351"/>
      <c r="E671" s="354"/>
      <c r="F671" s="352"/>
    </row>
    <row r="672" spans="1:10" x14ac:dyDescent="0.2">
      <c r="A672" s="206" t="s">
        <v>4030</v>
      </c>
      <c r="B672" s="206" t="s">
        <v>2420</v>
      </c>
      <c r="C672" s="206"/>
      <c r="D672" s="206"/>
      <c r="E672" s="207" t="s">
        <v>2890</v>
      </c>
      <c r="F672" s="206"/>
      <c r="G672" s="208"/>
      <c r="H672" s="208"/>
      <c r="I672" s="209"/>
      <c r="J672" s="209"/>
    </row>
    <row r="673" spans="1:10" x14ac:dyDescent="0.25">
      <c r="A673" s="352" t="s">
        <v>4031</v>
      </c>
      <c r="B673" s="352" t="s">
        <v>3392</v>
      </c>
      <c r="C673" s="353" t="s">
        <v>1540</v>
      </c>
      <c r="E673" s="370" t="s">
        <v>2891</v>
      </c>
      <c r="F673" s="352" t="s">
        <v>2338</v>
      </c>
      <c r="H673" s="356">
        <f t="shared" ref="H673:H674" si="120">ROUND(I673,2)</f>
        <v>0</v>
      </c>
      <c r="J673" s="351" t="b">
        <f t="shared" ref="J673:J674" si="121">H673=G673</f>
        <v>1</v>
      </c>
    </row>
    <row r="674" spans="1:10" x14ac:dyDescent="0.25">
      <c r="A674" s="352" t="s">
        <v>4032</v>
      </c>
      <c r="B674" s="352" t="s">
        <v>3393</v>
      </c>
      <c r="C674" s="353" t="s">
        <v>2041</v>
      </c>
      <c r="E674" s="370" t="s">
        <v>2892</v>
      </c>
      <c r="F674" s="352" t="s">
        <v>2338</v>
      </c>
      <c r="H674" s="356">
        <f t="shared" si="120"/>
        <v>0</v>
      </c>
      <c r="J674" s="351" t="b">
        <f t="shared" si="121"/>
        <v>1</v>
      </c>
    </row>
    <row r="675" spans="1:10" x14ac:dyDescent="0.25">
      <c r="A675" s="352"/>
      <c r="B675" s="352"/>
      <c r="D675" s="351"/>
      <c r="E675" s="354"/>
      <c r="F675" s="352"/>
    </row>
    <row r="676" spans="1:10" x14ac:dyDescent="0.2">
      <c r="A676" s="206" t="s">
        <v>4033</v>
      </c>
      <c r="B676" s="206" t="s">
        <v>2420</v>
      </c>
      <c r="C676" s="206"/>
      <c r="D676" s="206"/>
      <c r="E676" s="207" t="s">
        <v>2893</v>
      </c>
      <c r="F676" s="206"/>
      <c r="G676" s="208"/>
      <c r="H676" s="208"/>
      <c r="I676" s="209"/>
      <c r="J676" s="209"/>
    </row>
    <row r="677" spans="1:10" x14ac:dyDescent="0.25">
      <c r="A677" s="352" t="s">
        <v>4034</v>
      </c>
      <c r="B677" s="352" t="s">
        <v>3394</v>
      </c>
      <c r="C677" s="353" t="s">
        <v>490</v>
      </c>
      <c r="E677" s="354" t="s">
        <v>2894</v>
      </c>
      <c r="F677" s="352" t="s">
        <v>2338</v>
      </c>
      <c r="H677" s="356">
        <f t="shared" ref="H677" si="122">ROUND(I677,2)</f>
        <v>0</v>
      </c>
      <c r="J677" s="351" t="b">
        <f t="shared" ref="J677" si="123">H677=G677</f>
        <v>1</v>
      </c>
    </row>
    <row r="678" spans="1:10" x14ac:dyDescent="0.25">
      <c r="A678" s="352"/>
      <c r="B678" s="352"/>
      <c r="D678" s="351"/>
      <c r="E678" s="354"/>
      <c r="F678" s="352"/>
    </row>
    <row r="679" spans="1:10" x14ac:dyDescent="0.2">
      <c r="A679" s="206" t="s">
        <v>4035</v>
      </c>
      <c r="B679" s="206" t="s">
        <v>2420</v>
      </c>
      <c r="C679" s="206"/>
      <c r="D679" s="206"/>
      <c r="E679" s="207" t="s">
        <v>2895</v>
      </c>
      <c r="F679" s="206"/>
      <c r="G679" s="208"/>
      <c r="H679" s="208"/>
      <c r="I679" s="209"/>
      <c r="J679" s="209"/>
    </row>
    <row r="680" spans="1:10" x14ac:dyDescent="0.25">
      <c r="A680" s="352" t="s">
        <v>4036</v>
      </c>
      <c r="B680" s="352" t="s">
        <v>3395</v>
      </c>
      <c r="C680" s="353" t="s">
        <v>459</v>
      </c>
      <c r="E680" s="354" t="s">
        <v>2896</v>
      </c>
      <c r="F680" s="352" t="s">
        <v>2338</v>
      </c>
      <c r="H680" s="356">
        <f t="shared" ref="H680:H681" si="124">ROUND(I680,2)</f>
        <v>0</v>
      </c>
      <c r="J680" s="351" t="b">
        <f t="shared" ref="J680:J681" si="125">H680=G680</f>
        <v>1</v>
      </c>
    </row>
    <row r="681" spans="1:10" x14ac:dyDescent="0.25">
      <c r="A681" s="352" t="s">
        <v>4037</v>
      </c>
      <c r="B681" s="352" t="s">
        <v>3396</v>
      </c>
      <c r="C681" s="353" t="s">
        <v>195</v>
      </c>
      <c r="E681" s="354" t="s">
        <v>2897</v>
      </c>
      <c r="F681" s="352" t="s">
        <v>2338</v>
      </c>
      <c r="H681" s="356">
        <f t="shared" si="124"/>
        <v>0</v>
      </c>
      <c r="J681" s="351" t="b">
        <f t="shared" si="125"/>
        <v>1</v>
      </c>
    </row>
    <row r="682" spans="1:10" x14ac:dyDescent="0.25">
      <c r="A682" s="352"/>
      <c r="B682" s="352"/>
      <c r="D682" s="351"/>
      <c r="E682" s="354"/>
      <c r="F682" s="352"/>
    </row>
    <row r="683" spans="1:10" x14ac:dyDescent="0.2">
      <c r="A683" s="206" t="s">
        <v>4038</v>
      </c>
      <c r="B683" s="206" t="s">
        <v>2420</v>
      </c>
      <c r="C683" s="206"/>
      <c r="D683" s="206"/>
      <c r="E683" s="207" t="s">
        <v>2898</v>
      </c>
      <c r="F683" s="206"/>
      <c r="G683" s="208"/>
      <c r="H683" s="208"/>
      <c r="I683" s="209"/>
      <c r="J683" s="209"/>
    </row>
    <row r="684" spans="1:10" x14ac:dyDescent="0.25">
      <c r="A684" s="352" t="s">
        <v>4039</v>
      </c>
      <c r="B684" s="352" t="s">
        <v>3397</v>
      </c>
      <c r="C684" s="353" t="s">
        <v>210</v>
      </c>
      <c r="E684" s="370" t="s">
        <v>2899</v>
      </c>
      <c r="F684" s="352" t="s">
        <v>2338</v>
      </c>
      <c r="H684" s="356">
        <f t="shared" ref="H684" si="126">ROUND(I684,2)</f>
        <v>0</v>
      </c>
      <c r="J684" s="351" t="b">
        <f t="shared" ref="J684" si="127">H684=G684</f>
        <v>1</v>
      </c>
    </row>
    <row r="685" spans="1:10" x14ac:dyDescent="0.25">
      <c r="A685" s="352"/>
      <c r="B685" s="352"/>
      <c r="D685" s="351"/>
      <c r="E685" s="354"/>
      <c r="F685" s="352"/>
    </row>
    <row r="686" spans="1:10" x14ac:dyDescent="0.2">
      <c r="A686" s="206" t="s">
        <v>4040</v>
      </c>
      <c r="B686" s="206" t="s">
        <v>2420</v>
      </c>
      <c r="C686" s="206"/>
      <c r="D686" s="206"/>
      <c r="E686" s="207" t="s">
        <v>2900</v>
      </c>
      <c r="F686" s="206"/>
      <c r="G686" s="208"/>
      <c r="H686" s="208"/>
      <c r="I686" s="209"/>
      <c r="J686" s="209"/>
    </row>
    <row r="687" spans="1:10" x14ac:dyDescent="0.25">
      <c r="A687" s="352" t="s">
        <v>4041</v>
      </c>
      <c r="B687" s="352" t="s">
        <v>3398</v>
      </c>
      <c r="C687" s="353" t="s">
        <v>493</v>
      </c>
      <c r="E687" s="370" t="s">
        <v>2901</v>
      </c>
      <c r="F687" s="352" t="s">
        <v>2338</v>
      </c>
      <c r="H687" s="356">
        <f>ROUND(I687,2)</f>
        <v>0</v>
      </c>
      <c r="J687" s="351" t="b">
        <f>H687=G687</f>
        <v>1</v>
      </c>
    </row>
    <row r="688" spans="1:10" x14ac:dyDescent="0.25">
      <c r="A688" s="352" t="s">
        <v>4042</v>
      </c>
      <c r="B688" s="352" t="s">
        <v>3399</v>
      </c>
      <c r="C688" s="353" t="s">
        <v>494</v>
      </c>
      <c r="E688" s="370" t="s">
        <v>2902</v>
      </c>
      <c r="F688" s="352" t="s">
        <v>2338</v>
      </c>
      <c r="H688" s="356">
        <f>ROUND(I688,2)</f>
        <v>0</v>
      </c>
      <c r="J688" s="351" t="b">
        <f>H688=G688</f>
        <v>1</v>
      </c>
    </row>
    <row r="689" spans="1:10" x14ac:dyDescent="0.25">
      <c r="A689" s="352"/>
      <c r="B689" s="352"/>
      <c r="D689" s="351"/>
      <c r="E689" s="354"/>
      <c r="F689" s="352"/>
    </row>
    <row r="690" spans="1:10" x14ac:dyDescent="0.2">
      <c r="A690" s="206" t="s">
        <v>4043</v>
      </c>
      <c r="B690" s="206" t="s">
        <v>2420</v>
      </c>
      <c r="C690" s="206"/>
      <c r="D690" s="206"/>
      <c r="E690" s="207" t="s">
        <v>2903</v>
      </c>
      <c r="F690" s="206"/>
      <c r="G690" s="208"/>
      <c r="H690" s="208"/>
      <c r="I690" s="209"/>
      <c r="J690" s="209"/>
    </row>
    <row r="691" spans="1:10" x14ac:dyDescent="0.25">
      <c r="A691" s="352" t="s">
        <v>4044</v>
      </c>
      <c r="B691" s="352" t="s">
        <v>3400</v>
      </c>
      <c r="C691" s="353" t="s">
        <v>209</v>
      </c>
      <c r="E691" s="354" t="s">
        <v>2904</v>
      </c>
      <c r="F691" s="352" t="s">
        <v>2338</v>
      </c>
      <c r="H691" s="356">
        <f t="shared" ref="H691:H692" si="128">ROUND(I691,2)</f>
        <v>0</v>
      </c>
      <c r="J691" s="351" t="b">
        <f t="shared" ref="J691:J692" si="129">H691=G691</f>
        <v>1</v>
      </c>
    </row>
    <row r="692" spans="1:10" x14ac:dyDescent="0.25">
      <c r="A692" s="352" t="s">
        <v>4045</v>
      </c>
      <c r="B692" s="352" t="s">
        <v>3401</v>
      </c>
      <c r="C692" s="353" t="s">
        <v>491</v>
      </c>
      <c r="E692" s="354" t="s">
        <v>2905</v>
      </c>
      <c r="F692" s="352" t="s">
        <v>2338</v>
      </c>
      <c r="H692" s="356">
        <f t="shared" si="128"/>
        <v>0</v>
      </c>
      <c r="J692" s="351" t="b">
        <f t="shared" si="129"/>
        <v>1</v>
      </c>
    </row>
    <row r="693" spans="1:10" x14ac:dyDescent="0.25">
      <c r="A693" s="352" t="s">
        <v>4046</v>
      </c>
      <c r="B693" s="352" t="s">
        <v>3402</v>
      </c>
      <c r="C693" s="353" t="s">
        <v>3403</v>
      </c>
      <c r="E693" s="370" t="s">
        <v>2906</v>
      </c>
      <c r="F693" s="352" t="s">
        <v>2338</v>
      </c>
      <c r="H693" s="356">
        <f>ROUND(I693,2)</f>
        <v>0</v>
      </c>
      <c r="J693" s="351" t="b">
        <f>H693=G693</f>
        <v>1</v>
      </c>
    </row>
    <row r="694" spans="1:10" x14ac:dyDescent="0.25">
      <c r="A694" s="352"/>
      <c r="B694" s="352"/>
      <c r="D694" s="351"/>
      <c r="E694" s="354"/>
      <c r="F694" s="352"/>
    </row>
    <row r="695" spans="1:10" x14ac:dyDescent="0.2">
      <c r="A695" s="206" t="s">
        <v>4047</v>
      </c>
      <c r="B695" s="206" t="s">
        <v>2420</v>
      </c>
      <c r="C695" s="206"/>
      <c r="D695" s="206"/>
      <c r="E695" s="207" t="s">
        <v>2907</v>
      </c>
      <c r="F695" s="206"/>
      <c r="G695" s="208"/>
      <c r="H695" s="208"/>
      <c r="I695" s="209"/>
      <c r="J695" s="209"/>
    </row>
    <row r="696" spans="1:10" x14ac:dyDescent="0.25">
      <c r="A696" s="352" t="s">
        <v>4048</v>
      </c>
      <c r="B696" s="352" t="s">
        <v>3404</v>
      </c>
      <c r="C696" s="353" t="s">
        <v>2068</v>
      </c>
      <c r="E696" s="354" t="s">
        <v>2908</v>
      </c>
      <c r="F696" s="352" t="s">
        <v>2338</v>
      </c>
      <c r="H696" s="356">
        <f t="shared" ref="H696:H702" si="130">ROUND(I696,2)</f>
        <v>0</v>
      </c>
      <c r="J696" s="351" t="b">
        <f t="shared" ref="J696:J702" si="131">H696=G696</f>
        <v>1</v>
      </c>
    </row>
    <row r="697" spans="1:10" x14ac:dyDescent="0.25">
      <c r="A697" s="352" t="s">
        <v>4049</v>
      </c>
      <c r="B697" s="352" t="s">
        <v>3405</v>
      </c>
      <c r="C697" s="353" t="s">
        <v>3406</v>
      </c>
      <c r="E697" s="354" t="s">
        <v>2909</v>
      </c>
      <c r="F697" s="352" t="s">
        <v>2338</v>
      </c>
      <c r="H697" s="356">
        <f t="shared" si="130"/>
        <v>0</v>
      </c>
      <c r="J697" s="351" t="b">
        <f t="shared" si="131"/>
        <v>1</v>
      </c>
    </row>
    <row r="698" spans="1:10" x14ac:dyDescent="0.25">
      <c r="A698" s="352" t="s">
        <v>4050</v>
      </c>
      <c r="B698" s="352" t="s">
        <v>3407</v>
      </c>
      <c r="C698" s="353" t="s">
        <v>497</v>
      </c>
      <c r="E698" s="354" t="s">
        <v>2910</v>
      </c>
      <c r="F698" s="352" t="s">
        <v>2338</v>
      </c>
      <c r="H698" s="356">
        <f t="shared" si="130"/>
        <v>0</v>
      </c>
      <c r="J698" s="351" t="b">
        <f t="shared" si="131"/>
        <v>1</v>
      </c>
    </row>
    <row r="699" spans="1:10" x14ac:dyDescent="0.25">
      <c r="A699" s="352" t="s">
        <v>4051</v>
      </c>
      <c r="B699" s="352" t="s">
        <v>3408</v>
      </c>
      <c r="C699" s="353" t="s">
        <v>3409</v>
      </c>
      <c r="E699" s="354" t="s">
        <v>2911</v>
      </c>
      <c r="F699" s="352" t="s">
        <v>11</v>
      </c>
      <c r="H699" s="356">
        <f t="shared" si="130"/>
        <v>0</v>
      </c>
      <c r="J699" s="351" t="b">
        <f t="shared" si="131"/>
        <v>1</v>
      </c>
    </row>
    <row r="700" spans="1:10" x14ac:dyDescent="0.25">
      <c r="A700" s="352" t="s">
        <v>4052</v>
      </c>
      <c r="B700" s="352" t="s">
        <v>3410</v>
      </c>
      <c r="C700" s="353" t="s">
        <v>499</v>
      </c>
      <c r="E700" s="354" t="s">
        <v>2912</v>
      </c>
      <c r="F700" s="352" t="s">
        <v>2338</v>
      </c>
      <c r="H700" s="356">
        <f t="shared" si="130"/>
        <v>0</v>
      </c>
      <c r="J700" s="351" t="b">
        <f t="shared" si="131"/>
        <v>1</v>
      </c>
    </row>
    <row r="701" spans="1:10" x14ac:dyDescent="0.25">
      <c r="A701" s="352" t="s">
        <v>4053</v>
      </c>
      <c r="B701" s="352" t="s">
        <v>3411</v>
      </c>
      <c r="C701" s="353" t="s">
        <v>500</v>
      </c>
      <c r="E701" s="354" t="s">
        <v>2913</v>
      </c>
      <c r="F701" s="352" t="s">
        <v>2338</v>
      </c>
      <c r="H701" s="356">
        <f t="shared" si="130"/>
        <v>0</v>
      </c>
      <c r="J701" s="351" t="b">
        <f t="shared" si="131"/>
        <v>1</v>
      </c>
    </row>
    <row r="702" spans="1:10" x14ac:dyDescent="0.25">
      <c r="A702" s="352" t="s">
        <v>4054</v>
      </c>
      <c r="B702" s="352" t="s">
        <v>3412</v>
      </c>
      <c r="C702" s="353" t="s">
        <v>3413</v>
      </c>
      <c r="E702" s="354" t="s">
        <v>2914</v>
      </c>
      <c r="F702" s="352" t="s">
        <v>2338</v>
      </c>
      <c r="H702" s="356">
        <f t="shared" si="130"/>
        <v>0</v>
      </c>
      <c r="J702" s="351" t="b">
        <f t="shared" si="131"/>
        <v>1</v>
      </c>
    </row>
    <row r="703" spans="1:10" x14ac:dyDescent="0.25">
      <c r="A703" s="352"/>
      <c r="B703" s="352"/>
      <c r="D703" s="351"/>
      <c r="E703" s="354"/>
      <c r="F703" s="352"/>
    </row>
    <row r="704" spans="1:10" x14ac:dyDescent="0.2">
      <c r="A704" s="206" t="s">
        <v>4055</v>
      </c>
      <c r="B704" s="206" t="s">
        <v>2420</v>
      </c>
      <c r="C704" s="206"/>
      <c r="D704" s="206"/>
      <c r="E704" s="207" t="s">
        <v>2915</v>
      </c>
      <c r="F704" s="206"/>
      <c r="G704" s="208"/>
      <c r="H704" s="208"/>
      <c r="I704" s="209"/>
      <c r="J704" s="209"/>
    </row>
    <row r="705" spans="1:10" x14ac:dyDescent="0.25">
      <c r="A705" s="352" t="s">
        <v>4056</v>
      </c>
      <c r="B705" s="352" t="s">
        <v>188</v>
      </c>
      <c r="C705" s="353" t="s">
        <v>1848</v>
      </c>
      <c r="E705" s="354" t="s">
        <v>2916</v>
      </c>
      <c r="F705" s="352" t="s">
        <v>16</v>
      </c>
      <c r="H705" s="356">
        <f t="shared" ref="H705:H722" si="132">ROUND(I705,2)</f>
        <v>0</v>
      </c>
      <c r="J705" s="351" t="b">
        <f t="shared" ref="J705:J722" si="133">H705=G705</f>
        <v>1</v>
      </c>
    </row>
    <row r="706" spans="1:10" x14ac:dyDescent="0.25">
      <c r="A706" s="352" t="s">
        <v>4057</v>
      </c>
      <c r="B706" s="352" t="s">
        <v>189</v>
      </c>
      <c r="C706" s="353" t="s">
        <v>2070</v>
      </c>
      <c r="E706" s="354" t="s">
        <v>2917</v>
      </c>
      <c r="F706" s="352" t="s">
        <v>16</v>
      </c>
      <c r="H706" s="356">
        <f t="shared" si="132"/>
        <v>0</v>
      </c>
      <c r="J706" s="351" t="b">
        <f t="shared" si="133"/>
        <v>1</v>
      </c>
    </row>
    <row r="707" spans="1:10" x14ac:dyDescent="0.25">
      <c r="A707" s="352" t="s">
        <v>4058</v>
      </c>
      <c r="B707" s="352" t="s">
        <v>448</v>
      </c>
      <c r="C707" s="353" t="s">
        <v>1847</v>
      </c>
      <c r="E707" s="354" t="s">
        <v>2918</v>
      </c>
      <c r="F707" s="352" t="s">
        <v>16</v>
      </c>
      <c r="H707" s="356">
        <f t="shared" si="132"/>
        <v>0</v>
      </c>
      <c r="J707" s="351" t="b">
        <f t="shared" si="133"/>
        <v>1</v>
      </c>
    </row>
    <row r="708" spans="1:10" x14ac:dyDescent="0.25">
      <c r="A708" s="352" t="s">
        <v>4059</v>
      </c>
      <c r="B708" s="352" t="s">
        <v>449</v>
      </c>
      <c r="C708" s="353" t="s">
        <v>1850</v>
      </c>
      <c r="E708" s="354" t="s">
        <v>2919</v>
      </c>
      <c r="F708" s="352" t="s">
        <v>16</v>
      </c>
      <c r="H708" s="356">
        <f t="shared" si="132"/>
        <v>0</v>
      </c>
      <c r="J708" s="351" t="b">
        <f t="shared" si="133"/>
        <v>1</v>
      </c>
    </row>
    <row r="709" spans="1:10" x14ac:dyDescent="0.25">
      <c r="A709" s="352" t="s">
        <v>4060</v>
      </c>
      <c r="B709" s="352" t="s">
        <v>450</v>
      </c>
      <c r="C709" s="353" t="s">
        <v>1881</v>
      </c>
      <c r="E709" s="354" t="s">
        <v>2920</v>
      </c>
      <c r="F709" s="352" t="s">
        <v>16</v>
      </c>
      <c r="H709" s="356">
        <f t="shared" si="132"/>
        <v>0</v>
      </c>
      <c r="J709" s="351" t="b">
        <f t="shared" si="133"/>
        <v>1</v>
      </c>
    </row>
    <row r="710" spans="1:10" x14ac:dyDescent="0.25">
      <c r="A710" s="352" t="s">
        <v>4061</v>
      </c>
      <c r="B710" s="352" t="s">
        <v>451</v>
      </c>
      <c r="C710" s="353" t="s">
        <v>2089</v>
      </c>
      <c r="E710" s="370" t="s">
        <v>2859</v>
      </c>
      <c r="F710" s="352" t="s">
        <v>16</v>
      </c>
      <c r="H710" s="356">
        <f t="shared" si="132"/>
        <v>0</v>
      </c>
      <c r="J710" s="351" t="b">
        <f t="shared" si="133"/>
        <v>1</v>
      </c>
    </row>
    <row r="711" spans="1:10" x14ac:dyDescent="0.25">
      <c r="A711" s="352" t="s">
        <v>4062</v>
      </c>
      <c r="B711" s="352" t="s">
        <v>452</v>
      </c>
      <c r="C711" s="353" t="s">
        <v>2082</v>
      </c>
      <c r="E711" s="354" t="s">
        <v>2921</v>
      </c>
      <c r="F711" s="352" t="s">
        <v>16</v>
      </c>
      <c r="H711" s="356">
        <f t="shared" si="132"/>
        <v>0</v>
      </c>
      <c r="J711" s="351" t="b">
        <f t="shared" si="133"/>
        <v>1</v>
      </c>
    </row>
    <row r="712" spans="1:10" x14ac:dyDescent="0.25">
      <c r="A712" s="352" t="s">
        <v>4063</v>
      </c>
      <c r="B712" s="352" t="s">
        <v>453</v>
      </c>
      <c r="C712" s="353" t="s">
        <v>1871</v>
      </c>
      <c r="E712" s="354" t="s">
        <v>2922</v>
      </c>
      <c r="F712" s="352" t="s">
        <v>16</v>
      </c>
      <c r="H712" s="356">
        <f t="shared" si="132"/>
        <v>0</v>
      </c>
      <c r="J712" s="351" t="b">
        <f t="shared" si="133"/>
        <v>1</v>
      </c>
    </row>
    <row r="713" spans="1:10" x14ac:dyDescent="0.25">
      <c r="A713" s="352" t="s">
        <v>4064</v>
      </c>
      <c r="B713" s="352" t="s">
        <v>190</v>
      </c>
      <c r="C713" s="353" t="s">
        <v>2039</v>
      </c>
      <c r="E713" s="354" t="s">
        <v>2923</v>
      </c>
      <c r="F713" s="352" t="s">
        <v>2488</v>
      </c>
      <c r="H713" s="356">
        <f t="shared" si="132"/>
        <v>0</v>
      </c>
      <c r="J713" s="351" t="b">
        <f t="shared" si="133"/>
        <v>1</v>
      </c>
    </row>
    <row r="714" spans="1:10" x14ac:dyDescent="0.25">
      <c r="A714" s="352" t="s">
        <v>4065</v>
      </c>
      <c r="B714" s="352" t="s">
        <v>191</v>
      </c>
      <c r="C714" s="353" t="s">
        <v>1849</v>
      </c>
      <c r="E714" s="354" t="s">
        <v>2924</v>
      </c>
      <c r="F714" s="352" t="s">
        <v>16</v>
      </c>
      <c r="H714" s="356">
        <f t="shared" si="132"/>
        <v>0</v>
      </c>
      <c r="J714" s="351" t="b">
        <f t="shared" si="133"/>
        <v>1</v>
      </c>
    </row>
    <row r="715" spans="1:10" x14ac:dyDescent="0.25">
      <c r="A715" s="352" t="s">
        <v>4066</v>
      </c>
      <c r="B715" s="352" t="s">
        <v>193</v>
      </c>
      <c r="C715" s="353" t="s">
        <v>1851</v>
      </c>
      <c r="E715" s="354" t="s">
        <v>2925</v>
      </c>
      <c r="F715" s="352" t="s">
        <v>2488</v>
      </c>
      <c r="H715" s="356">
        <f t="shared" si="132"/>
        <v>0</v>
      </c>
      <c r="J715" s="351" t="b">
        <f t="shared" si="133"/>
        <v>1</v>
      </c>
    </row>
    <row r="716" spans="1:10" x14ac:dyDescent="0.25">
      <c r="A716" s="352" t="s">
        <v>4067</v>
      </c>
      <c r="B716" s="352" t="s">
        <v>194</v>
      </c>
      <c r="C716" s="353" t="s">
        <v>2033</v>
      </c>
      <c r="E716" s="354" t="s">
        <v>2926</v>
      </c>
      <c r="F716" s="352" t="s">
        <v>11</v>
      </c>
      <c r="H716" s="356">
        <f t="shared" si="132"/>
        <v>0</v>
      </c>
      <c r="J716" s="351" t="b">
        <f t="shared" si="133"/>
        <v>1</v>
      </c>
    </row>
    <row r="717" spans="1:10" x14ac:dyDescent="0.25">
      <c r="A717" s="352" t="s">
        <v>4068</v>
      </c>
      <c r="B717" s="352" t="s">
        <v>454</v>
      </c>
      <c r="C717" s="353" t="s">
        <v>2026</v>
      </c>
      <c r="E717" s="354" t="s">
        <v>2927</v>
      </c>
      <c r="F717" s="352" t="s">
        <v>11</v>
      </c>
      <c r="H717" s="356">
        <f t="shared" si="132"/>
        <v>0</v>
      </c>
      <c r="J717" s="351" t="b">
        <f t="shared" si="133"/>
        <v>1</v>
      </c>
    </row>
    <row r="718" spans="1:10" x14ac:dyDescent="0.25">
      <c r="A718" s="352" t="s">
        <v>4069</v>
      </c>
      <c r="B718" s="352" t="s">
        <v>192</v>
      </c>
      <c r="C718" s="353" t="s">
        <v>2063</v>
      </c>
      <c r="E718" s="354" t="s">
        <v>2928</v>
      </c>
      <c r="F718" s="352" t="s">
        <v>2488</v>
      </c>
      <c r="H718" s="356">
        <f t="shared" si="132"/>
        <v>0</v>
      </c>
      <c r="J718" s="351" t="b">
        <f t="shared" si="133"/>
        <v>1</v>
      </c>
    </row>
    <row r="719" spans="1:10" x14ac:dyDescent="0.25">
      <c r="A719" s="352" t="s">
        <v>4070</v>
      </c>
      <c r="B719" s="352" t="s">
        <v>455</v>
      </c>
      <c r="C719" s="353" t="s">
        <v>2042</v>
      </c>
      <c r="E719" s="354" t="s">
        <v>2929</v>
      </c>
      <c r="F719" s="352" t="s">
        <v>16</v>
      </c>
      <c r="H719" s="356">
        <f t="shared" si="132"/>
        <v>0</v>
      </c>
      <c r="J719" s="351" t="b">
        <f t="shared" si="133"/>
        <v>1</v>
      </c>
    </row>
    <row r="720" spans="1:10" x14ac:dyDescent="0.25">
      <c r="A720" s="352" t="s">
        <v>4071</v>
      </c>
      <c r="B720" s="352" t="s">
        <v>456</v>
      </c>
      <c r="C720" s="353" t="s">
        <v>2004</v>
      </c>
      <c r="E720" s="354" t="s">
        <v>2930</v>
      </c>
      <c r="F720" s="352" t="s">
        <v>2488</v>
      </c>
      <c r="H720" s="356">
        <f t="shared" si="132"/>
        <v>0</v>
      </c>
      <c r="J720" s="351" t="b">
        <f t="shared" si="133"/>
        <v>1</v>
      </c>
    </row>
    <row r="721" spans="1:10" x14ac:dyDescent="0.25">
      <c r="A721" s="352" t="s">
        <v>4072</v>
      </c>
      <c r="B721" s="352" t="s">
        <v>457</v>
      </c>
      <c r="C721" s="353" t="s">
        <v>2009</v>
      </c>
      <c r="E721" s="354" t="s">
        <v>2931</v>
      </c>
      <c r="F721" s="352" t="s">
        <v>16</v>
      </c>
      <c r="H721" s="356">
        <f t="shared" si="132"/>
        <v>0</v>
      </c>
      <c r="J721" s="351" t="b">
        <f t="shared" si="133"/>
        <v>1</v>
      </c>
    </row>
    <row r="722" spans="1:10" x14ac:dyDescent="0.25">
      <c r="A722" s="352" t="s">
        <v>4073</v>
      </c>
      <c r="B722" s="352" t="s">
        <v>458</v>
      </c>
      <c r="C722" s="353" t="s">
        <v>1881</v>
      </c>
      <c r="E722" s="354" t="s">
        <v>2932</v>
      </c>
      <c r="F722" s="352" t="s">
        <v>16</v>
      </c>
      <c r="H722" s="356">
        <f t="shared" si="132"/>
        <v>0</v>
      </c>
      <c r="J722" s="351" t="b">
        <f t="shared" si="133"/>
        <v>1</v>
      </c>
    </row>
    <row r="723" spans="1:10" x14ac:dyDescent="0.25">
      <c r="A723" s="352"/>
      <c r="B723" s="352"/>
      <c r="D723" s="351"/>
      <c r="E723" s="354"/>
      <c r="F723" s="352"/>
    </row>
    <row r="724" spans="1:10" x14ac:dyDescent="0.2">
      <c r="A724" s="206" t="s">
        <v>4074</v>
      </c>
      <c r="B724" s="206" t="s">
        <v>2420</v>
      </c>
      <c r="C724" s="206"/>
      <c r="D724" s="206"/>
      <c r="E724" s="207" t="s">
        <v>2933</v>
      </c>
      <c r="F724" s="206"/>
      <c r="G724" s="208"/>
      <c r="H724" s="208"/>
      <c r="I724" s="209"/>
      <c r="J724" s="209"/>
    </row>
    <row r="725" spans="1:10" x14ac:dyDescent="0.25">
      <c r="A725" s="352" t="s">
        <v>4075</v>
      </c>
      <c r="B725" s="352" t="s">
        <v>3414</v>
      </c>
      <c r="C725" s="353" t="s">
        <v>212</v>
      </c>
      <c r="E725" s="354" t="s">
        <v>2934</v>
      </c>
      <c r="F725" s="352" t="s">
        <v>11</v>
      </c>
      <c r="H725" s="356">
        <f>ROUND(I725,2)</f>
        <v>0</v>
      </c>
      <c r="J725" s="351" t="b">
        <f>H725=G725</f>
        <v>1</v>
      </c>
    </row>
    <row r="726" spans="1:10" x14ac:dyDescent="0.25">
      <c r="A726" s="352"/>
      <c r="B726" s="352"/>
      <c r="D726" s="351"/>
      <c r="E726" s="354"/>
      <c r="F726" s="352"/>
    </row>
    <row r="727" spans="1:10" x14ac:dyDescent="0.2">
      <c r="A727" s="206" t="s">
        <v>4076</v>
      </c>
      <c r="B727" s="206" t="s">
        <v>2420</v>
      </c>
      <c r="C727" s="206"/>
      <c r="D727" s="206"/>
      <c r="E727" s="207" t="s">
        <v>2935</v>
      </c>
      <c r="F727" s="206"/>
      <c r="G727" s="208"/>
      <c r="H727" s="208"/>
      <c r="I727" s="209"/>
      <c r="J727" s="209"/>
    </row>
    <row r="728" spans="1:10" x14ac:dyDescent="0.25">
      <c r="A728" s="352" t="s">
        <v>4077</v>
      </c>
      <c r="B728" s="352" t="s">
        <v>200</v>
      </c>
      <c r="C728" s="353" t="s">
        <v>1767</v>
      </c>
      <c r="E728" s="354" t="s">
        <v>2936</v>
      </c>
      <c r="F728" s="352" t="s">
        <v>11</v>
      </c>
      <c r="H728" s="356">
        <f t="shared" ref="H728:H767" si="134">ROUND(I728,2)</f>
        <v>0</v>
      </c>
      <c r="J728" s="351" t="b">
        <f t="shared" ref="J728:J767" si="135">H728=G728</f>
        <v>1</v>
      </c>
    </row>
    <row r="729" spans="1:10" x14ac:dyDescent="0.25">
      <c r="A729" s="352" t="s">
        <v>4078</v>
      </c>
      <c r="B729" s="352" t="s">
        <v>460</v>
      </c>
      <c r="C729" s="353" t="s">
        <v>1760</v>
      </c>
      <c r="E729" s="354" t="s">
        <v>2937</v>
      </c>
      <c r="F729" s="352" t="s">
        <v>11</v>
      </c>
      <c r="H729" s="356">
        <f t="shared" si="134"/>
        <v>0</v>
      </c>
      <c r="J729" s="351" t="b">
        <f t="shared" si="135"/>
        <v>1</v>
      </c>
    </row>
    <row r="730" spans="1:10" x14ac:dyDescent="0.25">
      <c r="A730" s="352" t="s">
        <v>4079</v>
      </c>
      <c r="B730" s="352" t="s">
        <v>461</v>
      </c>
      <c r="C730" s="353" t="s">
        <v>1297</v>
      </c>
      <c r="E730" s="354" t="s">
        <v>2938</v>
      </c>
      <c r="F730" s="352" t="s">
        <v>11</v>
      </c>
      <c r="H730" s="356">
        <f t="shared" si="134"/>
        <v>0</v>
      </c>
      <c r="J730" s="351" t="b">
        <f t="shared" si="135"/>
        <v>1</v>
      </c>
    </row>
    <row r="731" spans="1:10" x14ac:dyDescent="0.25">
      <c r="A731" s="352" t="s">
        <v>4080</v>
      </c>
      <c r="B731" s="352" t="s">
        <v>462</v>
      </c>
      <c r="C731" s="353" t="s">
        <v>1761</v>
      </c>
      <c r="E731" s="354" t="s">
        <v>2939</v>
      </c>
      <c r="F731" s="352" t="s">
        <v>11</v>
      </c>
      <c r="H731" s="356">
        <f t="shared" si="134"/>
        <v>0</v>
      </c>
      <c r="J731" s="351" t="b">
        <f t="shared" si="135"/>
        <v>1</v>
      </c>
    </row>
    <row r="732" spans="1:10" x14ac:dyDescent="0.25">
      <c r="A732" s="352" t="s">
        <v>4081</v>
      </c>
      <c r="B732" s="352" t="s">
        <v>463</v>
      </c>
      <c r="C732" s="353" t="s">
        <v>1821</v>
      </c>
      <c r="E732" s="354" t="s">
        <v>2940</v>
      </c>
      <c r="F732" s="352" t="s">
        <v>11</v>
      </c>
      <c r="H732" s="356">
        <f t="shared" si="134"/>
        <v>0</v>
      </c>
      <c r="J732" s="351" t="b">
        <f t="shared" si="135"/>
        <v>1</v>
      </c>
    </row>
    <row r="733" spans="1:10" x14ac:dyDescent="0.25">
      <c r="A733" s="352" t="s">
        <v>4082</v>
      </c>
      <c r="B733" s="352" t="s">
        <v>464</v>
      </c>
      <c r="C733" s="353" t="s">
        <v>1822</v>
      </c>
      <c r="E733" s="354" t="s">
        <v>2941</v>
      </c>
      <c r="F733" s="352" t="s">
        <v>11</v>
      </c>
      <c r="H733" s="356">
        <f t="shared" si="134"/>
        <v>0</v>
      </c>
      <c r="J733" s="351" t="b">
        <f t="shared" si="135"/>
        <v>1</v>
      </c>
    </row>
    <row r="734" spans="1:10" x14ac:dyDescent="0.25">
      <c r="A734" s="352" t="s">
        <v>4083</v>
      </c>
      <c r="B734" s="352" t="s">
        <v>465</v>
      </c>
      <c r="C734" s="353" t="s">
        <v>1815</v>
      </c>
      <c r="E734" s="354" t="s">
        <v>2942</v>
      </c>
      <c r="F734" s="352" t="s">
        <v>11</v>
      </c>
      <c r="H734" s="356">
        <f t="shared" si="134"/>
        <v>0</v>
      </c>
      <c r="J734" s="351" t="b">
        <f t="shared" si="135"/>
        <v>1</v>
      </c>
    </row>
    <row r="735" spans="1:10" x14ac:dyDescent="0.25">
      <c r="A735" s="352" t="s">
        <v>4084</v>
      </c>
      <c r="B735" s="352" t="s">
        <v>466</v>
      </c>
      <c r="C735" s="353" t="s">
        <v>1816</v>
      </c>
      <c r="E735" s="354" t="s">
        <v>2943</v>
      </c>
      <c r="F735" s="352" t="s">
        <v>11</v>
      </c>
      <c r="H735" s="356">
        <f t="shared" si="134"/>
        <v>0</v>
      </c>
      <c r="J735" s="351" t="b">
        <f t="shared" si="135"/>
        <v>1</v>
      </c>
    </row>
    <row r="736" spans="1:10" x14ac:dyDescent="0.25">
      <c r="A736" s="352" t="s">
        <v>4085</v>
      </c>
      <c r="B736" s="352" t="s">
        <v>467</v>
      </c>
      <c r="C736" s="353" t="s">
        <v>1793</v>
      </c>
      <c r="E736" s="354" t="s">
        <v>2944</v>
      </c>
      <c r="F736" s="352" t="s">
        <v>11</v>
      </c>
      <c r="H736" s="356">
        <f t="shared" si="134"/>
        <v>0</v>
      </c>
      <c r="J736" s="351" t="b">
        <f t="shared" si="135"/>
        <v>1</v>
      </c>
    </row>
    <row r="737" spans="1:10" x14ac:dyDescent="0.25">
      <c r="A737" s="352" t="s">
        <v>4086</v>
      </c>
      <c r="B737" s="352" t="s">
        <v>468</v>
      </c>
      <c r="C737" s="353" t="s">
        <v>1342</v>
      </c>
      <c r="E737" s="354" t="s">
        <v>2945</v>
      </c>
      <c r="F737" s="352" t="s">
        <v>11</v>
      </c>
      <c r="H737" s="356">
        <f t="shared" si="134"/>
        <v>0</v>
      </c>
      <c r="J737" s="351" t="b">
        <f t="shared" si="135"/>
        <v>1</v>
      </c>
    </row>
    <row r="738" spans="1:10" x14ac:dyDescent="0.25">
      <c r="A738" s="352" t="s">
        <v>4087</v>
      </c>
      <c r="B738" s="352" t="s">
        <v>220</v>
      </c>
      <c r="C738" s="353" t="s">
        <v>1794</v>
      </c>
      <c r="E738" s="354" t="s">
        <v>2946</v>
      </c>
      <c r="F738" s="352" t="s">
        <v>11</v>
      </c>
      <c r="H738" s="356">
        <f t="shared" si="134"/>
        <v>0</v>
      </c>
      <c r="J738" s="351" t="b">
        <f t="shared" si="135"/>
        <v>1</v>
      </c>
    </row>
    <row r="739" spans="1:10" x14ac:dyDescent="0.25">
      <c r="A739" s="352" t="s">
        <v>4088</v>
      </c>
      <c r="B739" s="352" t="s">
        <v>469</v>
      </c>
      <c r="C739" s="353" t="s">
        <v>1532</v>
      </c>
      <c r="E739" s="354" t="s">
        <v>2947</v>
      </c>
      <c r="F739" s="352" t="s">
        <v>11</v>
      </c>
      <c r="H739" s="356">
        <f t="shared" si="134"/>
        <v>0</v>
      </c>
      <c r="J739" s="351" t="b">
        <f t="shared" si="135"/>
        <v>1</v>
      </c>
    </row>
    <row r="740" spans="1:10" x14ac:dyDescent="0.25">
      <c r="A740" s="352" t="s">
        <v>4089</v>
      </c>
      <c r="B740" s="352" t="s">
        <v>470</v>
      </c>
      <c r="C740" s="353" t="s">
        <v>1823</v>
      </c>
      <c r="E740" s="354" t="s">
        <v>2948</v>
      </c>
      <c r="F740" s="352" t="s">
        <v>11</v>
      </c>
      <c r="H740" s="356">
        <f t="shared" si="134"/>
        <v>0</v>
      </c>
      <c r="J740" s="351" t="b">
        <f t="shared" si="135"/>
        <v>1</v>
      </c>
    </row>
    <row r="741" spans="1:10" x14ac:dyDescent="0.25">
      <c r="A741" s="352" t="s">
        <v>4090</v>
      </c>
      <c r="B741" s="352" t="s">
        <v>471</v>
      </c>
      <c r="C741" s="353" t="s">
        <v>1773</v>
      </c>
      <c r="E741" s="354" t="s">
        <v>2949</v>
      </c>
      <c r="F741" s="352" t="s">
        <v>11</v>
      </c>
      <c r="H741" s="356">
        <f t="shared" si="134"/>
        <v>0</v>
      </c>
      <c r="J741" s="351" t="b">
        <f t="shared" si="135"/>
        <v>1</v>
      </c>
    </row>
    <row r="742" spans="1:10" x14ac:dyDescent="0.25">
      <c r="A742" s="352" t="s">
        <v>4091</v>
      </c>
      <c r="B742" s="352" t="s">
        <v>196</v>
      </c>
      <c r="C742" s="353" t="s">
        <v>3415</v>
      </c>
      <c r="E742" s="354" t="s">
        <v>2950</v>
      </c>
      <c r="F742" s="352" t="s">
        <v>11</v>
      </c>
      <c r="H742" s="356">
        <f t="shared" si="134"/>
        <v>0</v>
      </c>
      <c r="J742" s="351" t="b">
        <f t="shared" si="135"/>
        <v>1</v>
      </c>
    </row>
    <row r="743" spans="1:10" x14ac:dyDescent="0.25">
      <c r="A743" s="352" t="s">
        <v>4092</v>
      </c>
      <c r="B743" s="352" t="s">
        <v>472</v>
      </c>
      <c r="C743" s="353" t="s">
        <v>1782</v>
      </c>
      <c r="E743" s="354" t="s">
        <v>2951</v>
      </c>
      <c r="F743" s="352" t="s">
        <v>11</v>
      </c>
      <c r="H743" s="356">
        <f t="shared" si="134"/>
        <v>0</v>
      </c>
      <c r="J743" s="351" t="b">
        <f t="shared" si="135"/>
        <v>1</v>
      </c>
    </row>
    <row r="744" spans="1:10" x14ac:dyDescent="0.25">
      <c r="A744" s="352" t="s">
        <v>4093</v>
      </c>
      <c r="B744" s="352" t="s">
        <v>473</v>
      </c>
      <c r="C744" s="353" t="s">
        <v>1313</v>
      </c>
      <c r="E744" s="354" t="s">
        <v>2952</v>
      </c>
      <c r="F744" s="352" t="s">
        <v>11</v>
      </c>
      <c r="H744" s="356">
        <f t="shared" si="134"/>
        <v>0</v>
      </c>
      <c r="J744" s="351" t="b">
        <f t="shared" si="135"/>
        <v>1</v>
      </c>
    </row>
    <row r="745" spans="1:10" x14ac:dyDescent="0.25">
      <c r="A745" s="352" t="s">
        <v>4094</v>
      </c>
      <c r="B745" s="352" t="s">
        <v>474</v>
      </c>
      <c r="C745" s="353" t="s">
        <v>1811</v>
      </c>
      <c r="E745" s="354" t="s">
        <v>2953</v>
      </c>
      <c r="F745" s="352" t="s">
        <v>11</v>
      </c>
      <c r="H745" s="356">
        <f t="shared" si="134"/>
        <v>0</v>
      </c>
      <c r="J745" s="351" t="b">
        <f t="shared" si="135"/>
        <v>1</v>
      </c>
    </row>
    <row r="746" spans="1:10" x14ac:dyDescent="0.25">
      <c r="A746" s="352" t="s">
        <v>4095</v>
      </c>
      <c r="B746" s="352" t="s">
        <v>475</v>
      </c>
      <c r="C746" s="353" t="s">
        <v>1824</v>
      </c>
      <c r="E746" s="354" t="s">
        <v>2954</v>
      </c>
      <c r="F746" s="352" t="s">
        <v>11</v>
      </c>
      <c r="H746" s="356">
        <f t="shared" si="134"/>
        <v>0</v>
      </c>
      <c r="J746" s="351" t="b">
        <f t="shared" si="135"/>
        <v>1</v>
      </c>
    </row>
    <row r="747" spans="1:10" x14ac:dyDescent="0.25">
      <c r="A747" s="352" t="s">
        <v>4096</v>
      </c>
      <c r="B747" s="352" t="s">
        <v>476</v>
      </c>
      <c r="C747" s="353" t="s">
        <v>1792</v>
      </c>
      <c r="E747" s="354" t="s">
        <v>2955</v>
      </c>
      <c r="F747" s="352" t="s">
        <v>11</v>
      </c>
      <c r="H747" s="356">
        <f t="shared" si="134"/>
        <v>0</v>
      </c>
      <c r="J747" s="351" t="b">
        <f t="shared" si="135"/>
        <v>1</v>
      </c>
    </row>
    <row r="748" spans="1:10" x14ac:dyDescent="0.25">
      <c r="A748" s="352" t="s">
        <v>4097</v>
      </c>
      <c r="B748" s="352" t="s">
        <v>197</v>
      </c>
      <c r="C748" s="353" t="s">
        <v>1338</v>
      </c>
      <c r="E748" s="354" t="s">
        <v>2956</v>
      </c>
      <c r="F748" s="352" t="s">
        <v>11</v>
      </c>
      <c r="H748" s="356">
        <f t="shared" si="134"/>
        <v>0</v>
      </c>
      <c r="J748" s="351" t="b">
        <f t="shared" si="135"/>
        <v>1</v>
      </c>
    </row>
    <row r="749" spans="1:10" x14ac:dyDescent="0.25">
      <c r="A749" s="352" t="s">
        <v>4098</v>
      </c>
      <c r="B749" s="352" t="s">
        <v>198</v>
      </c>
      <c r="C749" s="353" t="s">
        <v>1791</v>
      </c>
      <c r="E749" s="354" t="s">
        <v>2957</v>
      </c>
      <c r="F749" s="352" t="s">
        <v>11</v>
      </c>
      <c r="H749" s="356">
        <f t="shared" si="134"/>
        <v>0</v>
      </c>
      <c r="J749" s="351" t="b">
        <f t="shared" si="135"/>
        <v>1</v>
      </c>
    </row>
    <row r="750" spans="1:10" x14ac:dyDescent="0.25">
      <c r="A750" s="352" t="s">
        <v>4099</v>
      </c>
      <c r="B750" s="352" t="s">
        <v>199</v>
      </c>
      <c r="C750" s="353" t="s">
        <v>1798</v>
      </c>
      <c r="E750" s="354" t="s">
        <v>2958</v>
      </c>
      <c r="F750" s="352" t="s">
        <v>11</v>
      </c>
      <c r="H750" s="356">
        <f t="shared" si="134"/>
        <v>0</v>
      </c>
      <c r="J750" s="351" t="b">
        <f t="shared" si="135"/>
        <v>1</v>
      </c>
    </row>
    <row r="751" spans="1:10" x14ac:dyDescent="0.25">
      <c r="A751" s="352" t="s">
        <v>4100</v>
      </c>
      <c r="B751" s="352" t="s">
        <v>477</v>
      </c>
      <c r="C751" s="353" t="s">
        <v>1825</v>
      </c>
      <c r="E751" s="354" t="s">
        <v>2959</v>
      </c>
      <c r="F751" s="352" t="s">
        <v>11</v>
      </c>
      <c r="H751" s="356">
        <f t="shared" si="134"/>
        <v>0</v>
      </c>
      <c r="J751" s="351" t="b">
        <f t="shared" si="135"/>
        <v>1</v>
      </c>
    </row>
    <row r="752" spans="1:10" x14ac:dyDescent="0.25">
      <c r="A752" s="352" t="s">
        <v>4101</v>
      </c>
      <c r="B752" s="352" t="s">
        <v>478</v>
      </c>
      <c r="C752" s="353" t="s">
        <v>1825</v>
      </c>
      <c r="E752" s="354" t="s">
        <v>2960</v>
      </c>
      <c r="F752" s="352" t="s">
        <v>11</v>
      </c>
      <c r="H752" s="356">
        <f t="shared" si="134"/>
        <v>0</v>
      </c>
      <c r="J752" s="351" t="b">
        <f t="shared" si="135"/>
        <v>1</v>
      </c>
    </row>
    <row r="753" spans="1:10" x14ac:dyDescent="0.25">
      <c r="A753" s="352" t="s">
        <v>4102</v>
      </c>
      <c r="B753" s="352" t="s">
        <v>3416</v>
      </c>
      <c r="C753" s="353" t="s">
        <v>201</v>
      </c>
      <c r="E753" s="354" t="s">
        <v>2961</v>
      </c>
      <c r="F753" s="352" t="s">
        <v>11</v>
      </c>
      <c r="H753" s="356">
        <f t="shared" si="134"/>
        <v>0</v>
      </c>
      <c r="J753" s="351" t="b">
        <f t="shared" si="135"/>
        <v>1</v>
      </c>
    </row>
    <row r="754" spans="1:10" x14ac:dyDescent="0.25">
      <c r="A754" s="352" t="s">
        <v>4103</v>
      </c>
      <c r="B754" s="352" t="s">
        <v>3417</v>
      </c>
      <c r="C754" s="353" t="s">
        <v>203</v>
      </c>
      <c r="E754" s="354" t="s">
        <v>2962</v>
      </c>
      <c r="F754" s="352" t="s">
        <v>11</v>
      </c>
      <c r="H754" s="356">
        <f t="shared" si="134"/>
        <v>0</v>
      </c>
      <c r="J754" s="351" t="b">
        <f t="shared" si="135"/>
        <v>1</v>
      </c>
    </row>
    <row r="755" spans="1:10" x14ac:dyDescent="0.25">
      <c r="A755" s="352" t="s">
        <v>4104</v>
      </c>
      <c r="B755" s="352" t="s">
        <v>3418</v>
      </c>
      <c r="C755" s="353" t="s">
        <v>479</v>
      </c>
      <c r="E755" s="354" t="s">
        <v>2963</v>
      </c>
      <c r="F755" s="352" t="s">
        <v>11</v>
      </c>
      <c r="H755" s="356">
        <f t="shared" si="134"/>
        <v>0</v>
      </c>
      <c r="J755" s="351" t="b">
        <f t="shared" si="135"/>
        <v>1</v>
      </c>
    </row>
    <row r="756" spans="1:10" x14ac:dyDescent="0.25">
      <c r="A756" s="352" t="s">
        <v>4105</v>
      </c>
      <c r="B756" s="352" t="s">
        <v>3419</v>
      </c>
      <c r="C756" s="353" t="s">
        <v>480</v>
      </c>
      <c r="E756" s="354" t="s">
        <v>2964</v>
      </c>
      <c r="F756" s="352" t="s">
        <v>11</v>
      </c>
      <c r="H756" s="356">
        <f t="shared" si="134"/>
        <v>0</v>
      </c>
      <c r="J756" s="351" t="b">
        <f t="shared" si="135"/>
        <v>1</v>
      </c>
    </row>
    <row r="757" spans="1:10" x14ac:dyDescent="0.25">
      <c r="A757" s="352" t="s">
        <v>4106</v>
      </c>
      <c r="B757" s="352" t="s">
        <v>3420</v>
      </c>
      <c r="C757" s="353" t="s">
        <v>3421</v>
      </c>
      <c r="E757" s="354" t="s">
        <v>2965</v>
      </c>
      <c r="F757" s="352" t="s">
        <v>11</v>
      </c>
      <c r="H757" s="356">
        <f t="shared" si="134"/>
        <v>0</v>
      </c>
      <c r="J757" s="351" t="b">
        <f t="shared" si="135"/>
        <v>1</v>
      </c>
    </row>
    <row r="758" spans="1:10" x14ac:dyDescent="0.25">
      <c r="A758" s="352" t="s">
        <v>4107</v>
      </c>
      <c r="B758" s="352" t="s">
        <v>3422</v>
      </c>
      <c r="C758" s="353" t="s">
        <v>3423</v>
      </c>
      <c r="E758" s="354" t="s">
        <v>2966</v>
      </c>
      <c r="F758" s="352" t="s">
        <v>11</v>
      </c>
      <c r="H758" s="356">
        <f t="shared" si="134"/>
        <v>0</v>
      </c>
      <c r="J758" s="351" t="b">
        <f t="shared" si="135"/>
        <v>1</v>
      </c>
    </row>
    <row r="759" spans="1:10" x14ac:dyDescent="0.25">
      <c r="A759" s="352" t="s">
        <v>4108</v>
      </c>
      <c r="B759" s="352" t="s">
        <v>3424</v>
      </c>
      <c r="C759" s="353" t="s">
        <v>483</v>
      </c>
      <c r="E759" s="354" t="s">
        <v>2967</v>
      </c>
      <c r="F759" s="352" t="s">
        <v>11</v>
      </c>
      <c r="H759" s="356">
        <f t="shared" si="134"/>
        <v>0</v>
      </c>
      <c r="J759" s="351" t="b">
        <f t="shared" si="135"/>
        <v>1</v>
      </c>
    </row>
    <row r="760" spans="1:10" x14ac:dyDescent="0.25">
      <c r="A760" s="352" t="s">
        <v>4109</v>
      </c>
      <c r="B760" s="352" t="s">
        <v>3425</v>
      </c>
      <c r="C760" s="353" t="s">
        <v>484</v>
      </c>
      <c r="E760" s="354" t="s">
        <v>2968</v>
      </c>
      <c r="F760" s="352" t="s">
        <v>11</v>
      </c>
      <c r="H760" s="356">
        <f t="shared" si="134"/>
        <v>0</v>
      </c>
      <c r="J760" s="351" t="b">
        <f t="shared" si="135"/>
        <v>1</v>
      </c>
    </row>
    <row r="761" spans="1:10" x14ac:dyDescent="0.25">
      <c r="A761" s="352" t="s">
        <v>4110</v>
      </c>
      <c r="B761" s="352" t="s">
        <v>3426</v>
      </c>
      <c r="C761" s="353" t="s">
        <v>202</v>
      </c>
      <c r="E761" s="354" t="s">
        <v>2969</v>
      </c>
      <c r="F761" s="352" t="s">
        <v>11</v>
      </c>
      <c r="H761" s="356">
        <f t="shared" si="134"/>
        <v>0</v>
      </c>
      <c r="J761" s="351" t="b">
        <f t="shared" si="135"/>
        <v>1</v>
      </c>
    </row>
    <row r="762" spans="1:10" x14ac:dyDescent="0.25">
      <c r="A762" s="352" t="s">
        <v>4111</v>
      </c>
      <c r="B762" s="352" t="s">
        <v>3427</v>
      </c>
      <c r="C762" s="353" t="s">
        <v>485</v>
      </c>
      <c r="E762" s="354" t="s">
        <v>2970</v>
      </c>
      <c r="F762" s="352" t="s">
        <v>11</v>
      </c>
      <c r="H762" s="356">
        <f t="shared" si="134"/>
        <v>0</v>
      </c>
      <c r="J762" s="351" t="b">
        <f t="shared" si="135"/>
        <v>1</v>
      </c>
    </row>
    <row r="763" spans="1:10" x14ac:dyDescent="0.25">
      <c r="A763" s="352" t="s">
        <v>4112</v>
      </c>
      <c r="B763" s="352" t="s">
        <v>3428</v>
      </c>
      <c r="C763" s="353" t="s">
        <v>486</v>
      </c>
      <c r="E763" s="354" t="s">
        <v>2971</v>
      </c>
      <c r="F763" s="352" t="s">
        <v>11</v>
      </c>
      <c r="H763" s="356">
        <f t="shared" si="134"/>
        <v>0</v>
      </c>
      <c r="J763" s="351" t="b">
        <f t="shared" si="135"/>
        <v>1</v>
      </c>
    </row>
    <row r="764" spans="1:10" x14ac:dyDescent="0.25">
      <c r="A764" s="352" t="s">
        <v>4113</v>
      </c>
      <c r="B764" s="352" t="s">
        <v>3429</v>
      </c>
      <c r="C764" s="353" t="s">
        <v>205</v>
      </c>
      <c r="E764" s="354" t="s">
        <v>2972</v>
      </c>
      <c r="F764" s="352" t="s">
        <v>11</v>
      </c>
      <c r="H764" s="356">
        <f t="shared" si="134"/>
        <v>0</v>
      </c>
      <c r="J764" s="351" t="b">
        <f t="shared" si="135"/>
        <v>1</v>
      </c>
    </row>
    <row r="765" spans="1:10" x14ac:dyDescent="0.25">
      <c r="A765" s="352" t="s">
        <v>4114</v>
      </c>
      <c r="B765" s="352" t="s">
        <v>3430</v>
      </c>
      <c r="C765" s="353" t="s">
        <v>206</v>
      </c>
      <c r="E765" s="354" t="s">
        <v>2973</v>
      </c>
      <c r="F765" s="352" t="s">
        <v>11</v>
      </c>
      <c r="H765" s="356">
        <f t="shared" si="134"/>
        <v>0</v>
      </c>
      <c r="J765" s="351" t="b">
        <f t="shared" si="135"/>
        <v>1</v>
      </c>
    </row>
    <row r="766" spans="1:10" x14ac:dyDescent="0.25">
      <c r="A766" s="352" t="s">
        <v>4115</v>
      </c>
      <c r="B766" s="352" t="s">
        <v>204</v>
      </c>
      <c r="C766" s="353" t="s">
        <v>1494</v>
      </c>
      <c r="E766" s="354" t="s">
        <v>2974</v>
      </c>
      <c r="F766" s="352" t="s">
        <v>11</v>
      </c>
      <c r="H766" s="356">
        <f t="shared" si="134"/>
        <v>0</v>
      </c>
      <c r="J766" s="351" t="b">
        <f t="shared" si="135"/>
        <v>1</v>
      </c>
    </row>
    <row r="767" spans="1:10" x14ac:dyDescent="0.25">
      <c r="A767" s="352" t="s">
        <v>4116</v>
      </c>
      <c r="B767" s="352" t="s">
        <v>487</v>
      </c>
      <c r="C767" s="353" t="s">
        <v>1495</v>
      </c>
      <c r="E767" s="354" t="s">
        <v>2975</v>
      </c>
      <c r="F767" s="352" t="s">
        <v>11</v>
      </c>
      <c r="H767" s="356">
        <f t="shared" si="134"/>
        <v>0</v>
      </c>
      <c r="J767" s="351" t="b">
        <f t="shared" si="135"/>
        <v>1</v>
      </c>
    </row>
    <row r="768" spans="1:10" x14ac:dyDescent="0.25">
      <c r="A768" s="352"/>
      <c r="B768" s="352"/>
      <c r="D768" s="351"/>
      <c r="E768" s="354"/>
      <c r="F768" s="352"/>
    </row>
    <row r="769" spans="1:10" x14ac:dyDescent="0.2">
      <c r="A769" s="206" t="s">
        <v>4117</v>
      </c>
      <c r="B769" s="206" t="s">
        <v>2420</v>
      </c>
      <c r="C769" s="206"/>
      <c r="D769" s="206"/>
      <c r="E769" s="207" t="s">
        <v>10272</v>
      </c>
      <c r="F769" s="206"/>
      <c r="G769" s="208"/>
      <c r="H769" s="208"/>
      <c r="I769" s="209"/>
      <c r="J769" s="209"/>
    </row>
    <row r="770" spans="1:10" x14ac:dyDescent="0.25">
      <c r="A770" s="352" t="s">
        <v>4118</v>
      </c>
      <c r="B770" s="352" t="s">
        <v>507</v>
      </c>
      <c r="E770" s="354" t="s">
        <v>2976</v>
      </c>
      <c r="F770" s="352" t="s">
        <v>52</v>
      </c>
      <c r="H770" s="356">
        <f t="shared" ref="H770:H782" si="136">ROUND(I770,2)</f>
        <v>0</v>
      </c>
      <c r="J770" s="351" t="b">
        <f t="shared" ref="J770:J782" si="137">H770=G770</f>
        <v>1</v>
      </c>
    </row>
    <row r="771" spans="1:10" x14ac:dyDescent="0.25">
      <c r="A771" s="352" t="s">
        <v>4119</v>
      </c>
      <c r="B771" s="352" t="s">
        <v>236</v>
      </c>
      <c r="E771" s="354" t="s">
        <v>2560</v>
      </c>
      <c r="F771" s="352" t="s">
        <v>52</v>
      </c>
      <c r="H771" s="356">
        <f t="shared" si="136"/>
        <v>0</v>
      </c>
      <c r="J771" s="351" t="b">
        <f t="shared" si="137"/>
        <v>1</v>
      </c>
    </row>
    <row r="772" spans="1:10" x14ac:dyDescent="0.25">
      <c r="A772" s="352" t="s">
        <v>4120</v>
      </c>
      <c r="B772" s="352" t="s">
        <v>172</v>
      </c>
      <c r="E772" s="354" t="s">
        <v>2669</v>
      </c>
      <c r="F772" s="352" t="s">
        <v>16</v>
      </c>
      <c r="H772" s="356">
        <f t="shared" si="136"/>
        <v>0</v>
      </c>
      <c r="J772" s="351" t="b">
        <f t="shared" si="137"/>
        <v>1</v>
      </c>
    </row>
    <row r="773" spans="1:10" x14ac:dyDescent="0.25">
      <c r="A773" s="352" t="s">
        <v>4121</v>
      </c>
      <c r="B773" s="352" t="s">
        <v>173</v>
      </c>
      <c r="E773" s="354" t="s">
        <v>2670</v>
      </c>
      <c r="F773" s="352" t="s">
        <v>16</v>
      </c>
      <c r="H773" s="356">
        <f t="shared" si="136"/>
        <v>0</v>
      </c>
      <c r="J773" s="351" t="b">
        <f t="shared" si="137"/>
        <v>1</v>
      </c>
    </row>
    <row r="774" spans="1:10" x14ac:dyDescent="0.25">
      <c r="A774" s="352" t="s">
        <v>4122</v>
      </c>
      <c r="B774" s="352" t="s">
        <v>508</v>
      </c>
      <c r="C774" s="353" t="s">
        <v>1325</v>
      </c>
      <c r="E774" s="354" t="s">
        <v>2977</v>
      </c>
      <c r="F774" s="352" t="s">
        <v>2488</v>
      </c>
      <c r="H774" s="356">
        <f t="shared" si="136"/>
        <v>0</v>
      </c>
      <c r="J774" s="351" t="b">
        <f t="shared" si="137"/>
        <v>1</v>
      </c>
    </row>
    <row r="775" spans="1:10" x14ac:dyDescent="0.25">
      <c r="A775" s="352" t="s">
        <v>4123</v>
      </c>
      <c r="B775" s="352" t="s">
        <v>509</v>
      </c>
      <c r="C775" s="353" t="s">
        <v>2088</v>
      </c>
      <c r="E775" s="354" t="s">
        <v>2978</v>
      </c>
      <c r="F775" s="352" t="s">
        <v>16</v>
      </c>
      <c r="H775" s="356">
        <f t="shared" si="136"/>
        <v>0</v>
      </c>
      <c r="J775" s="351" t="b">
        <f t="shared" si="137"/>
        <v>1</v>
      </c>
    </row>
    <row r="776" spans="1:10" x14ac:dyDescent="0.25">
      <c r="A776" s="352" t="s">
        <v>4124</v>
      </c>
      <c r="B776" s="352" t="s">
        <v>510</v>
      </c>
      <c r="C776" s="353" t="s">
        <v>1886</v>
      </c>
      <c r="E776" s="354" t="s">
        <v>2979</v>
      </c>
      <c r="F776" s="352" t="s">
        <v>16</v>
      </c>
      <c r="H776" s="356">
        <f t="shared" si="136"/>
        <v>0</v>
      </c>
      <c r="J776" s="351" t="b">
        <f t="shared" si="137"/>
        <v>1</v>
      </c>
    </row>
    <row r="777" spans="1:10" x14ac:dyDescent="0.25">
      <c r="A777" s="352" t="s">
        <v>4125</v>
      </c>
      <c r="B777" s="352" t="s">
        <v>511</v>
      </c>
      <c r="C777" s="353" t="s">
        <v>1886</v>
      </c>
      <c r="E777" s="354" t="s">
        <v>2980</v>
      </c>
      <c r="F777" s="352" t="s">
        <v>16</v>
      </c>
      <c r="H777" s="356">
        <f t="shared" si="136"/>
        <v>0</v>
      </c>
      <c r="J777" s="351" t="b">
        <f t="shared" si="137"/>
        <v>1</v>
      </c>
    </row>
    <row r="778" spans="1:10" x14ac:dyDescent="0.25">
      <c r="A778" s="352" t="s">
        <v>4126</v>
      </c>
      <c r="B778" s="352" t="s">
        <v>512</v>
      </c>
      <c r="C778" s="353" t="s">
        <v>1885</v>
      </c>
      <c r="E778" s="354" t="s">
        <v>2981</v>
      </c>
      <c r="F778" s="352" t="s">
        <v>16</v>
      </c>
      <c r="H778" s="356">
        <f t="shared" si="136"/>
        <v>0</v>
      </c>
      <c r="J778" s="351" t="b">
        <f t="shared" si="137"/>
        <v>1</v>
      </c>
    </row>
    <row r="779" spans="1:10" x14ac:dyDescent="0.25">
      <c r="A779" s="352" t="s">
        <v>4127</v>
      </c>
      <c r="B779" s="352" t="s">
        <v>513</v>
      </c>
      <c r="C779" s="353" t="s">
        <v>2088</v>
      </c>
      <c r="E779" s="354" t="s">
        <v>2982</v>
      </c>
      <c r="F779" s="352" t="s">
        <v>16</v>
      </c>
      <c r="H779" s="356">
        <f t="shared" si="136"/>
        <v>0</v>
      </c>
      <c r="J779" s="351" t="b">
        <f t="shared" si="137"/>
        <v>1</v>
      </c>
    </row>
    <row r="780" spans="1:10" x14ac:dyDescent="0.25">
      <c r="A780" s="352" t="s">
        <v>4128</v>
      </c>
      <c r="B780" s="352" t="s">
        <v>514</v>
      </c>
      <c r="E780" s="354" t="s">
        <v>2983</v>
      </c>
      <c r="F780" s="352" t="s">
        <v>16</v>
      </c>
      <c r="H780" s="356">
        <f t="shared" si="136"/>
        <v>0</v>
      </c>
      <c r="J780" s="351" t="b">
        <f t="shared" si="137"/>
        <v>1</v>
      </c>
    </row>
    <row r="781" spans="1:10" x14ac:dyDescent="0.25">
      <c r="A781" s="352" t="s">
        <v>4129</v>
      </c>
      <c r="B781" s="352" t="s">
        <v>3431</v>
      </c>
      <c r="C781" s="353" t="s">
        <v>515</v>
      </c>
      <c r="E781" s="354" t="s">
        <v>2984</v>
      </c>
      <c r="F781" s="352" t="s">
        <v>16</v>
      </c>
      <c r="H781" s="356">
        <f t="shared" si="136"/>
        <v>0</v>
      </c>
      <c r="J781" s="351" t="b">
        <f t="shared" si="137"/>
        <v>1</v>
      </c>
    </row>
    <row r="782" spans="1:10" x14ac:dyDescent="0.25">
      <c r="A782" s="352" t="s">
        <v>4130</v>
      </c>
      <c r="B782" s="352" t="s">
        <v>516</v>
      </c>
      <c r="E782" s="354" t="s">
        <v>2985</v>
      </c>
      <c r="F782" s="352" t="s">
        <v>16</v>
      </c>
      <c r="H782" s="356">
        <f t="shared" si="136"/>
        <v>0</v>
      </c>
      <c r="J782" s="351" t="b">
        <f t="shared" si="137"/>
        <v>1</v>
      </c>
    </row>
    <row r="783" spans="1:10" x14ac:dyDescent="0.25">
      <c r="A783" s="216" t="s">
        <v>4131</v>
      </c>
      <c r="B783" s="216" t="s">
        <v>2420</v>
      </c>
      <c r="C783" s="197"/>
      <c r="D783" s="197"/>
      <c r="E783" s="217" t="s">
        <v>2986</v>
      </c>
      <c r="F783" s="352"/>
    </row>
    <row r="784" spans="1:10" x14ac:dyDescent="0.25">
      <c r="A784" s="352" t="s">
        <v>4132</v>
      </c>
      <c r="B784" s="352" t="s">
        <v>517</v>
      </c>
      <c r="C784" s="353" t="s">
        <v>1902</v>
      </c>
      <c r="E784" s="354" t="s">
        <v>2987</v>
      </c>
      <c r="F784" s="352" t="s">
        <v>16</v>
      </c>
      <c r="H784" s="356">
        <f t="shared" ref="H784" si="138">ROUND(I784,2)</f>
        <v>0</v>
      </c>
      <c r="J784" s="351" t="b">
        <f t="shared" ref="J784" si="139">H784=G784</f>
        <v>1</v>
      </c>
    </row>
    <row r="785" spans="1:10" x14ac:dyDescent="0.25">
      <c r="A785" s="352"/>
      <c r="B785" s="352"/>
      <c r="D785" s="351"/>
      <c r="E785" s="354"/>
      <c r="F785" s="352"/>
    </row>
    <row r="786" spans="1:10" x14ac:dyDescent="0.2">
      <c r="A786" s="206" t="s">
        <v>4133</v>
      </c>
      <c r="B786" s="206" t="s">
        <v>2420</v>
      </c>
      <c r="C786" s="206"/>
      <c r="D786" s="206"/>
      <c r="E786" s="207" t="s">
        <v>1118</v>
      </c>
      <c r="F786" s="206"/>
      <c r="G786" s="208"/>
      <c r="H786" s="208"/>
      <c r="I786" s="209"/>
      <c r="J786" s="209"/>
    </row>
    <row r="787" spans="1:10" x14ac:dyDescent="0.25">
      <c r="A787" s="210" t="s">
        <v>4134</v>
      </c>
      <c r="B787" s="357" t="s">
        <v>2420</v>
      </c>
      <c r="C787" s="358"/>
      <c r="D787" s="359"/>
      <c r="E787" s="211" t="s">
        <v>2988</v>
      </c>
      <c r="F787" s="357"/>
      <c r="G787" s="360"/>
      <c r="H787" s="361"/>
      <c r="I787" s="360"/>
      <c r="J787" s="359"/>
    </row>
    <row r="788" spans="1:10" x14ac:dyDescent="0.25">
      <c r="A788" s="352" t="s">
        <v>4135</v>
      </c>
      <c r="B788" s="352" t="s">
        <v>3432</v>
      </c>
      <c r="C788" s="353" t="s">
        <v>1992</v>
      </c>
      <c r="E788" s="354" t="s">
        <v>2989</v>
      </c>
      <c r="F788" s="352" t="s">
        <v>2338</v>
      </c>
      <c r="H788" s="356">
        <f t="shared" ref="H788:H790" si="140">ROUND(I788,2)</f>
        <v>0</v>
      </c>
      <c r="J788" s="351" t="b">
        <f t="shared" ref="J788:J790" si="141">H788=G788</f>
        <v>1</v>
      </c>
    </row>
    <row r="789" spans="1:10" x14ac:dyDescent="0.25">
      <c r="A789" s="352" t="s">
        <v>4136</v>
      </c>
      <c r="B789" s="352" t="s">
        <v>3433</v>
      </c>
      <c r="C789" s="353" t="s">
        <v>504</v>
      </c>
      <c r="E789" s="354" t="s">
        <v>2990</v>
      </c>
      <c r="F789" s="352" t="s">
        <v>11</v>
      </c>
      <c r="H789" s="356">
        <f t="shared" si="140"/>
        <v>0</v>
      </c>
      <c r="J789" s="351" t="b">
        <f t="shared" si="141"/>
        <v>1</v>
      </c>
    </row>
    <row r="790" spans="1:10" x14ac:dyDescent="0.25">
      <c r="A790" s="352" t="s">
        <v>4137</v>
      </c>
      <c r="B790" s="352" t="s">
        <v>3434</v>
      </c>
      <c r="C790" s="353" t="s">
        <v>2227</v>
      </c>
      <c r="E790" s="354" t="s">
        <v>2991</v>
      </c>
      <c r="F790" s="352" t="s">
        <v>11</v>
      </c>
      <c r="H790" s="356">
        <f t="shared" si="140"/>
        <v>0</v>
      </c>
      <c r="J790" s="351" t="b">
        <f t="shared" si="141"/>
        <v>1</v>
      </c>
    </row>
    <row r="791" spans="1:10" x14ac:dyDescent="0.25">
      <c r="A791" s="210" t="s">
        <v>4138</v>
      </c>
      <c r="B791" s="357" t="s">
        <v>2420</v>
      </c>
      <c r="C791" s="358"/>
      <c r="D791" s="359"/>
      <c r="E791" s="211" t="s">
        <v>2992</v>
      </c>
      <c r="F791" s="357"/>
      <c r="G791" s="360"/>
      <c r="H791" s="361"/>
      <c r="I791" s="360"/>
      <c r="J791" s="359"/>
    </row>
    <row r="792" spans="1:10" x14ac:dyDescent="0.25">
      <c r="A792" s="352" t="s">
        <v>4139</v>
      </c>
      <c r="B792" s="352" t="s">
        <v>3435</v>
      </c>
      <c r="C792" s="353" t="s">
        <v>3436</v>
      </c>
      <c r="D792" s="351"/>
      <c r="E792" s="354" t="s">
        <v>2993</v>
      </c>
      <c r="F792" s="352" t="s">
        <v>2338</v>
      </c>
      <c r="H792" s="356">
        <f>ROUND(I792,2)</f>
        <v>0</v>
      </c>
      <c r="J792" s="351" t="b">
        <f>H792=G792</f>
        <v>1</v>
      </c>
    </row>
    <row r="793" spans="1:10" x14ac:dyDescent="0.25">
      <c r="A793" s="352" t="s">
        <v>4140</v>
      </c>
      <c r="B793" s="352" t="s">
        <v>3437</v>
      </c>
      <c r="C793" s="353" t="s">
        <v>3438</v>
      </c>
      <c r="D793" s="351"/>
      <c r="E793" s="354" t="s">
        <v>2994</v>
      </c>
      <c r="F793" s="352" t="s">
        <v>2371</v>
      </c>
      <c r="H793" s="356">
        <f>ROUND(I793,2)</f>
        <v>0</v>
      </c>
      <c r="J793" s="351" t="b">
        <f>H793=G793</f>
        <v>1</v>
      </c>
    </row>
    <row r="794" spans="1:10" x14ac:dyDescent="0.25">
      <c r="A794" s="352"/>
      <c r="B794" s="352"/>
      <c r="D794" s="351"/>
      <c r="E794" s="354"/>
      <c r="F794" s="352"/>
    </row>
    <row r="795" spans="1:10" x14ac:dyDescent="0.2">
      <c r="A795" s="206" t="s">
        <v>4141</v>
      </c>
      <c r="B795" s="206" t="s">
        <v>2420</v>
      </c>
      <c r="C795" s="206"/>
      <c r="D795" s="206"/>
      <c r="E795" s="207" t="s">
        <v>2995</v>
      </c>
      <c r="F795" s="206"/>
      <c r="G795" s="208"/>
      <c r="H795" s="208"/>
      <c r="I795" s="209"/>
      <c r="J795" s="209"/>
    </row>
    <row r="796" spans="1:10" x14ac:dyDescent="0.25">
      <c r="A796" s="352" t="s">
        <v>4142</v>
      </c>
      <c r="B796" s="352" t="s">
        <v>213</v>
      </c>
      <c r="E796" s="354" t="s">
        <v>2996</v>
      </c>
      <c r="F796" s="352" t="s">
        <v>16</v>
      </c>
      <c r="H796" s="356">
        <f t="shared" ref="H796:H798" si="142">ROUND(I796,2)</f>
        <v>0</v>
      </c>
      <c r="J796" s="351" t="b">
        <f t="shared" ref="J796:J798" si="143">H796=G796</f>
        <v>1</v>
      </c>
    </row>
    <row r="797" spans="1:10" x14ac:dyDescent="0.25">
      <c r="A797" s="352" t="s">
        <v>4143</v>
      </c>
      <c r="B797" s="352" t="s">
        <v>3439</v>
      </c>
      <c r="C797" s="353" t="s">
        <v>214</v>
      </c>
      <c r="E797" s="354" t="s">
        <v>2995</v>
      </c>
      <c r="F797" s="352" t="s">
        <v>16</v>
      </c>
      <c r="H797" s="356">
        <f t="shared" si="142"/>
        <v>0</v>
      </c>
      <c r="J797" s="351" t="b">
        <f t="shared" si="143"/>
        <v>1</v>
      </c>
    </row>
    <row r="798" spans="1:10" x14ac:dyDescent="0.25">
      <c r="A798" s="352" t="s">
        <v>4144</v>
      </c>
      <c r="B798" s="352" t="s">
        <v>3440</v>
      </c>
      <c r="C798" s="353" t="s">
        <v>1991</v>
      </c>
      <c r="E798" s="354" t="s">
        <v>2997</v>
      </c>
      <c r="F798" s="352" t="s">
        <v>16</v>
      </c>
      <c r="H798" s="356">
        <f t="shared" si="142"/>
        <v>0</v>
      </c>
      <c r="J798" s="351" t="b">
        <f t="shared" si="143"/>
        <v>1</v>
      </c>
    </row>
    <row r="799" spans="1:10" x14ac:dyDescent="0.25">
      <c r="A799" s="352"/>
      <c r="B799" s="352"/>
      <c r="D799" s="351"/>
      <c r="E799" s="354"/>
      <c r="F799" s="352"/>
    </row>
    <row r="800" spans="1:10" x14ac:dyDescent="0.2">
      <c r="A800" s="206" t="s">
        <v>4145</v>
      </c>
      <c r="B800" s="206" t="s">
        <v>2420</v>
      </c>
      <c r="C800" s="206"/>
      <c r="D800" s="206"/>
      <c r="E800" s="207" t="s">
        <v>2998</v>
      </c>
      <c r="F800" s="206"/>
      <c r="G800" s="208"/>
      <c r="H800" s="208"/>
      <c r="I800" s="209"/>
      <c r="J800" s="209"/>
    </row>
    <row r="801" spans="1:10" x14ac:dyDescent="0.25">
      <c r="A801" s="352" t="s">
        <v>4146</v>
      </c>
      <c r="B801" s="352" t="s">
        <v>3441</v>
      </c>
      <c r="C801" s="353" t="s">
        <v>215</v>
      </c>
      <c r="E801" s="354" t="s">
        <v>2999</v>
      </c>
      <c r="F801" s="352" t="s">
        <v>16</v>
      </c>
      <c r="H801" s="356">
        <f t="shared" ref="H801:H802" si="144">ROUND(I801,2)</f>
        <v>0</v>
      </c>
      <c r="J801" s="351" t="b">
        <f t="shared" ref="J801:J802" si="145">H801=G801</f>
        <v>1</v>
      </c>
    </row>
    <row r="802" spans="1:10" x14ac:dyDescent="0.25">
      <c r="A802" s="352" t="s">
        <v>4147</v>
      </c>
      <c r="B802" s="352" t="s">
        <v>3442</v>
      </c>
      <c r="C802" s="353" t="s">
        <v>518</v>
      </c>
      <c r="E802" s="354" t="s">
        <v>3000</v>
      </c>
      <c r="F802" s="352" t="s">
        <v>16</v>
      </c>
      <c r="H802" s="356">
        <f t="shared" si="144"/>
        <v>0</v>
      </c>
      <c r="J802" s="351" t="b">
        <f t="shared" si="145"/>
        <v>1</v>
      </c>
    </row>
    <row r="803" spans="1:10" x14ac:dyDescent="0.25">
      <c r="A803" s="352"/>
      <c r="B803" s="352"/>
      <c r="D803" s="351"/>
      <c r="E803" s="354"/>
      <c r="F803" s="352"/>
    </row>
    <row r="804" spans="1:10" x14ac:dyDescent="0.2">
      <c r="A804" s="206">
        <v>1</v>
      </c>
      <c r="B804" s="206"/>
      <c r="C804" s="206"/>
      <c r="D804" s="206"/>
      <c r="E804" s="207" t="s">
        <v>3001</v>
      </c>
      <c r="F804" s="206"/>
      <c r="G804" s="208"/>
      <c r="H804" s="208"/>
      <c r="I804" s="209"/>
      <c r="J804" s="209"/>
    </row>
    <row r="805" spans="1:10" x14ac:dyDescent="0.25">
      <c r="A805" s="352"/>
      <c r="B805" s="352"/>
      <c r="D805" s="351"/>
      <c r="E805" s="354"/>
      <c r="F805" s="352"/>
    </row>
    <row r="806" spans="1:10" x14ac:dyDescent="0.2">
      <c r="A806" s="206">
        <v>1</v>
      </c>
      <c r="B806" s="206"/>
      <c r="C806" s="206"/>
      <c r="D806" s="206"/>
      <c r="E806" s="207" t="s">
        <v>3002</v>
      </c>
      <c r="F806" s="206"/>
      <c r="G806" s="208"/>
      <c r="H806" s="208"/>
      <c r="I806" s="209"/>
      <c r="J806" s="209"/>
    </row>
    <row r="807" spans="1:10" x14ac:dyDescent="0.25">
      <c r="A807" s="352"/>
      <c r="B807" s="352"/>
      <c r="D807" s="351"/>
      <c r="E807" s="354"/>
      <c r="F807" s="352"/>
    </row>
    <row r="808" spans="1:10" x14ac:dyDescent="0.2">
      <c r="A808" s="206">
        <v>1</v>
      </c>
      <c r="B808" s="206"/>
      <c r="C808" s="206"/>
      <c r="D808" s="206"/>
      <c r="E808" s="207" t="s">
        <v>3003</v>
      </c>
      <c r="F808" s="206"/>
      <c r="G808" s="208"/>
      <c r="H808" s="208"/>
      <c r="I808" s="209"/>
      <c r="J808" s="209"/>
    </row>
    <row r="809" spans="1:10" x14ac:dyDescent="0.25">
      <c r="A809" s="352"/>
      <c r="B809" s="352"/>
      <c r="D809" s="351"/>
      <c r="E809" s="354"/>
      <c r="F809" s="352"/>
    </row>
    <row r="810" spans="1:10" x14ac:dyDescent="0.25">
      <c r="A810" s="352"/>
      <c r="B810" s="352"/>
      <c r="D810" s="351"/>
      <c r="E810" s="354"/>
      <c r="F810" s="352"/>
    </row>
    <row r="811" spans="1:10" x14ac:dyDescent="0.25">
      <c r="A811" s="352"/>
      <c r="B811" s="352"/>
      <c r="D811" s="351"/>
      <c r="E811" s="354"/>
      <c r="F811" s="352"/>
    </row>
    <row r="812" spans="1:10" x14ac:dyDescent="0.25">
      <c r="A812" s="352"/>
      <c r="B812" s="352"/>
      <c r="D812" s="351"/>
      <c r="E812" s="354"/>
      <c r="F812" s="352"/>
    </row>
  </sheetData>
  <autoFilter ref="A1:J812" xr:uid="{00000000-0009-0000-0000-000001000000}"/>
  <phoneticPr fontId="73" type="noConversion"/>
  <conditionalFormatting sqref="J5 J559:J569">
    <cfRule type="cellIs" dxfId="15" priority="12" operator="equal">
      <formula>FALSE</formula>
    </cfRule>
  </conditionalFormatting>
  <conditionalFormatting sqref="J8:J34 J37:J42 J45:J58 J62:J90 J101:J102 J104 J108:J144 J146:J151 J154:J162 J166:J168 J170:J173 J176:J178 J181 J184:J190 J193 J196 J199:J200 J203:J204 J372:J387 J396:J400 J402:J406 J408:J409 J420:J428 J437:J438 J440:J441 J543:J550 J552:J554 J556 J571:J577 J586:J595 J597:J600 J604:J607 J614:J619 J622:J630 J632:J643 J646:J649 J653:J655 J677 J687:J688 J696:J702 J705:J722 J725 J792:J793">
    <cfRule type="cellIs" dxfId="14" priority="16" operator="equal">
      <formula>FALSE</formula>
    </cfRule>
  </conditionalFormatting>
  <conditionalFormatting sqref="J92">
    <cfRule type="cellIs" dxfId="13" priority="11" operator="equal">
      <formula>FALSE</formula>
    </cfRule>
  </conditionalFormatting>
  <conditionalFormatting sqref="J94:J99">
    <cfRule type="cellIs" dxfId="12" priority="14" operator="equal">
      <formula>FALSE</formula>
    </cfRule>
  </conditionalFormatting>
  <conditionalFormatting sqref="J211:J217 J222:J227 J229:J234 J236:J241 J243:J252 J255 J257:J260 J262:J268 J270:J272 J274:J275 J277:J279 J281:J282 J285:J287 J289:J290 J292:J294 J296 J301:J312 J314:J319 J321:J332 J335:J348 J352:J366 J445:J459 J462:J463 J465:J510 J512:J526 J529:J538 J579:J581 J583 J658:J662 J680:J681 J691:J693 J728:J767 J770:J782 J784 J788:J790 J796:J798 J801:J802">
    <cfRule type="cellIs" dxfId="11" priority="15" operator="equal">
      <formula>FALSE</formula>
    </cfRule>
  </conditionalFormatting>
  <conditionalFormatting sqref="J390:J392">
    <cfRule type="cellIs" dxfId="10" priority="5" operator="equal">
      <formula>FALSE</formula>
    </cfRule>
  </conditionalFormatting>
  <conditionalFormatting sqref="J411:J414">
    <cfRule type="cellIs" dxfId="9" priority="9" operator="equal">
      <formula>FALSE</formula>
    </cfRule>
  </conditionalFormatting>
  <conditionalFormatting sqref="J417:J418">
    <cfRule type="cellIs" dxfId="8" priority="10" operator="equal">
      <formula>FALSE</formula>
    </cfRule>
  </conditionalFormatting>
  <conditionalFormatting sqref="J430:J433">
    <cfRule type="cellIs" dxfId="7" priority="6" operator="equal">
      <formula>FALSE</formula>
    </cfRule>
  </conditionalFormatting>
  <conditionalFormatting sqref="J602">
    <cfRule type="cellIs" dxfId="6" priority="13" operator="equal">
      <formula>FALSE</formula>
    </cfRule>
  </conditionalFormatting>
  <conditionalFormatting sqref="J609:J611">
    <cfRule type="cellIs" dxfId="5" priority="8" operator="equal">
      <formula>FALSE</formula>
    </cfRule>
  </conditionalFormatting>
  <conditionalFormatting sqref="J665:J668">
    <cfRule type="cellIs" dxfId="4" priority="3" operator="equal">
      <formula>FALSE</formula>
    </cfRule>
  </conditionalFormatting>
  <conditionalFormatting sqref="J670">
    <cfRule type="cellIs" dxfId="3" priority="4" operator="equal">
      <formula>FALSE</formula>
    </cfRule>
  </conditionalFormatting>
  <conditionalFormatting sqref="J673:J674">
    <cfRule type="cellIs" dxfId="2" priority="2" operator="equal">
      <formula>FALSE</formula>
    </cfRule>
  </conditionalFormatting>
  <conditionalFormatting sqref="J684">
    <cfRule type="cellIs" dxfId="1" priority="1" operator="equal">
      <formula>FALSE</formula>
    </cfRule>
  </conditionalFormatting>
  <pageMargins left="0.31496062992125984" right="0.51181102362204722" top="0.19685039370078741" bottom="0" header="0" footer="0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D3585"/>
  <sheetViews>
    <sheetView workbookViewId="0"/>
  </sheetViews>
  <sheetFormatPr defaultRowHeight="12.75" x14ac:dyDescent="0.2"/>
  <cols>
    <col min="1" max="1" width="9.140625" style="333"/>
    <col min="2" max="2" width="56.5703125" style="333" customWidth="1"/>
    <col min="3" max="257" width="9.140625" style="333"/>
    <col min="258" max="258" width="56.5703125" style="333" customWidth="1"/>
    <col min="259" max="513" width="9.140625" style="333"/>
    <col min="514" max="514" width="56.5703125" style="333" customWidth="1"/>
    <col min="515" max="769" width="9.140625" style="333"/>
    <col min="770" max="770" width="56.5703125" style="333" customWidth="1"/>
    <col min="771" max="1025" width="9.140625" style="333"/>
    <col min="1026" max="1026" width="56.5703125" style="333" customWidth="1"/>
    <col min="1027" max="1281" width="9.140625" style="333"/>
    <col min="1282" max="1282" width="56.5703125" style="333" customWidth="1"/>
    <col min="1283" max="1537" width="9.140625" style="333"/>
    <col min="1538" max="1538" width="56.5703125" style="333" customWidth="1"/>
    <col min="1539" max="1793" width="9.140625" style="333"/>
    <col min="1794" max="1794" width="56.5703125" style="333" customWidth="1"/>
    <col min="1795" max="2049" width="9.140625" style="333"/>
    <col min="2050" max="2050" width="56.5703125" style="333" customWidth="1"/>
    <col min="2051" max="2305" width="9.140625" style="333"/>
    <col min="2306" max="2306" width="56.5703125" style="333" customWidth="1"/>
    <col min="2307" max="2561" width="9.140625" style="333"/>
    <col min="2562" max="2562" width="56.5703125" style="333" customWidth="1"/>
    <col min="2563" max="2817" width="9.140625" style="333"/>
    <col min="2818" max="2818" width="56.5703125" style="333" customWidth="1"/>
    <col min="2819" max="3073" width="9.140625" style="333"/>
    <col min="3074" max="3074" width="56.5703125" style="333" customWidth="1"/>
    <col min="3075" max="3329" width="9.140625" style="333"/>
    <col min="3330" max="3330" width="56.5703125" style="333" customWidth="1"/>
    <col min="3331" max="3585" width="9.140625" style="333"/>
    <col min="3586" max="3586" width="56.5703125" style="333" customWidth="1"/>
    <col min="3587" max="3841" width="9.140625" style="333"/>
    <col min="3842" max="3842" width="56.5703125" style="333" customWidth="1"/>
    <col min="3843" max="4097" width="9.140625" style="333"/>
    <col min="4098" max="4098" width="56.5703125" style="333" customWidth="1"/>
    <col min="4099" max="4353" width="9.140625" style="333"/>
    <col min="4354" max="4354" width="56.5703125" style="333" customWidth="1"/>
    <col min="4355" max="4609" width="9.140625" style="333"/>
    <col min="4610" max="4610" width="56.5703125" style="333" customWidth="1"/>
    <col min="4611" max="4865" width="9.140625" style="333"/>
    <col min="4866" max="4866" width="56.5703125" style="333" customWidth="1"/>
    <col min="4867" max="5121" width="9.140625" style="333"/>
    <col min="5122" max="5122" width="56.5703125" style="333" customWidth="1"/>
    <col min="5123" max="5377" width="9.140625" style="333"/>
    <col min="5378" max="5378" width="56.5703125" style="333" customWidth="1"/>
    <col min="5379" max="5633" width="9.140625" style="333"/>
    <col min="5634" max="5634" width="56.5703125" style="333" customWidth="1"/>
    <col min="5635" max="5889" width="9.140625" style="333"/>
    <col min="5890" max="5890" width="56.5703125" style="333" customWidth="1"/>
    <col min="5891" max="6145" width="9.140625" style="333"/>
    <col min="6146" max="6146" width="56.5703125" style="333" customWidth="1"/>
    <col min="6147" max="6401" width="9.140625" style="333"/>
    <col min="6402" max="6402" width="56.5703125" style="333" customWidth="1"/>
    <col min="6403" max="6657" width="9.140625" style="333"/>
    <col min="6658" max="6658" width="56.5703125" style="333" customWidth="1"/>
    <col min="6659" max="6913" width="9.140625" style="333"/>
    <col min="6914" max="6914" width="56.5703125" style="333" customWidth="1"/>
    <col min="6915" max="7169" width="9.140625" style="333"/>
    <col min="7170" max="7170" width="56.5703125" style="333" customWidth="1"/>
    <col min="7171" max="7425" width="9.140625" style="333"/>
    <col min="7426" max="7426" width="56.5703125" style="333" customWidth="1"/>
    <col min="7427" max="7681" width="9.140625" style="333"/>
    <col min="7682" max="7682" width="56.5703125" style="333" customWidth="1"/>
    <col min="7683" max="7937" width="9.140625" style="333"/>
    <col min="7938" max="7938" width="56.5703125" style="333" customWidth="1"/>
    <col min="7939" max="8193" width="9.140625" style="333"/>
    <col min="8194" max="8194" width="56.5703125" style="333" customWidth="1"/>
    <col min="8195" max="8449" width="9.140625" style="333"/>
    <col min="8450" max="8450" width="56.5703125" style="333" customWidth="1"/>
    <col min="8451" max="8705" width="9.140625" style="333"/>
    <col min="8706" max="8706" width="56.5703125" style="333" customWidth="1"/>
    <col min="8707" max="8961" width="9.140625" style="333"/>
    <col min="8962" max="8962" width="56.5703125" style="333" customWidth="1"/>
    <col min="8963" max="9217" width="9.140625" style="333"/>
    <col min="9218" max="9218" width="56.5703125" style="333" customWidth="1"/>
    <col min="9219" max="9473" width="9.140625" style="333"/>
    <col min="9474" max="9474" width="56.5703125" style="333" customWidth="1"/>
    <col min="9475" max="9729" width="9.140625" style="333"/>
    <col min="9730" max="9730" width="56.5703125" style="333" customWidth="1"/>
    <col min="9731" max="9985" width="9.140625" style="333"/>
    <col min="9986" max="9986" width="56.5703125" style="333" customWidth="1"/>
    <col min="9987" max="10241" width="9.140625" style="333"/>
    <col min="10242" max="10242" width="56.5703125" style="333" customWidth="1"/>
    <col min="10243" max="10497" width="9.140625" style="333"/>
    <col min="10498" max="10498" width="56.5703125" style="333" customWidth="1"/>
    <col min="10499" max="10753" width="9.140625" style="333"/>
    <col min="10754" max="10754" width="56.5703125" style="333" customWidth="1"/>
    <col min="10755" max="11009" width="9.140625" style="333"/>
    <col min="11010" max="11010" width="56.5703125" style="333" customWidth="1"/>
    <col min="11011" max="11265" width="9.140625" style="333"/>
    <col min="11266" max="11266" width="56.5703125" style="333" customWidth="1"/>
    <col min="11267" max="11521" width="9.140625" style="333"/>
    <col min="11522" max="11522" width="56.5703125" style="333" customWidth="1"/>
    <col min="11523" max="11777" width="9.140625" style="333"/>
    <col min="11778" max="11778" width="56.5703125" style="333" customWidth="1"/>
    <col min="11779" max="12033" width="9.140625" style="333"/>
    <col min="12034" max="12034" width="56.5703125" style="333" customWidth="1"/>
    <col min="12035" max="12289" width="9.140625" style="333"/>
    <col min="12290" max="12290" width="56.5703125" style="333" customWidth="1"/>
    <col min="12291" max="12545" width="9.140625" style="333"/>
    <col min="12546" max="12546" width="56.5703125" style="333" customWidth="1"/>
    <col min="12547" max="12801" width="9.140625" style="333"/>
    <col min="12802" max="12802" width="56.5703125" style="333" customWidth="1"/>
    <col min="12803" max="13057" width="9.140625" style="333"/>
    <col min="13058" max="13058" width="56.5703125" style="333" customWidth="1"/>
    <col min="13059" max="13313" width="9.140625" style="333"/>
    <col min="13314" max="13314" width="56.5703125" style="333" customWidth="1"/>
    <col min="13315" max="13569" width="9.140625" style="333"/>
    <col min="13570" max="13570" width="56.5703125" style="333" customWidth="1"/>
    <col min="13571" max="13825" width="9.140625" style="333"/>
    <col min="13826" max="13826" width="56.5703125" style="333" customWidth="1"/>
    <col min="13827" max="14081" width="9.140625" style="333"/>
    <col min="14082" max="14082" width="56.5703125" style="333" customWidth="1"/>
    <col min="14083" max="14337" width="9.140625" style="333"/>
    <col min="14338" max="14338" width="56.5703125" style="333" customWidth="1"/>
    <col min="14339" max="14593" width="9.140625" style="333"/>
    <col min="14594" max="14594" width="56.5703125" style="333" customWidth="1"/>
    <col min="14595" max="14849" width="9.140625" style="333"/>
    <col min="14850" max="14850" width="56.5703125" style="333" customWidth="1"/>
    <col min="14851" max="15105" width="9.140625" style="333"/>
    <col min="15106" max="15106" width="56.5703125" style="333" customWidth="1"/>
    <col min="15107" max="15361" width="9.140625" style="333"/>
    <col min="15362" max="15362" width="56.5703125" style="333" customWidth="1"/>
    <col min="15363" max="15617" width="9.140625" style="333"/>
    <col min="15618" max="15618" width="56.5703125" style="333" customWidth="1"/>
    <col min="15619" max="15873" width="9.140625" style="333"/>
    <col min="15874" max="15874" width="56.5703125" style="333" customWidth="1"/>
    <col min="15875" max="16129" width="9.140625" style="333"/>
    <col min="16130" max="16130" width="56.5703125" style="333" customWidth="1"/>
    <col min="16131" max="16384" width="9.140625" style="333"/>
  </cols>
  <sheetData>
    <row r="1" spans="1:4" x14ac:dyDescent="0.2">
      <c r="A1" s="332" t="s">
        <v>6742</v>
      </c>
      <c r="B1" s="332" t="s">
        <v>221</v>
      </c>
      <c r="C1" s="332" t="s">
        <v>6743</v>
      </c>
      <c r="D1" s="346"/>
    </row>
    <row r="2" spans="1:4" x14ac:dyDescent="0.2">
      <c r="A2" s="334" t="s">
        <v>4148</v>
      </c>
      <c r="B2" s="334" t="s">
        <v>6744</v>
      </c>
      <c r="C2" s="334" t="s">
        <v>6601</v>
      </c>
    </row>
    <row r="3" spans="1:4" x14ac:dyDescent="0.2">
      <c r="A3" s="334" t="s">
        <v>4149</v>
      </c>
      <c r="B3" s="334" t="s">
        <v>6745</v>
      </c>
      <c r="C3" s="334" t="s">
        <v>6602</v>
      </c>
    </row>
    <row r="4" spans="1:4" x14ac:dyDescent="0.2">
      <c r="A4" s="347" t="s">
        <v>3124</v>
      </c>
      <c r="B4" s="347" t="s">
        <v>2437</v>
      </c>
      <c r="C4" s="347" t="s">
        <v>11</v>
      </c>
      <c r="D4" s="348" t="s">
        <v>10271</v>
      </c>
    </row>
    <row r="5" spans="1:4" x14ac:dyDescent="0.2">
      <c r="A5" s="334" t="s">
        <v>4150</v>
      </c>
      <c r="B5" s="334" t="s">
        <v>6746</v>
      </c>
      <c r="C5" s="334" t="s">
        <v>6602</v>
      </c>
    </row>
    <row r="6" spans="1:4" x14ac:dyDescent="0.2">
      <c r="A6" s="334" t="s">
        <v>4151</v>
      </c>
      <c r="B6" s="334" t="s">
        <v>6747</v>
      </c>
      <c r="C6" s="334" t="s">
        <v>2338</v>
      </c>
    </row>
    <row r="7" spans="1:4" x14ac:dyDescent="0.2">
      <c r="A7" s="334" t="s">
        <v>4152</v>
      </c>
      <c r="B7" s="334" t="s">
        <v>6748</v>
      </c>
      <c r="C7" s="334" t="s">
        <v>6603</v>
      </c>
    </row>
    <row r="8" spans="1:4" x14ac:dyDescent="0.2">
      <c r="A8" s="334" t="s">
        <v>1119</v>
      </c>
      <c r="B8" s="334" t="s">
        <v>4153</v>
      </c>
      <c r="C8" s="334" t="s">
        <v>11</v>
      </c>
    </row>
    <row r="9" spans="1:4" x14ac:dyDescent="0.2">
      <c r="A9" s="334" t="s">
        <v>4154</v>
      </c>
      <c r="B9" s="334" t="s">
        <v>6749</v>
      </c>
      <c r="C9" s="334" t="s">
        <v>6750</v>
      </c>
    </row>
    <row r="10" spans="1:4" x14ac:dyDescent="0.2">
      <c r="A10" s="347" t="s">
        <v>3161</v>
      </c>
      <c r="B10" s="347" t="s">
        <v>6751</v>
      </c>
      <c r="C10" s="347" t="s">
        <v>16</v>
      </c>
      <c r="D10" s="348" t="s">
        <v>10271</v>
      </c>
    </row>
    <row r="11" spans="1:4" x14ac:dyDescent="0.2">
      <c r="A11" s="334" t="s">
        <v>4155</v>
      </c>
      <c r="B11" s="334" t="s">
        <v>6752</v>
      </c>
      <c r="C11" s="334" t="s">
        <v>6602</v>
      </c>
    </row>
    <row r="12" spans="1:4" x14ac:dyDescent="0.2">
      <c r="A12" s="334" t="s">
        <v>4156</v>
      </c>
      <c r="B12" s="334" t="s">
        <v>6753</v>
      </c>
      <c r="C12" s="334" t="s">
        <v>11</v>
      </c>
    </row>
    <row r="13" spans="1:4" x14ac:dyDescent="0.2">
      <c r="A13" s="334" t="s">
        <v>4157</v>
      </c>
      <c r="B13" s="334" t="s">
        <v>6754</v>
      </c>
      <c r="C13" s="334" t="s">
        <v>11</v>
      </c>
    </row>
    <row r="14" spans="1:4" x14ac:dyDescent="0.2">
      <c r="A14" s="334" t="s">
        <v>4158</v>
      </c>
      <c r="B14" s="334" t="s">
        <v>6755</v>
      </c>
      <c r="C14" s="334" t="s">
        <v>6602</v>
      </c>
    </row>
    <row r="15" spans="1:4" x14ac:dyDescent="0.2">
      <c r="A15" s="347" t="s">
        <v>3151</v>
      </c>
      <c r="B15" s="347" t="s">
        <v>6756</v>
      </c>
      <c r="C15" s="347" t="s">
        <v>4230</v>
      </c>
      <c r="D15" s="348" t="s">
        <v>10271</v>
      </c>
    </row>
    <row r="16" spans="1:4" x14ac:dyDescent="0.2">
      <c r="A16" s="334" t="s">
        <v>4159</v>
      </c>
      <c r="B16" s="334" t="s">
        <v>6757</v>
      </c>
      <c r="C16" s="334" t="s">
        <v>6758</v>
      </c>
    </row>
    <row r="17" spans="1:4" x14ac:dyDescent="0.2">
      <c r="A17" s="334" t="s">
        <v>4160</v>
      </c>
      <c r="B17" s="334" t="s">
        <v>6759</v>
      </c>
      <c r="C17" s="334" t="s">
        <v>6604</v>
      </c>
    </row>
    <row r="18" spans="1:4" x14ac:dyDescent="0.2">
      <c r="A18" s="334" t="s">
        <v>4161</v>
      </c>
      <c r="B18" s="334" t="s">
        <v>6760</v>
      </c>
      <c r="C18" s="334" t="s">
        <v>52</v>
      </c>
    </row>
    <row r="19" spans="1:4" x14ac:dyDescent="0.2">
      <c r="A19" s="334" t="s">
        <v>1120</v>
      </c>
      <c r="B19" s="334" t="s">
        <v>6761</v>
      </c>
      <c r="C19" s="334" t="s">
        <v>4230</v>
      </c>
    </row>
    <row r="20" spans="1:4" x14ac:dyDescent="0.2">
      <c r="A20" s="347" t="s">
        <v>1121</v>
      </c>
      <c r="B20" s="347" t="s">
        <v>2465</v>
      </c>
      <c r="C20" s="347" t="s">
        <v>6604</v>
      </c>
      <c r="D20" s="348" t="s">
        <v>10271</v>
      </c>
    </row>
    <row r="21" spans="1:4" x14ac:dyDescent="0.2">
      <c r="A21" s="334" t="s">
        <v>1122</v>
      </c>
      <c r="B21" s="334" t="s">
        <v>6762</v>
      </c>
      <c r="C21" s="334" t="s">
        <v>4230</v>
      </c>
    </row>
    <row r="22" spans="1:4" x14ac:dyDescent="0.2">
      <c r="A22" s="334" t="s">
        <v>4162</v>
      </c>
      <c r="B22" s="334" t="s">
        <v>6763</v>
      </c>
      <c r="C22" s="334" t="s">
        <v>6602</v>
      </c>
    </row>
    <row r="23" spans="1:4" x14ac:dyDescent="0.2">
      <c r="A23" s="334" t="s">
        <v>4163</v>
      </c>
      <c r="B23" s="334" t="s">
        <v>6764</v>
      </c>
      <c r="C23" s="334" t="s">
        <v>6602</v>
      </c>
    </row>
    <row r="24" spans="1:4" x14ac:dyDescent="0.2">
      <c r="A24" s="334" t="s">
        <v>4164</v>
      </c>
      <c r="B24" s="334" t="s">
        <v>6765</v>
      </c>
      <c r="C24" s="334" t="s">
        <v>11</v>
      </c>
    </row>
    <row r="25" spans="1:4" x14ac:dyDescent="0.2">
      <c r="A25" s="334" t="s">
        <v>4165</v>
      </c>
      <c r="B25" s="334" t="s">
        <v>6766</v>
      </c>
      <c r="C25" s="334" t="s">
        <v>6602</v>
      </c>
    </row>
    <row r="26" spans="1:4" x14ac:dyDescent="0.2">
      <c r="A26" s="334" t="s">
        <v>4166</v>
      </c>
      <c r="B26" s="334" t="s">
        <v>6767</v>
      </c>
      <c r="C26" s="334" t="s">
        <v>6604</v>
      </c>
    </row>
    <row r="27" spans="1:4" x14ac:dyDescent="0.2">
      <c r="A27" s="334" t="s">
        <v>4167</v>
      </c>
      <c r="B27" s="334" t="s">
        <v>2447</v>
      </c>
      <c r="C27" s="334" t="s">
        <v>6602</v>
      </c>
    </row>
    <row r="28" spans="1:4" x14ac:dyDescent="0.2">
      <c r="A28" s="334" t="s">
        <v>4168</v>
      </c>
      <c r="B28" s="334" t="s">
        <v>6768</v>
      </c>
      <c r="C28" s="334" t="s">
        <v>4230</v>
      </c>
    </row>
    <row r="29" spans="1:4" x14ac:dyDescent="0.2">
      <c r="A29" s="334" t="s">
        <v>4169</v>
      </c>
      <c r="B29" s="334" t="s">
        <v>6769</v>
      </c>
      <c r="C29" s="334" t="s">
        <v>6602</v>
      </c>
    </row>
    <row r="30" spans="1:4" x14ac:dyDescent="0.2">
      <c r="A30" s="334" t="s">
        <v>4170</v>
      </c>
      <c r="B30" s="334" t="s">
        <v>6770</v>
      </c>
      <c r="C30" s="334" t="s">
        <v>6602</v>
      </c>
    </row>
    <row r="31" spans="1:4" x14ac:dyDescent="0.2">
      <c r="A31" s="334" t="s">
        <v>1123</v>
      </c>
      <c r="B31" s="334" t="s">
        <v>6771</v>
      </c>
      <c r="C31" s="334" t="s">
        <v>6604</v>
      </c>
    </row>
    <row r="32" spans="1:4" x14ac:dyDescent="0.2">
      <c r="A32" s="334" t="s">
        <v>1124</v>
      </c>
      <c r="B32" s="334" t="s">
        <v>6772</v>
      </c>
      <c r="C32" s="334" t="s">
        <v>2338</v>
      </c>
    </row>
    <row r="33" spans="1:4" x14ac:dyDescent="0.2">
      <c r="A33" s="334" t="s">
        <v>4171</v>
      </c>
      <c r="B33" s="334" t="s">
        <v>6773</v>
      </c>
      <c r="C33" s="334" t="s">
        <v>6604</v>
      </c>
    </row>
    <row r="34" spans="1:4" x14ac:dyDescent="0.2">
      <c r="A34" s="334" t="s">
        <v>4172</v>
      </c>
      <c r="B34" s="334" t="s">
        <v>6774</v>
      </c>
      <c r="C34" s="334" t="s">
        <v>11</v>
      </c>
    </row>
    <row r="35" spans="1:4" x14ac:dyDescent="0.2">
      <c r="A35" s="347" t="s">
        <v>3136</v>
      </c>
      <c r="B35" s="347" t="s">
        <v>2446</v>
      </c>
      <c r="C35" s="347" t="s">
        <v>6604</v>
      </c>
      <c r="D35" s="348" t="s">
        <v>10271</v>
      </c>
    </row>
    <row r="36" spans="1:4" x14ac:dyDescent="0.2">
      <c r="A36" s="334" t="s">
        <v>4173</v>
      </c>
      <c r="B36" s="334" t="s">
        <v>6775</v>
      </c>
      <c r="C36" s="334" t="s">
        <v>16</v>
      </c>
    </row>
    <row r="37" spans="1:4" x14ac:dyDescent="0.2">
      <c r="A37" s="334" t="s">
        <v>1125</v>
      </c>
      <c r="B37" s="334" t="s">
        <v>6776</v>
      </c>
      <c r="C37" s="334" t="s">
        <v>6602</v>
      </c>
    </row>
    <row r="38" spans="1:4" x14ac:dyDescent="0.2">
      <c r="A38" s="334" t="s">
        <v>1126</v>
      </c>
      <c r="B38" s="334" t="s">
        <v>6777</v>
      </c>
      <c r="C38" s="334" t="s">
        <v>6603</v>
      </c>
    </row>
    <row r="39" spans="1:4" x14ac:dyDescent="0.2">
      <c r="A39" s="347" t="s">
        <v>1127</v>
      </c>
      <c r="B39" s="347" t="s">
        <v>2457</v>
      </c>
      <c r="C39" s="347" t="s">
        <v>6604</v>
      </c>
      <c r="D39" s="348" t="s">
        <v>10271</v>
      </c>
    </row>
    <row r="40" spans="1:4" x14ac:dyDescent="0.2">
      <c r="A40" s="334" t="s">
        <v>1128</v>
      </c>
      <c r="B40" s="334" t="s">
        <v>6778</v>
      </c>
      <c r="C40" s="334" t="s">
        <v>11</v>
      </c>
    </row>
    <row r="41" spans="1:4" x14ac:dyDescent="0.2">
      <c r="A41" s="347" t="s">
        <v>1129</v>
      </c>
      <c r="B41" s="347" t="s">
        <v>6779</v>
      </c>
      <c r="C41" s="347" t="s">
        <v>6604</v>
      </c>
      <c r="D41" s="348" t="s">
        <v>10271</v>
      </c>
    </row>
    <row r="42" spans="1:4" x14ac:dyDescent="0.2">
      <c r="A42" s="334" t="s">
        <v>1130</v>
      </c>
      <c r="B42" s="334" t="s">
        <v>6768</v>
      </c>
      <c r="C42" s="334" t="s">
        <v>6602</v>
      </c>
    </row>
    <row r="43" spans="1:4" x14ac:dyDescent="0.2">
      <c r="A43" s="334" t="s">
        <v>1131</v>
      </c>
      <c r="B43" s="334" t="s">
        <v>6780</v>
      </c>
      <c r="C43" s="334" t="s">
        <v>6602</v>
      </c>
    </row>
    <row r="44" spans="1:4" x14ac:dyDescent="0.2">
      <c r="A44" s="347" t="s">
        <v>1132</v>
      </c>
      <c r="B44" s="347" t="s">
        <v>2379</v>
      </c>
      <c r="C44" s="347" t="s">
        <v>6604</v>
      </c>
      <c r="D44" s="348" t="s">
        <v>10271</v>
      </c>
    </row>
    <row r="45" spans="1:4" x14ac:dyDescent="0.2">
      <c r="A45" s="347" t="s">
        <v>1133</v>
      </c>
      <c r="B45" s="347" t="s">
        <v>2382</v>
      </c>
      <c r="C45" s="347" t="s">
        <v>6604</v>
      </c>
      <c r="D45" s="348" t="s">
        <v>10271</v>
      </c>
    </row>
    <row r="46" spans="1:4" x14ac:dyDescent="0.2">
      <c r="A46" s="347" t="s">
        <v>1134</v>
      </c>
      <c r="B46" s="347" t="s">
        <v>2381</v>
      </c>
      <c r="C46" s="347" t="s">
        <v>6602</v>
      </c>
      <c r="D46" s="348" t="s">
        <v>10271</v>
      </c>
    </row>
    <row r="47" spans="1:4" x14ac:dyDescent="0.2">
      <c r="A47" s="347" t="s">
        <v>1135</v>
      </c>
      <c r="B47" s="347" t="s">
        <v>6781</v>
      </c>
      <c r="C47" s="347" t="s">
        <v>6604</v>
      </c>
      <c r="D47" s="348" t="s">
        <v>10271</v>
      </c>
    </row>
    <row r="48" spans="1:4" x14ac:dyDescent="0.2">
      <c r="A48" s="334" t="s">
        <v>1136</v>
      </c>
      <c r="B48" s="334" t="s">
        <v>6782</v>
      </c>
      <c r="C48" s="334" t="s">
        <v>6602</v>
      </c>
    </row>
    <row r="49" spans="1:4" x14ac:dyDescent="0.2">
      <c r="A49" s="334" t="s">
        <v>1137</v>
      </c>
      <c r="B49" s="334" t="s">
        <v>6783</v>
      </c>
      <c r="C49" s="334" t="s">
        <v>6604</v>
      </c>
    </row>
    <row r="50" spans="1:4" x14ac:dyDescent="0.2">
      <c r="A50" s="334" t="s">
        <v>1138</v>
      </c>
      <c r="B50" s="334" t="s">
        <v>6784</v>
      </c>
      <c r="C50" s="334" t="s">
        <v>52</v>
      </c>
    </row>
    <row r="51" spans="1:4" x14ac:dyDescent="0.2">
      <c r="A51" s="347" t="s">
        <v>1139</v>
      </c>
      <c r="B51" s="347" t="s">
        <v>6785</v>
      </c>
      <c r="C51" s="347" t="s">
        <v>52</v>
      </c>
      <c r="D51" s="348" t="s">
        <v>10271</v>
      </c>
    </row>
    <row r="52" spans="1:4" x14ac:dyDescent="0.2">
      <c r="A52" s="347" t="s">
        <v>1140</v>
      </c>
      <c r="B52" s="347" t="s">
        <v>2435</v>
      </c>
      <c r="C52" s="347" t="s">
        <v>11</v>
      </c>
      <c r="D52" s="348" t="s">
        <v>10271</v>
      </c>
    </row>
    <row r="53" spans="1:4" x14ac:dyDescent="0.2">
      <c r="A53" s="347" t="s">
        <v>1141</v>
      </c>
      <c r="B53" s="347" t="s">
        <v>2442</v>
      </c>
      <c r="C53" s="347" t="s">
        <v>6604</v>
      </c>
      <c r="D53" s="348" t="s">
        <v>10271</v>
      </c>
    </row>
    <row r="54" spans="1:4" x14ac:dyDescent="0.2">
      <c r="A54" s="347" t="s">
        <v>1142</v>
      </c>
      <c r="B54" s="347" t="s">
        <v>2445</v>
      </c>
      <c r="C54" s="347" t="s">
        <v>6604</v>
      </c>
      <c r="D54" s="348" t="s">
        <v>10271</v>
      </c>
    </row>
    <row r="55" spans="1:4" x14ac:dyDescent="0.2">
      <c r="A55" s="347" t="s">
        <v>1143</v>
      </c>
      <c r="B55" s="347" t="s">
        <v>2452</v>
      </c>
      <c r="C55" s="347" t="s">
        <v>6604</v>
      </c>
      <c r="D55" s="348" t="s">
        <v>10271</v>
      </c>
    </row>
    <row r="56" spans="1:4" x14ac:dyDescent="0.2">
      <c r="A56" s="347" t="s">
        <v>1144</v>
      </c>
      <c r="B56" s="347" t="s">
        <v>2438</v>
      </c>
      <c r="C56" s="347" t="s">
        <v>6604</v>
      </c>
      <c r="D56" s="348" t="s">
        <v>10271</v>
      </c>
    </row>
    <row r="57" spans="1:4" x14ac:dyDescent="0.2">
      <c r="A57" s="347" t="s">
        <v>1145</v>
      </c>
      <c r="B57" s="347" t="s">
        <v>2441</v>
      </c>
      <c r="C57" s="347" t="s">
        <v>6604</v>
      </c>
      <c r="D57" s="348" t="s">
        <v>10271</v>
      </c>
    </row>
    <row r="58" spans="1:4" x14ac:dyDescent="0.2">
      <c r="A58" s="334" t="s">
        <v>4174</v>
      </c>
      <c r="B58" s="334" t="s">
        <v>6786</v>
      </c>
      <c r="C58" s="334" t="s">
        <v>6602</v>
      </c>
    </row>
    <row r="59" spans="1:4" x14ac:dyDescent="0.2">
      <c r="A59" s="347" t="s">
        <v>1146</v>
      </c>
      <c r="B59" s="347" t="s">
        <v>2451</v>
      </c>
      <c r="C59" s="347" t="s">
        <v>6604</v>
      </c>
      <c r="D59" s="348" t="s">
        <v>10271</v>
      </c>
    </row>
    <row r="60" spans="1:4" x14ac:dyDescent="0.2">
      <c r="A60" s="347" t="s">
        <v>1147</v>
      </c>
      <c r="B60" s="347" t="s">
        <v>2447</v>
      </c>
      <c r="C60" s="347" t="s">
        <v>6604</v>
      </c>
      <c r="D60" s="348" t="s">
        <v>10271</v>
      </c>
    </row>
    <row r="61" spans="1:4" x14ac:dyDescent="0.2">
      <c r="A61" s="347" t="s">
        <v>1148</v>
      </c>
      <c r="B61" s="347" t="s">
        <v>2454</v>
      </c>
      <c r="C61" s="347" t="s">
        <v>6604</v>
      </c>
      <c r="D61" s="348" t="s">
        <v>10271</v>
      </c>
    </row>
    <row r="62" spans="1:4" x14ac:dyDescent="0.2">
      <c r="A62" s="347" t="s">
        <v>1149</v>
      </c>
      <c r="B62" s="347" t="s">
        <v>2444</v>
      </c>
      <c r="C62" s="347" t="s">
        <v>6604</v>
      </c>
      <c r="D62" s="348" t="s">
        <v>10271</v>
      </c>
    </row>
    <row r="63" spans="1:4" x14ac:dyDescent="0.2">
      <c r="A63" s="347" t="s">
        <v>1150</v>
      </c>
      <c r="B63" s="347" t="s">
        <v>6787</v>
      </c>
      <c r="C63" s="347" t="s">
        <v>6604</v>
      </c>
      <c r="D63" s="348" t="s">
        <v>10271</v>
      </c>
    </row>
    <row r="64" spans="1:4" x14ac:dyDescent="0.2">
      <c r="A64" s="347" t="s">
        <v>1151</v>
      </c>
      <c r="B64" s="347" t="s">
        <v>6788</v>
      </c>
      <c r="C64" s="347" t="s">
        <v>2338</v>
      </c>
      <c r="D64" s="348" t="s">
        <v>10271</v>
      </c>
    </row>
    <row r="65" spans="1:4" x14ac:dyDescent="0.2">
      <c r="A65" s="334" t="s">
        <v>1152</v>
      </c>
      <c r="B65" s="334" t="s">
        <v>6789</v>
      </c>
      <c r="C65" s="334" t="s">
        <v>6602</v>
      </c>
    </row>
    <row r="66" spans="1:4" x14ac:dyDescent="0.2">
      <c r="A66" s="347" t="s">
        <v>1153</v>
      </c>
      <c r="B66" s="347" t="s">
        <v>6790</v>
      </c>
      <c r="C66" s="347" t="s">
        <v>2338</v>
      </c>
      <c r="D66" s="348" t="s">
        <v>10271</v>
      </c>
    </row>
    <row r="67" spans="1:4" x14ac:dyDescent="0.2">
      <c r="A67" s="334" t="s">
        <v>4175</v>
      </c>
      <c r="B67" s="334" t="s">
        <v>4176</v>
      </c>
      <c r="C67" s="334" t="s">
        <v>6602</v>
      </c>
    </row>
    <row r="68" spans="1:4" x14ac:dyDescent="0.2">
      <c r="A68" s="334" t="s">
        <v>4177</v>
      </c>
      <c r="B68" s="334" t="s">
        <v>6790</v>
      </c>
      <c r="C68" s="334" t="s">
        <v>2338</v>
      </c>
    </row>
    <row r="69" spans="1:4" x14ac:dyDescent="0.2">
      <c r="A69" s="347" t="s">
        <v>1154</v>
      </c>
      <c r="B69" s="347" t="s">
        <v>6791</v>
      </c>
      <c r="C69" s="347" t="s">
        <v>6792</v>
      </c>
      <c r="D69" s="348" t="s">
        <v>10271</v>
      </c>
    </row>
    <row r="70" spans="1:4" x14ac:dyDescent="0.2">
      <c r="A70" s="347" t="s">
        <v>1155</v>
      </c>
      <c r="B70" s="347" t="s">
        <v>2484</v>
      </c>
      <c r="C70" s="347" t="s">
        <v>16</v>
      </c>
      <c r="D70" s="348" t="s">
        <v>10271</v>
      </c>
    </row>
    <row r="71" spans="1:4" x14ac:dyDescent="0.2">
      <c r="A71" s="347" t="s">
        <v>1156</v>
      </c>
      <c r="B71" s="347" t="s">
        <v>2448</v>
      </c>
      <c r="C71" s="347" t="s">
        <v>11</v>
      </c>
      <c r="D71" s="348" t="s">
        <v>10271</v>
      </c>
    </row>
    <row r="72" spans="1:4" x14ac:dyDescent="0.2">
      <c r="A72" s="334" t="s">
        <v>4178</v>
      </c>
      <c r="B72" s="334" t="s">
        <v>4179</v>
      </c>
      <c r="C72" s="334" t="s">
        <v>6602</v>
      </c>
    </row>
    <row r="73" spans="1:4" x14ac:dyDescent="0.2">
      <c r="A73" s="347" t="s">
        <v>1157</v>
      </c>
      <c r="B73" s="347" t="s">
        <v>6793</v>
      </c>
      <c r="C73" s="347" t="s">
        <v>6605</v>
      </c>
      <c r="D73" s="348" t="s">
        <v>10271</v>
      </c>
    </row>
    <row r="74" spans="1:4" x14ac:dyDescent="0.2">
      <c r="A74" s="334" t="s">
        <v>1158</v>
      </c>
      <c r="B74" s="334" t="s">
        <v>6794</v>
      </c>
      <c r="C74" s="334" t="s">
        <v>6602</v>
      </c>
    </row>
    <row r="75" spans="1:4" x14ac:dyDescent="0.2">
      <c r="A75" s="334" t="s">
        <v>1159</v>
      </c>
      <c r="B75" s="334" t="s">
        <v>6795</v>
      </c>
      <c r="C75" s="334" t="s">
        <v>11</v>
      </c>
    </row>
    <row r="76" spans="1:4" x14ac:dyDescent="0.2">
      <c r="A76" s="334" t="s">
        <v>1160</v>
      </c>
      <c r="B76" s="334" t="s">
        <v>6796</v>
      </c>
      <c r="C76" s="334" t="s">
        <v>16</v>
      </c>
    </row>
    <row r="77" spans="1:4" x14ac:dyDescent="0.2">
      <c r="A77" s="347" t="s">
        <v>1161</v>
      </c>
      <c r="B77" s="347" t="s">
        <v>6797</v>
      </c>
      <c r="C77" s="347" t="s">
        <v>11</v>
      </c>
      <c r="D77" s="348" t="s">
        <v>10271</v>
      </c>
    </row>
    <row r="78" spans="1:4" x14ac:dyDescent="0.2">
      <c r="A78" s="334" t="s">
        <v>1162</v>
      </c>
      <c r="B78" s="334" t="s">
        <v>6798</v>
      </c>
      <c r="C78" s="334" t="s">
        <v>11</v>
      </c>
    </row>
    <row r="79" spans="1:4" x14ac:dyDescent="0.2">
      <c r="A79" s="334" t="s">
        <v>1163</v>
      </c>
      <c r="B79" s="334" t="s">
        <v>4180</v>
      </c>
      <c r="C79" s="334" t="s">
        <v>6602</v>
      </c>
    </row>
    <row r="80" spans="1:4" x14ac:dyDescent="0.2">
      <c r="A80" s="334" t="s">
        <v>1164</v>
      </c>
      <c r="B80" s="334" t="s">
        <v>6799</v>
      </c>
      <c r="C80" s="334" t="s">
        <v>6604</v>
      </c>
    </row>
    <row r="81" spans="1:4" x14ac:dyDescent="0.2">
      <c r="A81" s="334" t="s">
        <v>1165</v>
      </c>
      <c r="B81" s="334" t="s">
        <v>6800</v>
      </c>
      <c r="C81" s="334" t="s">
        <v>6602</v>
      </c>
    </row>
    <row r="82" spans="1:4" x14ac:dyDescent="0.2">
      <c r="A82" s="334" t="s">
        <v>1166</v>
      </c>
      <c r="B82" s="334" t="s">
        <v>6801</v>
      </c>
      <c r="C82" s="334" t="s">
        <v>6604</v>
      </c>
    </row>
    <row r="83" spans="1:4" x14ac:dyDescent="0.2">
      <c r="A83" s="347" t="s">
        <v>1167</v>
      </c>
      <c r="B83" s="347" t="s">
        <v>2455</v>
      </c>
      <c r="C83" s="347" t="s">
        <v>6604</v>
      </c>
      <c r="D83" s="348" t="s">
        <v>10271</v>
      </c>
    </row>
    <row r="84" spans="1:4" x14ac:dyDescent="0.2">
      <c r="A84" s="347" t="s">
        <v>1168</v>
      </c>
      <c r="B84" s="347" t="s">
        <v>6802</v>
      </c>
      <c r="C84" s="347" t="s">
        <v>6758</v>
      </c>
      <c r="D84" s="348" t="s">
        <v>10271</v>
      </c>
    </row>
    <row r="85" spans="1:4" x14ac:dyDescent="0.2">
      <c r="A85" s="334" t="s">
        <v>1169</v>
      </c>
      <c r="B85" s="334" t="s">
        <v>6738</v>
      </c>
      <c r="C85" s="334" t="s">
        <v>2338</v>
      </c>
    </row>
    <row r="86" spans="1:4" x14ac:dyDescent="0.2">
      <c r="A86" s="347" t="s">
        <v>1170</v>
      </c>
      <c r="B86" s="347" t="s">
        <v>2449</v>
      </c>
      <c r="C86" s="347" t="s">
        <v>6604</v>
      </c>
      <c r="D86" s="348" t="s">
        <v>10271</v>
      </c>
    </row>
    <row r="87" spans="1:4" x14ac:dyDescent="0.2">
      <c r="A87" s="334" t="s">
        <v>1171</v>
      </c>
      <c r="B87" s="334" t="s">
        <v>6803</v>
      </c>
      <c r="C87" s="334" t="s">
        <v>11</v>
      </c>
    </row>
    <row r="88" spans="1:4" x14ac:dyDescent="0.2">
      <c r="A88" s="334" t="s">
        <v>1172</v>
      </c>
      <c r="B88" s="334" t="s">
        <v>6804</v>
      </c>
      <c r="C88" s="334" t="s">
        <v>2338</v>
      </c>
    </row>
    <row r="89" spans="1:4" x14ac:dyDescent="0.2">
      <c r="A89" s="347" t="s">
        <v>1173</v>
      </c>
      <c r="B89" s="347" t="s">
        <v>2380</v>
      </c>
      <c r="C89" s="347" t="s">
        <v>6604</v>
      </c>
      <c r="D89" s="348" t="s">
        <v>10271</v>
      </c>
    </row>
    <row r="90" spans="1:4" x14ac:dyDescent="0.2">
      <c r="A90" s="347" t="s">
        <v>1174</v>
      </c>
      <c r="B90" s="347" t="s">
        <v>2383</v>
      </c>
      <c r="C90" s="347" t="s">
        <v>6602</v>
      </c>
      <c r="D90" s="348" t="s">
        <v>10271</v>
      </c>
    </row>
    <row r="91" spans="1:4" x14ac:dyDescent="0.2">
      <c r="A91" s="347" t="s">
        <v>1175</v>
      </c>
      <c r="B91" s="347" t="s">
        <v>2387</v>
      </c>
      <c r="C91" s="347" t="s">
        <v>2338</v>
      </c>
      <c r="D91" s="348" t="s">
        <v>10271</v>
      </c>
    </row>
    <row r="92" spans="1:4" x14ac:dyDescent="0.2">
      <c r="A92" s="334" t="s">
        <v>4181</v>
      </c>
      <c r="B92" s="334" t="s">
        <v>4182</v>
      </c>
      <c r="C92" s="334" t="s">
        <v>11</v>
      </c>
    </row>
    <row r="93" spans="1:4" x14ac:dyDescent="0.2">
      <c r="A93" s="334" t="s">
        <v>4183</v>
      </c>
      <c r="B93" s="334" t="s">
        <v>4184</v>
      </c>
      <c r="C93" s="334" t="s">
        <v>2338</v>
      </c>
    </row>
    <row r="94" spans="1:4" x14ac:dyDescent="0.2">
      <c r="A94" s="334" t="s">
        <v>4185</v>
      </c>
      <c r="B94" s="334" t="s">
        <v>6805</v>
      </c>
      <c r="C94" s="334" t="s">
        <v>6605</v>
      </c>
    </row>
    <row r="95" spans="1:4" x14ac:dyDescent="0.2">
      <c r="A95" s="334" t="s">
        <v>1176</v>
      </c>
      <c r="B95" s="334" t="s">
        <v>6806</v>
      </c>
      <c r="C95" s="334" t="s">
        <v>6603</v>
      </c>
    </row>
    <row r="96" spans="1:4" x14ac:dyDescent="0.2">
      <c r="A96" s="347" t="s">
        <v>1177</v>
      </c>
      <c r="B96" s="347" t="s">
        <v>2472</v>
      </c>
      <c r="C96" s="347" t="s">
        <v>6604</v>
      </c>
      <c r="D96" s="348" t="s">
        <v>10271</v>
      </c>
    </row>
    <row r="97" spans="1:4" x14ac:dyDescent="0.2">
      <c r="A97" s="347" t="s">
        <v>1178</v>
      </c>
      <c r="B97" s="347" t="s">
        <v>2470</v>
      </c>
      <c r="C97" s="347" t="s">
        <v>6604</v>
      </c>
      <c r="D97" s="348" t="s">
        <v>10271</v>
      </c>
    </row>
    <row r="98" spans="1:4" x14ac:dyDescent="0.2">
      <c r="A98" s="347" t="s">
        <v>1179</v>
      </c>
      <c r="B98" s="347" t="s">
        <v>2456</v>
      </c>
      <c r="C98" s="347" t="s">
        <v>6604</v>
      </c>
      <c r="D98" s="348" t="s">
        <v>10271</v>
      </c>
    </row>
    <row r="99" spans="1:4" x14ac:dyDescent="0.2">
      <c r="A99" s="347" t="s">
        <v>1180</v>
      </c>
      <c r="B99" s="347" t="s">
        <v>2467</v>
      </c>
      <c r="C99" s="347" t="s">
        <v>6604</v>
      </c>
      <c r="D99" s="348" t="s">
        <v>10271</v>
      </c>
    </row>
    <row r="100" spans="1:4" x14ac:dyDescent="0.2">
      <c r="A100" s="347" t="s">
        <v>1181</v>
      </c>
      <c r="B100" s="347" t="s">
        <v>2450</v>
      </c>
      <c r="C100" s="347" t="s">
        <v>6604</v>
      </c>
      <c r="D100" s="348" t="s">
        <v>10271</v>
      </c>
    </row>
    <row r="101" spans="1:4" x14ac:dyDescent="0.2">
      <c r="A101" s="347" t="s">
        <v>1182</v>
      </c>
      <c r="B101" s="347" t="s">
        <v>2468</v>
      </c>
      <c r="C101" s="347" t="s">
        <v>6603</v>
      </c>
      <c r="D101" s="348" t="s">
        <v>10271</v>
      </c>
    </row>
    <row r="102" spans="1:4" x14ac:dyDescent="0.2">
      <c r="A102" s="347" t="s">
        <v>1183</v>
      </c>
      <c r="B102" s="347" t="s">
        <v>2471</v>
      </c>
      <c r="C102" s="347" t="s">
        <v>6604</v>
      </c>
      <c r="D102" s="348" t="s">
        <v>10271</v>
      </c>
    </row>
    <row r="103" spans="1:4" x14ac:dyDescent="0.2">
      <c r="A103" s="334" t="s">
        <v>1184</v>
      </c>
      <c r="B103" s="334" t="s">
        <v>6807</v>
      </c>
      <c r="C103" s="334" t="s">
        <v>6602</v>
      </c>
    </row>
    <row r="104" spans="1:4" x14ac:dyDescent="0.2">
      <c r="A104" s="334" t="s">
        <v>4186</v>
      </c>
      <c r="B104" s="334" t="s">
        <v>6808</v>
      </c>
      <c r="C104" s="334" t="s">
        <v>2338</v>
      </c>
    </row>
    <row r="105" spans="1:4" x14ac:dyDescent="0.2">
      <c r="A105" s="334" t="s">
        <v>4187</v>
      </c>
      <c r="B105" s="334" t="s">
        <v>6809</v>
      </c>
      <c r="C105" s="334" t="s">
        <v>6602</v>
      </c>
    </row>
    <row r="106" spans="1:4" x14ac:dyDescent="0.2">
      <c r="A106" s="334" t="s">
        <v>4188</v>
      </c>
      <c r="B106" s="334" t="s">
        <v>6810</v>
      </c>
      <c r="C106" s="334" t="s">
        <v>6602</v>
      </c>
    </row>
    <row r="107" spans="1:4" x14ac:dyDescent="0.2">
      <c r="A107" s="334" t="s">
        <v>4189</v>
      </c>
      <c r="B107" s="334" t="s">
        <v>6811</v>
      </c>
      <c r="C107" s="334" t="s">
        <v>6602</v>
      </c>
    </row>
    <row r="108" spans="1:4" x14ac:dyDescent="0.2">
      <c r="A108" s="334" t="s">
        <v>4190</v>
      </c>
      <c r="B108" s="334" t="s">
        <v>6812</v>
      </c>
      <c r="C108" s="334" t="s">
        <v>6602</v>
      </c>
    </row>
    <row r="109" spans="1:4" x14ac:dyDescent="0.2">
      <c r="A109" s="334" t="s">
        <v>4191</v>
      </c>
      <c r="B109" s="334" t="s">
        <v>6813</v>
      </c>
      <c r="C109" s="334" t="s">
        <v>6602</v>
      </c>
    </row>
    <row r="110" spans="1:4" x14ac:dyDescent="0.2">
      <c r="A110" s="334" t="s">
        <v>4192</v>
      </c>
      <c r="B110" s="334" t="s">
        <v>6814</v>
      </c>
      <c r="C110" s="334" t="s">
        <v>6602</v>
      </c>
    </row>
    <row r="111" spans="1:4" x14ac:dyDescent="0.2">
      <c r="A111" s="334" t="s">
        <v>4193</v>
      </c>
      <c r="B111" s="334" t="s">
        <v>6815</v>
      </c>
      <c r="C111" s="334" t="s">
        <v>6602</v>
      </c>
    </row>
    <row r="112" spans="1:4" x14ac:dyDescent="0.2">
      <c r="A112" s="334" t="s">
        <v>1185</v>
      </c>
      <c r="B112" s="334" t="s">
        <v>6749</v>
      </c>
      <c r="C112" s="334" t="s">
        <v>6602</v>
      </c>
    </row>
    <row r="113" spans="1:4" x14ac:dyDescent="0.2">
      <c r="A113" s="334" t="s">
        <v>4194</v>
      </c>
      <c r="B113" s="334" t="s">
        <v>4195</v>
      </c>
      <c r="C113" s="334" t="s">
        <v>11</v>
      </c>
    </row>
    <row r="114" spans="1:4" x14ac:dyDescent="0.2">
      <c r="A114" s="334" t="s">
        <v>4196</v>
      </c>
      <c r="B114" s="334" t="s">
        <v>4197</v>
      </c>
      <c r="C114" s="334" t="s">
        <v>6602</v>
      </c>
    </row>
    <row r="115" spans="1:4" x14ac:dyDescent="0.2">
      <c r="A115" s="334" t="s">
        <v>4198</v>
      </c>
      <c r="B115" s="334" t="s">
        <v>4199</v>
      </c>
      <c r="C115" s="334" t="s">
        <v>11</v>
      </c>
    </row>
    <row r="116" spans="1:4" x14ac:dyDescent="0.2">
      <c r="A116" s="334" t="s">
        <v>4200</v>
      </c>
      <c r="B116" s="334" t="s">
        <v>4201</v>
      </c>
      <c r="C116" s="334" t="s">
        <v>11</v>
      </c>
    </row>
    <row r="117" spans="1:4" x14ac:dyDescent="0.2">
      <c r="A117" s="334" t="s">
        <v>4202</v>
      </c>
      <c r="B117" s="334" t="s">
        <v>4203</v>
      </c>
      <c r="C117" s="334" t="s">
        <v>11</v>
      </c>
    </row>
    <row r="118" spans="1:4" x14ac:dyDescent="0.2">
      <c r="A118" s="334" t="s">
        <v>4204</v>
      </c>
      <c r="B118" s="334" t="s">
        <v>4205</v>
      </c>
      <c r="C118" s="334" t="s">
        <v>11</v>
      </c>
    </row>
    <row r="119" spans="1:4" x14ac:dyDescent="0.2">
      <c r="A119" s="334" t="s">
        <v>4206</v>
      </c>
      <c r="B119" s="334" t="s">
        <v>4207</v>
      </c>
      <c r="C119" s="334" t="s">
        <v>6602</v>
      </c>
    </row>
    <row r="120" spans="1:4" x14ac:dyDescent="0.2">
      <c r="A120" s="334" t="s">
        <v>1186</v>
      </c>
      <c r="B120" s="334" t="s">
        <v>4208</v>
      </c>
      <c r="C120" s="334" t="s">
        <v>2338</v>
      </c>
    </row>
    <row r="121" spans="1:4" x14ac:dyDescent="0.2">
      <c r="A121" s="347" t="s">
        <v>3153</v>
      </c>
      <c r="B121" s="347" t="s">
        <v>2464</v>
      </c>
      <c r="C121" s="347" t="s">
        <v>6604</v>
      </c>
      <c r="D121" s="348" t="s">
        <v>10271</v>
      </c>
    </row>
    <row r="122" spans="1:4" x14ac:dyDescent="0.2">
      <c r="A122" s="347" t="s">
        <v>3160</v>
      </c>
      <c r="B122" s="347" t="s">
        <v>2473</v>
      </c>
      <c r="C122" s="347" t="s">
        <v>6604</v>
      </c>
      <c r="D122" s="348" t="s">
        <v>10271</v>
      </c>
    </row>
    <row r="123" spans="1:4" x14ac:dyDescent="0.2">
      <c r="A123" s="334" t="s">
        <v>4209</v>
      </c>
      <c r="B123" s="334" t="s">
        <v>4210</v>
      </c>
      <c r="C123" s="334" t="s">
        <v>6602</v>
      </c>
    </row>
    <row r="124" spans="1:4" x14ac:dyDescent="0.2">
      <c r="A124" s="334" t="s">
        <v>4211</v>
      </c>
      <c r="B124" s="334" t="s">
        <v>4212</v>
      </c>
      <c r="C124" s="334" t="s">
        <v>6602</v>
      </c>
    </row>
    <row r="125" spans="1:4" x14ac:dyDescent="0.2">
      <c r="A125" s="334" t="s">
        <v>4213</v>
      </c>
      <c r="B125" s="334" t="s">
        <v>4214</v>
      </c>
      <c r="C125" s="334" t="s">
        <v>11</v>
      </c>
    </row>
    <row r="126" spans="1:4" x14ac:dyDescent="0.2">
      <c r="A126" s="347" t="s">
        <v>3127</v>
      </c>
      <c r="B126" s="347" t="s">
        <v>2439</v>
      </c>
      <c r="C126" s="347" t="s">
        <v>6604</v>
      </c>
      <c r="D126" s="348" t="s">
        <v>10271</v>
      </c>
    </row>
    <row r="127" spans="1:4" x14ac:dyDescent="0.2">
      <c r="A127" s="334" t="s">
        <v>1187</v>
      </c>
      <c r="B127" s="334" t="s">
        <v>6816</v>
      </c>
      <c r="C127" s="334" t="s">
        <v>6602</v>
      </c>
    </row>
    <row r="128" spans="1:4" x14ac:dyDescent="0.2">
      <c r="A128" s="334" t="s">
        <v>4215</v>
      </c>
      <c r="B128" s="334" t="s">
        <v>4216</v>
      </c>
      <c r="C128" s="334" t="s">
        <v>6602</v>
      </c>
    </row>
    <row r="129" spans="1:4" x14ac:dyDescent="0.2">
      <c r="A129" s="334" t="s">
        <v>4217</v>
      </c>
      <c r="B129" s="334" t="s">
        <v>6817</v>
      </c>
      <c r="C129" s="334" t="s">
        <v>6602</v>
      </c>
    </row>
    <row r="130" spans="1:4" x14ac:dyDescent="0.2">
      <c r="A130" s="334" t="s">
        <v>4218</v>
      </c>
      <c r="B130" s="334" t="s">
        <v>6818</v>
      </c>
      <c r="C130" s="334" t="s">
        <v>6602</v>
      </c>
    </row>
    <row r="131" spans="1:4" x14ac:dyDescent="0.2">
      <c r="A131" s="334" t="s">
        <v>4219</v>
      </c>
      <c r="B131" s="334" t="s">
        <v>6764</v>
      </c>
      <c r="C131" s="334" t="s">
        <v>6602</v>
      </c>
    </row>
    <row r="132" spans="1:4" x14ac:dyDescent="0.2">
      <c r="A132" s="334" t="s">
        <v>4220</v>
      </c>
      <c r="B132" s="334" t="s">
        <v>6819</v>
      </c>
      <c r="C132" s="334" t="s">
        <v>6604</v>
      </c>
    </row>
    <row r="133" spans="1:4" x14ac:dyDescent="0.2">
      <c r="A133" s="334" t="s">
        <v>4221</v>
      </c>
      <c r="B133" s="334" t="s">
        <v>6820</v>
      </c>
      <c r="C133" s="334" t="s">
        <v>6602</v>
      </c>
    </row>
    <row r="134" spans="1:4" x14ac:dyDescent="0.2">
      <c r="A134" s="347" t="s">
        <v>3129</v>
      </c>
      <c r="B134" s="347" t="s">
        <v>2440</v>
      </c>
      <c r="C134" s="347" t="s">
        <v>6604</v>
      </c>
      <c r="D134" s="348" t="s">
        <v>10271</v>
      </c>
    </row>
    <row r="135" spans="1:4" x14ac:dyDescent="0.2">
      <c r="A135" s="334" t="s">
        <v>4222</v>
      </c>
      <c r="B135" s="334" t="s">
        <v>4223</v>
      </c>
      <c r="C135" s="334" t="s">
        <v>11</v>
      </c>
    </row>
    <row r="136" spans="1:4" x14ac:dyDescent="0.2">
      <c r="A136" s="334" t="s">
        <v>4224</v>
      </c>
      <c r="B136" s="334" t="s">
        <v>4225</v>
      </c>
      <c r="C136" s="334" t="s">
        <v>25</v>
      </c>
    </row>
    <row r="137" spans="1:4" x14ac:dyDescent="0.2">
      <c r="A137" s="334" t="s">
        <v>4226</v>
      </c>
      <c r="B137" s="334" t="s">
        <v>4227</v>
      </c>
      <c r="C137" s="334" t="s">
        <v>6602</v>
      </c>
    </row>
    <row r="138" spans="1:4" x14ac:dyDescent="0.2">
      <c r="A138" s="334" t="s">
        <v>4228</v>
      </c>
      <c r="B138" s="334" t="s">
        <v>6821</v>
      </c>
      <c r="C138" s="334" t="s">
        <v>6602</v>
      </c>
    </row>
    <row r="139" spans="1:4" x14ac:dyDescent="0.2">
      <c r="A139" s="334" t="s">
        <v>4229</v>
      </c>
      <c r="B139" s="334" t="s">
        <v>6822</v>
      </c>
      <c r="C139" s="334" t="s">
        <v>11</v>
      </c>
    </row>
    <row r="140" spans="1:4" x14ac:dyDescent="0.2">
      <c r="A140" s="347" t="s">
        <v>1188</v>
      </c>
      <c r="B140" s="347" t="s">
        <v>2415</v>
      </c>
      <c r="C140" s="347" t="s">
        <v>6604</v>
      </c>
      <c r="D140" s="348" t="s">
        <v>10271</v>
      </c>
    </row>
    <row r="141" spans="1:4" x14ac:dyDescent="0.2">
      <c r="A141" s="334" t="s">
        <v>1189</v>
      </c>
      <c r="B141" s="334" t="s">
        <v>6823</v>
      </c>
      <c r="C141" s="334" t="s">
        <v>6602</v>
      </c>
    </row>
    <row r="142" spans="1:4" x14ac:dyDescent="0.2">
      <c r="A142" s="347" t="s">
        <v>1190</v>
      </c>
      <c r="B142" s="347" t="s">
        <v>2416</v>
      </c>
      <c r="C142" s="347" t="s">
        <v>6604</v>
      </c>
      <c r="D142" s="348" t="s">
        <v>10271</v>
      </c>
    </row>
    <row r="143" spans="1:4" x14ac:dyDescent="0.2">
      <c r="A143" s="334" t="s">
        <v>4231</v>
      </c>
      <c r="B143" s="334" t="s">
        <v>6704</v>
      </c>
      <c r="C143" s="334" t="s">
        <v>6602</v>
      </c>
    </row>
    <row r="144" spans="1:4" x14ac:dyDescent="0.2">
      <c r="A144" s="334" t="s">
        <v>4232</v>
      </c>
      <c r="B144" s="334" t="s">
        <v>6824</v>
      </c>
      <c r="C144" s="334" t="s">
        <v>6602</v>
      </c>
    </row>
    <row r="145" spans="1:4" x14ac:dyDescent="0.2">
      <c r="A145" s="334" t="s">
        <v>4233</v>
      </c>
      <c r="B145" s="334" t="s">
        <v>6825</v>
      </c>
      <c r="C145" s="334" t="s">
        <v>6602</v>
      </c>
    </row>
    <row r="146" spans="1:4" x14ac:dyDescent="0.2">
      <c r="A146" s="334" t="s">
        <v>4234</v>
      </c>
      <c r="B146" s="334" t="s">
        <v>6826</v>
      </c>
      <c r="C146" s="334" t="s">
        <v>6603</v>
      </c>
    </row>
    <row r="147" spans="1:4" x14ac:dyDescent="0.2">
      <c r="A147" s="347" t="s">
        <v>1191</v>
      </c>
      <c r="B147" s="347" t="s">
        <v>6827</v>
      </c>
      <c r="C147" s="347" t="s">
        <v>6604</v>
      </c>
      <c r="D147" s="348" t="s">
        <v>10271</v>
      </c>
    </row>
    <row r="148" spans="1:4" x14ac:dyDescent="0.2">
      <c r="A148" s="334" t="s">
        <v>1192</v>
      </c>
      <c r="B148" s="334" t="s">
        <v>6828</v>
      </c>
      <c r="C148" s="334" t="s">
        <v>6602</v>
      </c>
    </row>
    <row r="149" spans="1:4" x14ac:dyDescent="0.2">
      <c r="A149" s="334" t="s">
        <v>4235</v>
      </c>
      <c r="B149" s="334" t="s">
        <v>6829</v>
      </c>
      <c r="C149" s="334" t="s">
        <v>4230</v>
      </c>
    </row>
    <row r="150" spans="1:4" x14ac:dyDescent="0.2">
      <c r="A150" s="334" t="s">
        <v>4236</v>
      </c>
      <c r="B150" s="334" t="s">
        <v>6830</v>
      </c>
      <c r="C150" s="334" t="s">
        <v>4230</v>
      </c>
    </row>
    <row r="151" spans="1:4" x14ac:dyDescent="0.2">
      <c r="A151" s="334" t="s">
        <v>4237</v>
      </c>
      <c r="B151" s="334" t="s">
        <v>6831</v>
      </c>
      <c r="C151" s="334" t="s">
        <v>4230</v>
      </c>
    </row>
    <row r="152" spans="1:4" x14ac:dyDescent="0.2">
      <c r="A152" s="334" t="s">
        <v>4238</v>
      </c>
      <c r="B152" s="334" t="s">
        <v>6832</v>
      </c>
      <c r="C152" s="334" t="s">
        <v>4230</v>
      </c>
    </row>
    <row r="153" spans="1:4" x14ac:dyDescent="0.2">
      <c r="A153" s="334" t="s">
        <v>4239</v>
      </c>
      <c r="B153" s="334" t="s">
        <v>6833</v>
      </c>
      <c r="C153" s="334" t="s">
        <v>4230</v>
      </c>
    </row>
    <row r="154" spans="1:4" x14ac:dyDescent="0.2">
      <c r="A154" s="334" t="s">
        <v>4240</v>
      </c>
      <c r="B154" s="334" t="s">
        <v>6834</v>
      </c>
      <c r="C154" s="334" t="s">
        <v>4230</v>
      </c>
    </row>
    <row r="155" spans="1:4" x14ac:dyDescent="0.2">
      <c r="A155" s="334" t="s">
        <v>4241</v>
      </c>
      <c r="B155" s="334" t="s">
        <v>6835</v>
      </c>
      <c r="C155" s="334" t="s">
        <v>6602</v>
      </c>
    </row>
    <row r="156" spans="1:4" x14ac:dyDescent="0.2">
      <c r="A156" s="347" t="s">
        <v>1193</v>
      </c>
      <c r="B156" s="347" t="s">
        <v>6836</v>
      </c>
      <c r="C156" s="347" t="s">
        <v>4230</v>
      </c>
      <c r="D156" s="348" t="s">
        <v>10271</v>
      </c>
    </row>
    <row r="157" spans="1:4" x14ac:dyDescent="0.2">
      <c r="A157" s="347" t="s">
        <v>1194</v>
      </c>
      <c r="B157" s="347" t="s">
        <v>6830</v>
      </c>
      <c r="C157" s="347" t="s">
        <v>4230</v>
      </c>
      <c r="D157" s="348" t="s">
        <v>10271</v>
      </c>
    </row>
    <row r="158" spans="1:4" x14ac:dyDescent="0.2">
      <c r="A158" s="334" t="s">
        <v>4242</v>
      </c>
      <c r="B158" s="334" t="s">
        <v>6836</v>
      </c>
      <c r="C158" s="334" t="s">
        <v>4230</v>
      </c>
    </row>
    <row r="159" spans="1:4" x14ac:dyDescent="0.2">
      <c r="A159" s="334" t="s">
        <v>1195</v>
      </c>
      <c r="B159" s="334" t="s">
        <v>6829</v>
      </c>
      <c r="C159" s="334" t="s">
        <v>4230</v>
      </c>
    </row>
    <row r="160" spans="1:4" x14ac:dyDescent="0.2">
      <c r="A160" s="347" t="s">
        <v>1196</v>
      </c>
      <c r="B160" s="347" t="s">
        <v>6831</v>
      </c>
      <c r="C160" s="347" t="s">
        <v>4230</v>
      </c>
      <c r="D160" s="348" t="s">
        <v>10271</v>
      </c>
    </row>
    <row r="161" spans="1:4" x14ac:dyDescent="0.2">
      <c r="A161" s="347" t="s">
        <v>1197</v>
      </c>
      <c r="B161" s="347" t="s">
        <v>2406</v>
      </c>
      <c r="C161" s="347" t="s">
        <v>6604</v>
      </c>
      <c r="D161" s="348" t="s">
        <v>10271</v>
      </c>
    </row>
    <row r="162" spans="1:4" x14ac:dyDescent="0.2">
      <c r="A162" s="334" t="s">
        <v>4243</v>
      </c>
      <c r="B162" s="334" t="s">
        <v>6837</v>
      </c>
      <c r="C162" s="334" t="s">
        <v>6602</v>
      </c>
    </row>
    <row r="163" spans="1:4" x14ac:dyDescent="0.2">
      <c r="A163" s="334" t="s">
        <v>4244</v>
      </c>
      <c r="B163" s="334" t="s">
        <v>2404</v>
      </c>
      <c r="C163" s="334" t="s">
        <v>6602</v>
      </c>
    </row>
    <row r="164" spans="1:4" x14ac:dyDescent="0.2">
      <c r="A164" s="347" t="s">
        <v>1198</v>
      </c>
      <c r="B164" s="347" t="s">
        <v>2413</v>
      </c>
      <c r="C164" s="347" t="s">
        <v>6604</v>
      </c>
      <c r="D164" s="348" t="s">
        <v>10271</v>
      </c>
    </row>
    <row r="165" spans="1:4" x14ac:dyDescent="0.2">
      <c r="A165" s="347" t="s">
        <v>1199</v>
      </c>
      <c r="B165" s="347" t="s">
        <v>2414</v>
      </c>
      <c r="C165" s="347" t="s">
        <v>6604</v>
      </c>
      <c r="D165" s="348" t="s">
        <v>10271</v>
      </c>
    </row>
    <row r="166" spans="1:4" x14ac:dyDescent="0.2">
      <c r="A166" s="347" t="s">
        <v>1200</v>
      </c>
      <c r="B166" s="347" t="s">
        <v>2411</v>
      </c>
      <c r="C166" s="347" t="s">
        <v>6604</v>
      </c>
      <c r="D166" s="348" t="s">
        <v>10271</v>
      </c>
    </row>
    <row r="167" spans="1:4" x14ac:dyDescent="0.2">
      <c r="A167" s="347" t="s">
        <v>1201</v>
      </c>
      <c r="B167" s="347" t="s">
        <v>2412</v>
      </c>
      <c r="C167" s="347" t="s">
        <v>6604</v>
      </c>
      <c r="D167" s="348" t="s">
        <v>10271</v>
      </c>
    </row>
    <row r="168" spans="1:4" x14ac:dyDescent="0.2">
      <c r="A168" s="347" t="s">
        <v>1202</v>
      </c>
      <c r="B168" s="347" t="s">
        <v>6838</v>
      </c>
      <c r="C168" s="347" t="s">
        <v>4230</v>
      </c>
      <c r="D168" s="348" t="s">
        <v>10271</v>
      </c>
    </row>
    <row r="169" spans="1:4" x14ac:dyDescent="0.2">
      <c r="A169" s="334" t="s">
        <v>1203</v>
      </c>
      <c r="B169" s="334" t="s">
        <v>6838</v>
      </c>
      <c r="C169" s="334" t="s">
        <v>4230</v>
      </c>
    </row>
    <row r="170" spans="1:4" x14ac:dyDescent="0.2">
      <c r="A170" s="334" t="s">
        <v>4245</v>
      </c>
      <c r="B170" s="334" t="s">
        <v>6839</v>
      </c>
      <c r="C170" s="334" t="s">
        <v>6602</v>
      </c>
    </row>
    <row r="171" spans="1:4" x14ac:dyDescent="0.2">
      <c r="A171" s="334" t="s">
        <v>4246</v>
      </c>
      <c r="B171" s="334" t="s">
        <v>6840</v>
      </c>
      <c r="C171" s="334" t="s">
        <v>6602</v>
      </c>
    </row>
    <row r="172" spans="1:4" x14ac:dyDescent="0.2">
      <c r="A172" s="334" t="s">
        <v>4247</v>
      </c>
      <c r="B172" s="334" t="s">
        <v>6841</v>
      </c>
      <c r="C172" s="334" t="s">
        <v>6602</v>
      </c>
    </row>
    <row r="173" spans="1:4" x14ac:dyDescent="0.2">
      <c r="A173" s="334" t="s">
        <v>4248</v>
      </c>
      <c r="B173" s="334" t="s">
        <v>6842</v>
      </c>
      <c r="C173" s="334" t="s">
        <v>6602</v>
      </c>
    </row>
    <row r="174" spans="1:4" x14ac:dyDescent="0.2">
      <c r="A174" s="334" t="s">
        <v>4249</v>
      </c>
      <c r="B174" s="334" t="s">
        <v>6843</v>
      </c>
      <c r="C174" s="334" t="s">
        <v>6602</v>
      </c>
    </row>
    <row r="175" spans="1:4" x14ac:dyDescent="0.2">
      <c r="A175" s="334" t="s">
        <v>4250</v>
      </c>
      <c r="B175" s="334" t="s">
        <v>6844</v>
      </c>
      <c r="C175" s="334" t="s">
        <v>6602</v>
      </c>
    </row>
    <row r="176" spans="1:4" x14ac:dyDescent="0.2">
      <c r="A176" s="334" t="s">
        <v>4251</v>
      </c>
      <c r="B176" s="334" t="s">
        <v>6836</v>
      </c>
      <c r="C176" s="334" t="s">
        <v>4230</v>
      </c>
    </row>
    <row r="177" spans="1:3" x14ac:dyDescent="0.2">
      <c r="A177" s="334" t="s">
        <v>4252</v>
      </c>
      <c r="B177" s="334" t="s">
        <v>6845</v>
      </c>
      <c r="C177" s="334" t="s">
        <v>6604</v>
      </c>
    </row>
    <row r="178" spans="1:3" x14ac:dyDescent="0.2">
      <c r="A178" s="334" t="s">
        <v>4253</v>
      </c>
      <c r="B178" s="334" t="s">
        <v>6838</v>
      </c>
      <c r="C178" s="334" t="s">
        <v>4230</v>
      </c>
    </row>
    <row r="179" spans="1:3" x14ac:dyDescent="0.2">
      <c r="A179" s="334" t="s">
        <v>4254</v>
      </c>
      <c r="B179" s="334" t="s">
        <v>6846</v>
      </c>
      <c r="C179" s="334" t="s">
        <v>4230</v>
      </c>
    </row>
    <row r="180" spans="1:3" x14ac:dyDescent="0.2">
      <c r="A180" s="334" t="s">
        <v>4255</v>
      </c>
      <c r="B180" s="334" t="s">
        <v>6847</v>
      </c>
      <c r="C180" s="334" t="s">
        <v>4230</v>
      </c>
    </row>
    <row r="181" spans="1:3" x14ac:dyDescent="0.2">
      <c r="A181" s="334" t="s">
        <v>4256</v>
      </c>
      <c r="B181" s="334" t="s">
        <v>2395</v>
      </c>
      <c r="C181" s="334" t="s">
        <v>6602</v>
      </c>
    </row>
    <row r="182" spans="1:3" x14ac:dyDescent="0.2">
      <c r="A182" s="334" t="s">
        <v>4257</v>
      </c>
      <c r="B182" s="334" t="s">
        <v>6848</v>
      </c>
      <c r="C182" s="334" t="s">
        <v>6602</v>
      </c>
    </row>
    <row r="183" spans="1:3" x14ac:dyDescent="0.2">
      <c r="A183" s="334" t="s">
        <v>4258</v>
      </c>
      <c r="B183" s="334" t="s">
        <v>2394</v>
      </c>
      <c r="C183" s="334" t="s">
        <v>6602</v>
      </c>
    </row>
    <row r="184" spans="1:3" x14ac:dyDescent="0.2">
      <c r="A184" s="334" t="s">
        <v>4259</v>
      </c>
      <c r="B184" s="334" t="s">
        <v>2417</v>
      </c>
      <c r="C184" s="334" t="s">
        <v>6602</v>
      </c>
    </row>
    <row r="185" spans="1:3" x14ac:dyDescent="0.2">
      <c r="A185" s="334" t="s">
        <v>4260</v>
      </c>
      <c r="B185" s="334" t="s">
        <v>6849</v>
      </c>
      <c r="C185" s="334" t="s">
        <v>6604</v>
      </c>
    </row>
    <row r="186" spans="1:3" x14ac:dyDescent="0.2">
      <c r="A186" s="334" t="s">
        <v>4261</v>
      </c>
      <c r="B186" s="334" t="s">
        <v>6850</v>
      </c>
      <c r="C186" s="334" t="s">
        <v>6604</v>
      </c>
    </row>
    <row r="187" spans="1:3" x14ac:dyDescent="0.2">
      <c r="A187" s="334" t="s">
        <v>4262</v>
      </c>
      <c r="B187" s="334" t="s">
        <v>2418</v>
      </c>
      <c r="C187" s="334" t="s">
        <v>6602</v>
      </c>
    </row>
    <row r="188" spans="1:3" x14ac:dyDescent="0.2">
      <c r="A188" s="334" t="s">
        <v>4263</v>
      </c>
      <c r="B188" s="334" t="s">
        <v>2398</v>
      </c>
      <c r="C188" s="334" t="s">
        <v>6602</v>
      </c>
    </row>
    <row r="189" spans="1:3" x14ac:dyDescent="0.2">
      <c r="A189" s="334" t="s">
        <v>4264</v>
      </c>
      <c r="B189" s="334" t="s">
        <v>6851</v>
      </c>
      <c r="C189" s="334" t="s">
        <v>6604</v>
      </c>
    </row>
    <row r="190" spans="1:3" x14ac:dyDescent="0.2">
      <c r="A190" s="334" t="s">
        <v>4265</v>
      </c>
      <c r="B190" s="334" t="s">
        <v>6852</v>
      </c>
      <c r="C190" s="334" t="s">
        <v>6604</v>
      </c>
    </row>
    <row r="191" spans="1:3" x14ac:dyDescent="0.2">
      <c r="A191" s="334" t="s">
        <v>4266</v>
      </c>
      <c r="B191" s="334" t="s">
        <v>6853</v>
      </c>
      <c r="C191" s="334" t="s">
        <v>6604</v>
      </c>
    </row>
    <row r="192" spans="1:3" x14ac:dyDescent="0.2">
      <c r="A192" s="334" t="s">
        <v>4267</v>
      </c>
      <c r="B192" s="334" t="s">
        <v>6854</v>
      </c>
      <c r="C192" s="334" t="s">
        <v>4230</v>
      </c>
    </row>
    <row r="193" spans="1:4" x14ac:dyDescent="0.2">
      <c r="A193" s="334" t="s">
        <v>4268</v>
      </c>
      <c r="B193" s="334" t="s">
        <v>6855</v>
      </c>
      <c r="C193" s="334" t="s">
        <v>4230</v>
      </c>
    </row>
    <row r="194" spans="1:4" x14ac:dyDescent="0.2">
      <c r="A194" s="334" t="s">
        <v>4269</v>
      </c>
      <c r="B194" s="334" t="s">
        <v>6856</v>
      </c>
      <c r="C194" s="334" t="s">
        <v>6602</v>
      </c>
    </row>
    <row r="195" spans="1:4" x14ac:dyDescent="0.2">
      <c r="A195" s="334" t="s">
        <v>4270</v>
      </c>
      <c r="B195" s="334" t="s">
        <v>6857</v>
      </c>
      <c r="C195" s="334" t="s">
        <v>6602</v>
      </c>
    </row>
    <row r="196" spans="1:4" x14ac:dyDescent="0.2">
      <c r="A196" s="334" t="s">
        <v>4271</v>
      </c>
      <c r="B196" s="334" t="s">
        <v>6858</v>
      </c>
      <c r="C196" s="334" t="s">
        <v>6602</v>
      </c>
    </row>
    <row r="197" spans="1:4" x14ac:dyDescent="0.2">
      <c r="A197" s="334" t="s">
        <v>4272</v>
      </c>
      <c r="B197" s="334" t="s">
        <v>6859</v>
      </c>
      <c r="C197" s="334" t="s">
        <v>6604</v>
      </c>
    </row>
    <row r="198" spans="1:4" x14ac:dyDescent="0.2">
      <c r="A198" s="334" t="s">
        <v>4273</v>
      </c>
      <c r="B198" s="334" t="s">
        <v>6860</v>
      </c>
      <c r="C198" s="334" t="s">
        <v>6602</v>
      </c>
    </row>
    <row r="199" spans="1:4" x14ac:dyDescent="0.2">
      <c r="A199" s="334" t="s">
        <v>4274</v>
      </c>
      <c r="B199" s="334" t="s">
        <v>6861</v>
      </c>
      <c r="C199" s="334" t="s">
        <v>6602</v>
      </c>
    </row>
    <row r="200" spans="1:4" x14ac:dyDescent="0.2">
      <c r="A200" s="334" t="s">
        <v>4275</v>
      </c>
      <c r="B200" s="334" t="s">
        <v>6862</v>
      </c>
      <c r="C200" s="334" t="s">
        <v>6604</v>
      </c>
    </row>
    <row r="201" spans="1:4" x14ac:dyDescent="0.2">
      <c r="A201" s="334" t="s">
        <v>4276</v>
      </c>
      <c r="B201" s="334" t="s">
        <v>6854</v>
      </c>
      <c r="C201" s="334" t="s">
        <v>4230</v>
      </c>
    </row>
    <row r="202" spans="1:4" x14ac:dyDescent="0.2">
      <c r="A202" s="334" t="s">
        <v>4277</v>
      </c>
      <c r="B202" s="334" t="s">
        <v>6855</v>
      </c>
      <c r="C202" s="334" t="s">
        <v>4230</v>
      </c>
    </row>
    <row r="203" spans="1:4" x14ac:dyDescent="0.2">
      <c r="A203" s="347" t="s">
        <v>1204</v>
      </c>
      <c r="B203" s="347" t="s">
        <v>6846</v>
      </c>
      <c r="C203" s="347" t="s">
        <v>4230</v>
      </c>
      <c r="D203" s="348" t="s">
        <v>10271</v>
      </c>
    </row>
    <row r="204" spans="1:4" x14ac:dyDescent="0.2">
      <c r="A204" s="334" t="s">
        <v>1205</v>
      </c>
      <c r="B204" s="334" t="s">
        <v>6846</v>
      </c>
      <c r="C204" s="334" t="s">
        <v>4230</v>
      </c>
    </row>
    <row r="205" spans="1:4" x14ac:dyDescent="0.2">
      <c r="A205" s="334" t="s">
        <v>4278</v>
      </c>
      <c r="B205" s="334" t="s">
        <v>6854</v>
      </c>
      <c r="C205" s="334" t="s">
        <v>4230</v>
      </c>
    </row>
    <row r="206" spans="1:4" x14ac:dyDescent="0.2">
      <c r="A206" s="334" t="s">
        <v>4279</v>
      </c>
      <c r="B206" s="334" t="s">
        <v>6855</v>
      </c>
      <c r="C206" s="334" t="s">
        <v>4230</v>
      </c>
    </row>
    <row r="207" spans="1:4" x14ac:dyDescent="0.2">
      <c r="A207" s="334" t="s">
        <v>1206</v>
      </c>
      <c r="B207" s="334" t="s">
        <v>6836</v>
      </c>
      <c r="C207" s="334" t="s">
        <v>4230</v>
      </c>
    </row>
    <row r="208" spans="1:4" x14ac:dyDescent="0.2">
      <c r="A208" s="334" t="s">
        <v>1207</v>
      </c>
      <c r="B208" s="334" t="s">
        <v>6838</v>
      </c>
      <c r="C208" s="334" t="s">
        <v>4230</v>
      </c>
    </row>
    <row r="209" spans="1:4" x14ac:dyDescent="0.2">
      <c r="A209" s="334" t="s">
        <v>1208</v>
      </c>
      <c r="B209" s="334" t="s">
        <v>6846</v>
      </c>
      <c r="C209" s="334" t="s">
        <v>4230</v>
      </c>
    </row>
    <row r="210" spans="1:4" x14ac:dyDescent="0.2">
      <c r="A210" s="334" t="s">
        <v>1209</v>
      </c>
      <c r="B210" s="334" t="s">
        <v>6847</v>
      </c>
      <c r="C210" s="334" t="s">
        <v>4230</v>
      </c>
    </row>
    <row r="211" spans="1:4" x14ac:dyDescent="0.2">
      <c r="A211" s="347" t="s">
        <v>1210</v>
      </c>
      <c r="B211" s="347" t="s">
        <v>6847</v>
      </c>
      <c r="C211" s="347" t="s">
        <v>4230</v>
      </c>
      <c r="D211" s="348" t="s">
        <v>10271</v>
      </c>
    </row>
    <row r="212" spans="1:4" x14ac:dyDescent="0.2">
      <c r="A212" s="334" t="s">
        <v>1211</v>
      </c>
      <c r="B212" s="334" t="s">
        <v>6847</v>
      </c>
      <c r="C212" s="334" t="s">
        <v>4230</v>
      </c>
    </row>
    <row r="213" spans="1:4" x14ac:dyDescent="0.2">
      <c r="A213" s="334" t="s">
        <v>1212</v>
      </c>
      <c r="B213" s="334" t="s">
        <v>6863</v>
      </c>
      <c r="C213" s="334" t="s">
        <v>6604</v>
      </c>
    </row>
    <row r="214" spans="1:4" x14ac:dyDescent="0.2">
      <c r="A214" s="347" t="s">
        <v>1213</v>
      </c>
      <c r="B214" s="347" t="s">
        <v>2395</v>
      </c>
      <c r="C214" s="347" t="s">
        <v>6604</v>
      </c>
      <c r="D214" s="348" t="s">
        <v>10271</v>
      </c>
    </row>
    <row r="215" spans="1:4" x14ac:dyDescent="0.2">
      <c r="A215" s="334" t="s">
        <v>1214</v>
      </c>
      <c r="B215" s="334" t="s">
        <v>6864</v>
      </c>
      <c r="C215" s="334" t="s">
        <v>6602</v>
      </c>
    </row>
    <row r="216" spans="1:4" x14ac:dyDescent="0.2">
      <c r="A216" s="334" t="s">
        <v>1215</v>
      </c>
      <c r="B216" s="334" t="s">
        <v>6865</v>
      </c>
      <c r="C216" s="334" t="s">
        <v>6602</v>
      </c>
    </row>
    <row r="217" spans="1:4" x14ac:dyDescent="0.2">
      <c r="A217" s="347" t="s">
        <v>1216</v>
      </c>
      <c r="B217" s="347" t="s">
        <v>2397</v>
      </c>
      <c r="C217" s="347" t="s">
        <v>6604</v>
      </c>
      <c r="D217" s="348" t="s">
        <v>10271</v>
      </c>
    </row>
    <row r="218" spans="1:4" x14ac:dyDescent="0.2">
      <c r="A218" s="347" t="s">
        <v>1217</v>
      </c>
      <c r="B218" s="347" t="s">
        <v>2394</v>
      </c>
      <c r="C218" s="347" t="s">
        <v>6604</v>
      </c>
      <c r="D218" s="348" t="s">
        <v>10271</v>
      </c>
    </row>
    <row r="219" spans="1:4" x14ac:dyDescent="0.2">
      <c r="A219" s="334" t="s">
        <v>1218</v>
      </c>
      <c r="B219" s="334" t="s">
        <v>6866</v>
      </c>
      <c r="C219" s="334" t="s">
        <v>6602</v>
      </c>
    </row>
    <row r="220" spans="1:4" x14ac:dyDescent="0.2">
      <c r="A220" s="347" t="s">
        <v>1219</v>
      </c>
      <c r="B220" s="347" t="s">
        <v>2417</v>
      </c>
      <c r="C220" s="347" t="s">
        <v>6604</v>
      </c>
      <c r="D220" s="348" t="s">
        <v>10271</v>
      </c>
    </row>
    <row r="221" spans="1:4" x14ac:dyDescent="0.2">
      <c r="A221" s="347" t="s">
        <v>1220</v>
      </c>
      <c r="B221" s="347" t="s">
        <v>2401</v>
      </c>
      <c r="C221" s="347" t="s">
        <v>6604</v>
      </c>
      <c r="D221" s="348" t="s">
        <v>10271</v>
      </c>
    </row>
    <row r="222" spans="1:4" x14ac:dyDescent="0.2">
      <c r="A222" s="347" t="s">
        <v>1221</v>
      </c>
      <c r="B222" s="347" t="s">
        <v>2405</v>
      </c>
      <c r="C222" s="347" t="s">
        <v>6604</v>
      </c>
      <c r="D222" s="348" t="s">
        <v>10271</v>
      </c>
    </row>
    <row r="223" spans="1:4" x14ac:dyDescent="0.2">
      <c r="A223" s="347" t="s">
        <v>1222</v>
      </c>
      <c r="B223" s="347" t="s">
        <v>2408</v>
      </c>
      <c r="C223" s="347" t="s">
        <v>6604</v>
      </c>
      <c r="D223" s="348" t="s">
        <v>10271</v>
      </c>
    </row>
    <row r="224" spans="1:4" x14ac:dyDescent="0.2">
      <c r="A224" s="347" t="s">
        <v>1223</v>
      </c>
      <c r="B224" s="347" t="s">
        <v>2392</v>
      </c>
      <c r="C224" s="347" t="s">
        <v>6604</v>
      </c>
      <c r="D224" s="348" t="s">
        <v>10271</v>
      </c>
    </row>
    <row r="225" spans="1:4" x14ac:dyDescent="0.2">
      <c r="A225" s="334" t="s">
        <v>1224</v>
      </c>
      <c r="B225" s="334" t="s">
        <v>6867</v>
      </c>
      <c r="C225" s="334" t="s">
        <v>6602</v>
      </c>
    </row>
    <row r="226" spans="1:4" x14ac:dyDescent="0.2">
      <c r="A226" s="334" t="s">
        <v>1225</v>
      </c>
      <c r="B226" s="334" t="s">
        <v>6868</v>
      </c>
      <c r="C226" s="334" t="s">
        <v>6602</v>
      </c>
    </row>
    <row r="227" spans="1:4" x14ac:dyDescent="0.2">
      <c r="A227" s="347" t="s">
        <v>1226</v>
      </c>
      <c r="B227" s="347" t="s">
        <v>2402</v>
      </c>
      <c r="C227" s="347" t="s">
        <v>6604</v>
      </c>
      <c r="D227" s="348" t="s">
        <v>10271</v>
      </c>
    </row>
    <row r="228" spans="1:4" x14ac:dyDescent="0.2">
      <c r="A228" s="347" t="s">
        <v>1227</v>
      </c>
      <c r="B228" s="347" t="s">
        <v>2403</v>
      </c>
      <c r="C228" s="347" t="s">
        <v>6604</v>
      </c>
      <c r="D228" s="348" t="s">
        <v>10271</v>
      </c>
    </row>
    <row r="229" spans="1:4" x14ac:dyDescent="0.2">
      <c r="A229" s="347" t="s">
        <v>1228</v>
      </c>
      <c r="B229" s="347" t="s">
        <v>2418</v>
      </c>
      <c r="C229" s="347" t="s">
        <v>6604</v>
      </c>
      <c r="D229" s="348" t="s">
        <v>10271</v>
      </c>
    </row>
    <row r="230" spans="1:4" x14ac:dyDescent="0.2">
      <c r="A230" s="347" t="s">
        <v>1229</v>
      </c>
      <c r="B230" s="347" t="s">
        <v>2398</v>
      </c>
      <c r="C230" s="347" t="s">
        <v>6604</v>
      </c>
      <c r="D230" s="348" t="s">
        <v>10271</v>
      </c>
    </row>
    <row r="231" spans="1:4" x14ac:dyDescent="0.2">
      <c r="A231" s="347" t="s">
        <v>1230</v>
      </c>
      <c r="B231" s="347" t="s">
        <v>2404</v>
      </c>
      <c r="C231" s="347" t="s">
        <v>6604</v>
      </c>
      <c r="D231" s="348" t="s">
        <v>10271</v>
      </c>
    </row>
    <row r="232" spans="1:4" x14ac:dyDescent="0.2">
      <c r="A232" s="347" t="s">
        <v>1231</v>
      </c>
      <c r="B232" s="347" t="s">
        <v>2399</v>
      </c>
      <c r="C232" s="347" t="s">
        <v>6604</v>
      </c>
      <c r="D232" s="348" t="s">
        <v>10271</v>
      </c>
    </row>
    <row r="233" spans="1:4" x14ac:dyDescent="0.2">
      <c r="A233" s="347" t="s">
        <v>1232</v>
      </c>
      <c r="B233" s="347" t="s">
        <v>2400</v>
      </c>
      <c r="C233" s="347" t="s">
        <v>6604</v>
      </c>
      <c r="D233" s="348" t="s">
        <v>10271</v>
      </c>
    </row>
    <row r="234" spans="1:4" x14ac:dyDescent="0.2">
      <c r="A234" s="334" t="s">
        <v>1233</v>
      </c>
      <c r="B234" s="334" t="s">
        <v>6869</v>
      </c>
      <c r="C234" s="334" t="s">
        <v>6602</v>
      </c>
    </row>
    <row r="235" spans="1:4" x14ac:dyDescent="0.2">
      <c r="A235" s="334" t="s">
        <v>4280</v>
      </c>
      <c r="B235" s="334" t="s">
        <v>6870</v>
      </c>
      <c r="C235" s="334" t="s">
        <v>6602</v>
      </c>
    </row>
    <row r="236" spans="1:4" x14ac:dyDescent="0.2">
      <c r="A236" s="334" t="s">
        <v>4281</v>
      </c>
      <c r="B236" s="334" t="s">
        <v>6871</v>
      </c>
      <c r="C236" s="334" t="s">
        <v>6602</v>
      </c>
    </row>
    <row r="237" spans="1:4" x14ac:dyDescent="0.2">
      <c r="A237" s="334" t="s">
        <v>4282</v>
      </c>
      <c r="B237" s="334" t="s">
        <v>6872</v>
      </c>
      <c r="C237" s="334" t="s">
        <v>6602</v>
      </c>
    </row>
    <row r="238" spans="1:4" x14ac:dyDescent="0.2">
      <c r="A238" s="334" t="s">
        <v>4283</v>
      </c>
      <c r="B238" s="334" t="s">
        <v>2395</v>
      </c>
      <c r="C238" s="334" t="s">
        <v>6602</v>
      </c>
    </row>
    <row r="239" spans="1:4" x14ac:dyDescent="0.2">
      <c r="A239" s="334" t="s">
        <v>4284</v>
      </c>
      <c r="B239" s="334" t="s">
        <v>6873</v>
      </c>
      <c r="C239" s="334" t="s">
        <v>6602</v>
      </c>
    </row>
    <row r="240" spans="1:4" x14ac:dyDescent="0.2">
      <c r="A240" s="334" t="s">
        <v>4285</v>
      </c>
      <c r="B240" s="334" t="s">
        <v>6859</v>
      </c>
      <c r="C240" s="334" t="s">
        <v>6602</v>
      </c>
    </row>
    <row r="241" spans="1:4" x14ac:dyDescent="0.2">
      <c r="A241" s="334" t="s">
        <v>4286</v>
      </c>
      <c r="B241" s="334" t="s">
        <v>6860</v>
      </c>
      <c r="C241" s="334" t="s">
        <v>6602</v>
      </c>
    </row>
    <row r="242" spans="1:4" x14ac:dyDescent="0.2">
      <c r="A242" s="334" t="s">
        <v>4287</v>
      </c>
      <c r="B242" s="334" t="s">
        <v>6874</v>
      </c>
      <c r="C242" s="334" t="s">
        <v>6602</v>
      </c>
    </row>
    <row r="243" spans="1:4" x14ac:dyDescent="0.2">
      <c r="A243" s="334" t="s">
        <v>4288</v>
      </c>
      <c r="B243" s="334" t="s">
        <v>6875</v>
      </c>
      <c r="C243" s="334" t="s">
        <v>6602</v>
      </c>
    </row>
    <row r="244" spans="1:4" x14ac:dyDescent="0.2">
      <c r="A244" s="334" t="s">
        <v>4289</v>
      </c>
      <c r="B244" s="334" t="s">
        <v>6876</v>
      </c>
      <c r="C244" s="334" t="s">
        <v>2338</v>
      </c>
    </row>
    <row r="245" spans="1:4" x14ac:dyDescent="0.2">
      <c r="A245" s="334" t="s">
        <v>4290</v>
      </c>
      <c r="B245" s="334" t="s">
        <v>6877</v>
      </c>
      <c r="C245" s="334" t="s">
        <v>2338</v>
      </c>
    </row>
    <row r="246" spans="1:4" x14ac:dyDescent="0.2">
      <c r="A246" s="347" t="s">
        <v>3079</v>
      </c>
      <c r="B246" s="347" t="s">
        <v>2396</v>
      </c>
      <c r="C246" s="347" t="s">
        <v>6604</v>
      </c>
      <c r="D246" s="348" t="s">
        <v>10271</v>
      </c>
    </row>
    <row r="247" spans="1:4" x14ac:dyDescent="0.2">
      <c r="A247" s="334" t="s">
        <v>4291</v>
      </c>
      <c r="B247" s="334" t="s">
        <v>6859</v>
      </c>
      <c r="C247" s="334" t="s">
        <v>6602</v>
      </c>
    </row>
    <row r="248" spans="1:4" x14ac:dyDescent="0.2">
      <c r="A248" s="334" t="s">
        <v>4292</v>
      </c>
      <c r="B248" s="334" t="s">
        <v>6862</v>
      </c>
      <c r="C248" s="334" t="s">
        <v>6602</v>
      </c>
    </row>
    <row r="249" spans="1:4" x14ac:dyDescent="0.2">
      <c r="A249" s="334" t="s">
        <v>4293</v>
      </c>
      <c r="B249" s="334" t="s">
        <v>6878</v>
      </c>
      <c r="C249" s="334" t="s">
        <v>6604</v>
      </c>
    </row>
    <row r="250" spans="1:4" x14ac:dyDescent="0.2">
      <c r="A250" s="334" t="s">
        <v>4294</v>
      </c>
      <c r="B250" s="334" t="s">
        <v>6811</v>
      </c>
      <c r="C250" s="334" t="s">
        <v>6602</v>
      </c>
    </row>
    <row r="251" spans="1:4" x14ac:dyDescent="0.2">
      <c r="A251" s="334" t="s">
        <v>4295</v>
      </c>
      <c r="B251" s="334" t="s">
        <v>6812</v>
      </c>
      <c r="C251" s="334" t="s">
        <v>6602</v>
      </c>
    </row>
    <row r="252" spans="1:4" x14ac:dyDescent="0.2">
      <c r="A252" s="334" t="s">
        <v>4296</v>
      </c>
      <c r="B252" s="334" t="s">
        <v>6813</v>
      </c>
      <c r="C252" s="334" t="s">
        <v>6602</v>
      </c>
    </row>
    <row r="253" spans="1:4" x14ac:dyDescent="0.2">
      <c r="A253" s="334" t="s">
        <v>4297</v>
      </c>
      <c r="B253" s="334" t="s">
        <v>6814</v>
      </c>
      <c r="C253" s="334" t="s">
        <v>6602</v>
      </c>
    </row>
    <row r="254" spans="1:4" x14ac:dyDescent="0.2">
      <c r="A254" s="334" t="s">
        <v>4298</v>
      </c>
      <c r="B254" s="334" t="s">
        <v>6862</v>
      </c>
      <c r="C254" s="334" t="s">
        <v>6602</v>
      </c>
    </row>
    <row r="255" spans="1:4" x14ac:dyDescent="0.2">
      <c r="A255" s="334" t="s">
        <v>4299</v>
      </c>
      <c r="B255" s="334" t="s">
        <v>6809</v>
      </c>
      <c r="C255" s="334" t="s">
        <v>6602</v>
      </c>
    </row>
    <row r="256" spans="1:4" x14ac:dyDescent="0.2">
      <c r="A256" s="334" t="s">
        <v>4300</v>
      </c>
      <c r="B256" s="334" t="s">
        <v>6857</v>
      </c>
      <c r="C256" s="334" t="s">
        <v>6602</v>
      </c>
    </row>
    <row r="257" spans="1:3" x14ac:dyDescent="0.2">
      <c r="A257" s="334" t="s">
        <v>4301</v>
      </c>
      <c r="B257" s="334" t="s">
        <v>6879</v>
      </c>
      <c r="C257" s="334" t="s">
        <v>6602</v>
      </c>
    </row>
    <row r="258" spans="1:3" x14ac:dyDescent="0.2">
      <c r="A258" s="334" t="s">
        <v>4302</v>
      </c>
      <c r="B258" s="334" t="s">
        <v>6880</v>
      </c>
      <c r="C258" s="334" t="s">
        <v>6602</v>
      </c>
    </row>
    <row r="259" spans="1:3" x14ac:dyDescent="0.2">
      <c r="A259" s="334" t="s">
        <v>4303</v>
      </c>
      <c r="B259" s="334" t="s">
        <v>6881</v>
      </c>
      <c r="C259" s="334" t="s">
        <v>6602</v>
      </c>
    </row>
    <row r="260" spans="1:3" x14ac:dyDescent="0.2">
      <c r="A260" s="334" t="s">
        <v>4304</v>
      </c>
      <c r="B260" s="334" t="s">
        <v>6862</v>
      </c>
      <c r="C260" s="334" t="s">
        <v>6602</v>
      </c>
    </row>
    <row r="261" spans="1:3" x14ac:dyDescent="0.2">
      <c r="A261" s="334" t="s">
        <v>4305</v>
      </c>
      <c r="B261" s="334" t="s">
        <v>6809</v>
      </c>
      <c r="C261" s="334" t="s">
        <v>6602</v>
      </c>
    </row>
    <row r="262" spans="1:3" x14ac:dyDescent="0.2">
      <c r="A262" s="334" t="s">
        <v>4306</v>
      </c>
      <c r="B262" s="334" t="s">
        <v>6857</v>
      </c>
      <c r="C262" s="334" t="s">
        <v>6602</v>
      </c>
    </row>
    <row r="263" spans="1:3" x14ac:dyDescent="0.2">
      <c r="A263" s="334" t="s">
        <v>4307</v>
      </c>
      <c r="B263" s="334" t="s">
        <v>6882</v>
      </c>
      <c r="C263" s="334" t="s">
        <v>6604</v>
      </c>
    </row>
    <row r="264" spans="1:3" x14ac:dyDescent="0.2">
      <c r="A264" s="334" t="s">
        <v>4308</v>
      </c>
      <c r="B264" s="334" t="s">
        <v>6812</v>
      </c>
      <c r="C264" s="334" t="s">
        <v>6602</v>
      </c>
    </row>
    <row r="265" spans="1:3" x14ac:dyDescent="0.2">
      <c r="A265" s="334" t="s">
        <v>4309</v>
      </c>
      <c r="B265" s="334" t="s">
        <v>6883</v>
      </c>
      <c r="C265" s="334" t="s">
        <v>6602</v>
      </c>
    </row>
    <row r="266" spans="1:3" x14ac:dyDescent="0.2">
      <c r="A266" s="334" t="s">
        <v>4310</v>
      </c>
      <c r="B266" s="334" t="s">
        <v>6814</v>
      </c>
      <c r="C266" s="334" t="s">
        <v>6602</v>
      </c>
    </row>
    <row r="267" spans="1:3" x14ac:dyDescent="0.2">
      <c r="A267" s="334" t="s">
        <v>4311</v>
      </c>
      <c r="B267" s="334" t="s">
        <v>4312</v>
      </c>
      <c r="C267" s="334" t="s">
        <v>6602</v>
      </c>
    </row>
    <row r="268" spans="1:3" x14ac:dyDescent="0.2">
      <c r="A268" s="334" t="s">
        <v>4313</v>
      </c>
      <c r="B268" s="334" t="s">
        <v>2391</v>
      </c>
      <c r="C268" s="334" t="s">
        <v>6602</v>
      </c>
    </row>
    <row r="269" spans="1:3" x14ac:dyDescent="0.2">
      <c r="A269" s="334" t="s">
        <v>4314</v>
      </c>
      <c r="B269" s="334" t="s">
        <v>6884</v>
      </c>
      <c r="C269" s="334" t="s">
        <v>6602</v>
      </c>
    </row>
    <row r="270" spans="1:3" x14ac:dyDescent="0.2">
      <c r="A270" s="334" t="s">
        <v>4315</v>
      </c>
      <c r="B270" s="334" t="s">
        <v>4316</v>
      </c>
      <c r="C270" s="334" t="s">
        <v>16</v>
      </c>
    </row>
    <row r="271" spans="1:3" x14ac:dyDescent="0.2">
      <c r="A271" s="334" t="s">
        <v>4317</v>
      </c>
      <c r="B271" s="334" t="s">
        <v>4318</v>
      </c>
      <c r="C271" s="334" t="s">
        <v>16</v>
      </c>
    </row>
    <row r="272" spans="1:3" x14ac:dyDescent="0.2">
      <c r="A272" s="334" t="s">
        <v>4319</v>
      </c>
      <c r="B272" s="334" t="s">
        <v>4320</v>
      </c>
      <c r="C272" s="334" t="s">
        <v>11</v>
      </c>
    </row>
    <row r="273" spans="1:3" x14ac:dyDescent="0.2">
      <c r="A273" s="334" t="s">
        <v>4321</v>
      </c>
      <c r="B273" s="334" t="s">
        <v>4322</v>
      </c>
      <c r="C273" s="334" t="s">
        <v>6602</v>
      </c>
    </row>
    <row r="274" spans="1:3" x14ac:dyDescent="0.2">
      <c r="A274" s="334" t="s">
        <v>4323</v>
      </c>
      <c r="B274" s="334" t="s">
        <v>6885</v>
      </c>
      <c r="C274" s="334" t="s">
        <v>6602</v>
      </c>
    </row>
    <row r="275" spans="1:3" x14ac:dyDescent="0.2">
      <c r="A275" s="334" t="s">
        <v>4324</v>
      </c>
      <c r="B275" s="334" t="s">
        <v>6886</v>
      </c>
      <c r="C275" s="334" t="s">
        <v>6602</v>
      </c>
    </row>
    <row r="276" spans="1:3" x14ac:dyDescent="0.2">
      <c r="A276" s="334" t="s">
        <v>4325</v>
      </c>
      <c r="B276" s="334" t="s">
        <v>2410</v>
      </c>
      <c r="C276" s="334" t="s">
        <v>6602</v>
      </c>
    </row>
    <row r="277" spans="1:3" x14ac:dyDescent="0.2">
      <c r="A277" s="334" t="s">
        <v>4326</v>
      </c>
      <c r="B277" s="334" t="s">
        <v>6836</v>
      </c>
      <c r="C277" s="334" t="s">
        <v>4230</v>
      </c>
    </row>
    <row r="278" spans="1:3" x14ac:dyDescent="0.2">
      <c r="A278" s="334" t="s">
        <v>4327</v>
      </c>
      <c r="B278" s="334" t="s">
        <v>6830</v>
      </c>
      <c r="C278" s="334" t="s">
        <v>4230</v>
      </c>
    </row>
    <row r="279" spans="1:3" x14ac:dyDescent="0.2">
      <c r="A279" s="334" t="s">
        <v>4328</v>
      </c>
      <c r="B279" s="334" t="s">
        <v>6831</v>
      </c>
      <c r="C279" s="334" t="s">
        <v>4230</v>
      </c>
    </row>
    <row r="280" spans="1:3" x14ac:dyDescent="0.2">
      <c r="A280" s="334" t="s">
        <v>4329</v>
      </c>
      <c r="B280" s="334" t="s">
        <v>6887</v>
      </c>
      <c r="C280" s="334" t="s">
        <v>6602</v>
      </c>
    </row>
    <row r="281" spans="1:3" x14ac:dyDescent="0.2">
      <c r="A281" s="334" t="s">
        <v>4330</v>
      </c>
      <c r="B281" s="334" t="s">
        <v>2411</v>
      </c>
      <c r="C281" s="334" t="s">
        <v>6602</v>
      </c>
    </row>
    <row r="282" spans="1:3" x14ac:dyDescent="0.2">
      <c r="A282" s="334" t="s">
        <v>4331</v>
      </c>
      <c r="B282" s="334" t="s">
        <v>6888</v>
      </c>
      <c r="C282" s="334" t="s">
        <v>4230</v>
      </c>
    </row>
    <row r="283" spans="1:3" x14ac:dyDescent="0.2">
      <c r="A283" s="334" t="s">
        <v>4332</v>
      </c>
      <c r="B283" s="334" t="s">
        <v>6854</v>
      </c>
      <c r="C283" s="334" t="s">
        <v>4230</v>
      </c>
    </row>
    <row r="284" spans="1:3" x14ac:dyDescent="0.2">
      <c r="A284" s="334" t="s">
        <v>4333</v>
      </c>
      <c r="B284" s="334" t="s">
        <v>6855</v>
      </c>
      <c r="C284" s="334" t="s">
        <v>4230</v>
      </c>
    </row>
    <row r="285" spans="1:3" x14ac:dyDescent="0.2">
      <c r="A285" s="334" t="s">
        <v>4334</v>
      </c>
      <c r="B285" s="334" t="s">
        <v>6889</v>
      </c>
      <c r="C285" s="334" t="s">
        <v>6602</v>
      </c>
    </row>
    <row r="286" spans="1:3" x14ac:dyDescent="0.2">
      <c r="A286" s="334" t="s">
        <v>4335</v>
      </c>
      <c r="B286" s="334" t="s">
        <v>6890</v>
      </c>
      <c r="C286" s="334" t="s">
        <v>6602</v>
      </c>
    </row>
    <row r="287" spans="1:3" x14ac:dyDescent="0.2">
      <c r="A287" s="334" t="s">
        <v>4336</v>
      </c>
      <c r="B287" s="334" t="s">
        <v>6891</v>
      </c>
      <c r="C287" s="334" t="s">
        <v>6602</v>
      </c>
    </row>
    <row r="288" spans="1:3" x14ac:dyDescent="0.2">
      <c r="A288" s="334" t="s">
        <v>4337</v>
      </c>
      <c r="B288" s="334" t="s">
        <v>2394</v>
      </c>
      <c r="C288" s="334" t="s">
        <v>6602</v>
      </c>
    </row>
    <row r="289" spans="1:4" x14ac:dyDescent="0.2">
      <c r="A289" s="334" t="s">
        <v>4338</v>
      </c>
      <c r="B289" s="334" t="s">
        <v>6866</v>
      </c>
      <c r="C289" s="334" t="s">
        <v>6602</v>
      </c>
    </row>
    <row r="290" spans="1:4" x14ac:dyDescent="0.2">
      <c r="A290" s="334" t="s">
        <v>4339</v>
      </c>
      <c r="B290" s="334" t="s">
        <v>6892</v>
      </c>
      <c r="C290" s="334" t="s">
        <v>6602</v>
      </c>
    </row>
    <row r="291" spans="1:4" x14ac:dyDescent="0.2">
      <c r="A291" s="334" t="s">
        <v>4340</v>
      </c>
      <c r="B291" s="334" t="s">
        <v>2405</v>
      </c>
      <c r="C291" s="334" t="s">
        <v>6602</v>
      </c>
    </row>
    <row r="292" spans="1:4" x14ac:dyDescent="0.2">
      <c r="A292" s="334" t="s">
        <v>4341</v>
      </c>
      <c r="B292" s="334" t="s">
        <v>6893</v>
      </c>
      <c r="C292" s="334" t="s">
        <v>6602</v>
      </c>
    </row>
    <row r="293" spans="1:4" x14ac:dyDescent="0.2">
      <c r="A293" s="334" t="s">
        <v>4342</v>
      </c>
      <c r="B293" s="334" t="s">
        <v>2418</v>
      </c>
      <c r="C293" s="334" t="s">
        <v>6602</v>
      </c>
    </row>
    <row r="294" spans="1:4" x14ac:dyDescent="0.2">
      <c r="A294" s="334" t="s">
        <v>4343</v>
      </c>
      <c r="B294" s="334" t="s">
        <v>6894</v>
      </c>
      <c r="C294" s="334" t="s">
        <v>6602</v>
      </c>
    </row>
    <row r="295" spans="1:4" x14ac:dyDescent="0.2">
      <c r="A295" s="334" t="s">
        <v>4344</v>
      </c>
      <c r="B295" s="334" t="s">
        <v>6895</v>
      </c>
      <c r="C295" s="334" t="s">
        <v>6602</v>
      </c>
    </row>
    <row r="296" spans="1:4" x14ac:dyDescent="0.2">
      <c r="A296" s="334" t="s">
        <v>4345</v>
      </c>
      <c r="B296" s="334" t="s">
        <v>6896</v>
      </c>
      <c r="C296" s="334" t="s">
        <v>6602</v>
      </c>
    </row>
    <row r="297" spans="1:4" x14ac:dyDescent="0.2">
      <c r="A297" s="334" t="s">
        <v>4346</v>
      </c>
      <c r="B297" s="334" t="s">
        <v>6897</v>
      </c>
      <c r="C297" s="334" t="s">
        <v>6602</v>
      </c>
    </row>
    <row r="298" spans="1:4" x14ac:dyDescent="0.2">
      <c r="A298" s="334" t="s">
        <v>4347</v>
      </c>
      <c r="B298" s="334" t="s">
        <v>6898</v>
      </c>
      <c r="C298" s="334" t="s">
        <v>6602</v>
      </c>
    </row>
    <row r="299" spans="1:4" x14ac:dyDescent="0.2">
      <c r="A299" s="334" t="s">
        <v>4348</v>
      </c>
      <c r="B299" s="334" t="s">
        <v>4349</v>
      </c>
      <c r="C299" s="334" t="s">
        <v>2338</v>
      </c>
    </row>
    <row r="300" spans="1:4" x14ac:dyDescent="0.2">
      <c r="A300" s="347" t="s">
        <v>1234</v>
      </c>
      <c r="B300" s="347" t="s">
        <v>6899</v>
      </c>
      <c r="C300" s="347" t="s">
        <v>4230</v>
      </c>
      <c r="D300" s="348" t="s">
        <v>10271</v>
      </c>
    </row>
    <row r="301" spans="1:4" x14ac:dyDescent="0.2">
      <c r="A301" s="347" t="s">
        <v>1235</v>
      </c>
      <c r="B301" s="347" t="s">
        <v>6900</v>
      </c>
      <c r="C301" s="347" t="s">
        <v>4230</v>
      </c>
      <c r="D301" s="348" t="s">
        <v>10271</v>
      </c>
    </row>
    <row r="302" spans="1:4" x14ac:dyDescent="0.2">
      <c r="A302" s="347" t="s">
        <v>1236</v>
      </c>
      <c r="B302" s="347" t="s">
        <v>6901</v>
      </c>
      <c r="C302" s="347" t="s">
        <v>4230</v>
      </c>
      <c r="D302" s="348" t="s">
        <v>10271</v>
      </c>
    </row>
    <row r="303" spans="1:4" x14ac:dyDescent="0.2">
      <c r="A303" s="347" t="s">
        <v>1237</v>
      </c>
      <c r="B303" s="347" t="s">
        <v>6902</v>
      </c>
      <c r="C303" s="347" t="s">
        <v>4230</v>
      </c>
      <c r="D303" s="348" t="s">
        <v>10271</v>
      </c>
    </row>
    <row r="304" spans="1:4" x14ac:dyDescent="0.2">
      <c r="A304" s="347" t="s">
        <v>1238</v>
      </c>
      <c r="B304" s="347" t="s">
        <v>6903</v>
      </c>
      <c r="C304" s="347" t="s">
        <v>4230</v>
      </c>
      <c r="D304" s="348" t="s">
        <v>10271</v>
      </c>
    </row>
    <row r="305" spans="1:4" x14ac:dyDescent="0.2">
      <c r="A305" s="347" t="s">
        <v>1239</v>
      </c>
      <c r="B305" s="347" t="s">
        <v>6904</v>
      </c>
      <c r="C305" s="347" t="s">
        <v>4230</v>
      </c>
      <c r="D305" s="348" t="s">
        <v>10271</v>
      </c>
    </row>
    <row r="306" spans="1:4" x14ac:dyDescent="0.2">
      <c r="A306" s="334" t="s">
        <v>1240</v>
      </c>
      <c r="B306" s="334" t="s">
        <v>6899</v>
      </c>
      <c r="C306" s="334" t="s">
        <v>4230</v>
      </c>
    </row>
    <row r="307" spans="1:4" x14ac:dyDescent="0.2">
      <c r="A307" s="347" t="s">
        <v>1241</v>
      </c>
      <c r="B307" s="347" t="s">
        <v>6905</v>
      </c>
      <c r="C307" s="347" t="s">
        <v>4230</v>
      </c>
      <c r="D307" s="348" t="s">
        <v>10271</v>
      </c>
    </row>
    <row r="308" spans="1:4" x14ac:dyDescent="0.2">
      <c r="A308" s="347" t="s">
        <v>1242</v>
      </c>
      <c r="B308" s="347" t="s">
        <v>6906</v>
      </c>
      <c r="C308" s="347" t="s">
        <v>4230</v>
      </c>
      <c r="D308" s="348" t="s">
        <v>10271</v>
      </c>
    </row>
    <row r="309" spans="1:4" x14ac:dyDescent="0.2">
      <c r="A309" s="334" t="s">
        <v>1243</v>
      </c>
      <c r="B309" s="334" t="s">
        <v>6900</v>
      </c>
      <c r="C309" s="334" t="s">
        <v>4230</v>
      </c>
    </row>
    <row r="310" spans="1:4" x14ac:dyDescent="0.2">
      <c r="A310" s="334" t="s">
        <v>1244</v>
      </c>
      <c r="B310" s="334" t="s">
        <v>6903</v>
      </c>
      <c r="C310" s="334" t="s">
        <v>4230</v>
      </c>
    </row>
    <row r="311" spans="1:4" x14ac:dyDescent="0.2">
      <c r="A311" s="334" t="s">
        <v>1245</v>
      </c>
      <c r="B311" s="334" t="s">
        <v>6904</v>
      </c>
      <c r="C311" s="334" t="s">
        <v>4230</v>
      </c>
    </row>
    <row r="312" spans="1:4" x14ac:dyDescent="0.2">
      <c r="A312" s="347" t="s">
        <v>1246</v>
      </c>
      <c r="B312" s="347" t="s">
        <v>2409</v>
      </c>
      <c r="C312" s="347" t="s">
        <v>6604</v>
      </c>
      <c r="D312" s="348" t="s">
        <v>10271</v>
      </c>
    </row>
    <row r="313" spans="1:4" x14ac:dyDescent="0.2">
      <c r="A313" s="334" t="s">
        <v>1247</v>
      </c>
      <c r="B313" s="334" t="s">
        <v>6701</v>
      </c>
      <c r="C313" s="334" t="s">
        <v>6602</v>
      </c>
    </row>
    <row r="314" spans="1:4" x14ac:dyDescent="0.2">
      <c r="A314" s="347" t="s">
        <v>1248</v>
      </c>
      <c r="B314" s="347" t="s">
        <v>2407</v>
      </c>
      <c r="C314" s="347" t="s">
        <v>6604</v>
      </c>
      <c r="D314" s="348" t="s">
        <v>10271</v>
      </c>
    </row>
    <row r="315" spans="1:4" x14ac:dyDescent="0.2">
      <c r="A315" s="347" t="s">
        <v>1249</v>
      </c>
      <c r="B315" s="347" t="s">
        <v>6907</v>
      </c>
      <c r="C315" s="347" t="s">
        <v>4230</v>
      </c>
      <c r="D315" s="348" t="s">
        <v>10271</v>
      </c>
    </row>
    <row r="316" spans="1:4" x14ac:dyDescent="0.2">
      <c r="A316" s="334" t="s">
        <v>1250</v>
      </c>
      <c r="B316" s="334" t="s">
        <v>6908</v>
      </c>
      <c r="C316" s="334" t="s">
        <v>4230</v>
      </c>
    </row>
    <row r="317" spans="1:4" x14ac:dyDescent="0.2">
      <c r="A317" s="334" t="s">
        <v>1251</v>
      </c>
      <c r="B317" s="334" t="s">
        <v>6909</v>
      </c>
      <c r="C317" s="334" t="s">
        <v>4230</v>
      </c>
    </row>
    <row r="318" spans="1:4" x14ac:dyDescent="0.2">
      <c r="A318" s="334" t="s">
        <v>4350</v>
      </c>
      <c r="B318" s="334" t="s">
        <v>6910</v>
      </c>
      <c r="C318" s="334" t="s">
        <v>4230</v>
      </c>
    </row>
    <row r="319" spans="1:4" x14ac:dyDescent="0.2">
      <c r="A319" s="334" t="s">
        <v>4351</v>
      </c>
      <c r="B319" s="334" t="s">
        <v>6911</v>
      </c>
      <c r="C319" s="334" t="s">
        <v>6602</v>
      </c>
    </row>
    <row r="320" spans="1:4" x14ac:dyDescent="0.2">
      <c r="A320" s="334" t="s">
        <v>4352</v>
      </c>
      <c r="B320" s="334" t="s">
        <v>6862</v>
      </c>
      <c r="C320" s="334" t="s">
        <v>6602</v>
      </c>
    </row>
    <row r="321" spans="1:4" x14ac:dyDescent="0.2">
      <c r="A321" s="334" t="s">
        <v>1252</v>
      </c>
      <c r="B321" s="334" t="s">
        <v>6912</v>
      </c>
      <c r="C321" s="334" t="s">
        <v>16</v>
      </c>
    </row>
    <row r="322" spans="1:4" x14ac:dyDescent="0.2">
      <c r="A322" s="334" t="s">
        <v>1253</v>
      </c>
      <c r="B322" s="334" t="s">
        <v>6913</v>
      </c>
      <c r="C322" s="334" t="s">
        <v>11</v>
      </c>
    </row>
    <row r="323" spans="1:4" x14ac:dyDescent="0.2">
      <c r="A323" s="334" t="s">
        <v>1254</v>
      </c>
      <c r="B323" s="334" t="s">
        <v>6914</v>
      </c>
      <c r="C323" s="334" t="s">
        <v>11</v>
      </c>
    </row>
    <row r="324" spans="1:4" x14ac:dyDescent="0.2">
      <c r="A324" s="347" t="s">
        <v>1255</v>
      </c>
      <c r="B324" s="347" t="s">
        <v>6915</v>
      </c>
      <c r="C324" s="347" t="s">
        <v>25</v>
      </c>
      <c r="D324" s="348" t="s">
        <v>10271</v>
      </c>
    </row>
    <row r="325" spans="1:4" x14ac:dyDescent="0.2">
      <c r="A325" s="347" t="s">
        <v>1256</v>
      </c>
      <c r="B325" s="347" t="s">
        <v>6916</v>
      </c>
      <c r="C325" s="347" t="s">
        <v>25</v>
      </c>
      <c r="D325" s="348" t="s">
        <v>10271</v>
      </c>
    </row>
    <row r="326" spans="1:4" x14ac:dyDescent="0.2">
      <c r="A326" s="334" t="s">
        <v>1257</v>
      </c>
      <c r="B326" s="334" t="s">
        <v>6917</v>
      </c>
      <c r="C326" s="334" t="s">
        <v>11</v>
      </c>
    </row>
    <row r="327" spans="1:4" x14ac:dyDescent="0.2">
      <c r="A327" s="334" t="s">
        <v>1258</v>
      </c>
      <c r="B327" s="334" t="s">
        <v>6918</v>
      </c>
      <c r="C327" s="334" t="s">
        <v>25</v>
      </c>
    </row>
    <row r="328" spans="1:4" x14ac:dyDescent="0.2">
      <c r="A328" s="334" t="s">
        <v>1259</v>
      </c>
      <c r="B328" s="334" t="s">
        <v>6919</v>
      </c>
      <c r="C328" s="334" t="s">
        <v>25</v>
      </c>
    </row>
    <row r="329" spans="1:4" x14ac:dyDescent="0.2">
      <c r="A329" s="334" t="s">
        <v>1260</v>
      </c>
      <c r="B329" s="334" t="s">
        <v>6920</v>
      </c>
      <c r="C329" s="334" t="s">
        <v>25</v>
      </c>
    </row>
    <row r="330" spans="1:4" x14ac:dyDescent="0.2">
      <c r="A330" s="347" t="s">
        <v>1261</v>
      </c>
      <c r="B330" s="347" t="s">
        <v>6921</v>
      </c>
      <c r="C330" s="347" t="s">
        <v>25</v>
      </c>
      <c r="D330" s="348" t="s">
        <v>10271</v>
      </c>
    </row>
    <row r="331" spans="1:4" x14ac:dyDescent="0.2">
      <c r="A331" s="334" t="s">
        <v>1262</v>
      </c>
      <c r="B331" s="334" t="s">
        <v>6922</v>
      </c>
      <c r="C331" s="334" t="s">
        <v>25</v>
      </c>
    </row>
    <row r="332" spans="1:4" x14ac:dyDescent="0.2">
      <c r="A332" s="347" t="s">
        <v>497</v>
      </c>
      <c r="B332" s="347" t="s">
        <v>2910</v>
      </c>
      <c r="C332" s="347" t="s">
        <v>2338</v>
      </c>
      <c r="D332" s="348" t="s">
        <v>10271</v>
      </c>
    </row>
    <row r="333" spans="1:4" x14ac:dyDescent="0.2">
      <c r="A333" s="334" t="s">
        <v>1263</v>
      </c>
      <c r="B333" s="334" t="s">
        <v>6923</v>
      </c>
      <c r="C333" s="334" t="s">
        <v>2338</v>
      </c>
    </row>
    <row r="334" spans="1:4" x14ac:dyDescent="0.2">
      <c r="A334" s="347" t="s">
        <v>1264</v>
      </c>
      <c r="B334" s="347" t="s">
        <v>6924</v>
      </c>
      <c r="C334" s="347" t="s">
        <v>25</v>
      </c>
      <c r="D334" s="348" t="s">
        <v>10271</v>
      </c>
    </row>
    <row r="335" spans="1:4" x14ac:dyDescent="0.2">
      <c r="A335" s="347" t="s">
        <v>1265</v>
      </c>
      <c r="B335" s="347" t="s">
        <v>6925</v>
      </c>
      <c r="C335" s="347" t="s">
        <v>25</v>
      </c>
      <c r="D335" s="348" t="s">
        <v>10271</v>
      </c>
    </row>
    <row r="336" spans="1:4" x14ac:dyDescent="0.2">
      <c r="A336" s="347" t="s">
        <v>1266</v>
      </c>
      <c r="B336" s="347" t="s">
        <v>6926</v>
      </c>
      <c r="C336" s="347" t="s">
        <v>25</v>
      </c>
      <c r="D336" s="348" t="s">
        <v>10271</v>
      </c>
    </row>
    <row r="337" spans="1:4" x14ac:dyDescent="0.2">
      <c r="A337" s="334" t="s">
        <v>1267</v>
      </c>
      <c r="B337" s="334" t="s">
        <v>6927</v>
      </c>
      <c r="C337" s="334" t="s">
        <v>25</v>
      </c>
    </row>
    <row r="338" spans="1:4" x14ac:dyDescent="0.2">
      <c r="A338" s="334" t="s">
        <v>1268</v>
      </c>
      <c r="B338" s="334" t="s">
        <v>6928</v>
      </c>
      <c r="C338" s="334" t="s">
        <v>25</v>
      </c>
    </row>
    <row r="339" spans="1:4" x14ac:dyDescent="0.2">
      <c r="A339" s="334" t="s">
        <v>1269</v>
      </c>
      <c r="B339" s="334" t="s">
        <v>6929</v>
      </c>
      <c r="C339" s="334" t="s">
        <v>2338</v>
      </c>
    </row>
    <row r="340" spans="1:4" x14ac:dyDescent="0.2">
      <c r="A340" s="334" t="s">
        <v>1270</v>
      </c>
      <c r="B340" s="334" t="s">
        <v>6930</v>
      </c>
      <c r="C340" s="334" t="s">
        <v>2338</v>
      </c>
    </row>
    <row r="341" spans="1:4" x14ac:dyDescent="0.2">
      <c r="A341" s="334" t="s">
        <v>4353</v>
      </c>
      <c r="B341" s="334" t="s">
        <v>6931</v>
      </c>
      <c r="C341" s="334" t="s">
        <v>11</v>
      </c>
    </row>
    <row r="342" spans="1:4" x14ac:dyDescent="0.2">
      <c r="A342" s="334" t="s">
        <v>4354</v>
      </c>
      <c r="B342" s="334" t="s">
        <v>6932</v>
      </c>
      <c r="C342" s="334" t="s">
        <v>11</v>
      </c>
    </row>
    <row r="343" spans="1:4" x14ac:dyDescent="0.2">
      <c r="A343" s="334" t="s">
        <v>4355</v>
      </c>
      <c r="B343" s="334" t="s">
        <v>6933</v>
      </c>
      <c r="C343" s="334" t="s">
        <v>11</v>
      </c>
    </row>
    <row r="344" spans="1:4" x14ac:dyDescent="0.2">
      <c r="A344" s="334" t="s">
        <v>4356</v>
      </c>
      <c r="B344" s="334" t="s">
        <v>6934</v>
      </c>
      <c r="C344" s="334" t="s">
        <v>11</v>
      </c>
    </row>
    <row r="345" spans="1:4" x14ac:dyDescent="0.2">
      <c r="A345" s="334" t="s">
        <v>4357</v>
      </c>
      <c r="B345" s="334" t="s">
        <v>6935</v>
      </c>
      <c r="C345" s="334" t="s">
        <v>25</v>
      </c>
    </row>
    <row r="346" spans="1:4" x14ac:dyDescent="0.2">
      <c r="A346" s="334" t="s">
        <v>1271</v>
      </c>
      <c r="B346" s="334" t="s">
        <v>4358</v>
      </c>
      <c r="C346" s="334" t="s">
        <v>11</v>
      </c>
    </row>
    <row r="347" spans="1:4" x14ac:dyDescent="0.2">
      <c r="A347" s="347" t="s">
        <v>1272</v>
      </c>
      <c r="B347" s="347" t="s">
        <v>6936</v>
      </c>
      <c r="C347" s="347" t="s">
        <v>2557</v>
      </c>
      <c r="D347" s="348" t="s">
        <v>10271</v>
      </c>
    </row>
    <row r="348" spans="1:4" x14ac:dyDescent="0.2">
      <c r="A348" s="334" t="s">
        <v>1273</v>
      </c>
      <c r="B348" s="334" t="s">
        <v>6937</v>
      </c>
      <c r="C348" s="334" t="s">
        <v>52</v>
      </c>
    </row>
    <row r="349" spans="1:4" x14ac:dyDescent="0.2">
      <c r="A349" s="347" t="s">
        <v>1274</v>
      </c>
      <c r="B349" s="347" t="s">
        <v>4359</v>
      </c>
      <c r="C349" s="347" t="s">
        <v>2557</v>
      </c>
      <c r="D349" s="348" t="s">
        <v>10271</v>
      </c>
    </row>
    <row r="350" spans="1:4" x14ac:dyDescent="0.2">
      <c r="A350" s="347" t="s">
        <v>1275</v>
      </c>
      <c r="B350" s="347" t="s">
        <v>6938</v>
      </c>
      <c r="C350" s="347" t="s">
        <v>52</v>
      </c>
      <c r="D350" s="348" t="s">
        <v>10271</v>
      </c>
    </row>
    <row r="351" spans="1:4" x14ac:dyDescent="0.2">
      <c r="A351" s="334" t="s">
        <v>4360</v>
      </c>
      <c r="B351" s="334" t="s">
        <v>4361</v>
      </c>
      <c r="C351" s="334" t="s">
        <v>52</v>
      </c>
    </row>
    <row r="352" spans="1:4" x14ac:dyDescent="0.2">
      <c r="A352" s="334" t="s">
        <v>1276</v>
      </c>
      <c r="B352" s="334" t="s">
        <v>6939</v>
      </c>
      <c r="C352" s="334" t="s">
        <v>2557</v>
      </c>
    </row>
    <row r="353" spans="1:4" x14ac:dyDescent="0.2">
      <c r="A353" s="347" t="s">
        <v>1278</v>
      </c>
      <c r="B353" s="347" t="s">
        <v>6940</v>
      </c>
      <c r="C353" s="347" t="s">
        <v>2557</v>
      </c>
      <c r="D353" s="348" t="s">
        <v>10271</v>
      </c>
    </row>
    <row r="354" spans="1:4" x14ac:dyDescent="0.2">
      <c r="A354" s="347" t="s">
        <v>1279</v>
      </c>
      <c r="B354" s="347" t="s">
        <v>4362</v>
      </c>
      <c r="C354" s="347" t="s">
        <v>2557</v>
      </c>
      <c r="D354" s="348" t="s">
        <v>10271</v>
      </c>
    </row>
    <row r="355" spans="1:4" x14ac:dyDescent="0.2">
      <c r="A355" s="334" t="s">
        <v>1280</v>
      </c>
      <c r="B355" s="334" t="s">
        <v>6941</v>
      </c>
      <c r="C355" s="334" t="s">
        <v>11</v>
      </c>
    </row>
    <row r="356" spans="1:4" x14ac:dyDescent="0.2">
      <c r="A356" s="334" t="s">
        <v>1281</v>
      </c>
      <c r="B356" s="334" t="s">
        <v>6942</v>
      </c>
      <c r="C356" s="334" t="s">
        <v>11</v>
      </c>
    </row>
    <row r="357" spans="1:4" x14ac:dyDescent="0.2">
      <c r="A357" s="334" t="s">
        <v>1282</v>
      </c>
      <c r="B357" s="334" t="s">
        <v>6943</v>
      </c>
      <c r="C357" s="334" t="s">
        <v>11</v>
      </c>
    </row>
    <row r="358" spans="1:4" x14ac:dyDescent="0.2">
      <c r="A358" s="334" t="s">
        <v>1283</v>
      </c>
      <c r="B358" s="334" t="s">
        <v>6944</v>
      </c>
      <c r="C358" s="334" t="s">
        <v>11</v>
      </c>
    </row>
    <row r="359" spans="1:4" x14ac:dyDescent="0.2">
      <c r="A359" s="334" t="s">
        <v>1284</v>
      </c>
      <c r="B359" s="334" t="s">
        <v>6945</v>
      </c>
      <c r="C359" s="334" t="s">
        <v>11</v>
      </c>
    </row>
    <row r="360" spans="1:4" x14ac:dyDescent="0.2">
      <c r="A360" s="334" t="s">
        <v>1285</v>
      </c>
      <c r="B360" s="334" t="s">
        <v>6946</v>
      </c>
      <c r="C360" s="334" t="s">
        <v>2557</v>
      </c>
    </row>
    <row r="361" spans="1:4" x14ac:dyDescent="0.2">
      <c r="A361" s="347" t="s">
        <v>1286</v>
      </c>
      <c r="B361" s="347" t="s">
        <v>6947</v>
      </c>
      <c r="C361" s="347" t="s">
        <v>2557</v>
      </c>
      <c r="D361" s="348" t="s">
        <v>10271</v>
      </c>
    </row>
    <row r="362" spans="1:4" x14ac:dyDescent="0.2">
      <c r="A362" s="334" t="s">
        <v>4363</v>
      </c>
      <c r="B362" s="334" t="s">
        <v>6948</v>
      </c>
      <c r="C362" s="334" t="s">
        <v>16</v>
      </c>
    </row>
    <row r="363" spans="1:4" x14ac:dyDescent="0.2">
      <c r="A363" s="334" t="s">
        <v>4364</v>
      </c>
      <c r="B363" s="334" t="s">
        <v>6949</v>
      </c>
      <c r="C363" s="334" t="s">
        <v>2338</v>
      </c>
    </row>
    <row r="364" spans="1:4" x14ac:dyDescent="0.2">
      <c r="A364" s="334" t="s">
        <v>4365</v>
      </c>
      <c r="B364" s="334" t="s">
        <v>6950</v>
      </c>
      <c r="C364" s="334" t="s">
        <v>2338</v>
      </c>
    </row>
    <row r="365" spans="1:4" x14ac:dyDescent="0.2">
      <c r="A365" s="334" t="s">
        <v>1287</v>
      </c>
      <c r="B365" s="334" t="s">
        <v>6951</v>
      </c>
      <c r="C365" s="334" t="s">
        <v>2557</v>
      </c>
    </row>
    <row r="366" spans="1:4" x14ac:dyDescent="0.2">
      <c r="A366" s="334" t="s">
        <v>1288</v>
      </c>
      <c r="B366" s="334" t="s">
        <v>6952</v>
      </c>
      <c r="C366" s="334" t="s">
        <v>52</v>
      </c>
    </row>
    <row r="367" spans="1:4" x14ac:dyDescent="0.2">
      <c r="A367" s="334" t="s">
        <v>4366</v>
      </c>
      <c r="B367" s="334" t="s">
        <v>6953</v>
      </c>
      <c r="C367" s="334" t="s">
        <v>11</v>
      </c>
    </row>
    <row r="368" spans="1:4" x14ac:dyDescent="0.2">
      <c r="A368" s="334" t="s">
        <v>4367</v>
      </c>
      <c r="B368" s="334" t="s">
        <v>6954</v>
      </c>
      <c r="C368" s="334" t="s">
        <v>2338</v>
      </c>
    </row>
    <row r="369" spans="1:4" x14ac:dyDescent="0.2">
      <c r="A369" s="334" t="s">
        <v>1289</v>
      </c>
      <c r="B369" s="334" t="s">
        <v>4368</v>
      </c>
      <c r="C369" s="334" t="s">
        <v>2557</v>
      </c>
    </row>
    <row r="370" spans="1:4" x14ac:dyDescent="0.2">
      <c r="A370" s="347" t="s">
        <v>1290</v>
      </c>
      <c r="B370" s="347" t="s">
        <v>6955</v>
      </c>
      <c r="C370" s="347" t="s">
        <v>11</v>
      </c>
      <c r="D370" s="348" t="s">
        <v>10271</v>
      </c>
    </row>
    <row r="371" spans="1:4" x14ac:dyDescent="0.2">
      <c r="A371" s="334" t="s">
        <v>1291</v>
      </c>
      <c r="B371" s="334" t="s">
        <v>6956</v>
      </c>
      <c r="C371" s="334" t="s">
        <v>11</v>
      </c>
    </row>
    <row r="372" spans="1:4" x14ac:dyDescent="0.2">
      <c r="A372" s="334" t="s">
        <v>1292</v>
      </c>
      <c r="B372" s="334" t="s">
        <v>6957</v>
      </c>
      <c r="C372" s="334" t="s">
        <v>11</v>
      </c>
    </row>
    <row r="373" spans="1:4" x14ac:dyDescent="0.2">
      <c r="A373" s="347" t="s">
        <v>1293</v>
      </c>
      <c r="B373" s="347" t="s">
        <v>6958</v>
      </c>
      <c r="C373" s="347" t="s">
        <v>11</v>
      </c>
      <c r="D373" s="348" t="s">
        <v>10271</v>
      </c>
    </row>
    <row r="374" spans="1:4" x14ac:dyDescent="0.2">
      <c r="A374" s="334" t="s">
        <v>4369</v>
      </c>
      <c r="B374" s="334" t="s">
        <v>6959</v>
      </c>
      <c r="C374" s="334" t="s">
        <v>2338</v>
      </c>
    </row>
    <row r="375" spans="1:4" x14ac:dyDescent="0.2">
      <c r="A375" s="334" t="s">
        <v>4370</v>
      </c>
      <c r="B375" s="334" t="s">
        <v>6959</v>
      </c>
      <c r="C375" s="334" t="s">
        <v>2338</v>
      </c>
    </row>
    <row r="376" spans="1:4" x14ac:dyDescent="0.2">
      <c r="A376" s="334" t="s">
        <v>4371</v>
      </c>
      <c r="B376" s="334" t="s">
        <v>6959</v>
      </c>
      <c r="C376" s="334" t="s">
        <v>2338</v>
      </c>
    </row>
    <row r="377" spans="1:4" x14ac:dyDescent="0.2">
      <c r="A377" s="334" t="s">
        <v>4372</v>
      </c>
      <c r="B377" s="334" t="s">
        <v>6959</v>
      </c>
      <c r="C377" s="334" t="s">
        <v>2338</v>
      </c>
    </row>
    <row r="378" spans="1:4" x14ac:dyDescent="0.2">
      <c r="A378" s="334" t="s">
        <v>4373</v>
      </c>
      <c r="B378" s="334" t="s">
        <v>6960</v>
      </c>
      <c r="C378" s="334" t="s">
        <v>2338</v>
      </c>
    </row>
    <row r="379" spans="1:4" x14ac:dyDescent="0.2">
      <c r="A379" s="334" t="s">
        <v>4374</v>
      </c>
      <c r="B379" s="334" t="s">
        <v>6959</v>
      </c>
      <c r="C379" s="334" t="s">
        <v>2338</v>
      </c>
    </row>
    <row r="380" spans="1:4" x14ac:dyDescent="0.2">
      <c r="A380" s="334" t="s">
        <v>4375</v>
      </c>
      <c r="B380" s="334" t="s">
        <v>6959</v>
      </c>
      <c r="C380" s="334" t="s">
        <v>2338</v>
      </c>
    </row>
    <row r="381" spans="1:4" x14ac:dyDescent="0.2">
      <c r="A381" s="334" t="s">
        <v>4376</v>
      </c>
      <c r="B381" s="334" t="s">
        <v>6960</v>
      </c>
      <c r="C381" s="334" t="s">
        <v>2338</v>
      </c>
    </row>
    <row r="382" spans="1:4" x14ac:dyDescent="0.2">
      <c r="A382" s="334" t="s">
        <v>4377</v>
      </c>
      <c r="B382" s="334" t="s">
        <v>6959</v>
      </c>
      <c r="C382" s="334" t="s">
        <v>2338</v>
      </c>
    </row>
    <row r="383" spans="1:4" x14ac:dyDescent="0.2">
      <c r="A383" s="334" t="s">
        <v>4378</v>
      </c>
      <c r="B383" s="334" t="s">
        <v>6959</v>
      </c>
      <c r="C383" s="334" t="s">
        <v>2338</v>
      </c>
    </row>
    <row r="384" spans="1:4" x14ac:dyDescent="0.2">
      <c r="A384" s="334" t="s">
        <v>4379</v>
      </c>
      <c r="B384" s="334" t="s">
        <v>6959</v>
      </c>
      <c r="C384" s="334" t="s">
        <v>2338</v>
      </c>
    </row>
    <row r="385" spans="1:4" x14ac:dyDescent="0.2">
      <c r="A385" s="334" t="s">
        <v>4380</v>
      </c>
      <c r="B385" s="334" t="s">
        <v>6959</v>
      </c>
      <c r="C385" s="334" t="s">
        <v>2338</v>
      </c>
    </row>
    <row r="386" spans="1:4" x14ac:dyDescent="0.2">
      <c r="A386" s="334" t="s">
        <v>4381</v>
      </c>
      <c r="B386" s="334" t="s">
        <v>6959</v>
      </c>
      <c r="C386" s="334" t="s">
        <v>2338</v>
      </c>
    </row>
    <row r="387" spans="1:4" x14ac:dyDescent="0.2">
      <c r="A387" s="334" t="s">
        <v>4382</v>
      </c>
      <c r="B387" s="334" t="s">
        <v>6959</v>
      </c>
      <c r="C387" s="334" t="s">
        <v>2338</v>
      </c>
    </row>
    <row r="388" spans="1:4" x14ac:dyDescent="0.2">
      <c r="A388" s="334" t="s">
        <v>4383</v>
      </c>
      <c r="B388" s="334" t="s">
        <v>6961</v>
      </c>
      <c r="C388" s="334" t="s">
        <v>2338</v>
      </c>
    </row>
    <row r="389" spans="1:4" x14ac:dyDescent="0.2">
      <c r="A389" s="334" t="s">
        <v>4384</v>
      </c>
      <c r="B389" s="334" t="s">
        <v>6962</v>
      </c>
      <c r="C389" s="334" t="s">
        <v>11</v>
      </c>
    </row>
    <row r="390" spans="1:4" x14ac:dyDescent="0.2">
      <c r="A390" s="334" t="s">
        <v>4385</v>
      </c>
      <c r="B390" s="334" t="s">
        <v>6963</v>
      </c>
      <c r="C390" s="334" t="s">
        <v>2338</v>
      </c>
    </row>
    <row r="391" spans="1:4" x14ac:dyDescent="0.2">
      <c r="A391" s="334" t="s">
        <v>4386</v>
      </c>
      <c r="B391" s="334" t="s">
        <v>6964</v>
      </c>
      <c r="C391" s="334" t="s">
        <v>2557</v>
      </c>
    </row>
    <row r="392" spans="1:4" x14ac:dyDescent="0.2">
      <c r="A392" s="334" t="s">
        <v>1294</v>
      </c>
      <c r="B392" s="334" t="s">
        <v>6965</v>
      </c>
      <c r="C392" s="334" t="s">
        <v>11</v>
      </c>
    </row>
    <row r="393" spans="1:4" x14ac:dyDescent="0.2">
      <c r="A393" s="347" t="s">
        <v>1295</v>
      </c>
      <c r="B393" s="347" t="s">
        <v>6966</v>
      </c>
      <c r="C393" s="347" t="s">
        <v>52</v>
      </c>
      <c r="D393" s="348" t="s">
        <v>10271</v>
      </c>
    </row>
    <row r="394" spans="1:4" x14ac:dyDescent="0.2">
      <c r="A394" s="334" t="s">
        <v>4387</v>
      </c>
      <c r="B394" s="334" t="s">
        <v>6967</v>
      </c>
      <c r="C394" s="334" t="s">
        <v>16</v>
      </c>
    </row>
    <row r="395" spans="1:4" x14ac:dyDescent="0.2">
      <c r="A395" s="334" t="s">
        <v>1296</v>
      </c>
      <c r="B395" s="334" t="s">
        <v>6968</v>
      </c>
      <c r="C395" s="334" t="s">
        <v>11</v>
      </c>
    </row>
    <row r="396" spans="1:4" x14ac:dyDescent="0.2">
      <c r="A396" s="347" t="s">
        <v>1297</v>
      </c>
      <c r="B396" s="347" t="s">
        <v>6969</v>
      </c>
      <c r="C396" s="347" t="s">
        <v>11</v>
      </c>
      <c r="D396" s="348" t="s">
        <v>10271</v>
      </c>
    </row>
    <row r="397" spans="1:4" x14ac:dyDescent="0.2">
      <c r="A397" s="347" t="s">
        <v>1298</v>
      </c>
      <c r="B397" s="347" t="s">
        <v>6970</v>
      </c>
      <c r="C397" s="347" t="s">
        <v>11</v>
      </c>
      <c r="D397" s="348" t="s">
        <v>10271</v>
      </c>
    </row>
    <row r="398" spans="1:4" x14ac:dyDescent="0.2">
      <c r="A398" s="334" t="s">
        <v>4388</v>
      </c>
      <c r="B398" s="334" t="s">
        <v>6971</v>
      </c>
      <c r="C398" s="334" t="s">
        <v>11</v>
      </c>
    </row>
    <row r="399" spans="1:4" x14ac:dyDescent="0.2">
      <c r="A399" s="334" t="s">
        <v>1299</v>
      </c>
      <c r="B399" s="334" t="s">
        <v>4389</v>
      </c>
      <c r="C399" s="334" t="s">
        <v>11</v>
      </c>
    </row>
    <row r="400" spans="1:4" x14ac:dyDescent="0.2">
      <c r="A400" s="334" t="s">
        <v>1300</v>
      </c>
      <c r="B400" s="334" t="s">
        <v>6972</v>
      </c>
      <c r="C400" s="334" t="s">
        <v>52</v>
      </c>
    </row>
    <row r="401" spans="1:4" x14ac:dyDescent="0.2">
      <c r="A401" s="334" t="s">
        <v>1301</v>
      </c>
      <c r="B401" s="334" t="s">
        <v>6973</v>
      </c>
      <c r="C401" s="334" t="s">
        <v>11</v>
      </c>
    </row>
    <row r="402" spans="1:4" x14ac:dyDescent="0.2">
      <c r="A402" s="334" t="s">
        <v>1302</v>
      </c>
      <c r="B402" s="334" t="s">
        <v>6974</v>
      </c>
      <c r="C402" s="334" t="s">
        <v>25</v>
      </c>
    </row>
    <row r="403" spans="1:4" x14ac:dyDescent="0.2">
      <c r="A403" s="334" t="s">
        <v>4390</v>
      </c>
      <c r="B403" s="334" t="s">
        <v>6975</v>
      </c>
      <c r="C403" s="334" t="s">
        <v>25</v>
      </c>
    </row>
    <row r="404" spans="1:4" x14ac:dyDescent="0.2">
      <c r="A404" s="334" t="s">
        <v>4391</v>
      </c>
      <c r="B404" s="334" t="s">
        <v>6976</v>
      </c>
      <c r="C404" s="334" t="s">
        <v>25</v>
      </c>
    </row>
    <row r="405" spans="1:4" x14ac:dyDescent="0.2">
      <c r="A405" s="334" t="s">
        <v>4392</v>
      </c>
      <c r="B405" s="334" t="s">
        <v>6977</v>
      </c>
      <c r="C405" s="334" t="s">
        <v>25</v>
      </c>
    </row>
    <row r="406" spans="1:4" x14ac:dyDescent="0.2">
      <c r="A406" s="334" t="s">
        <v>4393</v>
      </c>
      <c r="B406" s="334" t="s">
        <v>6978</v>
      </c>
      <c r="C406" s="334" t="s">
        <v>25</v>
      </c>
    </row>
    <row r="407" spans="1:4" x14ac:dyDescent="0.2">
      <c r="A407" s="334" t="s">
        <v>4394</v>
      </c>
      <c r="B407" s="334" t="s">
        <v>6979</v>
      </c>
      <c r="C407" s="334" t="s">
        <v>25</v>
      </c>
    </row>
    <row r="408" spans="1:4" x14ac:dyDescent="0.2">
      <c r="A408" s="347" t="s">
        <v>1303</v>
      </c>
      <c r="B408" s="347" t="s">
        <v>6980</v>
      </c>
      <c r="C408" s="347" t="s">
        <v>2557</v>
      </c>
      <c r="D408" s="348" t="s">
        <v>10271</v>
      </c>
    </row>
    <row r="409" spans="1:4" x14ac:dyDescent="0.2">
      <c r="A409" s="334" t="s">
        <v>4395</v>
      </c>
      <c r="B409" s="334" t="s">
        <v>4396</v>
      </c>
      <c r="C409" s="334" t="s">
        <v>2557</v>
      </c>
    </row>
    <row r="410" spans="1:4" x14ac:dyDescent="0.2">
      <c r="A410" s="347" t="s">
        <v>1304</v>
      </c>
      <c r="B410" s="347" t="s">
        <v>6981</v>
      </c>
      <c r="C410" s="347" t="s">
        <v>2557</v>
      </c>
      <c r="D410" s="348" t="s">
        <v>10271</v>
      </c>
    </row>
    <row r="411" spans="1:4" x14ac:dyDescent="0.2">
      <c r="A411" s="334" t="s">
        <v>4397</v>
      </c>
      <c r="B411" s="334" t="s">
        <v>6982</v>
      </c>
      <c r="C411" s="334" t="s">
        <v>11</v>
      </c>
    </row>
    <row r="412" spans="1:4" x14ac:dyDescent="0.2">
      <c r="A412" s="334" t="s">
        <v>1305</v>
      </c>
      <c r="B412" s="334" t="s">
        <v>6983</v>
      </c>
      <c r="C412" s="334" t="s">
        <v>16</v>
      </c>
    </row>
    <row r="413" spans="1:4" x14ac:dyDescent="0.2">
      <c r="A413" s="334" t="s">
        <v>1306</v>
      </c>
      <c r="B413" s="334" t="s">
        <v>6984</v>
      </c>
      <c r="C413" s="334" t="s">
        <v>16</v>
      </c>
    </row>
    <row r="414" spans="1:4" x14ac:dyDescent="0.2">
      <c r="A414" s="334" t="s">
        <v>1307</v>
      </c>
      <c r="B414" s="334" t="s">
        <v>6985</v>
      </c>
      <c r="C414" s="334" t="s">
        <v>16</v>
      </c>
    </row>
    <row r="415" spans="1:4" x14ac:dyDescent="0.2">
      <c r="A415" s="334" t="s">
        <v>1308</v>
      </c>
      <c r="B415" s="334" t="s">
        <v>6986</v>
      </c>
      <c r="C415" s="334" t="s">
        <v>25</v>
      </c>
    </row>
    <row r="416" spans="1:4" x14ac:dyDescent="0.2">
      <c r="A416" s="334" t="s">
        <v>1309</v>
      </c>
      <c r="B416" s="334" t="s">
        <v>6987</v>
      </c>
      <c r="C416" s="334" t="s">
        <v>25</v>
      </c>
    </row>
    <row r="417" spans="1:4" x14ac:dyDescent="0.2">
      <c r="A417" s="347" t="s">
        <v>1310</v>
      </c>
      <c r="B417" s="347" t="s">
        <v>6988</v>
      </c>
      <c r="C417" s="347" t="s">
        <v>2557</v>
      </c>
      <c r="D417" s="348" t="s">
        <v>10271</v>
      </c>
    </row>
    <row r="418" spans="1:4" x14ac:dyDescent="0.2">
      <c r="A418" s="334" t="s">
        <v>1311</v>
      </c>
      <c r="B418" s="334" t="s">
        <v>6989</v>
      </c>
      <c r="C418" s="334" t="s">
        <v>2557</v>
      </c>
    </row>
    <row r="419" spans="1:4" x14ac:dyDescent="0.2">
      <c r="A419" s="334" t="s">
        <v>495</v>
      </c>
      <c r="B419" s="334" t="s">
        <v>2908</v>
      </c>
      <c r="C419" s="334" t="s">
        <v>2338</v>
      </c>
    </row>
    <row r="420" spans="1:4" x14ac:dyDescent="0.2">
      <c r="A420" s="347" t="s">
        <v>1312</v>
      </c>
      <c r="B420" s="347" t="s">
        <v>6990</v>
      </c>
      <c r="C420" s="347" t="s">
        <v>11</v>
      </c>
      <c r="D420" s="348" t="s">
        <v>10271</v>
      </c>
    </row>
    <row r="421" spans="1:4" x14ac:dyDescent="0.2">
      <c r="A421" s="334" t="s">
        <v>4398</v>
      </c>
      <c r="B421" s="334" t="s">
        <v>6991</v>
      </c>
      <c r="C421" s="334" t="s">
        <v>11</v>
      </c>
    </row>
    <row r="422" spans="1:4" x14ac:dyDescent="0.2">
      <c r="A422" s="347" t="s">
        <v>1313</v>
      </c>
      <c r="B422" s="347" t="s">
        <v>6992</v>
      </c>
      <c r="C422" s="347" t="s">
        <v>11</v>
      </c>
      <c r="D422" s="348" t="s">
        <v>10271</v>
      </c>
    </row>
    <row r="423" spans="1:4" x14ac:dyDescent="0.2">
      <c r="A423" s="347" t="s">
        <v>1314</v>
      </c>
      <c r="B423" s="347" t="s">
        <v>6993</v>
      </c>
      <c r="C423" s="347" t="s">
        <v>11</v>
      </c>
      <c r="D423" s="348" t="s">
        <v>10271</v>
      </c>
    </row>
    <row r="424" spans="1:4" x14ac:dyDescent="0.2">
      <c r="A424" s="334" t="s">
        <v>1315</v>
      </c>
      <c r="B424" s="334" t="s">
        <v>6994</v>
      </c>
      <c r="C424" s="334" t="s">
        <v>25</v>
      </c>
    </row>
    <row r="425" spans="1:4" x14ac:dyDescent="0.2">
      <c r="A425" s="334" t="s">
        <v>4399</v>
      </c>
      <c r="B425" s="334" t="s">
        <v>6995</v>
      </c>
      <c r="C425" s="334" t="s">
        <v>25</v>
      </c>
    </row>
    <row r="426" spans="1:4" x14ac:dyDescent="0.2">
      <c r="A426" s="334" t="s">
        <v>4400</v>
      </c>
      <c r="B426" s="334" t="s">
        <v>6996</v>
      </c>
      <c r="C426" s="334" t="s">
        <v>25</v>
      </c>
    </row>
    <row r="427" spans="1:4" x14ac:dyDescent="0.2">
      <c r="A427" s="334" t="s">
        <v>4401</v>
      </c>
      <c r="B427" s="334" t="s">
        <v>6997</v>
      </c>
      <c r="C427" s="334" t="s">
        <v>25</v>
      </c>
    </row>
    <row r="428" spans="1:4" x14ac:dyDescent="0.2">
      <c r="A428" s="334" t="s">
        <v>4402</v>
      </c>
      <c r="B428" s="334" t="s">
        <v>6998</v>
      </c>
      <c r="C428" s="334" t="s">
        <v>25</v>
      </c>
    </row>
    <row r="429" spans="1:4" x14ac:dyDescent="0.2">
      <c r="A429" s="334" t="s">
        <v>4403</v>
      </c>
      <c r="B429" s="334" t="s">
        <v>6999</v>
      </c>
      <c r="C429" s="334" t="s">
        <v>11</v>
      </c>
    </row>
    <row r="430" spans="1:4" x14ac:dyDescent="0.2">
      <c r="A430" s="334" t="s">
        <v>4404</v>
      </c>
      <c r="B430" s="334" t="s">
        <v>7000</v>
      </c>
      <c r="C430" s="334" t="s">
        <v>11</v>
      </c>
    </row>
    <row r="431" spans="1:4" x14ac:dyDescent="0.2">
      <c r="A431" s="334" t="s">
        <v>4405</v>
      </c>
      <c r="B431" s="334" t="s">
        <v>7001</v>
      </c>
      <c r="C431" s="334" t="s">
        <v>11</v>
      </c>
    </row>
    <row r="432" spans="1:4" x14ac:dyDescent="0.2">
      <c r="A432" s="334" t="s">
        <v>4406</v>
      </c>
      <c r="B432" s="334" t="s">
        <v>7002</v>
      </c>
      <c r="C432" s="334" t="s">
        <v>11</v>
      </c>
    </row>
    <row r="433" spans="1:4" x14ac:dyDescent="0.2">
      <c r="A433" s="334" t="s">
        <v>4407</v>
      </c>
      <c r="B433" s="334" t="s">
        <v>7003</v>
      </c>
      <c r="C433" s="334" t="s">
        <v>11</v>
      </c>
    </row>
    <row r="434" spans="1:4" x14ac:dyDescent="0.2">
      <c r="A434" s="334" t="s">
        <v>4408</v>
      </c>
      <c r="B434" s="334" t="s">
        <v>7004</v>
      </c>
      <c r="C434" s="334" t="s">
        <v>2557</v>
      </c>
    </row>
    <row r="435" spans="1:4" x14ac:dyDescent="0.2">
      <c r="A435" s="334" t="s">
        <v>4409</v>
      </c>
      <c r="B435" s="334" t="s">
        <v>7005</v>
      </c>
      <c r="C435" s="334" t="s">
        <v>52</v>
      </c>
    </row>
    <row r="436" spans="1:4" x14ac:dyDescent="0.2">
      <c r="A436" s="334" t="s">
        <v>4410</v>
      </c>
      <c r="B436" s="334" t="s">
        <v>7006</v>
      </c>
      <c r="C436" s="334" t="s">
        <v>2338</v>
      </c>
    </row>
    <row r="437" spans="1:4" x14ac:dyDescent="0.2">
      <c r="A437" s="334" t="s">
        <v>4411</v>
      </c>
      <c r="B437" s="334" t="s">
        <v>7007</v>
      </c>
      <c r="C437" s="334" t="s">
        <v>2338</v>
      </c>
    </row>
    <row r="438" spans="1:4" x14ac:dyDescent="0.2">
      <c r="A438" s="334" t="s">
        <v>1316</v>
      </c>
      <c r="B438" s="334" t="s">
        <v>7008</v>
      </c>
      <c r="C438" s="334" t="s">
        <v>6606</v>
      </c>
    </row>
    <row r="439" spans="1:4" x14ac:dyDescent="0.2">
      <c r="A439" s="347" t="s">
        <v>294</v>
      </c>
      <c r="B439" s="347" t="s">
        <v>7009</v>
      </c>
      <c r="C439" s="347" t="s">
        <v>11</v>
      </c>
      <c r="D439" s="348" t="s">
        <v>10271</v>
      </c>
    </row>
    <row r="440" spans="1:4" x14ac:dyDescent="0.2">
      <c r="A440" s="347" t="s">
        <v>1317</v>
      </c>
      <c r="B440" s="347" t="s">
        <v>2837</v>
      </c>
      <c r="C440" s="347" t="s">
        <v>25</v>
      </c>
      <c r="D440" s="348" t="s">
        <v>10271</v>
      </c>
    </row>
    <row r="441" spans="1:4" x14ac:dyDescent="0.2">
      <c r="A441" s="334" t="s">
        <v>1318</v>
      </c>
      <c r="B441" s="334" t="s">
        <v>7010</v>
      </c>
      <c r="C441" s="334" t="s">
        <v>11</v>
      </c>
    </row>
    <row r="442" spans="1:4" x14ac:dyDescent="0.2">
      <c r="A442" s="334" t="s">
        <v>1319</v>
      </c>
      <c r="B442" s="334" t="s">
        <v>7011</v>
      </c>
      <c r="C442" s="334" t="s">
        <v>11</v>
      </c>
    </row>
    <row r="443" spans="1:4" x14ac:dyDescent="0.2">
      <c r="A443" s="334" t="s">
        <v>1320</v>
      </c>
      <c r="B443" s="334" t="s">
        <v>7012</v>
      </c>
      <c r="C443" s="334" t="s">
        <v>11</v>
      </c>
    </row>
    <row r="444" spans="1:4" x14ac:dyDescent="0.2">
      <c r="A444" s="334" t="s">
        <v>1321</v>
      </c>
      <c r="B444" s="334" t="s">
        <v>7013</v>
      </c>
      <c r="C444" s="334" t="s">
        <v>25</v>
      </c>
    </row>
    <row r="445" spans="1:4" x14ac:dyDescent="0.2">
      <c r="A445" s="347" t="s">
        <v>1322</v>
      </c>
      <c r="B445" s="347" t="s">
        <v>7014</v>
      </c>
      <c r="C445" s="347" t="s">
        <v>25</v>
      </c>
      <c r="D445" s="348" t="s">
        <v>10271</v>
      </c>
    </row>
    <row r="446" spans="1:4" x14ac:dyDescent="0.2">
      <c r="A446" s="347" t="s">
        <v>1323</v>
      </c>
      <c r="B446" s="347" t="s">
        <v>7015</v>
      </c>
      <c r="C446" s="347" t="s">
        <v>6607</v>
      </c>
      <c r="D446" s="348" t="s">
        <v>10271</v>
      </c>
    </row>
    <row r="447" spans="1:4" x14ac:dyDescent="0.2">
      <c r="A447" s="347" t="s">
        <v>1324</v>
      </c>
      <c r="B447" s="347" t="s">
        <v>7016</v>
      </c>
      <c r="C447" s="347" t="s">
        <v>16</v>
      </c>
      <c r="D447" s="348" t="s">
        <v>10271</v>
      </c>
    </row>
    <row r="448" spans="1:4" x14ac:dyDescent="0.2">
      <c r="A448" s="347" t="s">
        <v>1325</v>
      </c>
      <c r="B448" s="347" t="s">
        <v>7017</v>
      </c>
      <c r="C448" s="347" t="s">
        <v>11</v>
      </c>
      <c r="D448" s="348" t="s">
        <v>10271</v>
      </c>
    </row>
    <row r="449" spans="1:4" x14ac:dyDescent="0.2">
      <c r="A449" s="334" t="s">
        <v>1326</v>
      </c>
      <c r="B449" s="334" t="s">
        <v>7018</v>
      </c>
      <c r="C449" s="334" t="s">
        <v>16</v>
      </c>
    </row>
    <row r="450" spans="1:4" x14ac:dyDescent="0.2">
      <c r="A450" s="347" t="s">
        <v>1327</v>
      </c>
      <c r="B450" s="347" t="s">
        <v>7019</v>
      </c>
      <c r="C450" s="347" t="s">
        <v>16</v>
      </c>
      <c r="D450" s="348" t="s">
        <v>10271</v>
      </c>
    </row>
    <row r="451" spans="1:4" x14ac:dyDescent="0.2">
      <c r="A451" s="347" t="s">
        <v>489</v>
      </c>
      <c r="B451" s="347" t="s">
        <v>2889</v>
      </c>
      <c r="C451" s="347" t="s">
        <v>2338</v>
      </c>
      <c r="D451" s="348" t="s">
        <v>10271</v>
      </c>
    </row>
    <row r="452" spans="1:4" x14ac:dyDescent="0.2">
      <c r="A452" s="334" t="s">
        <v>1328</v>
      </c>
      <c r="B452" s="334" t="s">
        <v>7020</v>
      </c>
      <c r="C452" s="334" t="s">
        <v>2338</v>
      </c>
    </row>
    <row r="453" spans="1:4" x14ac:dyDescent="0.2">
      <c r="A453" s="334" t="s">
        <v>1329</v>
      </c>
      <c r="B453" s="334" t="s">
        <v>7021</v>
      </c>
      <c r="C453" s="334" t="s">
        <v>25</v>
      </c>
    </row>
    <row r="454" spans="1:4" x14ac:dyDescent="0.2">
      <c r="A454" s="347" t="s">
        <v>1330</v>
      </c>
      <c r="B454" s="347" t="s">
        <v>2376</v>
      </c>
      <c r="C454" s="347" t="s">
        <v>2338</v>
      </c>
      <c r="D454" s="348" t="s">
        <v>10271</v>
      </c>
    </row>
    <row r="455" spans="1:4" x14ac:dyDescent="0.2">
      <c r="A455" s="334" t="s">
        <v>1331</v>
      </c>
      <c r="B455" s="334" t="s">
        <v>7022</v>
      </c>
      <c r="C455" s="334" t="s">
        <v>2338</v>
      </c>
    </row>
    <row r="456" spans="1:4" x14ac:dyDescent="0.2">
      <c r="A456" s="347" t="s">
        <v>1332</v>
      </c>
      <c r="B456" s="347" t="s">
        <v>4412</v>
      </c>
      <c r="C456" s="347" t="s">
        <v>11</v>
      </c>
      <c r="D456" s="348" t="s">
        <v>10271</v>
      </c>
    </row>
    <row r="457" spans="1:4" x14ac:dyDescent="0.2">
      <c r="A457" s="347" t="s">
        <v>1333</v>
      </c>
      <c r="B457" s="347" t="s">
        <v>7023</v>
      </c>
      <c r="C457" s="347" t="s">
        <v>2557</v>
      </c>
      <c r="D457" s="348" t="s">
        <v>10271</v>
      </c>
    </row>
    <row r="458" spans="1:4" x14ac:dyDescent="0.2">
      <c r="A458" s="334" t="s">
        <v>4413</v>
      </c>
      <c r="B458" s="334" t="s">
        <v>7024</v>
      </c>
      <c r="C458" s="334" t="s">
        <v>11</v>
      </c>
    </row>
    <row r="459" spans="1:4" x14ac:dyDescent="0.2">
      <c r="A459" s="334" t="s">
        <v>4414</v>
      </c>
      <c r="B459" s="334" t="s">
        <v>7025</v>
      </c>
      <c r="C459" s="334" t="s">
        <v>11</v>
      </c>
    </row>
    <row r="460" spans="1:4" x14ac:dyDescent="0.2">
      <c r="A460" s="334" t="s">
        <v>4415</v>
      </c>
      <c r="B460" s="334" t="s">
        <v>7026</v>
      </c>
      <c r="C460" s="334" t="s">
        <v>11</v>
      </c>
    </row>
    <row r="461" spans="1:4" x14ac:dyDescent="0.2">
      <c r="A461" s="334" t="s">
        <v>4416</v>
      </c>
      <c r="B461" s="334" t="s">
        <v>7027</v>
      </c>
      <c r="C461" s="334" t="s">
        <v>11</v>
      </c>
    </row>
    <row r="462" spans="1:4" x14ac:dyDescent="0.2">
      <c r="A462" s="334" t="s">
        <v>4417</v>
      </c>
      <c r="B462" s="334" t="s">
        <v>7027</v>
      </c>
      <c r="C462" s="334" t="s">
        <v>11</v>
      </c>
    </row>
    <row r="463" spans="1:4" x14ac:dyDescent="0.2">
      <c r="A463" s="334" t="s">
        <v>4418</v>
      </c>
      <c r="B463" s="334" t="s">
        <v>7028</v>
      </c>
      <c r="C463" s="334" t="s">
        <v>11</v>
      </c>
    </row>
    <row r="464" spans="1:4" x14ac:dyDescent="0.2">
      <c r="A464" s="334" t="s">
        <v>4419</v>
      </c>
      <c r="B464" s="334" t="s">
        <v>7029</v>
      </c>
      <c r="C464" s="334" t="s">
        <v>11</v>
      </c>
    </row>
    <row r="465" spans="1:3" x14ac:dyDescent="0.2">
      <c r="A465" s="334" t="s">
        <v>4420</v>
      </c>
      <c r="B465" s="334" t="s">
        <v>7030</v>
      </c>
      <c r="C465" s="334" t="s">
        <v>11</v>
      </c>
    </row>
    <row r="466" spans="1:3" x14ac:dyDescent="0.2">
      <c r="A466" s="334" t="s">
        <v>4421</v>
      </c>
      <c r="B466" s="334" t="s">
        <v>7031</v>
      </c>
      <c r="C466" s="334" t="s">
        <v>11</v>
      </c>
    </row>
    <row r="467" spans="1:3" x14ac:dyDescent="0.2">
      <c r="A467" s="334" t="s">
        <v>4422</v>
      </c>
      <c r="B467" s="334" t="s">
        <v>7032</v>
      </c>
      <c r="C467" s="334" t="s">
        <v>11</v>
      </c>
    </row>
    <row r="468" spans="1:3" x14ac:dyDescent="0.2">
      <c r="A468" s="334" t="s">
        <v>4423</v>
      </c>
      <c r="B468" s="334" t="s">
        <v>7033</v>
      </c>
      <c r="C468" s="334" t="s">
        <v>11</v>
      </c>
    </row>
    <row r="469" spans="1:3" x14ac:dyDescent="0.2">
      <c r="A469" s="334" t="s">
        <v>4424</v>
      </c>
      <c r="B469" s="334" t="s">
        <v>7034</v>
      </c>
      <c r="C469" s="334" t="s">
        <v>11</v>
      </c>
    </row>
    <row r="470" spans="1:3" x14ac:dyDescent="0.2">
      <c r="A470" s="334" t="s">
        <v>4425</v>
      </c>
      <c r="B470" s="334" t="s">
        <v>7035</v>
      </c>
      <c r="C470" s="334" t="s">
        <v>11</v>
      </c>
    </row>
    <row r="471" spans="1:3" x14ac:dyDescent="0.2">
      <c r="A471" s="334" t="s">
        <v>4426</v>
      </c>
      <c r="B471" s="334" t="s">
        <v>7036</v>
      </c>
      <c r="C471" s="334" t="s">
        <v>11</v>
      </c>
    </row>
    <row r="472" spans="1:3" x14ac:dyDescent="0.2">
      <c r="A472" s="334" t="s">
        <v>4427</v>
      </c>
      <c r="B472" s="334" t="s">
        <v>7037</v>
      </c>
      <c r="C472" s="334" t="s">
        <v>11</v>
      </c>
    </row>
    <row r="473" spans="1:3" x14ac:dyDescent="0.2">
      <c r="A473" s="334" t="s">
        <v>4428</v>
      </c>
      <c r="B473" s="334" t="s">
        <v>7038</v>
      </c>
      <c r="C473" s="334" t="s">
        <v>11</v>
      </c>
    </row>
    <row r="474" spans="1:3" x14ac:dyDescent="0.2">
      <c r="A474" s="334" t="s">
        <v>4429</v>
      </c>
      <c r="B474" s="334" t="s">
        <v>7039</v>
      </c>
      <c r="C474" s="334" t="s">
        <v>11</v>
      </c>
    </row>
    <row r="475" spans="1:3" x14ac:dyDescent="0.2">
      <c r="A475" s="334" t="s">
        <v>4430</v>
      </c>
      <c r="B475" s="334" t="s">
        <v>7040</v>
      </c>
      <c r="C475" s="334" t="s">
        <v>11</v>
      </c>
    </row>
    <row r="476" spans="1:3" x14ac:dyDescent="0.2">
      <c r="A476" s="334" t="s">
        <v>4431</v>
      </c>
      <c r="B476" s="334" t="s">
        <v>7041</v>
      </c>
      <c r="C476" s="334" t="s">
        <v>11</v>
      </c>
    </row>
    <row r="477" spans="1:3" x14ac:dyDescent="0.2">
      <c r="A477" s="334" t="s">
        <v>4432</v>
      </c>
      <c r="B477" s="334" t="s">
        <v>7042</v>
      </c>
      <c r="C477" s="334" t="s">
        <v>11</v>
      </c>
    </row>
    <row r="478" spans="1:3" x14ac:dyDescent="0.2">
      <c r="A478" s="334" t="s">
        <v>4433</v>
      </c>
      <c r="B478" s="334" t="s">
        <v>7043</v>
      </c>
      <c r="C478" s="334" t="s">
        <v>11</v>
      </c>
    </row>
    <row r="479" spans="1:3" x14ac:dyDescent="0.2">
      <c r="A479" s="334" t="s">
        <v>4434</v>
      </c>
      <c r="B479" s="334" t="s">
        <v>7044</v>
      </c>
      <c r="C479" s="334" t="s">
        <v>11</v>
      </c>
    </row>
    <row r="480" spans="1:3" x14ac:dyDescent="0.2">
      <c r="A480" s="334" t="s">
        <v>4435</v>
      </c>
      <c r="B480" s="334" t="s">
        <v>7045</v>
      </c>
      <c r="C480" s="334" t="s">
        <v>11</v>
      </c>
    </row>
    <row r="481" spans="1:4" x14ac:dyDescent="0.2">
      <c r="A481" s="334" t="s">
        <v>4436</v>
      </c>
      <c r="B481" s="334" t="s">
        <v>7046</v>
      </c>
      <c r="C481" s="334" t="s">
        <v>11</v>
      </c>
    </row>
    <row r="482" spans="1:4" x14ac:dyDescent="0.2">
      <c r="A482" s="334" t="s">
        <v>4437</v>
      </c>
      <c r="B482" s="334" t="s">
        <v>7047</v>
      </c>
      <c r="C482" s="334" t="s">
        <v>11</v>
      </c>
    </row>
    <row r="483" spans="1:4" x14ac:dyDescent="0.2">
      <c r="A483" s="334" t="s">
        <v>4438</v>
      </c>
      <c r="B483" s="334" t="s">
        <v>7048</v>
      </c>
      <c r="C483" s="334" t="s">
        <v>11</v>
      </c>
    </row>
    <row r="484" spans="1:4" x14ac:dyDescent="0.2">
      <c r="A484" s="334" t="s">
        <v>4439</v>
      </c>
      <c r="B484" s="334" t="s">
        <v>7049</v>
      </c>
      <c r="C484" s="334" t="s">
        <v>11</v>
      </c>
    </row>
    <row r="485" spans="1:4" x14ac:dyDescent="0.2">
      <c r="A485" s="334" t="s">
        <v>4440</v>
      </c>
      <c r="B485" s="334" t="s">
        <v>7050</v>
      </c>
      <c r="C485" s="334" t="s">
        <v>11</v>
      </c>
    </row>
    <row r="486" spans="1:4" x14ac:dyDescent="0.2">
      <c r="A486" s="334" t="s">
        <v>4441</v>
      </c>
      <c r="B486" s="334" t="s">
        <v>7051</v>
      </c>
      <c r="C486" s="334" t="s">
        <v>11</v>
      </c>
    </row>
    <row r="487" spans="1:4" x14ac:dyDescent="0.2">
      <c r="A487" s="334" t="s">
        <v>1334</v>
      </c>
      <c r="B487" s="334" t="s">
        <v>7052</v>
      </c>
      <c r="C487" s="334" t="s">
        <v>16</v>
      </c>
    </row>
    <row r="488" spans="1:4" x14ac:dyDescent="0.2">
      <c r="A488" s="347" t="s">
        <v>1335</v>
      </c>
      <c r="B488" s="347" t="s">
        <v>7053</v>
      </c>
      <c r="C488" s="347" t="s">
        <v>2557</v>
      </c>
      <c r="D488" s="348" t="s">
        <v>10271</v>
      </c>
    </row>
    <row r="489" spans="1:4" x14ac:dyDescent="0.2">
      <c r="A489" s="334" t="s">
        <v>4442</v>
      </c>
      <c r="B489" s="334" t="s">
        <v>7054</v>
      </c>
      <c r="C489" s="334" t="s">
        <v>2557</v>
      </c>
    </row>
    <row r="490" spans="1:4" x14ac:dyDescent="0.2">
      <c r="A490" s="347" t="s">
        <v>1336</v>
      </c>
      <c r="B490" s="347" t="s">
        <v>7055</v>
      </c>
      <c r="C490" s="347" t="s">
        <v>16</v>
      </c>
      <c r="D490" s="348" t="s">
        <v>10271</v>
      </c>
    </row>
    <row r="491" spans="1:4" x14ac:dyDescent="0.2">
      <c r="A491" s="347" t="s">
        <v>1337</v>
      </c>
      <c r="B491" s="347" t="s">
        <v>7056</v>
      </c>
      <c r="C491" s="347" t="s">
        <v>11</v>
      </c>
      <c r="D491" s="348" t="s">
        <v>10271</v>
      </c>
    </row>
    <row r="492" spans="1:4" x14ac:dyDescent="0.2">
      <c r="A492" s="347" t="s">
        <v>1338</v>
      </c>
      <c r="B492" s="347" t="s">
        <v>7057</v>
      </c>
      <c r="C492" s="347" t="s">
        <v>11</v>
      </c>
      <c r="D492" s="348" t="s">
        <v>10271</v>
      </c>
    </row>
    <row r="493" spans="1:4" x14ac:dyDescent="0.2">
      <c r="A493" s="334" t="s">
        <v>4443</v>
      </c>
      <c r="B493" s="334" t="s">
        <v>4444</v>
      </c>
      <c r="C493" s="334" t="s">
        <v>2557</v>
      </c>
    </row>
    <row r="494" spans="1:4" x14ac:dyDescent="0.2">
      <c r="A494" s="334" t="s">
        <v>1339</v>
      </c>
      <c r="B494" s="334" t="s">
        <v>7058</v>
      </c>
      <c r="C494" s="334" t="s">
        <v>16</v>
      </c>
    </row>
    <row r="495" spans="1:4" x14ac:dyDescent="0.2">
      <c r="A495" s="334" t="s">
        <v>1340</v>
      </c>
      <c r="B495" s="334" t="s">
        <v>7059</v>
      </c>
      <c r="C495" s="334" t="s">
        <v>16</v>
      </c>
    </row>
    <row r="496" spans="1:4" x14ac:dyDescent="0.2">
      <c r="A496" s="334" t="s">
        <v>1341</v>
      </c>
      <c r="B496" s="334" t="s">
        <v>7060</v>
      </c>
      <c r="C496" s="334" t="s">
        <v>2557</v>
      </c>
    </row>
    <row r="497" spans="1:4" x14ac:dyDescent="0.2">
      <c r="A497" s="347" t="s">
        <v>1343</v>
      </c>
      <c r="B497" s="347" t="s">
        <v>7061</v>
      </c>
      <c r="C497" s="347" t="s">
        <v>6792</v>
      </c>
      <c r="D497" s="348" t="s">
        <v>10271</v>
      </c>
    </row>
    <row r="498" spans="1:4" x14ac:dyDescent="0.2">
      <c r="A498" s="347" t="s">
        <v>1344</v>
      </c>
      <c r="B498" s="347" t="s">
        <v>7062</v>
      </c>
      <c r="C498" s="347" t="s">
        <v>16</v>
      </c>
      <c r="D498" s="348" t="s">
        <v>10271</v>
      </c>
    </row>
    <row r="499" spans="1:4" x14ac:dyDescent="0.2">
      <c r="A499" s="334" t="s">
        <v>1345</v>
      </c>
      <c r="B499" s="334" t="s">
        <v>7063</v>
      </c>
      <c r="C499" s="334" t="s">
        <v>11</v>
      </c>
    </row>
    <row r="500" spans="1:4" x14ac:dyDescent="0.2">
      <c r="A500" s="334" t="s">
        <v>1346</v>
      </c>
      <c r="B500" s="334" t="s">
        <v>7064</v>
      </c>
      <c r="C500" s="334" t="s">
        <v>11</v>
      </c>
    </row>
    <row r="501" spans="1:4" x14ac:dyDescent="0.2">
      <c r="A501" s="334" t="s">
        <v>1347</v>
      </c>
      <c r="B501" s="334" t="s">
        <v>7065</v>
      </c>
      <c r="C501" s="334" t="s">
        <v>25</v>
      </c>
    </row>
    <row r="502" spans="1:4" x14ac:dyDescent="0.2">
      <c r="A502" s="334" t="s">
        <v>1348</v>
      </c>
      <c r="B502" s="334" t="s">
        <v>7066</v>
      </c>
      <c r="C502" s="334" t="s">
        <v>11</v>
      </c>
    </row>
    <row r="503" spans="1:4" x14ac:dyDescent="0.2">
      <c r="A503" s="334" t="s">
        <v>4445</v>
      </c>
      <c r="B503" s="334" t="s">
        <v>4446</v>
      </c>
      <c r="C503" s="334" t="s">
        <v>16</v>
      </c>
    </row>
    <row r="504" spans="1:4" x14ac:dyDescent="0.2">
      <c r="A504" s="334" t="s">
        <v>4447</v>
      </c>
      <c r="B504" s="334" t="s">
        <v>4448</v>
      </c>
      <c r="C504" s="334" t="s">
        <v>16</v>
      </c>
    </row>
    <row r="505" spans="1:4" x14ac:dyDescent="0.2">
      <c r="A505" s="334" t="s">
        <v>4449</v>
      </c>
      <c r="B505" s="334" t="s">
        <v>7067</v>
      </c>
      <c r="C505" s="334" t="s">
        <v>16</v>
      </c>
    </row>
    <row r="506" spans="1:4" x14ac:dyDescent="0.2">
      <c r="A506" s="334" t="s">
        <v>1349</v>
      </c>
      <c r="B506" s="334" t="s">
        <v>7068</v>
      </c>
      <c r="C506" s="334" t="s">
        <v>11</v>
      </c>
    </row>
    <row r="507" spans="1:4" x14ac:dyDescent="0.2">
      <c r="A507" s="334" t="s">
        <v>1350</v>
      </c>
      <c r="B507" s="334" t="s">
        <v>7069</v>
      </c>
      <c r="C507" s="334" t="s">
        <v>11</v>
      </c>
    </row>
    <row r="508" spans="1:4" x14ac:dyDescent="0.2">
      <c r="A508" s="334" t="s">
        <v>1351</v>
      </c>
      <c r="B508" s="334" t="s">
        <v>7070</v>
      </c>
      <c r="C508" s="334" t="s">
        <v>11</v>
      </c>
    </row>
    <row r="509" spans="1:4" x14ac:dyDescent="0.2">
      <c r="A509" s="334" t="s">
        <v>1352</v>
      </c>
      <c r="B509" s="334" t="s">
        <v>7071</v>
      </c>
      <c r="C509" s="334" t="s">
        <v>11</v>
      </c>
    </row>
    <row r="510" spans="1:4" x14ac:dyDescent="0.2">
      <c r="A510" s="334" t="s">
        <v>4450</v>
      </c>
      <c r="B510" s="334" t="s">
        <v>7072</v>
      </c>
      <c r="C510" s="334" t="s">
        <v>25</v>
      </c>
    </row>
    <row r="511" spans="1:4" x14ac:dyDescent="0.2">
      <c r="A511" s="334" t="s">
        <v>1353</v>
      </c>
      <c r="B511" s="334" t="s">
        <v>7073</v>
      </c>
      <c r="C511" s="334" t="s">
        <v>2338</v>
      </c>
    </row>
    <row r="512" spans="1:4" x14ac:dyDescent="0.2">
      <c r="A512" s="334" t="s">
        <v>4451</v>
      </c>
      <c r="B512" s="334" t="s">
        <v>7074</v>
      </c>
      <c r="C512" s="334" t="s">
        <v>25</v>
      </c>
    </row>
    <row r="513" spans="1:4" x14ac:dyDescent="0.2">
      <c r="A513" s="334" t="s">
        <v>1354</v>
      </c>
      <c r="B513" s="334" t="s">
        <v>7075</v>
      </c>
      <c r="C513" s="334" t="s">
        <v>2557</v>
      </c>
    </row>
    <row r="514" spans="1:4" x14ac:dyDescent="0.2">
      <c r="A514" s="334" t="s">
        <v>1355</v>
      </c>
      <c r="B514" s="334" t="s">
        <v>4774</v>
      </c>
      <c r="C514" s="334" t="s">
        <v>52</v>
      </c>
    </row>
    <row r="515" spans="1:4" x14ac:dyDescent="0.2">
      <c r="A515" s="334" t="s">
        <v>1356</v>
      </c>
      <c r="B515" s="334" t="s">
        <v>4452</v>
      </c>
      <c r="C515" s="334" t="s">
        <v>2557</v>
      </c>
    </row>
    <row r="516" spans="1:4" x14ac:dyDescent="0.2">
      <c r="A516" s="334" t="s">
        <v>1357</v>
      </c>
      <c r="B516" s="334" t="s">
        <v>7076</v>
      </c>
      <c r="C516" s="334" t="s">
        <v>11</v>
      </c>
    </row>
    <row r="517" spans="1:4" x14ac:dyDescent="0.2">
      <c r="A517" s="347" t="s">
        <v>1358</v>
      </c>
      <c r="B517" s="347" t="s">
        <v>7077</v>
      </c>
      <c r="C517" s="347" t="s">
        <v>2557</v>
      </c>
      <c r="D517" s="348" t="s">
        <v>10271</v>
      </c>
    </row>
    <row r="518" spans="1:4" x14ac:dyDescent="0.2">
      <c r="A518" s="347" t="s">
        <v>1359</v>
      </c>
      <c r="B518" s="347" t="s">
        <v>7078</v>
      </c>
      <c r="C518" s="347" t="s">
        <v>25</v>
      </c>
      <c r="D518" s="348" t="s">
        <v>10271</v>
      </c>
    </row>
    <row r="519" spans="1:4" x14ac:dyDescent="0.2">
      <c r="A519" s="347" t="s">
        <v>1360</v>
      </c>
      <c r="B519" s="347" t="s">
        <v>7079</v>
      </c>
      <c r="C519" s="347" t="s">
        <v>2557</v>
      </c>
      <c r="D519" s="348" t="s">
        <v>10271</v>
      </c>
    </row>
    <row r="520" spans="1:4" x14ac:dyDescent="0.2">
      <c r="A520" s="334" t="s">
        <v>1361</v>
      </c>
      <c r="B520" s="334" t="s">
        <v>4453</v>
      </c>
      <c r="C520" s="334" t="s">
        <v>2557</v>
      </c>
    </row>
    <row r="521" spans="1:4" x14ac:dyDescent="0.2">
      <c r="A521" s="334" t="s">
        <v>1362</v>
      </c>
      <c r="B521" s="334" t="s">
        <v>4454</v>
      </c>
      <c r="C521" s="334" t="s">
        <v>52</v>
      </c>
    </row>
    <row r="522" spans="1:4" x14ac:dyDescent="0.2">
      <c r="A522" s="347" t="s">
        <v>1363</v>
      </c>
      <c r="B522" s="347" t="s">
        <v>7080</v>
      </c>
      <c r="C522" s="347" t="s">
        <v>11</v>
      </c>
      <c r="D522" s="348" t="s">
        <v>10271</v>
      </c>
    </row>
    <row r="523" spans="1:4" x14ac:dyDescent="0.2">
      <c r="A523" s="347" t="s">
        <v>1364</v>
      </c>
      <c r="B523" s="347" t="s">
        <v>7081</v>
      </c>
      <c r="C523" s="347" t="s">
        <v>16</v>
      </c>
      <c r="D523" s="348" t="s">
        <v>10271</v>
      </c>
    </row>
    <row r="524" spans="1:4" x14ac:dyDescent="0.2">
      <c r="A524" s="334" t="s">
        <v>1365</v>
      </c>
      <c r="B524" s="334" t="s">
        <v>7082</v>
      </c>
      <c r="C524" s="334" t="s">
        <v>16</v>
      </c>
    </row>
    <row r="525" spans="1:4" x14ac:dyDescent="0.2">
      <c r="A525" s="334" t="s">
        <v>1366</v>
      </c>
      <c r="B525" s="334" t="s">
        <v>7083</v>
      </c>
      <c r="C525" s="334" t="s">
        <v>2557</v>
      </c>
    </row>
    <row r="526" spans="1:4" x14ac:dyDescent="0.2">
      <c r="A526" s="347" t="s">
        <v>1367</v>
      </c>
      <c r="B526" s="347" t="s">
        <v>7084</v>
      </c>
      <c r="C526" s="347" t="s">
        <v>25</v>
      </c>
      <c r="D526" s="348" t="s">
        <v>10271</v>
      </c>
    </row>
    <row r="527" spans="1:4" x14ac:dyDescent="0.2">
      <c r="A527" s="334" t="s">
        <v>1368</v>
      </c>
      <c r="B527" s="334" t="s">
        <v>7085</v>
      </c>
      <c r="C527" s="334" t="s">
        <v>6606</v>
      </c>
    </row>
    <row r="528" spans="1:4" x14ac:dyDescent="0.2">
      <c r="A528" s="334" t="s">
        <v>1369</v>
      </c>
      <c r="B528" s="334" t="s">
        <v>7086</v>
      </c>
      <c r="C528" s="334" t="s">
        <v>11</v>
      </c>
    </row>
    <row r="529" spans="1:4" x14ac:dyDescent="0.2">
      <c r="A529" s="334" t="s">
        <v>1370</v>
      </c>
      <c r="B529" s="334" t="s">
        <v>7087</v>
      </c>
      <c r="C529" s="334" t="s">
        <v>11</v>
      </c>
    </row>
    <row r="530" spans="1:4" x14ac:dyDescent="0.2">
      <c r="A530" s="334" t="s">
        <v>4455</v>
      </c>
      <c r="B530" s="334" t="s">
        <v>7088</v>
      </c>
      <c r="C530" s="334" t="s">
        <v>11</v>
      </c>
    </row>
    <row r="531" spans="1:4" x14ac:dyDescent="0.2">
      <c r="A531" s="334" t="s">
        <v>4456</v>
      </c>
      <c r="B531" s="334" t="s">
        <v>7089</v>
      </c>
      <c r="C531" s="334" t="s">
        <v>11</v>
      </c>
    </row>
    <row r="532" spans="1:4" x14ac:dyDescent="0.2">
      <c r="A532" s="334" t="s">
        <v>1371</v>
      </c>
      <c r="B532" s="334" t="s">
        <v>7090</v>
      </c>
      <c r="C532" s="334" t="s">
        <v>11</v>
      </c>
    </row>
    <row r="533" spans="1:4" x14ac:dyDescent="0.2">
      <c r="A533" s="347" t="s">
        <v>1372</v>
      </c>
      <c r="B533" s="347" t="s">
        <v>7091</v>
      </c>
      <c r="C533" s="347" t="s">
        <v>16</v>
      </c>
      <c r="D533" s="348" t="s">
        <v>10271</v>
      </c>
    </row>
    <row r="534" spans="1:4" x14ac:dyDescent="0.2">
      <c r="A534" s="347" t="s">
        <v>1373</v>
      </c>
      <c r="B534" s="347" t="s">
        <v>2847</v>
      </c>
      <c r="C534" s="347" t="s">
        <v>16</v>
      </c>
      <c r="D534" s="348" t="s">
        <v>10271</v>
      </c>
    </row>
    <row r="535" spans="1:4" x14ac:dyDescent="0.2">
      <c r="A535" s="347" t="s">
        <v>1374</v>
      </c>
      <c r="B535" s="347" t="s">
        <v>7092</v>
      </c>
      <c r="C535" s="347" t="s">
        <v>11</v>
      </c>
      <c r="D535" s="348" t="s">
        <v>10271</v>
      </c>
    </row>
    <row r="536" spans="1:4" x14ac:dyDescent="0.2">
      <c r="A536" s="347" t="s">
        <v>1375</v>
      </c>
      <c r="B536" s="347" t="s">
        <v>7093</v>
      </c>
      <c r="C536" s="347" t="s">
        <v>16</v>
      </c>
      <c r="D536" s="348" t="s">
        <v>10271</v>
      </c>
    </row>
    <row r="537" spans="1:4" x14ac:dyDescent="0.2">
      <c r="A537" s="347" t="s">
        <v>1376</v>
      </c>
      <c r="B537" s="347" t="s">
        <v>7094</v>
      </c>
      <c r="C537" s="347" t="s">
        <v>2557</v>
      </c>
      <c r="D537" s="348" t="s">
        <v>10271</v>
      </c>
    </row>
    <row r="538" spans="1:4" x14ac:dyDescent="0.2">
      <c r="A538" s="347" t="s">
        <v>1377</v>
      </c>
      <c r="B538" s="347" t="s">
        <v>7095</v>
      </c>
      <c r="C538" s="347" t="s">
        <v>2557</v>
      </c>
      <c r="D538" s="348" t="s">
        <v>10271</v>
      </c>
    </row>
    <row r="539" spans="1:4" x14ac:dyDescent="0.2">
      <c r="A539" s="347" t="s">
        <v>1378</v>
      </c>
      <c r="B539" s="347" t="s">
        <v>7096</v>
      </c>
      <c r="C539" s="347" t="s">
        <v>2557</v>
      </c>
      <c r="D539" s="348" t="s">
        <v>10271</v>
      </c>
    </row>
    <row r="540" spans="1:4" x14ac:dyDescent="0.2">
      <c r="A540" s="347" t="s">
        <v>1379</v>
      </c>
      <c r="B540" s="347" t="s">
        <v>2860</v>
      </c>
      <c r="C540" s="347" t="s">
        <v>25</v>
      </c>
      <c r="D540" s="348" t="s">
        <v>10271</v>
      </c>
    </row>
    <row r="541" spans="1:4" x14ac:dyDescent="0.2">
      <c r="A541" s="347" t="s">
        <v>1380</v>
      </c>
      <c r="B541" s="347" t="s">
        <v>7097</v>
      </c>
      <c r="C541" s="347" t="s">
        <v>11</v>
      </c>
      <c r="D541" s="348" t="s">
        <v>10271</v>
      </c>
    </row>
    <row r="542" spans="1:4" x14ac:dyDescent="0.2">
      <c r="A542" s="334" t="s">
        <v>1381</v>
      </c>
      <c r="B542" s="334" t="s">
        <v>7098</v>
      </c>
      <c r="C542" s="334" t="s">
        <v>11</v>
      </c>
    </row>
    <row r="543" spans="1:4" x14ac:dyDescent="0.2">
      <c r="A543" s="347" t="s">
        <v>479</v>
      </c>
      <c r="B543" s="347" t="s">
        <v>7099</v>
      </c>
      <c r="C543" s="347" t="s">
        <v>11</v>
      </c>
      <c r="D543" s="348" t="s">
        <v>10271</v>
      </c>
    </row>
    <row r="544" spans="1:4" x14ac:dyDescent="0.2">
      <c r="A544" s="347" t="s">
        <v>1382</v>
      </c>
      <c r="B544" s="347" t="s">
        <v>7100</v>
      </c>
      <c r="C544" s="347" t="s">
        <v>16</v>
      </c>
      <c r="D544" s="348" t="s">
        <v>10271</v>
      </c>
    </row>
    <row r="545" spans="1:4" x14ac:dyDescent="0.2">
      <c r="A545" s="347" t="s">
        <v>1383</v>
      </c>
      <c r="B545" s="347" t="s">
        <v>7101</v>
      </c>
      <c r="C545" s="347" t="s">
        <v>25</v>
      </c>
      <c r="D545" s="348" t="s">
        <v>10271</v>
      </c>
    </row>
    <row r="546" spans="1:4" x14ac:dyDescent="0.2">
      <c r="A546" s="334" t="s">
        <v>1384</v>
      </c>
      <c r="B546" s="334" t="s">
        <v>7102</v>
      </c>
      <c r="C546" s="334" t="s">
        <v>11</v>
      </c>
    </row>
    <row r="547" spans="1:4" x14ac:dyDescent="0.2">
      <c r="A547" s="334" t="s">
        <v>1385</v>
      </c>
      <c r="B547" s="334" t="s">
        <v>7103</v>
      </c>
      <c r="C547" s="334" t="s">
        <v>11</v>
      </c>
    </row>
    <row r="548" spans="1:4" x14ac:dyDescent="0.2">
      <c r="A548" s="347" t="s">
        <v>1386</v>
      </c>
      <c r="B548" s="347" t="s">
        <v>7104</v>
      </c>
      <c r="C548" s="347" t="s">
        <v>11</v>
      </c>
      <c r="D548" s="348" t="s">
        <v>10271</v>
      </c>
    </row>
    <row r="549" spans="1:4" x14ac:dyDescent="0.2">
      <c r="A549" s="347" t="s">
        <v>1387</v>
      </c>
      <c r="B549" s="347" t="s">
        <v>7105</v>
      </c>
      <c r="C549" s="347" t="s">
        <v>16</v>
      </c>
      <c r="D549" s="348" t="s">
        <v>10271</v>
      </c>
    </row>
    <row r="550" spans="1:4" x14ac:dyDescent="0.2">
      <c r="A550" s="347" t="s">
        <v>1388</v>
      </c>
      <c r="B550" s="347" t="s">
        <v>7106</v>
      </c>
      <c r="C550" s="347" t="s">
        <v>25</v>
      </c>
      <c r="D550" s="348" t="s">
        <v>10271</v>
      </c>
    </row>
    <row r="551" spans="1:4" x14ac:dyDescent="0.2">
      <c r="A551" s="347" t="s">
        <v>1389</v>
      </c>
      <c r="B551" s="347" t="s">
        <v>7107</v>
      </c>
      <c r="C551" s="347" t="s">
        <v>16</v>
      </c>
      <c r="D551" s="348" t="s">
        <v>10271</v>
      </c>
    </row>
    <row r="552" spans="1:4" x14ac:dyDescent="0.2">
      <c r="A552" s="334" t="s">
        <v>1390</v>
      </c>
      <c r="B552" s="334" t="s">
        <v>7108</v>
      </c>
      <c r="C552" s="334" t="s">
        <v>16</v>
      </c>
    </row>
    <row r="553" spans="1:4" x14ac:dyDescent="0.2">
      <c r="A553" s="334" t="s">
        <v>1391</v>
      </c>
      <c r="B553" s="334" t="s">
        <v>7109</v>
      </c>
      <c r="C553" s="334" t="s">
        <v>25</v>
      </c>
    </row>
    <row r="554" spans="1:4" x14ac:dyDescent="0.2">
      <c r="A554" s="334" t="s">
        <v>1392</v>
      </c>
      <c r="B554" s="334" t="s">
        <v>7110</v>
      </c>
      <c r="C554" s="334" t="s">
        <v>25</v>
      </c>
    </row>
    <row r="555" spans="1:4" x14ac:dyDescent="0.2">
      <c r="A555" s="334" t="s">
        <v>1393</v>
      </c>
      <c r="B555" s="334" t="s">
        <v>7111</v>
      </c>
      <c r="C555" s="334" t="s">
        <v>11</v>
      </c>
    </row>
    <row r="556" spans="1:4" x14ac:dyDescent="0.2">
      <c r="A556" s="334" t="s">
        <v>4457</v>
      </c>
      <c r="B556" s="334" t="s">
        <v>4458</v>
      </c>
      <c r="C556" s="334" t="s">
        <v>11</v>
      </c>
    </row>
    <row r="557" spans="1:4" x14ac:dyDescent="0.2">
      <c r="A557" s="334" t="s">
        <v>1394</v>
      </c>
      <c r="B557" s="334" t="s">
        <v>7112</v>
      </c>
      <c r="C557" s="334" t="s">
        <v>16</v>
      </c>
    </row>
    <row r="558" spans="1:4" x14ac:dyDescent="0.2">
      <c r="A558" s="334" t="s">
        <v>4459</v>
      </c>
      <c r="B558" s="334" t="s">
        <v>7113</v>
      </c>
      <c r="C558" s="334" t="s">
        <v>16</v>
      </c>
    </row>
    <row r="559" spans="1:4" x14ac:dyDescent="0.2">
      <c r="A559" s="334" t="s">
        <v>1395</v>
      </c>
      <c r="B559" s="334" t="s">
        <v>7114</v>
      </c>
      <c r="C559" s="334" t="s">
        <v>25</v>
      </c>
    </row>
    <row r="560" spans="1:4" x14ac:dyDescent="0.2">
      <c r="A560" s="334" t="s">
        <v>1396</v>
      </c>
      <c r="B560" s="334" t="s">
        <v>7115</v>
      </c>
      <c r="C560" s="334" t="s">
        <v>16</v>
      </c>
    </row>
    <row r="561" spans="1:4" x14ac:dyDescent="0.2">
      <c r="A561" s="334" t="s">
        <v>1397</v>
      </c>
      <c r="B561" s="334" t="s">
        <v>7116</v>
      </c>
      <c r="C561" s="334" t="s">
        <v>16</v>
      </c>
    </row>
    <row r="562" spans="1:4" x14ac:dyDescent="0.2">
      <c r="A562" s="334" t="s">
        <v>1398</v>
      </c>
      <c r="B562" s="334" t="s">
        <v>7117</v>
      </c>
      <c r="C562" s="334" t="s">
        <v>16</v>
      </c>
    </row>
    <row r="563" spans="1:4" x14ac:dyDescent="0.2">
      <c r="A563" s="334" t="s">
        <v>4460</v>
      </c>
      <c r="B563" s="334" t="s">
        <v>7118</v>
      </c>
      <c r="C563" s="334" t="s">
        <v>16</v>
      </c>
    </row>
    <row r="564" spans="1:4" x14ac:dyDescent="0.2">
      <c r="A564" s="334" t="s">
        <v>1399</v>
      </c>
      <c r="B564" s="334" t="s">
        <v>7119</v>
      </c>
      <c r="C564" s="334" t="s">
        <v>16</v>
      </c>
    </row>
    <row r="565" spans="1:4" x14ac:dyDescent="0.2">
      <c r="A565" s="334" t="s">
        <v>4461</v>
      </c>
      <c r="B565" s="334" t="s">
        <v>7120</v>
      </c>
      <c r="C565" s="334" t="s">
        <v>16</v>
      </c>
    </row>
    <row r="566" spans="1:4" x14ac:dyDescent="0.2">
      <c r="A566" s="347" t="s">
        <v>1400</v>
      </c>
      <c r="B566" s="347" t="s">
        <v>7121</v>
      </c>
      <c r="C566" s="347" t="s">
        <v>6606</v>
      </c>
      <c r="D566" s="348" t="s">
        <v>10271</v>
      </c>
    </row>
    <row r="567" spans="1:4" x14ac:dyDescent="0.2">
      <c r="A567" s="334" t="s">
        <v>1401</v>
      </c>
      <c r="B567" s="334" t="s">
        <v>7122</v>
      </c>
      <c r="C567" s="334" t="s">
        <v>25</v>
      </c>
    </row>
    <row r="568" spans="1:4" x14ac:dyDescent="0.2">
      <c r="A568" s="334" t="s">
        <v>1402</v>
      </c>
      <c r="B568" s="334" t="s">
        <v>7123</v>
      </c>
      <c r="C568" s="334" t="s">
        <v>16</v>
      </c>
    </row>
    <row r="569" spans="1:4" x14ac:dyDescent="0.2">
      <c r="A569" s="334" t="s">
        <v>1403</v>
      </c>
      <c r="B569" s="334" t="s">
        <v>7124</v>
      </c>
      <c r="C569" s="334" t="s">
        <v>25</v>
      </c>
    </row>
    <row r="570" spans="1:4" x14ac:dyDescent="0.2">
      <c r="A570" s="334" t="s">
        <v>1404</v>
      </c>
      <c r="B570" s="334" t="s">
        <v>4462</v>
      </c>
      <c r="C570" s="334" t="s">
        <v>25</v>
      </c>
    </row>
    <row r="571" spans="1:4" x14ac:dyDescent="0.2">
      <c r="A571" s="334" t="s">
        <v>1405</v>
      </c>
      <c r="B571" s="334" t="s">
        <v>7125</v>
      </c>
      <c r="C571" s="334" t="s">
        <v>25</v>
      </c>
    </row>
    <row r="572" spans="1:4" x14ac:dyDescent="0.2">
      <c r="A572" s="347" t="s">
        <v>1406</v>
      </c>
      <c r="B572" s="347" t="s">
        <v>7126</v>
      </c>
      <c r="C572" s="347" t="s">
        <v>25</v>
      </c>
      <c r="D572" s="348" t="s">
        <v>10271</v>
      </c>
    </row>
    <row r="573" spans="1:4" x14ac:dyDescent="0.2">
      <c r="A573" s="334" t="s">
        <v>1407</v>
      </c>
      <c r="B573" s="334" t="s">
        <v>7127</v>
      </c>
      <c r="C573" s="334" t="s">
        <v>25</v>
      </c>
    </row>
    <row r="574" spans="1:4" x14ac:dyDescent="0.2">
      <c r="A574" s="347" t="s">
        <v>1408</v>
      </c>
      <c r="B574" s="347" t="s">
        <v>7128</v>
      </c>
      <c r="C574" s="347" t="s">
        <v>11</v>
      </c>
      <c r="D574" s="348" t="s">
        <v>10271</v>
      </c>
    </row>
    <row r="575" spans="1:4" x14ac:dyDescent="0.2">
      <c r="A575" s="347" t="s">
        <v>1409</v>
      </c>
      <c r="B575" s="347" t="s">
        <v>7129</v>
      </c>
      <c r="C575" s="347" t="s">
        <v>11</v>
      </c>
      <c r="D575" s="348" t="s">
        <v>10271</v>
      </c>
    </row>
    <row r="576" spans="1:4" x14ac:dyDescent="0.2">
      <c r="A576" s="347" t="s">
        <v>1410</v>
      </c>
      <c r="B576" s="347" t="s">
        <v>7130</v>
      </c>
      <c r="C576" s="347" t="s">
        <v>11</v>
      </c>
      <c r="D576" s="348" t="s">
        <v>10271</v>
      </c>
    </row>
    <row r="577" spans="1:4" x14ac:dyDescent="0.2">
      <c r="A577" s="347" t="s">
        <v>1411</v>
      </c>
      <c r="B577" s="347" t="s">
        <v>7131</v>
      </c>
      <c r="C577" s="347" t="s">
        <v>11</v>
      </c>
      <c r="D577" s="348" t="s">
        <v>10271</v>
      </c>
    </row>
    <row r="578" spans="1:4" x14ac:dyDescent="0.2">
      <c r="A578" s="334" t="s">
        <v>1412</v>
      </c>
      <c r="B578" s="334" t="s">
        <v>7132</v>
      </c>
      <c r="C578" s="334" t="s">
        <v>11</v>
      </c>
    </row>
    <row r="579" spans="1:4" x14ac:dyDescent="0.2">
      <c r="A579" s="334" t="s">
        <v>4463</v>
      </c>
      <c r="B579" s="334" t="s">
        <v>7133</v>
      </c>
      <c r="C579" s="334" t="s">
        <v>2557</v>
      </c>
    </row>
    <row r="580" spans="1:4" x14ac:dyDescent="0.2">
      <c r="A580" s="334" t="s">
        <v>1413</v>
      </c>
      <c r="B580" s="334" t="s">
        <v>4464</v>
      </c>
      <c r="C580" s="334" t="s">
        <v>2557</v>
      </c>
    </row>
    <row r="581" spans="1:4" x14ac:dyDescent="0.2">
      <c r="A581" s="347" t="s">
        <v>1414</v>
      </c>
      <c r="B581" s="347" t="s">
        <v>7134</v>
      </c>
      <c r="C581" s="347" t="s">
        <v>11</v>
      </c>
      <c r="D581" s="348" t="s">
        <v>10271</v>
      </c>
    </row>
    <row r="582" spans="1:4" x14ac:dyDescent="0.2">
      <c r="A582" s="347" t="s">
        <v>1415</v>
      </c>
      <c r="B582" s="347" t="s">
        <v>7135</v>
      </c>
      <c r="C582" s="347" t="s">
        <v>52</v>
      </c>
      <c r="D582" s="348" t="s">
        <v>10271</v>
      </c>
    </row>
    <row r="583" spans="1:4" x14ac:dyDescent="0.2">
      <c r="A583" s="334" t="s">
        <v>4465</v>
      </c>
      <c r="B583" s="334" t="s">
        <v>7136</v>
      </c>
      <c r="C583" s="334" t="s">
        <v>2557</v>
      </c>
    </row>
    <row r="584" spans="1:4" x14ac:dyDescent="0.2">
      <c r="A584" s="347" t="s">
        <v>1416</v>
      </c>
      <c r="B584" s="347" t="s">
        <v>7137</v>
      </c>
      <c r="C584" s="347" t="s">
        <v>2557</v>
      </c>
      <c r="D584" s="348" t="s">
        <v>10271</v>
      </c>
    </row>
    <row r="585" spans="1:4" x14ac:dyDescent="0.2">
      <c r="A585" s="334" t="s">
        <v>1417</v>
      </c>
      <c r="B585" s="334" t="s">
        <v>4466</v>
      </c>
      <c r="C585" s="334" t="s">
        <v>2557</v>
      </c>
    </row>
    <row r="586" spans="1:4" x14ac:dyDescent="0.2">
      <c r="A586" s="347" t="s">
        <v>1418</v>
      </c>
      <c r="B586" s="347" t="s">
        <v>7138</v>
      </c>
      <c r="C586" s="347" t="s">
        <v>16</v>
      </c>
      <c r="D586" s="348" t="s">
        <v>10271</v>
      </c>
    </row>
    <row r="587" spans="1:4" x14ac:dyDescent="0.2">
      <c r="A587" s="334" t="s">
        <v>4467</v>
      </c>
      <c r="B587" s="334" t="s">
        <v>7139</v>
      </c>
      <c r="C587" s="334" t="s">
        <v>11</v>
      </c>
    </row>
    <row r="588" spans="1:4" x14ac:dyDescent="0.2">
      <c r="A588" s="334" t="s">
        <v>4468</v>
      </c>
      <c r="B588" s="334" t="s">
        <v>7140</v>
      </c>
      <c r="C588" s="334" t="s">
        <v>11</v>
      </c>
    </row>
    <row r="589" spans="1:4" x14ac:dyDescent="0.2">
      <c r="A589" s="347" t="s">
        <v>1420</v>
      </c>
      <c r="B589" s="347" t="s">
        <v>7141</v>
      </c>
      <c r="C589" s="347" t="s">
        <v>11</v>
      </c>
      <c r="D589" s="348" t="s">
        <v>10271</v>
      </c>
    </row>
    <row r="590" spans="1:4" x14ac:dyDescent="0.2">
      <c r="A590" s="347" t="s">
        <v>201</v>
      </c>
      <c r="B590" s="347" t="s">
        <v>7142</v>
      </c>
      <c r="C590" s="347" t="s">
        <v>11</v>
      </c>
      <c r="D590" s="348" t="s">
        <v>10271</v>
      </c>
    </row>
    <row r="591" spans="1:4" x14ac:dyDescent="0.2">
      <c r="A591" s="334" t="s">
        <v>1421</v>
      </c>
      <c r="B591" s="334" t="s">
        <v>7143</v>
      </c>
      <c r="C591" s="334" t="s">
        <v>11</v>
      </c>
    </row>
    <row r="592" spans="1:4" x14ac:dyDescent="0.2">
      <c r="A592" s="334" t="s">
        <v>1422</v>
      </c>
      <c r="B592" s="334" t="s">
        <v>7144</v>
      </c>
      <c r="C592" s="334" t="s">
        <v>11</v>
      </c>
    </row>
    <row r="593" spans="1:4" x14ac:dyDescent="0.2">
      <c r="A593" s="334" t="s">
        <v>1423</v>
      </c>
      <c r="B593" s="334" t="s">
        <v>7145</v>
      </c>
      <c r="C593" s="334" t="s">
        <v>11</v>
      </c>
    </row>
    <row r="594" spans="1:4" x14ac:dyDescent="0.2">
      <c r="A594" s="334" t="s">
        <v>1424</v>
      </c>
      <c r="B594" s="334" t="s">
        <v>4469</v>
      </c>
      <c r="C594" s="334" t="s">
        <v>6608</v>
      </c>
    </row>
    <row r="595" spans="1:4" x14ac:dyDescent="0.2">
      <c r="A595" s="334" t="s">
        <v>4470</v>
      </c>
      <c r="B595" s="334" t="s">
        <v>4471</v>
      </c>
      <c r="C595" s="334" t="s">
        <v>11</v>
      </c>
    </row>
    <row r="596" spans="1:4" x14ac:dyDescent="0.2">
      <c r="A596" s="334" t="s">
        <v>4472</v>
      </c>
      <c r="B596" s="334" t="s">
        <v>4473</v>
      </c>
      <c r="C596" s="334" t="s">
        <v>11</v>
      </c>
    </row>
    <row r="597" spans="1:4" x14ac:dyDescent="0.2">
      <c r="A597" s="334" t="s">
        <v>4474</v>
      </c>
      <c r="B597" s="334" t="s">
        <v>4475</v>
      </c>
      <c r="C597" s="334" t="s">
        <v>11</v>
      </c>
    </row>
    <row r="598" spans="1:4" x14ac:dyDescent="0.2">
      <c r="A598" s="334" t="s">
        <v>1425</v>
      </c>
      <c r="B598" s="334" t="s">
        <v>7146</v>
      </c>
      <c r="C598" s="334" t="s">
        <v>2338</v>
      </c>
    </row>
    <row r="599" spans="1:4" x14ac:dyDescent="0.2">
      <c r="A599" s="334" t="s">
        <v>1426</v>
      </c>
      <c r="B599" s="334" t="s">
        <v>7147</v>
      </c>
      <c r="C599" s="334" t="s">
        <v>25</v>
      </c>
    </row>
    <row r="600" spans="1:4" x14ac:dyDescent="0.2">
      <c r="A600" s="347" t="s">
        <v>1427</v>
      </c>
      <c r="B600" s="347" t="s">
        <v>7148</v>
      </c>
      <c r="C600" s="347" t="s">
        <v>11</v>
      </c>
      <c r="D600" s="348" t="s">
        <v>10271</v>
      </c>
    </row>
    <row r="601" spans="1:4" x14ac:dyDescent="0.2">
      <c r="A601" s="334" t="s">
        <v>1428</v>
      </c>
      <c r="B601" s="334" t="s">
        <v>7149</v>
      </c>
      <c r="C601" s="334" t="s">
        <v>11</v>
      </c>
    </row>
    <row r="602" spans="1:4" x14ac:dyDescent="0.2">
      <c r="A602" s="347" t="s">
        <v>1429</v>
      </c>
      <c r="B602" s="347" t="s">
        <v>7150</v>
      </c>
      <c r="C602" s="347" t="s">
        <v>11</v>
      </c>
      <c r="D602" s="348" t="s">
        <v>10271</v>
      </c>
    </row>
    <row r="603" spans="1:4" x14ac:dyDescent="0.2">
      <c r="A603" s="347" t="s">
        <v>1430</v>
      </c>
      <c r="B603" s="347" t="s">
        <v>7151</v>
      </c>
      <c r="C603" s="347" t="s">
        <v>11</v>
      </c>
      <c r="D603" s="348" t="s">
        <v>10271</v>
      </c>
    </row>
    <row r="604" spans="1:4" x14ac:dyDescent="0.2">
      <c r="A604" s="347" t="s">
        <v>1431</v>
      </c>
      <c r="B604" s="347" t="s">
        <v>7152</v>
      </c>
      <c r="C604" s="347" t="s">
        <v>11</v>
      </c>
      <c r="D604" s="348" t="s">
        <v>10271</v>
      </c>
    </row>
    <row r="605" spans="1:4" x14ac:dyDescent="0.2">
      <c r="A605" s="334" t="s">
        <v>1432</v>
      </c>
      <c r="B605" s="334" t="s">
        <v>7153</v>
      </c>
      <c r="C605" s="334" t="s">
        <v>16</v>
      </c>
    </row>
    <row r="606" spans="1:4" x14ac:dyDescent="0.2">
      <c r="A606" s="334" t="s">
        <v>4476</v>
      </c>
      <c r="B606" s="334" t="s">
        <v>7154</v>
      </c>
      <c r="C606" s="334" t="s">
        <v>16</v>
      </c>
    </row>
    <row r="607" spans="1:4" x14ac:dyDescent="0.2">
      <c r="A607" s="334" t="s">
        <v>1433</v>
      </c>
      <c r="B607" s="334" t="s">
        <v>7155</v>
      </c>
      <c r="C607" s="334" t="s">
        <v>16</v>
      </c>
    </row>
    <row r="608" spans="1:4" x14ac:dyDescent="0.2">
      <c r="A608" s="334" t="s">
        <v>1434</v>
      </c>
      <c r="B608" s="334" t="s">
        <v>7156</v>
      </c>
      <c r="C608" s="334" t="s">
        <v>16</v>
      </c>
    </row>
    <row r="609" spans="1:4" x14ac:dyDescent="0.2">
      <c r="A609" s="334" t="s">
        <v>1435</v>
      </c>
      <c r="B609" s="334" t="s">
        <v>7157</v>
      </c>
      <c r="C609" s="334" t="s">
        <v>16</v>
      </c>
    </row>
    <row r="610" spans="1:4" x14ac:dyDescent="0.2">
      <c r="A610" s="347" t="s">
        <v>1436</v>
      </c>
      <c r="B610" s="347" t="s">
        <v>7158</v>
      </c>
      <c r="C610" s="347" t="s">
        <v>16</v>
      </c>
      <c r="D610" s="348" t="s">
        <v>10271</v>
      </c>
    </row>
    <row r="611" spans="1:4" x14ac:dyDescent="0.2">
      <c r="A611" s="347" t="s">
        <v>1437</v>
      </c>
      <c r="B611" s="347" t="s">
        <v>7159</v>
      </c>
      <c r="C611" s="347" t="s">
        <v>16</v>
      </c>
      <c r="D611" s="348" t="s">
        <v>10271</v>
      </c>
    </row>
    <row r="612" spans="1:4" x14ac:dyDescent="0.2">
      <c r="A612" s="347" t="s">
        <v>1438</v>
      </c>
      <c r="B612" s="347" t="s">
        <v>7160</v>
      </c>
      <c r="C612" s="347" t="s">
        <v>16</v>
      </c>
      <c r="D612" s="348" t="s">
        <v>10271</v>
      </c>
    </row>
    <row r="613" spans="1:4" x14ac:dyDescent="0.2">
      <c r="A613" s="347" t="s">
        <v>1439</v>
      </c>
      <c r="B613" s="347" t="s">
        <v>7161</v>
      </c>
      <c r="C613" s="347" t="s">
        <v>16</v>
      </c>
      <c r="D613" s="348" t="s">
        <v>10271</v>
      </c>
    </row>
    <row r="614" spans="1:4" x14ac:dyDescent="0.2">
      <c r="A614" s="347" t="s">
        <v>1440</v>
      </c>
      <c r="B614" s="347" t="s">
        <v>7162</v>
      </c>
      <c r="C614" s="347" t="s">
        <v>16</v>
      </c>
      <c r="D614" s="348" t="s">
        <v>10271</v>
      </c>
    </row>
    <row r="615" spans="1:4" x14ac:dyDescent="0.2">
      <c r="A615" s="334" t="s">
        <v>1441</v>
      </c>
      <c r="B615" s="334" t="s">
        <v>7163</v>
      </c>
      <c r="C615" s="334" t="s">
        <v>16</v>
      </c>
    </row>
    <row r="616" spans="1:4" x14ac:dyDescent="0.2">
      <c r="A616" s="334" t="s">
        <v>1442</v>
      </c>
      <c r="B616" s="334" t="s">
        <v>7164</v>
      </c>
      <c r="C616" s="334" t="s">
        <v>16</v>
      </c>
    </row>
    <row r="617" spans="1:4" x14ac:dyDescent="0.2">
      <c r="A617" s="334" t="s">
        <v>1443</v>
      </c>
      <c r="B617" s="334" t="s">
        <v>7165</v>
      </c>
      <c r="C617" s="334" t="s">
        <v>16</v>
      </c>
    </row>
    <row r="618" spans="1:4" x14ac:dyDescent="0.2">
      <c r="A618" s="334" t="s">
        <v>1444</v>
      </c>
      <c r="B618" s="334" t="s">
        <v>7166</v>
      </c>
      <c r="C618" s="334" t="s">
        <v>16</v>
      </c>
    </row>
    <row r="619" spans="1:4" x14ac:dyDescent="0.2">
      <c r="A619" s="347" t="s">
        <v>1445</v>
      </c>
      <c r="B619" s="347" t="s">
        <v>7167</v>
      </c>
      <c r="C619" s="347" t="s">
        <v>16</v>
      </c>
      <c r="D619" s="348" t="s">
        <v>10271</v>
      </c>
    </row>
    <row r="620" spans="1:4" x14ac:dyDescent="0.2">
      <c r="A620" s="334" t="s">
        <v>1446</v>
      </c>
      <c r="B620" s="334" t="s">
        <v>4477</v>
      </c>
      <c r="C620" s="334" t="s">
        <v>11</v>
      </c>
    </row>
    <row r="621" spans="1:4" x14ac:dyDescent="0.2">
      <c r="A621" s="334" t="s">
        <v>1447</v>
      </c>
      <c r="B621" s="334" t="s">
        <v>4478</v>
      </c>
      <c r="C621" s="334" t="s">
        <v>2338</v>
      </c>
    </row>
    <row r="622" spans="1:4" x14ac:dyDescent="0.2">
      <c r="A622" s="334" t="s">
        <v>1448</v>
      </c>
      <c r="B622" s="334" t="s">
        <v>7168</v>
      </c>
      <c r="C622" s="334" t="s">
        <v>16</v>
      </c>
    </row>
    <row r="623" spans="1:4" x14ac:dyDescent="0.2">
      <c r="A623" s="334" t="s">
        <v>1449</v>
      </c>
      <c r="B623" s="334" t="s">
        <v>7169</v>
      </c>
      <c r="C623" s="334" t="s">
        <v>16</v>
      </c>
    </row>
    <row r="624" spans="1:4" x14ac:dyDescent="0.2">
      <c r="A624" s="347" t="s">
        <v>1450</v>
      </c>
      <c r="B624" s="347" t="s">
        <v>7170</v>
      </c>
      <c r="C624" s="347" t="s">
        <v>16</v>
      </c>
      <c r="D624" s="348" t="s">
        <v>10271</v>
      </c>
    </row>
    <row r="625" spans="1:4" x14ac:dyDescent="0.2">
      <c r="A625" s="347" t="s">
        <v>1451</v>
      </c>
      <c r="B625" s="347" t="s">
        <v>7171</v>
      </c>
      <c r="C625" s="347" t="s">
        <v>16</v>
      </c>
      <c r="D625" s="348" t="s">
        <v>10271</v>
      </c>
    </row>
    <row r="626" spans="1:4" x14ac:dyDescent="0.2">
      <c r="A626" s="347" t="s">
        <v>1452</v>
      </c>
      <c r="B626" s="347" t="s">
        <v>7172</v>
      </c>
      <c r="C626" s="347" t="s">
        <v>16</v>
      </c>
      <c r="D626" s="348" t="s">
        <v>10271</v>
      </c>
    </row>
    <row r="627" spans="1:4" x14ac:dyDescent="0.2">
      <c r="A627" s="347" t="s">
        <v>1453</v>
      </c>
      <c r="B627" s="347" t="s">
        <v>7173</v>
      </c>
      <c r="C627" s="347" t="s">
        <v>16</v>
      </c>
      <c r="D627" s="348" t="s">
        <v>10271</v>
      </c>
    </row>
    <row r="628" spans="1:4" x14ac:dyDescent="0.2">
      <c r="A628" s="334" t="s">
        <v>1455</v>
      </c>
      <c r="B628" s="334" t="s">
        <v>4479</v>
      </c>
      <c r="C628" s="334" t="s">
        <v>6608</v>
      </c>
    </row>
    <row r="629" spans="1:4" x14ac:dyDescent="0.2">
      <c r="A629" s="334" t="s">
        <v>1456</v>
      </c>
      <c r="B629" s="334" t="s">
        <v>7174</v>
      </c>
      <c r="C629" s="334" t="s">
        <v>16</v>
      </c>
    </row>
    <row r="630" spans="1:4" x14ac:dyDescent="0.2">
      <c r="A630" s="334" t="s">
        <v>4480</v>
      </c>
      <c r="B630" s="334" t="s">
        <v>7175</v>
      </c>
      <c r="C630" s="334" t="s">
        <v>16</v>
      </c>
    </row>
    <row r="631" spans="1:4" x14ac:dyDescent="0.2">
      <c r="A631" s="334" t="s">
        <v>4481</v>
      </c>
      <c r="B631" s="334" t="s">
        <v>7176</v>
      </c>
      <c r="C631" s="334" t="s">
        <v>16</v>
      </c>
    </row>
    <row r="632" spans="1:4" x14ac:dyDescent="0.2">
      <c r="A632" s="334" t="s">
        <v>4482</v>
      </c>
      <c r="B632" s="334" t="s">
        <v>7177</v>
      </c>
      <c r="C632" s="334" t="s">
        <v>2557</v>
      </c>
    </row>
    <row r="633" spans="1:4" x14ac:dyDescent="0.2">
      <c r="A633" s="334" t="s">
        <v>4483</v>
      </c>
      <c r="B633" s="334" t="s">
        <v>7178</v>
      </c>
      <c r="C633" s="334" t="s">
        <v>25</v>
      </c>
    </row>
    <row r="634" spans="1:4" x14ac:dyDescent="0.2">
      <c r="A634" s="334" t="s">
        <v>4484</v>
      </c>
      <c r="B634" s="334" t="s">
        <v>7179</v>
      </c>
      <c r="C634" s="334" t="s">
        <v>25</v>
      </c>
    </row>
    <row r="635" spans="1:4" x14ac:dyDescent="0.2">
      <c r="A635" s="334" t="s">
        <v>4485</v>
      </c>
      <c r="B635" s="334" t="s">
        <v>7180</v>
      </c>
      <c r="C635" s="334" t="s">
        <v>16</v>
      </c>
    </row>
    <row r="636" spans="1:4" x14ac:dyDescent="0.2">
      <c r="A636" s="334" t="s">
        <v>4486</v>
      </c>
      <c r="B636" s="334" t="s">
        <v>7181</v>
      </c>
      <c r="C636" s="334" t="s">
        <v>25</v>
      </c>
    </row>
    <row r="637" spans="1:4" x14ac:dyDescent="0.2">
      <c r="A637" s="334" t="s">
        <v>4487</v>
      </c>
      <c r="B637" s="334" t="s">
        <v>7182</v>
      </c>
      <c r="C637" s="334" t="s">
        <v>16</v>
      </c>
    </row>
    <row r="638" spans="1:4" x14ac:dyDescent="0.2">
      <c r="A638" s="334" t="s">
        <v>4488</v>
      </c>
      <c r="B638" s="334" t="s">
        <v>7183</v>
      </c>
      <c r="C638" s="334" t="s">
        <v>11</v>
      </c>
    </row>
    <row r="639" spans="1:4" x14ac:dyDescent="0.2">
      <c r="A639" s="334" t="s">
        <v>4489</v>
      </c>
      <c r="B639" s="334" t="s">
        <v>7184</v>
      </c>
      <c r="C639" s="334" t="s">
        <v>11</v>
      </c>
    </row>
    <row r="640" spans="1:4" x14ac:dyDescent="0.2">
      <c r="A640" s="334" t="s">
        <v>4490</v>
      </c>
      <c r="B640" s="334" t="s">
        <v>7185</v>
      </c>
      <c r="C640" s="334" t="s">
        <v>11</v>
      </c>
    </row>
    <row r="641" spans="1:4" x14ac:dyDescent="0.2">
      <c r="A641" s="334" t="s">
        <v>4491</v>
      </c>
      <c r="B641" s="334" t="s">
        <v>7186</v>
      </c>
      <c r="C641" s="334" t="s">
        <v>11</v>
      </c>
    </row>
    <row r="642" spans="1:4" x14ac:dyDescent="0.2">
      <c r="A642" s="334" t="s">
        <v>4492</v>
      </c>
      <c r="B642" s="334" t="s">
        <v>7187</v>
      </c>
      <c r="C642" s="334" t="s">
        <v>11</v>
      </c>
    </row>
    <row r="643" spans="1:4" x14ac:dyDescent="0.2">
      <c r="A643" s="334" t="s">
        <v>4493</v>
      </c>
      <c r="B643" s="334" t="s">
        <v>7188</v>
      </c>
      <c r="C643" s="334" t="s">
        <v>11</v>
      </c>
    </row>
    <row r="644" spans="1:4" x14ac:dyDescent="0.2">
      <c r="A644" s="334" t="s">
        <v>4494</v>
      </c>
      <c r="B644" s="334" t="s">
        <v>7189</v>
      </c>
      <c r="C644" s="334" t="s">
        <v>11</v>
      </c>
    </row>
    <row r="645" spans="1:4" x14ac:dyDescent="0.2">
      <c r="A645" s="334" t="s">
        <v>4495</v>
      </c>
      <c r="B645" s="334" t="s">
        <v>7190</v>
      </c>
      <c r="C645" s="334" t="s">
        <v>2338</v>
      </c>
    </row>
    <row r="646" spans="1:4" x14ac:dyDescent="0.2">
      <c r="A646" s="334" t="s">
        <v>1457</v>
      </c>
      <c r="B646" s="334" t="s">
        <v>7191</v>
      </c>
      <c r="C646" s="334" t="s">
        <v>11</v>
      </c>
    </row>
    <row r="647" spans="1:4" x14ac:dyDescent="0.2">
      <c r="A647" s="334" t="s">
        <v>4496</v>
      </c>
      <c r="B647" s="334" t="s">
        <v>4497</v>
      </c>
      <c r="C647" s="334" t="s">
        <v>2338</v>
      </c>
    </row>
    <row r="648" spans="1:4" x14ac:dyDescent="0.2">
      <c r="A648" s="334" t="s">
        <v>7192</v>
      </c>
      <c r="B648" s="334" t="s">
        <v>7193</v>
      </c>
      <c r="C648" s="334" t="s">
        <v>11</v>
      </c>
    </row>
    <row r="649" spans="1:4" x14ac:dyDescent="0.2">
      <c r="A649" s="334" t="s">
        <v>7194</v>
      </c>
      <c r="B649" s="334" t="s">
        <v>7195</v>
      </c>
      <c r="C649" s="334" t="s">
        <v>11</v>
      </c>
    </row>
    <row r="650" spans="1:4" x14ac:dyDescent="0.2">
      <c r="A650" s="334" t="s">
        <v>7196</v>
      </c>
      <c r="B650" s="334" t="s">
        <v>7197</v>
      </c>
      <c r="C650" s="334" t="s">
        <v>11</v>
      </c>
    </row>
    <row r="651" spans="1:4" x14ac:dyDescent="0.2">
      <c r="A651" s="334" t="s">
        <v>7198</v>
      </c>
      <c r="B651" s="334" t="s">
        <v>7199</v>
      </c>
      <c r="C651" s="334" t="s">
        <v>11</v>
      </c>
    </row>
    <row r="652" spans="1:4" x14ac:dyDescent="0.2">
      <c r="A652" s="334" t="s">
        <v>4498</v>
      </c>
      <c r="B652" s="334" t="s">
        <v>4499</v>
      </c>
      <c r="C652" s="334" t="s">
        <v>11</v>
      </c>
    </row>
    <row r="653" spans="1:4" x14ac:dyDescent="0.2">
      <c r="A653" s="347" t="s">
        <v>1458</v>
      </c>
      <c r="B653" s="347" t="s">
        <v>7200</v>
      </c>
      <c r="C653" s="347" t="s">
        <v>52</v>
      </c>
      <c r="D653" s="348" t="s">
        <v>10271</v>
      </c>
    </row>
    <row r="654" spans="1:4" x14ac:dyDescent="0.2">
      <c r="A654" s="347" t="s">
        <v>1459</v>
      </c>
      <c r="B654" s="347" t="s">
        <v>7201</v>
      </c>
      <c r="C654" s="347" t="s">
        <v>52</v>
      </c>
      <c r="D654" s="348" t="s">
        <v>10271</v>
      </c>
    </row>
    <row r="655" spans="1:4" x14ac:dyDescent="0.2">
      <c r="A655" s="347" t="s">
        <v>1460</v>
      </c>
      <c r="B655" s="347" t="s">
        <v>6972</v>
      </c>
      <c r="C655" s="347" t="s">
        <v>52</v>
      </c>
      <c r="D655" s="348" t="s">
        <v>10271</v>
      </c>
    </row>
    <row r="656" spans="1:4" x14ac:dyDescent="0.2">
      <c r="A656" s="347" t="s">
        <v>1461</v>
      </c>
      <c r="B656" s="347" t="s">
        <v>7202</v>
      </c>
      <c r="C656" s="347" t="s">
        <v>52</v>
      </c>
      <c r="D656" s="348" t="s">
        <v>10271</v>
      </c>
    </row>
    <row r="657" spans="1:4" x14ac:dyDescent="0.2">
      <c r="A657" s="347" t="s">
        <v>1462</v>
      </c>
      <c r="B657" s="347" t="s">
        <v>7203</v>
      </c>
      <c r="C657" s="347" t="s">
        <v>52</v>
      </c>
      <c r="D657" s="348" t="s">
        <v>10271</v>
      </c>
    </row>
    <row r="658" spans="1:4" x14ac:dyDescent="0.2">
      <c r="A658" s="347" t="s">
        <v>1463</v>
      </c>
      <c r="B658" s="347" t="s">
        <v>4500</v>
      </c>
      <c r="C658" s="347" t="s">
        <v>52</v>
      </c>
      <c r="D658" s="348" t="s">
        <v>10271</v>
      </c>
    </row>
    <row r="659" spans="1:4" x14ac:dyDescent="0.2">
      <c r="A659" s="347" t="s">
        <v>1464</v>
      </c>
      <c r="B659" s="347" t="s">
        <v>7204</v>
      </c>
      <c r="C659" s="347" t="s">
        <v>52</v>
      </c>
      <c r="D659" s="348" t="s">
        <v>10271</v>
      </c>
    </row>
    <row r="660" spans="1:4" x14ac:dyDescent="0.2">
      <c r="A660" s="347" t="s">
        <v>1465</v>
      </c>
      <c r="B660" s="347" t="s">
        <v>7205</v>
      </c>
      <c r="C660" s="347" t="s">
        <v>11</v>
      </c>
      <c r="D660" s="348" t="s">
        <v>10271</v>
      </c>
    </row>
    <row r="661" spans="1:4" x14ac:dyDescent="0.2">
      <c r="A661" s="347" t="s">
        <v>1466</v>
      </c>
      <c r="B661" s="347" t="s">
        <v>7206</v>
      </c>
      <c r="C661" s="347" t="s">
        <v>11</v>
      </c>
      <c r="D661" s="348" t="s">
        <v>10271</v>
      </c>
    </row>
    <row r="662" spans="1:4" x14ac:dyDescent="0.2">
      <c r="A662" s="334" t="s">
        <v>1467</v>
      </c>
      <c r="B662" s="334" t="s">
        <v>7207</v>
      </c>
      <c r="C662" s="334" t="s">
        <v>52</v>
      </c>
    </row>
    <row r="663" spans="1:4" x14ac:dyDescent="0.2">
      <c r="A663" s="347" t="s">
        <v>1468</v>
      </c>
      <c r="B663" s="347" t="s">
        <v>7208</v>
      </c>
      <c r="C663" s="347" t="s">
        <v>11</v>
      </c>
      <c r="D663" s="348" t="s">
        <v>10271</v>
      </c>
    </row>
    <row r="664" spans="1:4" x14ac:dyDescent="0.2">
      <c r="A664" s="347" t="s">
        <v>1469</v>
      </c>
      <c r="B664" s="347" t="s">
        <v>7209</v>
      </c>
      <c r="C664" s="347" t="s">
        <v>11</v>
      </c>
      <c r="D664" s="348" t="s">
        <v>10271</v>
      </c>
    </row>
    <row r="665" spans="1:4" x14ac:dyDescent="0.2">
      <c r="A665" s="347" t="s">
        <v>1470</v>
      </c>
      <c r="B665" s="347" t="s">
        <v>7210</v>
      </c>
      <c r="C665" s="347" t="s">
        <v>11</v>
      </c>
      <c r="D665" s="348" t="s">
        <v>10271</v>
      </c>
    </row>
    <row r="666" spans="1:4" x14ac:dyDescent="0.2">
      <c r="A666" s="334" t="s">
        <v>1471</v>
      </c>
      <c r="B666" s="334" t="s">
        <v>7211</v>
      </c>
      <c r="C666" s="334" t="s">
        <v>11</v>
      </c>
    </row>
    <row r="667" spans="1:4" x14ac:dyDescent="0.2">
      <c r="A667" s="347" t="s">
        <v>1472</v>
      </c>
      <c r="B667" s="347" t="s">
        <v>7212</v>
      </c>
      <c r="C667" s="347" t="s">
        <v>2557</v>
      </c>
      <c r="D667" s="348" t="s">
        <v>10271</v>
      </c>
    </row>
    <row r="668" spans="1:4" x14ac:dyDescent="0.2">
      <c r="A668" s="347" t="s">
        <v>1473</v>
      </c>
      <c r="B668" s="347" t="s">
        <v>7213</v>
      </c>
      <c r="C668" s="347" t="s">
        <v>2557</v>
      </c>
      <c r="D668" s="348" t="s">
        <v>10271</v>
      </c>
    </row>
    <row r="669" spans="1:4" x14ac:dyDescent="0.2">
      <c r="A669" s="334" t="s">
        <v>1475</v>
      </c>
      <c r="B669" s="334" t="s">
        <v>7214</v>
      </c>
      <c r="C669" s="334" t="s">
        <v>11</v>
      </c>
    </row>
    <row r="670" spans="1:4" x14ac:dyDescent="0.2">
      <c r="A670" s="347" t="s">
        <v>1476</v>
      </c>
      <c r="B670" s="347" t="s">
        <v>2511</v>
      </c>
      <c r="C670" s="347" t="s">
        <v>6604</v>
      </c>
      <c r="D670" s="348" t="s">
        <v>10271</v>
      </c>
    </row>
    <row r="671" spans="1:4" x14ac:dyDescent="0.2">
      <c r="A671" s="347" t="s">
        <v>1477</v>
      </c>
      <c r="B671" s="347" t="s">
        <v>7215</v>
      </c>
      <c r="C671" s="347" t="s">
        <v>16</v>
      </c>
      <c r="D671" s="348" t="s">
        <v>10271</v>
      </c>
    </row>
    <row r="672" spans="1:4" x14ac:dyDescent="0.2">
      <c r="A672" s="347" t="s">
        <v>1478</v>
      </c>
      <c r="B672" s="347" t="s">
        <v>7216</v>
      </c>
      <c r="C672" s="347" t="s">
        <v>16</v>
      </c>
      <c r="D672" s="348" t="s">
        <v>10271</v>
      </c>
    </row>
    <row r="673" spans="1:4" x14ac:dyDescent="0.2">
      <c r="A673" s="334" t="s">
        <v>1479</v>
      </c>
      <c r="B673" s="334" t="s">
        <v>7217</v>
      </c>
      <c r="C673" s="334" t="s">
        <v>16</v>
      </c>
    </row>
    <row r="674" spans="1:4" x14ac:dyDescent="0.2">
      <c r="A674" s="347" t="s">
        <v>1480</v>
      </c>
      <c r="B674" s="347" t="s">
        <v>7218</v>
      </c>
      <c r="C674" s="347" t="s">
        <v>16</v>
      </c>
      <c r="D674" s="348" t="s">
        <v>10271</v>
      </c>
    </row>
    <row r="675" spans="1:4" x14ac:dyDescent="0.2">
      <c r="A675" s="334" t="s">
        <v>1481</v>
      </c>
      <c r="B675" s="334" t="s">
        <v>4501</v>
      </c>
      <c r="C675" s="334" t="s">
        <v>25</v>
      </c>
    </row>
    <row r="676" spans="1:4" x14ac:dyDescent="0.2">
      <c r="A676" s="347" t="s">
        <v>1482</v>
      </c>
      <c r="B676" s="347" t="s">
        <v>7219</v>
      </c>
      <c r="C676" s="347" t="s">
        <v>25</v>
      </c>
      <c r="D676" s="348" t="s">
        <v>10271</v>
      </c>
    </row>
    <row r="677" spans="1:4" x14ac:dyDescent="0.2">
      <c r="A677" s="334" t="s">
        <v>1483</v>
      </c>
      <c r="B677" s="334" t="s">
        <v>7220</v>
      </c>
      <c r="C677" s="334" t="s">
        <v>25</v>
      </c>
    </row>
    <row r="678" spans="1:4" x14ac:dyDescent="0.2">
      <c r="A678" s="334" t="s">
        <v>1484</v>
      </c>
      <c r="B678" s="334" t="s">
        <v>7221</v>
      </c>
      <c r="C678" s="334" t="s">
        <v>2338</v>
      </c>
    </row>
    <row r="679" spans="1:4" x14ac:dyDescent="0.2">
      <c r="A679" s="334" t="s">
        <v>4502</v>
      </c>
      <c r="B679" s="334" t="s">
        <v>7222</v>
      </c>
      <c r="C679" s="334" t="s">
        <v>11</v>
      </c>
    </row>
    <row r="680" spans="1:4" x14ac:dyDescent="0.2">
      <c r="A680" s="334" t="s">
        <v>4503</v>
      </c>
      <c r="B680" s="334" t="s">
        <v>7223</v>
      </c>
      <c r="C680" s="334" t="s">
        <v>11</v>
      </c>
    </row>
    <row r="681" spans="1:4" x14ac:dyDescent="0.2">
      <c r="A681" s="347" t="s">
        <v>1485</v>
      </c>
      <c r="B681" s="347" t="s">
        <v>7224</v>
      </c>
      <c r="C681" s="347" t="s">
        <v>11</v>
      </c>
      <c r="D681" s="348" t="s">
        <v>10271</v>
      </c>
    </row>
    <row r="682" spans="1:4" x14ac:dyDescent="0.2">
      <c r="A682" s="334" t="s">
        <v>1486</v>
      </c>
      <c r="B682" s="334" t="s">
        <v>7225</v>
      </c>
      <c r="C682" s="334" t="s">
        <v>11</v>
      </c>
    </row>
    <row r="683" spans="1:4" x14ac:dyDescent="0.2">
      <c r="A683" s="334" t="s">
        <v>1487</v>
      </c>
      <c r="B683" s="334" t="s">
        <v>7226</v>
      </c>
      <c r="C683" s="334" t="s">
        <v>11</v>
      </c>
    </row>
    <row r="684" spans="1:4" x14ac:dyDescent="0.2">
      <c r="A684" s="334" t="s">
        <v>4504</v>
      </c>
      <c r="B684" s="334" t="s">
        <v>7227</v>
      </c>
      <c r="C684" s="334" t="s">
        <v>11</v>
      </c>
    </row>
    <row r="685" spans="1:4" x14ac:dyDescent="0.2">
      <c r="A685" s="347" t="s">
        <v>1488</v>
      </c>
      <c r="B685" s="347" t="s">
        <v>7228</v>
      </c>
      <c r="C685" s="347" t="s">
        <v>25</v>
      </c>
      <c r="D685" s="348" t="s">
        <v>10271</v>
      </c>
    </row>
    <row r="686" spans="1:4" x14ac:dyDescent="0.2">
      <c r="A686" s="347" t="s">
        <v>1489</v>
      </c>
      <c r="B686" s="347" t="s">
        <v>7229</v>
      </c>
      <c r="C686" s="347" t="s">
        <v>25</v>
      </c>
      <c r="D686" s="348" t="s">
        <v>10271</v>
      </c>
    </row>
    <row r="687" spans="1:4" x14ac:dyDescent="0.2">
      <c r="A687" s="347" t="s">
        <v>1490</v>
      </c>
      <c r="B687" s="347" t="s">
        <v>7230</v>
      </c>
      <c r="C687" s="347" t="s">
        <v>25</v>
      </c>
      <c r="D687" s="348" t="s">
        <v>10271</v>
      </c>
    </row>
    <row r="688" spans="1:4" x14ac:dyDescent="0.2">
      <c r="A688" s="347" t="s">
        <v>1491</v>
      </c>
      <c r="B688" s="347" t="s">
        <v>7231</v>
      </c>
      <c r="C688" s="347" t="s">
        <v>25</v>
      </c>
      <c r="D688" s="348" t="s">
        <v>10271</v>
      </c>
    </row>
    <row r="689" spans="1:4" x14ac:dyDescent="0.2">
      <c r="A689" s="347" t="s">
        <v>1492</v>
      </c>
      <c r="B689" s="347" t="s">
        <v>7232</v>
      </c>
      <c r="C689" s="347" t="s">
        <v>25</v>
      </c>
      <c r="D689" s="348" t="s">
        <v>10271</v>
      </c>
    </row>
    <row r="690" spans="1:4" x14ac:dyDescent="0.2">
      <c r="A690" s="334" t="s">
        <v>1493</v>
      </c>
      <c r="B690" s="334" t="s">
        <v>7233</v>
      </c>
      <c r="C690" s="334" t="s">
        <v>11</v>
      </c>
    </row>
    <row r="691" spans="1:4" x14ac:dyDescent="0.2">
      <c r="A691" s="347" t="s">
        <v>1494</v>
      </c>
      <c r="B691" s="347" t="s">
        <v>7234</v>
      </c>
      <c r="C691" s="347" t="s">
        <v>11</v>
      </c>
      <c r="D691" s="348" t="s">
        <v>10271</v>
      </c>
    </row>
    <row r="692" spans="1:4" x14ac:dyDescent="0.2">
      <c r="A692" s="347" t="s">
        <v>1495</v>
      </c>
      <c r="B692" s="347" t="s">
        <v>7235</v>
      </c>
      <c r="C692" s="347" t="s">
        <v>11</v>
      </c>
      <c r="D692" s="348" t="s">
        <v>10271</v>
      </c>
    </row>
    <row r="693" spans="1:4" x14ac:dyDescent="0.2">
      <c r="A693" s="334" t="s">
        <v>1496</v>
      </c>
      <c r="B693" s="334" t="s">
        <v>7236</v>
      </c>
      <c r="C693" s="334" t="s">
        <v>11</v>
      </c>
    </row>
    <row r="694" spans="1:4" x14ac:dyDescent="0.2">
      <c r="A694" s="334" t="s">
        <v>1497</v>
      </c>
      <c r="B694" s="334" t="s">
        <v>7237</v>
      </c>
      <c r="C694" s="334" t="s">
        <v>25</v>
      </c>
    </row>
    <row r="695" spans="1:4" x14ac:dyDescent="0.2">
      <c r="A695" s="347" t="s">
        <v>488</v>
      </c>
      <c r="B695" s="347" t="s">
        <v>2884</v>
      </c>
      <c r="C695" s="347" t="s">
        <v>2338</v>
      </c>
      <c r="D695" s="348" t="s">
        <v>10271</v>
      </c>
    </row>
    <row r="696" spans="1:4" x14ac:dyDescent="0.2">
      <c r="A696" s="334" t="s">
        <v>1498</v>
      </c>
      <c r="B696" s="334" t="s">
        <v>4505</v>
      </c>
      <c r="C696" s="334" t="s">
        <v>11</v>
      </c>
    </row>
    <row r="697" spans="1:4" x14ac:dyDescent="0.2">
      <c r="A697" s="334" t="s">
        <v>1499</v>
      </c>
      <c r="B697" s="334" t="s">
        <v>4506</v>
      </c>
      <c r="C697" s="334" t="s">
        <v>11</v>
      </c>
    </row>
    <row r="698" spans="1:4" x14ac:dyDescent="0.2">
      <c r="A698" s="347" t="s">
        <v>1500</v>
      </c>
      <c r="B698" s="347" t="s">
        <v>4507</v>
      </c>
      <c r="C698" s="347" t="s">
        <v>11</v>
      </c>
      <c r="D698" s="348" t="s">
        <v>10271</v>
      </c>
    </row>
    <row r="699" spans="1:4" x14ac:dyDescent="0.2">
      <c r="A699" s="334" t="s">
        <v>4508</v>
      </c>
      <c r="B699" s="334" t="s">
        <v>4509</v>
      </c>
      <c r="C699" s="334" t="s">
        <v>2557</v>
      </c>
    </row>
    <row r="700" spans="1:4" x14ac:dyDescent="0.2">
      <c r="A700" s="334" t="s">
        <v>1501</v>
      </c>
      <c r="B700" s="334" t="s">
        <v>7238</v>
      </c>
      <c r="C700" s="334" t="s">
        <v>25</v>
      </c>
    </row>
    <row r="701" spans="1:4" x14ac:dyDescent="0.2">
      <c r="A701" s="334" t="s">
        <v>4510</v>
      </c>
      <c r="B701" s="334" t="s">
        <v>7239</v>
      </c>
      <c r="C701" s="334" t="s">
        <v>11</v>
      </c>
    </row>
    <row r="702" spans="1:4" x14ac:dyDescent="0.2">
      <c r="A702" s="334" t="s">
        <v>1502</v>
      </c>
      <c r="B702" s="334" t="s">
        <v>7240</v>
      </c>
      <c r="C702" s="334" t="s">
        <v>25</v>
      </c>
    </row>
    <row r="703" spans="1:4" x14ac:dyDescent="0.2">
      <c r="A703" s="334" t="s">
        <v>1503</v>
      </c>
      <c r="B703" s="334" t="s">
        <v>7241</v>
      </c>
      <c r="C703" s="334" t="s">
        <v>25</v>
      </c>
    </row>
    <row r="704" spans="1:4" x14ac:dyDescent="0.2">
      <c r="A704" s="334" t="s">
        <v>1504</v>
      </c>
      <c r="B704" s="334" t="s">
        <v>7242</v>
      </c>
      <c r="C704" s="334" t="s">
        <v>25</v>
      </c>
    </row>
    <row r="705" spans="1:4" x14ac:dyDescent="0.2">
      <c r="A705" s="334" t="s">
        <v>1505</v>
      </c>
      <c r="B705" s="334" t="s">
        <v>7243</v>
      </c>
      <c r="C705" s="334" t="s">
        <v>11</v>
      </c>
    </row>
    <row r="706" spans="1:4" x14ac:dyDescent="0.2">
      <c r="A706" s="334" t="s">
        <v>1506</v>
      </c>
      <c r="B706" s="334" t="s">
        <v>7244</v>
      </c>
      <c r="C706" s="334" t="s">
        <v>11</v>
      </c>
    </row>
    <row r="707" spans="1:4" x14ac:dyDescent="0.2">
      <c r="A707" s="334" t="s">
        <v>1507</v>
      </c>
      <c r="B707" s="334" t="s">
        <v>4511</v>
      </c>
      <c r="C707" s="334" t="s">
        <v>11</v>
      </c>
    </row>
    <row r="708" spans="1:4" x14ac:dyDescent="0.2">
      <c r="A708" s="347" t="s">
        <v>1508</v>
      </c>
      <c r="B708" s="347" t="s">
        <v>7245</v>
      </c>
      <c r="C708" s="347" t="s">
        <v>16</v>
      </c>
      <c r="D708" s="348" t="s">
        <v>10271</v>
      </c>
    </row>
    <row r="709" spans="1:4" x14ac:dyDescent="0.2">
      <c r="A709" s="334" t="s">
        <v>1509</v>
      </c>
      <c r="B709" s="334" t="s">
        <v>7246</v>
      </c>
      <c r="C709" s="334" t="s">
        <v>16</v>
      </c>
    </row>
    <row r="710" spans="1:4" x14ac:dyDescent="0.2">
      <c r="A710" s="347" t="s">
        <v>1510</v>
      </c>
      <c r="B710" s="347" t="s">
        <v>7247</v>
      </c>
      <c r="C710" s="347" t="s">
        <v>25</v>
      </c>
      <c r="D710" s="348" t="s">
        <v>10271</v>
      </c>
    </row>
    <row r="711" spans="1:4" x14ac:dyDescent="0.2">
      <c r="A711" s="334" t="s">
        <v>1511</v>
      </c>
      <c r="B711" s="334" t="s">
        <v>7248</v>
      </c>
      <c r="C711" s="334" t="s">
        <v>25</v>
      </c>
    </row>
    <row r="712" spans="1:4" x14ac:dyDescent="0.2">
      <c r="A712" s="334" t="s">
        <v>1512</v>
      </c>
      <c r="B712" s="334" t="s">
        <v>7249</v>
      </c>
      <c r="C712" s="334" t="s">
        <v>25</v>
      </c>
    </row>
    <row r="713" spans="1:4" x14ac:dyDescent="0.2">
      <c r="A713" s="334" t="s">
        <v>1513</v>
      </c>
      <c r="B713" s="334" t="s">
        <v>7250</v>
      </c>
      <c r="C713" s="334" t="s">
        <v>11</v>
      </c>
    </row>
    <row r="714" spans="1:4" x14ac:dyDescent="0.2">
      <c r="A714" s="334" t="s">
        <v>1514</v>
      </c>
      <c r="B714" s="334" t="s">
        <v>7251</v>
      </c>
      <c r="C714" s="334" t="s">
        <v>11</v>
      </c>
    </row>
    <row r="715" spans="1:4" x14ac:dyDescent="0.2">
      <c r="A715" s="334" t="s">
        <v>1515</v>
      </c>
      <c r="B715" s="334" t="s">
        <v>7252</v>
      </c>
      <c r="C715" s="334" t="s">
        <v>11</v>
      </c>
    </row>
    <row r="716" spans="1:4" x14ac:dyDescent="0.2">
      <c r="A716" s="334" t="s">
        <v>1516</v>
      </c>
      <c r="B716" s="334" t="s">
        <v>7253</v>
      </c>
      <c r="C716" s="334" t="s">
        <v>11</v>
      </c>
    </row>
    <row r="717" spans="1:4" x14ac:dyDescent="0.2">
      <c r="A717" s="334" t="s">
        <v>1517</v>
      </c>
      <c r="B717" s="334" t="s">
        <v>7254</v>
      </c>
      <c r="C717" s="334" t="s">
        <v>11</v>
      </c>
    </row>
    <row r="718" spans="1:4" x14ac:dyDescent="0.2">
      <c r="A718" s="347" t="s">
        <v>1521</v>
      </c>
      <c r="B718" s="347" t="s">
        <v>7255</v>
      </c>
      <c r="C718" s="347" t="s">
        <v>16</v>
      </c>
      <c r="D718" s="348" t="s">
        <v>10271</v>
      </c>
    </row>
    <row r="719" spans="1:4" x14ac:dyDescent="0.2">
      <c r="A719" s="347" t="s">
        <v>1522</v>
      </c>
      <c r="B719" s="347" t="s">
        <v>7256</v>
      </c>
      <c r="C719" s="347" t="s">
        <v>16</v>
      </c>
      <c r="D719" s="348" t="s">
        <v>10271</v>
      </c>
    </row>
    <row r="720" spans="1:4" x14ac:dyDescent="0.2">
      <c r="A720" s="347" t="s">
        <v>1523</v>
      </c>
      <c r="B720" s="347" t="s">
        <v>2838</v>
      </c>
      <c r="C720" s="347" t="s">
        <v>25</v>
      </c>
      <c r="D720" s="348" t="s">
        <v>10271</v>
      </c>
    </row>
    <row r="721" spans="1:4" x14ac:dyDescent="0.2">
      <c r="A721" s="347" t="s">
        <v>1524</v>
      </c>
      <c r="B721" s="347" t="s">
        <v>7257</v>
      </c>
      <c r="C721" s="347" t="s">
        <v>11</v>
      </c>
      <c r="D721" s="348" t="s">
        <v>10271</v>
      </c>
    </row>
    <row r="722" spans="1:4" x14ac:dyDescent="0.2">
      <c r="A722" s="334" t="s">
        <v>1525</v>
      </c>
      <c r="B722" s="334" t="s">
        <v>7258</v>
      </c>
      <c r="C722" s="334" t="s">
        <v>11</v>
      </c>
    </row>
    <row r="723" spans="1:4" x14ac:dyDescent="0.2">
      <c r="A723" s="334" t="s">
        <v>4512</v>
      </c>
      <c r="B723" s="334" t="s">
        <v>4513</v>
      </c>
      <c r="C723" s="334" t="s">
        <v>2338</v>
      </c>
    </row>
    <row r="724" spans="1:4" x14ac:dyDescent="0.2">
      <c r="A724" s="334" t="s">
        <v>4514</v>
      </c>
      <c r="B724" s="334" t="s">
        <v>4515</v>
      </c>
      <c r="C724" s="334" t="s">
        <v>6608</v>
      </c>
    </row>
    <row r="725" spans="1:4" x14ac:dyDescent="0.2">
      <c r="A725" s="334" t="s">
        <v>4516</v>
      </c>
      <c r="B725" s="334" t="s">
        <v>4517</v>
      </c>
      <c r="C725" s="334" t="s">
        <v>2338</v>
      </c>
    </row>
    <row r="726" spans="1:4" x14ac:dyDescent="0.2">
      <c r="A726" s="347" t="s">
        <v>1526</v>
      </c>
      <c r="B726" s="347" t="s">
        <v>7259</v>
      </c>
      <c r="C726" s="347" t="s">
        <v>16</v>
      </c>
      <c r="D726" s="348" t="s">
        <v>10271</v>
      </c>
    </row>
    <row r="727" spans="1:4" x14ac:dyDescent="0.2">
      <c r="A727" s="347" t="s">
        <v>1527</v>
      </c>
      <c r="B727" s="347" t="s">
        <v>7260</v>
      </c>
      <c r="C727" s="347" t="s">
        <v>16</v>
      </c>
      <c r="D727" s="348" t="s">
        <v>10271</v>
      </c>
    </row>
    <row r="728" spans="1:4" x14ac:dyDescent="0.2">
      <c r="A728" s="347" t="s">
        <v>1528</v>
      </c>
      <c r="B728" s="347" t="s">
        <v>7261</v>
      </c>
      <c r="C728" s="347" t="s">
        <v>52</v>
      </c>
      <c r="D728" s="348" t="s">
        <v>10271</v>
      </c>
    </row>
    <row r="729" spans="1:4" x14ac:dyDescent="0.2">
      <c r="A729" s="334" t="s">
        <v>1529</v>
      </c>
      <c r="B729" s="334" t="s">
        <v>7262</v>
      </c>
      <c r="C729" s="334" t="s">
        <v>11</v>
      </c>
    </row>
    <row r="730" spans="1:4" x14ac:dyDescent="0.2">
      <c r="A730" s="334" t="s">
        <v>1530</v>
      </c>
      <c r="B730" s="334" t="s">
        <v>7263</v>
      </c>
      <c r="C730" s="334" t="s">
        <v>11</v>
      </c>
    </row>
    <row r="731" spans="1:4" x14ac:dyDescent="0.2">
      <c r="A731" s="334" t="s">
        <v>1531</v>
      </c>
      <c r="B731" s="334" t="s">
        <v>7264</v>
      </c>
      <c r="C731" s="334" t="s">
        <v>11</v>
      </c>
    </row>
    <row r="732" spans="1:4" x14ac:dyDescent="0.2">
      <c r="A732" s="347" t="s">
        <v>1532</v>
      </c>
      <c r="B732" s="347" t="s">
        <v>7265</v>
      </c>
      <c r="C732" s="347" t="s">
        <v>11</v>
      </c>
      <c r="D732" s="348" t="s">
        <v>10271</v>
      </c>
    </row>
    <row r="733" spans="1:4" x14ac:dyDescent="0.2">
      <c r="A733" s="334" t="s">
        <v>1533</v>
      </c>
      <c r="B733" s="334" t="s">
        <v>7266</v>
      </c>
      <c r="C733" s="334" t="s">
        <v>11</v>
      </c>
    </row>
    <row r="734" spans="1:4" x14ac:dyDescent="0.2">
      <c r="A734" s="334" t="s">
        <v>1534</v>
      </c>
      <c r="B734" s="334" t="s">
        <v>7267</v>
      </c>
      <c r="C734" s="334" t="s">
        <v>11</v>
      </c>
    </row>
    <row r="735" spans="1:4" x14ac:dyDescent="0.2">
      <c r="A735" s="334" t="s">
        <v>1535</v>
      </c>
      <c r="B735" s="334" t="s">
        <v>7268</v>
      </c>
      <c r="C735" s="334" t="s">
        <v>25</v>
      </c>
    </row>
    <row r="736" spans="1:4" x14ac:dyDescent="0.2">
      <c r="A736" s="334" t="s">
        <v>1536</v>
      </c>
      <c r="B736" s="334" t="s">
        <v>7269</v>
      </c>
      <c r="C736" s="334" t="s">
        <v>25</v>
      </c>
    </row>
    <row r="737" spans="1:4" x14ac:dyDescent="0.2">
      <c r="A737" s="334" t="s">
        <v>1537</v>
      </c>
      <c r="B737" s="334" t="s">
        <v>4518</v>
      </c>
      <c r="C737" s="334" t="s">
        <v>11</v>
      </c>
    </row>
    <row r="738" spans="1:4" x14ac:dyDescent="0.2">
      <c r="A738" s="334" t="s">
        <v>1538</v>
      </c>
      <c r="B738" s="334" t="s">
        <v>7270</v>
      </c>
      <c r="C738" s="334" t="s">
        <v>11</v>
      </c>
    </row>
    <row r="739" spans="1:4" x14ac:dyDescent="0.2">
      <c r="A739" s="334" t="s">
        <v>1539</v>
      </c>
      <c r="B739" s="334" t="s">
        <v>7271</v>
      </c>
      <c r="C739" s="334" t="s">
        <v>2338</v>
      </c>
    </row>
    <row r="740" spans="1:4" x14ac:dyDescent="0.2">
      <c r="A740" s="347" t="s">
        <v>1540</v>
      </c>
      <c r="B740" s="347" t="s">
        <v>2891</v>
      </c>
      <c r="C740" s="347" t="s">
        <v>2338</v>
      </c>
      <c r="D740" s="348" t="s">
        <v>10271</v>
      </c>
    </row>
    <row r="741" spans="1:4" x14ac:dyDescent="0.2">
      <c r="A741" s="334" t="s">
        <v>4519</v>
      </c>
      <c r="B741" s="334" t="s">
        <v>7272</v>
      </c>
      <c r="C741" s="334" t="s">
        <v>16</v>
      </c>
    </row>
    <row r="742" spans="1:4" x14ac:dyDescent="0.2">
      <c r="A742" s="334" t="s">
        <v>4520</v>
      </c>
      <c r="B742" s="334" t="s">
        <v>7273</v>
      </c>
      <c r="C742" s="334" t="s">
        <v>16</v>
      </c>
    </row>
    <row r="743" spans="1:4" x14ac:dyDescent="0.2">
      <c r="A743" s="347" t="s">
        <v>1541</v>
      </c>
      <c r="B743" s="347" t="s">
        <v>7274</v>
      </c>
      <c r="C743" s="347" t="s">
        <v>16</v>
      </c>
      <c r="D743" s="348" t="s">
        <v>10271</v>
      </c>
    </row>
    <row r="744" spans="1:4" x14ac:dyDescent="0.2">
      <c r="A744" s="334" t="s">
        <v>1542</v>
      </c>
      <c r="B744" s="334" t="s">
        <v>7275</v>
      </c>
      <c r="C744" s="334" t="s">
        <v>16</v>
      </c>
    </row>
    <row r="745" spans="1:4" x14ac:dyDescent="0.2">
      <c r="A745" s="347" t="s">
        <v>1543</v>
      </c>
      <c r="B745" s="347" t="s">
        <v>7276</v>
      </c>
      <c r="C745" s="347" t="s">
        <v>11</v>
      </c>
      <c r="D745" s="348" t="s">
        <v>10271</v>
      </c>
    </row>
    <row r="746" spans="1:4" x14ac:dyDescent="0.2">
      <c r="A746" s="334" t="s">
        <v>1544</v>
      </c>
      <c r="B746" s="334" t="s">
        <v>7277</v>
      </c>
      <c r="C746" s="334" t="s">
        <v>16</v>
      </c>
    </row>
    <row r="747" spans="1:4" x14ac:dyDescent="0.2">
      <c r="A747" s="347" t="s">
        <v>1545</v>
      </c>
      <c r="B747" s="347" t="s">
        <v>7278</v>
      </c>
      <c r="C747" s="347" t="s">
        <v>11</v>
      </c>
      <c r="D747" s="348" t="s">
        <v>10271</v>
      </c>
    </row>
    <row r="748" spans="1:4" x14ac:dyDescent="0.2">
      <c r="A748" s="347" t="s">
        <v>1546</v>
      </c>
      <c r="B748" s="347" t="s">
        <v>7279</v>
      </c>
      <c r="C748" s="347" t="s">
        <v>11</v>
      </c>
      <c r="D748" s="348" t="s">
        <v>10271</v>
      </c>
    </row>
    <row r="749" spans="1:4" x14ac:dyDescent="0.2">
      <c r="A749" s="347" t="s">
        <v>1548</v>
      </c>
      <c r="B749" s="347" t="s">
        <v>7280</v>
      </c>
      <c r="C749" s="347" t="s">
        <v>11</v>
      </c>
      <c r="D749" s="348" t="s">
        <v>10271</v>
      </c>
    </row>
    <row r="750" spans="1:4" x14ac:dyDescent="0.2">
      <c r="A750" s="347" t="s">
        <v>1549</v>
      </c>
      <c r="B750" s="347" t="s">
        <v>7281</v>
      </c>
      <c r="C750" s="347" t="s">
        <v>16</v>
      </c>
      <c r="D750" s="348" t="s">
        <v>10271</v>
      </c>
    </row>
    <row r="751" spans="1:4" x14ac:dyDescent="0.2">
      <c r="A751" s="347" t="s">
        <v>1550</v>
      </c>
      <c r="B751" s="347" t="s">
        <v>7282</v>
      </c>
      <c r="C751" s="347" t="s">
        <v>16</v>
      </c>
      <c r="D751" s="348" t="s">
        <v>10271</v>
      </c>
    </row>
    <row r="752" spans="1:4" x14ac:dyDescent="0.2">
      <c r="A752" s="347" t="s">
        <v>1552</v>
      </c>
      <c r="B752" s="347" t="s">
        <v>7283</v>
      </c>
      <c r="C752" s="347" t="s">
        <v>16</v>
      </c>
      <c r="D752" s="348" t="s">
        <v>10271</v>
      </c>
    </row>
    <row r="753" spans="1:4" x14ac:dyDescent="0.2">
      <c r="A753" s="347" t="s">
        <v>1553</v>
      </c>
      <c r="B753" s="347" t="s">
        <v>7284</v>
      </c>
      <c r="C753" s="347" t="s">
        <v>52</v>
      </c>
      <c r="D753" s="348" t="s">
        <v>10271</v>
      </c>
    </row>
    <row r="754" spans="1:4" x14ac:dyDescent="0.2">
      <c r="A754" s="334" t="s">
        <v>1554</v>
      </c>
      <c r="B754" s="334" t="s">
        <v>7285</v>
      </c>
      <c r="C754" s="334" t="s">
        <v>25</v>
      </c>
    </row>
    <row r="755" spans="1:4" x14ac:dyDescent="0.2">
      <c r="A755" s="334" t="s">
        <v>1555</v>
      </c>
      <c r="B755" s="334" t="s">
        <v>7286</v>
      </c>
      <c r="C755" s="334" t="s">
        <v>25</v>
      </c>
    </row>
    <row r="756" spans="1:4" x14ac:dyDescent="0.2">
      <c r="A756" s="347" t="s">
        <v>1556</v>
      </c>
      <c r="B756" s="347" t="s">
        <v>7287</v>
      </c>
      <c r="C756" s="347" t="s">
        <v>25</v>
      </c>
      <c r="D756" s="348" t="s">
        <v>10271</v>
      </c>
    </row>
    <row r="757" spans="1:4" x14ac:dyDescent="0.2">
      <c r="A757" s="334" t="s">
        <v>1557</v>
      </c>
      <c r="B757" s="334" t="s">
        <v>7288</v>
      </c>
      <c r="C757" s="334" t="s">
        <v>11</v>
      </c>
    </row>
    <row r="758" spans="1:4" x14ac:dyDescent="0.2">
      <c r="A758" s="334" t="s">
        <v>1558</v>
      </c>
      <c r="B758" s="334" t="s">
        <v>7289</v>
      </c>
      <c r="C758" s="334" t="s">
        <v>11</v>
      </c>
    </row>
    <row r="759" spans="1:4" x14ac:dyDescent="0.2">
      <c r="A759" s="334" t="s">
        <v>1559</v>
      </c>
      <c r="B759" s="334" t="s">
        <v>7290</v>
      </c>
      <c r="C759" s="334" t="s">
        <v>11</v>
      </c>
    </row>
    <row r="760" spans="1:4" x14ac:dyDescent="0.2">
      <c r="A760" s="347" t="s">
        <v>1560</v>
      </c>
      <c r="B760" s="347" t="s">
        <v>7291</v>
      </c>
      <c r="C760" s="347" t="s">
        <v>16</v>
      </c>
      <c r="D760" s="348" t="s">
        <v>10271</v>
      </c>
    </row>
    <row r="761" spans="1:4" x14ac:dyDescent="0.2">
      <c r="A761" s="334" t="s">
        <v>1561</v>
      </c>
      <c r="B761" s="334" t="s">
        <v>7174</v>
      </c>
      <c r="C761" s="334" t="s">
        <v>16</v>
      </c>
    </row>
    <row r="762" spans="1:4" x14ac:dyDescent="0.2">
      <c r="A762" s="334" t="s">
        <v>1562</v>
      </c>
      <c r="B762" s="334" t="s">
        <v>7292</v>
      </c>
      <c r="C762" s="334" t="s">
        <v>16</v>
      </c>
    </row>
    <row r="763" spans="1:4" x14ac:dyDescent="0.2">
      <c r="A763" s="334" t="s">
        <v>1563</v>
      </c>
      <c r="B763" s="334" t="s">
        <v>4521</v>
      </c>
      <c r="C763" s="334" t="s">
        <v>11</v>
      </c>
    </row>
    <row r="764" spans="1:4" x14ac:dyDescent="0.2">
      <c r="A764" s="334" t="s">
        <v>1564</v>
      </c>
      <c r="B764" s="334" t="s">
        <v>7293</v>
      </c>
      <c r="C764" s="334" t="s">
        <v>16</v>
      </c>
    </row>
    <row r="765" spans="1:4" x14ac:dyDescent="0.2">
      <c r="A765" s="347" t="s">
        <v>459</v>
      </c>
      <c r="B765" s="347" t="s">
        <v>2896</v>
      </c>
      <c r="C765" s="347" t="s">
        <v>2338</v>
      </c>
      <c r="D765" s="348" t="s">
        <v>10271</v>
      </c>
    </row>
    <row r="766" spans="1:4" x14ac:dyDescent="0.2">
      <c r="A766" s="334" t="s">
        <v>1565</v>
      </c>
      <c r="B766" s="334" t="s">
        <v>7294</v>
      </c>
      <c r="C766" s="334" t="s">
        <v>16</v>
      </c>
    </row>
    <row r="767" spans="1:4" x14ac:dyDescent="0.2">
      <c r="A767" s="347" t="s">
        <v>1566</v>
      </c>
      <c r="B767" s="347" t="s">
        <v>2864</v>
      </c>
      <c r="C767" s="347" t="s">
        <v>25</v>
      </c>
      <c r="D767" s="348" t="s">
        <v>10271</v>
      </c>
    </row>
    <row r="768" spans="1:4" x14ac:dyDescent="0.2">
      <c r="A768" s="334" t="s">
        <v>1567</v>
      </c>
      <c r="B768" s="334" t="s">
        <v>7147</v>
      </c>
      <c r="C768" s="334" t="s">
        <v>25</v>
      </c>
    </row>
    <row r="769" spans="1:4" x14ac:dyDescent="0.2">
      <c r="A769" s="347" t="s">
        <v>1568</v>
      </c>
      <c r="B769" s="347" t="s">
        <v>7295</v>
      </c>
      <c r="C769" s="347" t="s">
        <v>16</v>
      </c>
      <c r="D769" s="348" t="s">
        <v>10271</v>
      </c>
    </row>
    <row r="770" spans="1:4" x14ac:dyDescent="0.2">
      <c r="A770" s="334" t="s">
        <v>1569</v>
      </c>
      <c r="B770" s="334" t="s">
        <v>7296</v>
      </c>
      <c r="C770" s="334" t="s">
        <v>16</v>
      </c>
    </row>
    <row r="771" spans="1:4" x14ac:dyDescent="0.2">
      <c r="A771" s="334" t="s">
        <v>1570</v>
      </c>
      <c r="B771" s="334" t="s">
        <v>7297</v>
      </c>
      <c r="C771" s="334" t="s">
        <v>16</v>
      </c>
    </row>
    <row r="772" spans="1:4" x14ac:dyDescent="0.2">
      <c r="A772" s="334" t="s">
        <v>1571</v>
      </c>
      <c r="B772" s="334" t="s">
        <v>7298</v>
      </c>
      <c r="C772" s="334" t="s">
        <v>11</v>
      </c>
    </row>
    <row r="773" spans="1:4" x14ac:dyDescent="0.2">
      <c r="A773" s="334" t="s">
        <v>1572</v>
      </c>
      <c r="B773" s="334" t="s">
        <v>7299</v>
      </c>
      <c r="C773" s="334" t="s">
        <v>11</v>
      </c>
    </row>
    <row r="774" spans="1:4" x14ac:dyDescent="0.2">
      <c r="A774" s="347" t="s">
        <v>1573</v>
      </c>
      <c r="B774" s="347" t="s">
        <v>7300</v>
      </c>
      <c r="C774" s="347" t="s">
        <v>25</v>
      </c>
      <c r="D774" s="348" t="s">
        <v>10271</v>
      </c>
    </row>
    <row r="775" spans="1:4" x14ac:dyDescent="0.2">
      <c r="A775" s="334" t="s">
        <v>1574</v>
      </c>
      <c r="B775" s="334" t="s">
        <v>7301</v>
      </c>
      <c r="C775" s="334" t="s">
        <v>25</v>
      </c>
    </row>
    <row r="776" spans="1:4" x14ac:dyDescent="0.2">
      <c r="A776" s="334" t="s">
        <v>1575</v>
      </c>
      <c r="B776" s="334" t="s">
        <v>7302</v>
      </c>
      <c r="C776" s="334" t="s">
        <v>25</v>
      </c>
    </row>
    <row r="777" spans="1:4" x14ac:dyDescent="0.2">
      <c r="A777" s="347" t="s">
        <v>1576</v>
      </c>
      <c r="B777" s="347" t="s">
        <v>7177</v>
      </c>
      <c r="C777" s="347" t="s">
        <v>2557</v>
      </c>
      <c r="D777" s="348" t="s">
        <v>10271</v>
      </c>
    </row>
    <row r="778" spans="1:4" x14ac:dyDescent="0.2">
      <c r="A778" s="347" t="s">
        <v>1577</v>
      </c>
      <c r="B778" s="347" t="s">
        <v>7303</v>
      </c>
      <c r="C778" s="347" t="s">
        <v>52</v>
      </c>
      <c r="D778" s="348" t="s">
        <v>10271</v>
      </c>
    </row>
    <row r="779" spans="1:4" x14ac:dyDescent="0.2">
      <c r="A779" s="334" t="s">
        <v>4522</v>
      </c>
      <c r="B779" s="334" t="s">
        <v>7304</v>
      </c>
      <c r="C779" s="334" t="s">
        <v>52</v>
      </c>
    </row>
    <row r="780" spans="1:4" x14ac:dyDescent="0.2">
      <c r="A780" s="334" t="s">
        <v>1578</v>
      </c>
      <c r="B780" s="334" t="s">
        <v>7305</v>
      </c>
      <c r="C780" s="334" t="s">
        <v>16</v>
      </c>
    </row>
    <row r="781" spans="1:4" x14ac:dyDescent="0.2">
      <c r="A781" s="334" t="s">
        <v>1579</v>
      </c>
      <c r="B781" s="334" t="s">
        <v>7306</v>
      </c>
      <c r="C781" s="334" t="s">
        <v>11</v>
      </c>
    </row>
    <row r="782" spans="1:4" x14ac:dyDescent="0.2">
      <c r="A782" s="347" t="s">
        <v>1580</v>
      </c>
      <c r="B782" s="347" t="s">
        <v>7307</v>
      </c>
      <c r="C782" s="347" t="s">
        <v>25</v>
      </c>
      <c r="D782" s="348" t="s">
        <v>10271</v>
      </c>
    </row>
    <row r="783" spans="1:4" x14ac:dyDescent="0.2">
      <c r="A783" s="334" t="s">
        <v>1582</v>
      </c>
      <c r="B783" s="334" t="s">
        <v>4523</v>
      </c>
      <c r="C783" s="334" t="s">
        <v>6608</v>
      </c>
    </row>
    <row r="784" spans="1:4" x14ac:dyDescent="0.2">
      <c r="A784" s="334" t="s">
        <v>1583</v>
      </c>
      <c r="B784" s="334" t="s">
        <v>7308</v>
      </c>
      <c r="C784" s="334" t="s">
        <v>25</v>
      </c>
    </row>
    <row r="785" spans="1:4" x14ac:dyDescent="0.2">
      <c r="A785" s="334" t="s">
        <v>1584</v>
      </c>
      <c r="B785" s="334" t="s">
        <v>7309</v>
      </c>
      <c r="C785" s="334" t="s">
        <v>2557</v>
      </c>
    </row>
    <row r="786" spans="1:4" x14ac:dyDescent="0.2">
      <c r="A786" s="347" t="s">
        <v>1585</v>
      </c>
      <c r="B786" s="347" t="s">
        <v>7310</v>
      </c>
      <c r="C786" s="347" t="s">
        <v>25</v>
      </c>
      <c r="D786" s="348" t="s">
        <v>10271</v>
      </c>
    </row>
    <row r="787" spans="1:4" x14ac:dyDescent="0.2">
      <c r="A787" s="334" t="s">
        <v>1586</v>
      </c>
      <c r="B787" s="334" t="s">
        <v>7311</v>
      </c>
      <c r="C787" s="334" t="s">
        <v>25</v>
      </c>
    </row>
    <row r="788" spans="1:4" x14ac:dyDescent="0.2">
      <c r="A788" s="334" t="s">
        <v>1587</v>
      </c>
      <c r="B788" s="334" t="s">
        <v>7312</v>
      </c>
      <c r="C788" s="334" t="s">
        <v>16</v>
      </c>
    </row>
    <row r="789" spans="1:4" x14ac:dyDescent="0.2">
      <c r="A789" s="334" t="s">
        <v>1588</v>
      </c>
      <c r="B789" s="334" t="s">
        <v>4524</v>
      </c>
      <c r="C789" s="334" t="s">
        <v>11</v>
      </c>
    </row>
    <row r="790" spans="1:4" x14ac:dyDescent="0.2">
      <c r="A790" s="334" t="s">
        <v>1589</v>
      </c>
      <c r="B790" s="334" t="s">
        <v>4525</v>
      </c>
      <c r="C790" s="334" t="s">
        <v>6608</v>
      </c>
    </row>
    <row r="791" spans="1:4" x14ac:dyDescent="0.2">
      <c r="A791" s="347" t="s">
        <v>1592</v>
      </c>
      <c r="B791" s="347" t="s">
        <v>7313</v>
      </c>
      <c r="C791" s="347" t="s">
        <v>16</v>
      </c>
      <c r="D791" s="348" t="s">
        <v>10271</v>
      </c>
    </row>
    <row r="792" spans="1:4" x14ac:dyDescent="0.2">
      <c r="A792" s="347" t="s">
        <v>1593</v>
      </c>
      <c r="B792" s="347" t="s">
        <v>7314</v>
      </c>
      <c r="C792" s="347" t="s">
        <v>16</v>
      </c>
      <c r="D792" s="348" t="s">
        <v>10271</v>
      </c>
    </row>
    <row r="793" spans="1:4" x14ac:dyDescent="0.2">
      <c r="A793" s="347" t="s">
        <v>1594</v>
      </c>
      <c r="B793" s="347" t="s">
        <v>7315</v>
      </c>
      <c r="C793" s="347" t="s">
        <v>6609</v>
      </c>
      <c r="D793" s="348" t="s">
        <v>10271</v>
      </c>
    </row>
    <row r="794" spans="1:4" x14ac:dyDescent="0.2">
      <c r="A794" s="334" t="s">
        <v>1595</v>
      </c>
      <c r="B794" s="334" t="s">
        <v>7316</v>
      </c>
      <c r="C794" s="334" t="s">
        <v>6610</v>
      </c>
    </row>
    <row r="795" spans="1:4" x14ac:dyDescent="0.2">
      <c r="A795" s="334" t="s">
        <v>1596</v>
      </c>
      <c r="B795" s="334" t="s">
        <v>7317</v>
      </c>
      <c r="C795" s="334" t="s">
        <v>25</v>
      </c>
    </row>
    <row r="796" spans="1:4" x14ac:dyDescent="0.2">
      <c r="A796" s="334" t="s">
        <v>1597</v>
      </c>
      <c r="B796" s="334" t="s">
        <v>7318</v>
      </c>
      <c r="C796" s="334" t="s">
        <v>25</v>
      </c>
    </row>
    <row r="797" spans="1:4" x14ac:dyDescent="0.2">
      <c r="A797" s="347" t="s">
        <v>1598</v>
      </c>
      <c r="B797" s="347" t="s">
        <v>7319</v>
      </c>
      <c r="C797" s="347" t="s">
        <v>2557</v>
      </c>
      <c r="D797" s="348" t="s">
        <v>10271</v>
      </c>
    </row>
    <row r="798" spans="1:4" x14ac:dyDescent="0.2">
      <c r="A798" s="347" t="s">
        <v>1600</v>
      </c>
      <c r="B798" s="347" t="s">
        <v>7320</v>
      </c>
      <c r="C798" s="347" t="s">
        <v>11</v>
      </c>
      <c r="D798" s="348" t="s">
        <v>10271</v>
      </c>
    </row>
    <row r="799" spans="1:4" x14ac:dyDescent="0.2">
      <c r="A799" s="347" t="s">
        <v>1601</v>
      </c>
      <c r="B799" s="347" t="s">
        <v>7321</v>
      </c>
      <c r="C799" s="347" t="s">
        <v>11</v>
      </c>
      <c r="D799" s="348" t="s">
        <v>10271</v>
      </c>
    </row>
    <row r="800" spans="1:4" x14ac:dyDescent="0.2">
      <c r="A800" s="347" t="s">
        <v>1602</v>
      </c>
      <c r="B800" s="347" t="s">
        <v>7322</v>
      </c>
      <c r="C800" s="347" t="s">
        <v>11</v>
      </c>
      <c r="D800" s="348" t="s">
        <v>10271</v>
      </c>
    </row>
    <row r="801" spans="1:4" x14ac:dyDescent="0.2">
      <c r="A801" s="347" t="s">
        <v>1603</v>
      </c>
      <c r="B801" s="347" t="s">
        <v>7323</v>
      </c>
      <c r="C801" s="347" t="s">
        <v>11</v>
      </c>
      <c r="D801" s="348" t="s">
        <v>10271</v>
      </c>
    </row>
    <row r="802" spans="1:4" x14ac:dyDescent="0.2">
      <c r="A802" s="334" t="s">
        <v>1604</v>
      </c>
      <c r="B802" s="334" t="s">
        <v>4526</v>
      </c>
      <c r="C802" s="334" t="s">
        <v>11</v>
      </c>
    </row>
    <row r="803" spans="1:4" x14ac:dyDescent="0.2">
      <c r="A803" s="334" t="s">
        <v>1605</v>
      </c>
      <c r="B803" s="334" t="s">
        <v>7324</v>
      </c>
      <c r="C803" s="334" t="s">
        <v>11</v>
      </c>
    </row>
    <row r="804" spans="1:4" x14ac:dyDescent="0.2">
      <c r="A804" s="334" t="s">
        <v>1606</v>
      </c>
      <c r="B804" s="334" t="s">
        <v>7325</v>
      </c>
      <c r="C804" s="334" t="s">
        <v>11</v>
      </c>
    </row>
    <row r="805" spans="1:4" x14ac:dyDescent="0.2">
      <c r="A805" s="334" t="s">
        <v>1607</v>
      </c>
      <c r="B805" s="334" t="s">
        <v>7326</v>
      </c>
      <c r="C805" s="334" t="s">
        <v>11</v>
      </c>
    </row>
    <row r="806" spans="1:4" x14ac:dyDescent="0.2">
      <c r="A806" s="334" t="s">
        <v>1608</v>
      </c>
      <c r="B806" s="334" t="s">
        <v>7327</v>
      </c>
      <c r="C806" s="334" t="s">
        <v>11</v>
      </c>
    </row>
    <row r="807" spans="1:4" x14ac:dyDescent="0.2">
      <c r="A807" s="347" t="s">
        <v>1609</v>
      </c>
      <c r="B807" s="347" t="s">
        <v>7328</v>
      </c>
      <c r="C807" s="347" t="s">
        <v>11</v>
      </c>
      <c r="D807" s="348" t="s">
        <v>10271</v>
      </c>
    </row>
    <row r="808" spans="1:4" x14ac:dyDescent="0.2">
      <c r="A808" s="334" t="s">
        <v>1610</v>
      </c>
      <c r="B808" s="334" t="s">
        <v>7329</v>
      </c>
      <c r="C808" s="334" t="s">
        <v>11</v>
      </c>
    </row>
    <row r="809" spans="1:4" x14ac:dyDescent="0.2">
      <c r="A809" s="334" t="s">
        <v>1611</v>
      </c>
      <c r="B809" s="334" t="s">
        <v>7330</v>
      </c>
      <c r="C809" s="334" t="s">
        <v>11</v>
      </c>
    </row>
    <row r="810" spans="1:4" x14ac:dyDescent="0.2">
      <c r="A810" s="347" t="s">
        <v>1612</v>
      </c>
      <c r="B810" s="347" t="s">
        <v>7331</v>
      </c>
      <c r="C810" s="347" t="s">
        <v>16</v>
      </c>
      <c r="D810" s="348" t="s">
        <v>10271</v>
      </c>
    </row>
    <row r="811" spans="1:4" x14ac:dyDescent="0.2">
      <c r="A811" s="334" t="s">
        <v>4527</v>
      </c>
      <c r="B811" s="334" t="s">
        <v>7332</v>
      </c>
      <c r="C811" s="334" t="s">
        <v>11</v>
      </c>
    </row>
    <row r="812" spans="1:4" x14ac:dyDescent="0.2">
      <c r="A812" s="347" t="s">
        <v>1613</v>
      </c>
      <c r="B812" s="347" t="s">
        <v>7333</v>
      </c>
      <c r="C812" s="347" t="s">
        <v>2557</v>
      </c>
      <c r="D812" s="348" t="s">
        <v>10271</v>
      </c>
    </row>
    <row r="813" spans="1:4" x14ac:dyDescent="0.2">
      <c r="A813" s="334" t="s">
        <v>1614</v>
      </c>
      <c r="B813" s="334" t="s">
        <v>4528</v>
      </c>
      <c r="C813" s="334" t="s">
        <v>16</v>
      </c>
    </row>
    <row r="814" spans="1:4" x14ac:dyDescent="0.2">
      <c r="A814" s="347" t="s">
        <v>1615</v>
      </c>
      <c r="B814" s="347" t="s">
        <v>7334</v>
      </c>
      <c r="C814" s="347" t="s">
        <v>11</v>
      </c>
      <c r="D814" s="348" t="s">
        <v>10271</v>
      </c>
    </row>
    <row r="815" spans="1:4" x14ac:dyDescent="0.2">
      <c r="A815" s="334" t="s">
        <v>1616</v>
      </c>
      <c r="B815" s="334" t="s">
        <v>7335</v>
      </c>
      <c r="C815" s="334" t="s">
        <v>11</v>
      </c>
    </row>
    <row r="816" spans="1:4" x14ac:dyDescent="0.2">
      <c r="A816" s="334" t="s">
        <v>4529</v>
      </c>
      <c r="B816" s="334" t="s">
        <v>7336</v>
      </c>
      <c r="C816" s="334" t="s">
        <v>2338</v>
      </c>
    </row>
    <row r="817" spans="1:4" x14ac:dyDescent="0.2">
      <c r="A817" s="347" t="s">
        <v>1617</v>
      </c>
      <c r="B817" s="347" t="s">
        <v>7337</v>
      </c>
      <c r="C817" s="347" t="s">
        <v>25</v>
      </c>
      <c r="D817" s="348" t="s">
        <v>10271</v>
      </c>
    </row>
    <row r="818" spans="1:4" x14ac:dyDescent="0.2">
      <c r="A818" s="334" t="s">
        <v>1618</v>
      </c>
      <c r="B818" s="334" t="s">
        <v>7338</v>
      </c>
      <c r="C818" s="334" t="s">
        <v>25</v>
      </c>
    </row>
    <row r="819" spans="1:4" x14ac:dyDescent="0.2">
      <c r="A819" s="334" t="s">
        <v>1619</v>
      </c>
      <c r="B819" s="334" t="s">
        <v>7339</v>
      </c>
      <c r="C819" s="334" t="s">
        <v>25</v>
      </c>
    </row>
    <row r="820" spans="1:4" x14ac:dyDescent="0.2">
      <c r="A820" s="334" t="s">
        <v>1620</v>
      </c>
      <c r="B820" s="334" t="s">
        <v>7340</v>
      </c>
      <c r="C820" s="334" t="s">
        <v>11</v>
      </c>
    </row>
    <row r="821" spans="1:4" x14ac:dyDescent="0.2">
      <c r="A821" s="347" t="s">
        <v>1621</v>
      </c>
      <c r="B821" s="347" t="s">
        <v>7341</v>
      </c>
      <c r="C821" s="347" t="s">
        <v>2557</v>
      </c>
      <c r="D821" s="348" t="s">
        <v>10271</v>
      </c>
    </row>
    <row r="822" spans="1:4" x14ac:dyDescent="0.2">
      <c r="A822" s="347" t="s">
        <v>1622</v>
      </c>
      <c r="B822" s="347" t="s">
        <v>7342</v>
      </c>
      <c r="C822" s="347" t="s">
        <v>6606</v>
      </c>
      <c r="D822" s="348" t="s">
        <v>10271</v>
      </c>
    </row>
    <row r="823" spans="1:4" x14ac:dyDescent="0.2">
      <c r="A823" s="347" t="s">
        <v>1623</v>
      </c>
      <c r="B823" s="347" t="s">
        <v>7343</v>
      </c>
      <c r="C823" s="347" t="s">
        <v>11</v>
      </c>
      <c r="D823" s="348" t="s">
        <v>10271</v>
      </c>
    </row>
    <row r="824" spans="1:4" x14ac:dyDescent="0.2">
      <c r="A824" s="347" t="s">
        <v>1624</v>
      </c>
      <c r="B824" s="347" t="s">
        <v>7344</v>
      </c>
      <c r="C824" s="347" t="s">
        <v>11</v>
      </c>
      <c r="D824" s="348" t="s">
        <v>10271</v>
      </c>
    </row>
    <row r="825" spans="1:4" x14ac:dyDescent="0.2">
      <c r="A825" s="347" t="s">
        <v>1625</v>
      </c>
      <c r="B825" s="347" t="s">
        <v>7345</v>
      </c>
      <c r="C825" s="347" t="s">
        <v>25</v>
      </c>
      <c r="D825" s="348" t="s">
        <v>10271</v>
      </c>
    </row>
    <row r="826" spans="1:4" x14ac:dyDescent="0.2">
      <c r="A826" s="334" t="s">
        <v>1626</v>
      </c>
      <c r="B826" s="334" t="s">
        <v>4530</v>
      </c>
      <c r="C826" s="334" t="s">
        <v>11</v>
      </c>
    </row>
    <row r="827" spans="1:4" x14ac:dyDescent="0.2">
      <c r="A827" s="334" t="s">
        <v>1627</v>
      </c>
      <c r="B827" s="334" t="s">
        <v>7346</v>
      </c>
      <c r="C827" s="334" t="s">
        <v>6606</v>
      </c>
    </row>
    <row r="828" spans="1:4" x14ac:dyDescent="0.2">
      <c r="A828" s="334" t="s">
        <v>1628</v>
      </c>
      <c r="B828" s="334" t="s">
        <v>7347</v>
      </c>
      <c r="C828" s="334" t="s">
        <v>11</v>
      </c>
    </row>
    <row r="829" spans="1:4" x14ac:dyDescent="0.2">
      <c r="A829" s="334" t="s">
        <v>1629</v>
      </c>
      <c r="B829" s="334" t="s">
        <v>7348</v>
      </c>
      <c r="C829" s="334" t="s">
        <v>11</v>
      </c>
    </row>
    <row r="830" spans="1:4" x14ac:dyDescent="0.2">
      <c r="A830" s="347" t="s">
        <v>1630</v>
      </c>
      <c r="B830" s="347" t="s">
        <v>7349</v>
      </c>
      <c r="C830" s="347" t="s">
        <v>2557</v>
      </c>
      <c r="D830" s="348" t="s">
        <v>10271</v>
      </c>
    </row>
    <row r="831" spans="1:4" x14ac:dyDescent="0.2">
      <c r="A831" s="334" t="s">
        <v>1631</v>
      </c>
      <c r="B831" s="334" t="s">
        <v>4531</v>
      </c>
      <c r="C831" s="334" t="s">
        <v>2557</v>
      </c>
    </row>
    <row r="832" spans="1:4" x14ac:dyDescent="0.2">
      <c r="A832" s="334" t="s">
        <v>1633</v>
      </c>
      <c r="B832" s="334" t="s">
        <v>7350</v>
      </c>
      <c r="C832" s="334" t="s">
        <v>11</v>
      </c>
    </row>
    <row r="833" spans="1:4" x14ac:dyDescent="0.2">
      <c r="A833" s="334" t="s">
        <v>1634</v>
      </c>
      <c r="B833" s="334" t="s">
        <v>4532</v>
      </c>
      <c r="C833" s="334" t="s">
        <v>2338</v>
      </c>
    </row>
    <row r="834" spans="1:4" x14ac:dyDescent="0.2">
      <c r="A834" s="347" t="s">
        <v>1635</v>
      </c>
      <c r="B834" s="347" t="s">
        <v>7351</v>
      </c>
      <c r="C834" s="347" t="s">
        <v>11</v>
      </c>
      <c r="D834" s="348" t="s">
        <v>10271</v>
      </c>
    </row>
    <row r="835" spans="1:4" x14ac:dyDescent="0.2">
      <c r="A835" s="334" t="s">
        <v>1636</v>
      </c>
      <c r="B835" s="334" t="s">
        <v>7352</v>
      </c>
      <c r="C835" s="334" t="s">
        <v>25</v>
      </c>
    </row>
    <row r="836" spans="1:4" x14ac:dyDescent="0.2">
      <c r="A836" s="334" t="s">
        <v>1637</v>
      </c>
      <c r="B836" s="334" t="s">
        <v>7353</v>
      </c>
      <c r="C836" s="334" t="s">
        <v>25</v>
      </c>
    </row>
    <row r="837" spans="1:4" x14ac:dyDescent="0.2">
      <c r="A837" s="334" t="s">
        <v>1638</v>
      </c>
      <c r="B837" s="334" t="s">
        <v>7354</v>
      </c>
      <c r="C837" s="334" t="s">
        <v>2557</v>
      </c>
    </row>
    <row r="838" spans="1:4" x14ac:dyDescent="0.2">
      <c r="A838" s="347" t="s">
        <v>1639</v>
      </c>
      <c r="B838" s="347" t="s">
        <v>7355</v>
      </c>
      <c r="C838" s="347" t="s">
        <v>16</v>
      </c>
      <c r="D838" s="348" t="s">
        <v>10271</v>
      </c>
    </row>
    <row r="839" spans="1:4" x14ac:dyDescent="0.2">
      <c r="A839" s="347" t="s">
        <v>1640</v>
      </c>
      <c r="B839" s="347" t="s">
        <v>7356</v>
      </c>
      <c r="C839" s="347" t="s">
        <v>25</v>
      </c>
      <c r="D839" s="348" t="s">
        <v>10271</v>
      </c>
    </row>
    <row r="840" spans="1:4" x14ac:dyDescent="0.2">
      <c r="A840" s="334" t="s">
        <v>4533</v>
      </c>
      <c r="B840" s="334" t="s">
        <v>7357</v>
      </c>
      <c r="C840" s="334" t="s">
        <v>25</v>
      </c>
    </row>
    <row r="841" spans="1:4" x14ac:dyDescent="0.2">
      <c r="A841" s="334" t="s">
        <v>1641</v>
      </c>
      <c r="B841" s="334" t="s">
        <v>7358</v>
      </c>
      <c r="C841" s="334" t="s">
        <v>11</v>
      </c>
    </row>
    <row r="842" spans="1:4" x14ac:dyDescent="0.2">
      <c r="A842" s="334" t="s">
        <v>1642</v>
      </c>
      <c r="B842" s="334" t="s">
        <v>7359</v>
      </c>
      <c r="C842" s="334" t="s">
        <v>11</v>
      </c>
    </row>
    <row r="843" spans="1:4" x14ac:dyDescent="0.2">
      <c r="A843" s="334" t="s">
        <v>1644</v>
      </c>
      <c r="B843" s="334" t="s">
        <v>7360</v>
      </c>
      <c r="C843" s="334" t="s">
        <v>16</v>
      </c>
    </row>
    <row r="844" spans="1:4" x14ac:dyDescent="0.2">
      <c r="A844" s="347" t="s">
        <v>1645</v>
      </c>
      <c r="B844" s="347" t="s">
        <v>7361</v>
      </c>
      <c r="C844" s="347" t="s">
        <v>2557</v>
      </c>
      <c r="D844" s="348" t="s">
        <v>10271</v>
      </c>
    </row>
    <row r="845" spans="1:4" x14ac:dyDescent="0.2">
      <c r="A845" s="347" t="s">
        <v>1646</v>
      </c>
      <c r="B845" s="347" t="s">
        <v>7362</v>
      </c>
      <c r="C845" s="347" t="s">
        <v>2557</v>
      </c>
      <c r="D845" s="348" t="s">
        <v>10271</v>
      </c>
    </row>
    <row r="846" spans="1:4" x14ac:dyDescent="0.2">
      <c r="A846" s="334" t="s">
        <v>1647</v>
      </c>
      <c r="B846" s="334" t="s">
        <v>7363</v>
      </c>
      <c r="C846" s="334" t="s">
        <v>25</v>
      </c>
    </row>
    <row r="847" spans="1:4" x14ac:dyDescent="0.2">
      <c r="A847" s="347" t="s">
        <v>1648</v>
      </c>
      <c r="B847" s="347" t="s">
        <v>7364</v>
      </c>
      <c r="C847" s="347" t="s">
        <v>2557</v>
      </c>
      <c r="D847" s="348" t="s">
        <v>10271</v>
      </c>
    </row>
    <row r="848" spans="1:4" x14ac:dyDescent="0.2">
      <c r="A848" s="334" t="s">
        <v>1649</v>
      </c>
      <c r="B848" s="334" t="s">
        <v>7365</v>
      </c>
      <c r="C848" s="334" t="s">
        <v>25</v>
      </c>
    </row>
    <row r="849" spans="1:4" x14ac:dyDescent="0.2">
      <c r="A849" s="334" t="s">
        <v>4534</v>
      </c>
      <c r="B849" s="334" t="s">
        <v>4535</v>
      </c>
      <c r="C849" s="334" t="s">
        <v>16</v>
      </c>
    </row>
    <row r="850" spans="1:4" x14ac:dyDescent="0.2">
      <c r="A850" s="334" t="s">
        <v>1650</v>
      </c>
      <c r="B850" s="334" t="s">
        <v>7366</v>
      </c>
      <c r="C850" s="334" t="s">
        <v>11</v>
      </c>
    </row>
    <row r="851" spans="1:4" x14ac:dyDescent="0.2">
      <c r="A851" s="334" t="s">
        <v>4536</v>
      </c>
      <c r="B851" s="334" t="s">
        <v>4537</v>
      </c>
      <c r="C851" s="334" t="s">
        <v>6611</v>
      </c>
    </row>
    <row r="852" spans="1:4" x14ac:dyDescent="0.2">
      <c r="A852" s="347" t="s">
        <v>1651</v>
      </c>
      <c r="B852" s="347" t="s">
        <v>7367</v>
      </c>
      <c r="C852" s="347" t="s">
        <v>11</v>
      </c>
      <c r="D852" s="348" t="s">
        <v>10271</v>
      </c>
    </row>
    <row r="853" spans="1:4" x14ac:dyDescent="0.2">
      <c r="A853" s="334" t="s">
        <v>4538</v>
      </c>
      <c r="B853" s="334" t="s">
        <v>4539</v>
      </c>
      <c r="C853" s="334" t="s">
        <v>2557</v>
      </c>
    </row>
    <row r="854" spans="1:4" x14ac:dyDescent="0.2">
      <c r="A854" s="334" t="s">
        <v>1652</v>
      </c>
      <c r="B854" s="334" t="s">
        <v>7368</v>
      </c>
      <c r="C854" s="334" t="s">
        <v>2557</v>
      </c>
    </row>
    <row r="855" spans="1:4" x14ac:dyDescent="0.2">
      <c r="A855" s="347" t="s">
        <v>1653</v>
      </c>
      <c r="B855" s="347" t="s">
        <v>7369</v>
      </c>
      <c r="C855" s="347" t="s">
        <v>2557</v>
      </c>
      <c r="D855" s="348" t="s">
        <v>10271</v>
      </c>
    </row>
    <row r="856" spans="1:4" x14ac:dyDescent="0.2">
      <c r="A856" s="334" t="s">
        <v>4540</v>
      </c>
      <c r="B856" s="334" t="s">
        <v>7370</v>
      </c>
      <c r="C856" s="334" t="s">
        <v>16</v>
      </c>
    </row>
    <row r="857" spans="1:4" x14ac:dyDescent="0.2">
      <c r="A857" s="334" t="s">
        <v>4541</v>
      </c>
      <c r="B857" s="334" t="s">
        <v>4542</v>
      </c>
      <c r="C857" s="334" t="s">
        <v>2338</v>
      </c>
    </row>
    <row r="858" spans="1:4" x14ac:dyDescent="0.2">
      <c r="A858" s="334" t="s">
        <v>4543</v>
      </c>
      <c r="B858" s="334" t="s">
        <v>4544</v>
      </c>
      <c r="C858" s="334" t="s">
        <v>11</v>
      </c>
    </row>
    <row r="859" spans="1:4" x14ac:dyDescent="0.2">
      <c r="A859" s="334" t="s">
        <v>1654</v>
      </c>
      <c r="B859" s="334" t="s">
        <v>7371</v>
      </c>
      <c r="C859" s="334" t="s">
        <v>7372</v>
      </c>
    </row>
    <row r="860" spans="1:4" x14ac:dyDescent="0.2">
      <c r="A860" s="334" t="s">
        <v>1655</v>
      </c>
      <c r="B860" s="334" t="s">
        <v>7373</v>
      </c>
      <c r="C860" s="334" t="s">
        <v>11</v>
      </c>
    </row>
    <row r="861" spans="1:4" x14ac:dyDescent="0.2">
      <c r="A861" s="334" t="s">
        <v>1656</v>
      </c>
      <c r="B861" s="334" t="s">
        <v>7374</v>
      </c>
      <c r="C861" s="334" t="s">
        <v>11</v>
      </c>
    </row>
    <row r="862" spans="1:4" x14ac:dyDescent="0.2">
      <c r="A862" s="347" t="s">
        <v>1657</v>
      </c>
      <c r="B862" s="347" t="s">
        <v>7375</v>
      </c>
      <c r="C862" s="347" t="s">
        <v>16</v>
      </c>
      <c r="D862" s="348" t="s">
        <v>10271</v>
      </c>
    </row>
    <row r="863" spans="1:4" x14ac:dyDescent="0.2">
      <c r="A863" s="347" t="s">
        <v>1658</v>
      </c>
      <c r="B863" s="347" t="s">
        <v>7376</v>
      </c>
      <c r="C863" s="347" t="s">
        <v>25</v>
      </c>
      <c r="D863" s="348" t="s">
        <v>10271</v>
      </c>
    </row>
    <row r="864" spans="1:4" x14ac:dyDescent="0.2">
      <c r="A864" s="334" t="s">
        <v>1659</v>
      </c>
      <c r="B864" s="334" t="s">
        <v>7377</v>
      </c>
      <c r="C864" s="334" t="s">
        <v>25</v>
      </c>
    </row>
    <row r="865" spans="1:3" x14ac:dyDescent="0.2">
      <c r="A865" s="334" t="s">
        <v>1660</v>
      </c>
      <c r="B865" s="334" t="s">
        <v>7378</v>
      </c>
      <c r="C865" s="334" t="s">
        <v>16</v>
      </c>
    </row>
    <row r="866" spans="1:3" x14ac:dyDescent="0.2">
      <c r="A866" s="334" t="s">
        <v>1661</v>
      </c>
      <c r="B866" s="334" t="s">
        <v>7379</v>
      </c>
      <c r="C866" s="334" t="s">
        <v>16</v>
      </c>
    </row>
    <row r="867" spans="1:3" x14ac:dyDescent="0.2">
      <c r="A867" s="334" t="s">
        <v>4545</v>
      </c>
      <c r="B867" s="334" t="s">
        <v>7380</v>
      </c>
      <c r="C867" s="334" t="s">
        <v>11</v>
      </c>
    </row>
    <row r="868" spans="1:3" x14ac:dyDescent="0.2">
      <c r="A868" s="334" t="s">
        <v>4546</v>
      </c>
      <c r="B868" s="334" t="s">
        <v>7381</v>
      </c>
      <c r="C868" s="334" t="s">
        <v>11</v>
      </c>
    </row>
    <row r="869" spans="1:3" x14ac:dyDescent="0.2">
      <c r="A869" s="334" t="s">
        <v>4547</v>
      </c>
      <c r="B869" s="334" t="s">
        <v>7382</v>
      </c>
      <c r="C869" s="334" t="s">
        <v>11</v>
      </c>
    </row>
    <row r="870" spans="1:3" x14ac:dyDescent="0.2">
      <c r="A870" s="334" t="s">
        <v>4548</v>
      </c>
      <c r="B870" s="334" t="s">
        <v>7383</v>
      </c>
      <c r="C870" s="334" t="s">
        <v>11</v>
      </c>
    </row>
    <row r="871" spans="1:3" x14ac:dyDescent="0.2">
      <c r="A871" s="334" t="s">
        <v>4549</v>
      </c>
      <c r="B871" s="334" t="s">
        <v>7384</v>
      </c>
      <c r="C871" s="334" t="s">
        <v>11</v>
      </c>
    </row>
    <row r="872" spans="1:3" x14ac:dyDescent="0.2">
      <c r="A872" s="334" t="s">
        <v>4550</v>
      </c>
      <c r="B872" s="334" t="s">
        <v>7385</v>
      </c>
      <c r="C872" s="334" t="s">
        <v>11</v>
      </c>
    </row>
    <row r="873" spans="1:3" x14ac:dyDescent="0.2">
      <c r="A873" s="334" t="s">
        <v>4551</v>
      </c>
      <c r="B873" s="334" t="s">
        <v>7386</v>
      </c>
      <c r="C873" s="334" t="s">
        <v>11</v>
      </c>
    </row>
    <row r="874" spans="1:3" x14ac:dyDescent="0.2">
      <c r="A874" s="334" t="s">
        <v>4552</v>
      </c>
      <c r="B874" s="334" t="s">
        <v>7387</v>
      </c>
      <c r="C874" s="334" t="s">
        <v>16</v>
      </c>
    </row>
    <row r="875" spans="1:3" x14ac:dyDescent="0.2">
      <c r="A875" s="334" t="s">
        <v>4553</v>
      </c>
      <c r="B875" s="334" t="s">
        <v>7388</v>
      </c>
      <c r="C875" s="334" t="s">
        <v>25</v>
      </c>
    </row>
    <row r="876" spans="1:3" x14ac:dyDescent="0.2">
      <c r="A876" s="334" t="s">
        <v>4554</v>
      </c>
      <c r="B876" s="334" t="s">
        <v>7389</v>
      </c>
      <c r="C876" s="334" t="s">
        <v>16</v>
      </c>
    </row>
    <row r="877" spans="1:3" x14ac:dyDescent="0.2">
      <c r="A877" s="334" t="s">
        <v>4555</v>
      </c>
      <c r="B877" s="334" t="s">
        <v>7390</v>
      </c>
      <c r="C877" s="334" t="s">
        <v>16</v>
      </c>
    </row>
    <row r="878" spans="1:3" x14ac:dyDescent="0.2">
      <c r="A878" s="334" t="s">
        <v>4556</v>
      </c>
      <c r="B878" s="334" t="s">
        <v>7391</v>
      </c>
      <c r="C878" s="334" t="s">
        <v>25</v>
      </c>
    </row>
    <row r="879" spans="1:3" x14ac:dyDescent="0.2">
      <c r="A879" s="334" t="s">
        <v>4557</v>
      </c>
      <c r="B879" s="334" t="s">
        <v>7392</v>
      </c>
      <c r="C879" s="334" t="s">
        <v>25</v>
      </c>
    </row>
    <row r="880" spans="1:3" x14ac:dyDescent="0.2">
      <c r="A880" s="334" t="s">
        <v>4558</v>
      </c>
      <c r="B880" s="334" t="s">
        <v>7393</v>
      </c>
      <c r="C880" s="334" t="s">
        <v>16</v>
      </c>
    </row>
    <row r="881" spans="1:3" x14ac:dyDescent="0.2">
      <c r="A881" s="334" t="s">
        <v>4559</v>
      </c>
      <c r="B881" s="334" t="s">
        <v>7394</v>
      </c>
      <c r="C881" s="334" t="s">
        <v>25</v>
      </c>
    </row>
    <row r="882" spans="1:3" x14ac:dyDescent="0.2">
      <c r="A882" s="334" t="s">
        <v>4560</v>
      </c>
      <c r="B882" s="334" t="s">
        <v>7395</v>
      </c>
      <c r="C882" s="334" t="s">
        <v>25</v>
      </c>
    </row>
    <row r="883" spans="1:3" x14ac:dyDescent="0.2">
      <c r="A883" s="334" t="s">
        <v>4561</v>
      </c>
      <c r="B883" s="334" t="s">
        <v>7396</v>
      </c>
      <c r="C883" s="334" t="s">
        <v>11</v>
      </c>
    </row>
    <row r="884" spans="1:3" x14ac:dyDescent="0.2">
      <c r="A884" s="334" t="s">
        <v>4562</v>
      </c>
      <c r="B884" s="334" t="s">
        <v>7397</v>
      </c>
      <c r="C884" s="334" t="s">
        <v>11</v>
      </c>
    </row>
    <row r="885" spans="1:3" x14ac:dyDescent="0.2">
      <c r="A885" s="334" t="s">
        <v>4563</v>
      </c>
      <c r="B885" s="334" t="s">
        <v>7398</v>
      </c>
      <c r="C885" s="334" t="s">
        <v>11</v>
      </c>
    </row>
    <row r="886" spans="1:3" x14ac:dyDescent="0.2">
      <c r="A886" s="334" t="s">
        <v>4564</v>
      </c>
      <c r="B886" s="334" t="s">
        <v>7399</v>
      </c>
      <c r="C886" s="334" t="s">
        <v>11</v>
      </c>
    </row>
    <row r="887" spans="1:3" x14ac:dyDescent="0.2">
      <c r="A887" s="334" t="s">
        <v>4565</v>
      </c>
      <c r="B887" s="334" t="s">
        <v>7400</v>
      </c>
      <c r="C887" s="334" t="s">
        <v>11</v>
      </c>
    </row>
    <row r="888" spans="1:3" x14ac:dyDescent="0.2">
      <c r="A888" s="334" t="s">
        <v>4566</v>
      </c>
      <c r="B888" s="334" t="s">
        <v>7401</v>
      </c>
      <c r="C888" s="334" t="s">
        <v>11</v>
      </c>
    </row>
    <row r="889" spans="1:3" x14ac:dyDescent="0.2">
      <c r="A889" s="334" t="s">
        <v>4567</v>
      </c>
      <c r="B889" s="334" t="s">
        <v>7402</v>
      </c>
      <c r="C889" s="334" t="s">
        <v>11</v>
      </c>
    </row>
    <row r="890" spans="1:3" x14ac:dyDescent="0.2">
      <c r="A890" s="334" t="s">
        <v>1662</v>
      </c>
      <c r="B890" s="334" t="s">
        <v>7403</v>
      </c>
      <c r="C890" s="334" t="s">
        <v>16</v>
      </c>
    </row>
    <row r="891" spans="1:3" x14ac:dyDescent="0.2">
      <c r="A891" s="334" t="s">
        <v>1663</v>
      </c>
      <c r="B891" s="334" t="s">
        <v>7404</v>
      </c>
      <c r="C891" s="334" t="s">
        <v>16</v>
      </c>
    </row>
    <row r="892" spans="1:3" x14ac:dyDescent="0.2">
      <c r="A892" s="334" t="s">
        <v>1664</v>
      </c>
      <c r="B892" s="334" t="s">
        <v>7405</v>
      </c>
      <c r="C892" s="334" t="s">
        <v>16</v>
      </c>
    </row>
    <row r="893" spans="1:3" x14ac:dyDescent="0.2">
      <c r="A893" s="334" t="s">
        <v>1665</v>
      </c>
      <c r="B893" s="334" t="s">
        <v>7406</v>
      </c>
      <c r="C893" s="334" t="s">
        <v>16</v>
      </c>
    </row>
    <row r="894" spans="1:3" x14ac:dyDescent="0.2">
      <c r="A894" s="334" t="s">
        <v>1666</v>
      </c>
      <c r="B894" s="334" t="s">
        <v>7407</v>
      </c>
      <c r="C894" s="334" t="s">
        <v>16</v>
      </c>
    </row>
    <row r="895" spans="1:3" x14ac:dyDescent="0.2">
      <c r="A895" s="334" t="s">
        <v>1667</v>
      </c>
      <c r="B895" s="334" t="s">
        <v>7408</v>
      </c>
      <c r="C895" s="334" t="s">
        <v>11</v>
      </c>
    </row>
    <row r="896" spans="1:3" x14ac:dyDescent="0.2">
      <c r="A896" s="334" t="s">
        <v>1668</v>
      </c>
      <c r="B896" s="334" t="s">
        <v>4568</v>
      </c>
      <c r="C896" s="334" t="s">
        <v>2338</v>
      </c>
    </row>
    <row r="897" spans="1:4" x14ac:dyDescent="0.2">
      <c r="A897" s="347" t="s">
        <v>4569</v>
      </c>
      <c r="B897" s="347" t="s">
        <v>7409</v>
      </c>
      <c r="C897" s="347" t="s">
        <v>6606</v>
      </c>
      <c r="D897" s="348" t="s">
        <v>10271</v>
      </c>
    </row>
    <row r="898" spans="1:4" x14ac:dyDescent="0.2">
      <c r="A898" s="334" t="s">
        <v>1669</v>
      </c>
      <c r="B898" s="334" t="s">
        <v>7410</v>
      </c>
      <c r="C898" s="334" t="s">
        <v>11</v>
      </c>
    </row>
    <row r="899" spans="1:4" x14ac:dyDescent="0.2">
      <c r="A899" s="334" t="s">
        <v>1670</v>
      </c>
      <c r="B899" s="334" t="s">
        <v>7411</v>
      </c>
      <c r="C899" s="334" t="s">
        <v>11</v>
      </c>
    </row>
    <row r="900" spans="1:4" x14ac:dyDescent="0.2">
      <c r="A900" s="334" t="s">
        <v>4570</v>
      </c>
      <c r="B900" s="334" t="s">
        <v>4571</v>
      </c>
      <c r="C900" s="334" t="s">
        <v>16</v>
      </c>
    </row>
    <row r="901" spans="1:4" x14ac:dyDescent="0.2">
      <c r="A901" s="334" t="s">
        <v>4572</v>
      </c>
      <c r="B901" s="334" t="s">
        <v>4573</v>
      </c>
      <c r="C901" s="334" t="s">
        <v>16</v>
      </c>
    </row>
    <row r="902" spans="1:4" x14ac:dyDescent="0.2">
      <c r="A902" s="334" t="s">
        <v>4574</v>
      </c>
      <c r="B902" s="334" t="s">
        <v>7412</v>
      </c>
      <c r="C902" s="334" t="s">
        <v>52</v>
      </c>
    </row>
    <row r="903" spans="1:4" x14ac:dyDescent="0.2">
      <c r="A903" s="334" t="s">
        <v>4575</v>
      </c>
      <c r="B903" s="334" t="s">
        <v>4576</v>
      </c>
      <c r="C903" s="334" t="s">
        <v>52</v>
      </c>
    </row>
    <row r="904" spans="1:4" x14ac:dyDescent="0.2">
      <c r="A904" s="334" t="s">
        <v>4577</v>
      </c>
      <c r="B904" s="334" t="s">
        <v>7413</v>
      </c>
      <c r="C904" s="334" t="s">
        <v>52</v>
      </c>
    </row>
    <row r="905" spans="1:4" x14ac:dyDescent="0.2">
      <c r="A905" s="334" t="s">
        <v>1671</v>
      </c>
      <c r="B905" s="334" t="s">
        <v>7414</v>
      </c>
      <c r="C905" s="334" t="s">
        <v>16</v>
      </c>
    </row>
    <row r="906" spans="1:4" x14ac:dyDescent="0.2">
      <c r="A906" s="334" t="s">
        <v>4578</v>
      </c>
      <c r="B906" s="334" t="s">
        <v>4579</v>
      </c>
      <c r="C906" s="334" t="s">
        <v>6612</v>
      </c>
    </row>
    <row r="907" spans="1:4" x14ac:dyDescent="0.2">
      <c r="A907" s="334" t="s">
        <v>4580</v>
      </c>
      <c r="B907" s="334" t="s">
        <v>4581</v>
      </c>
      <c r="C907" s="334" t="s">
        <v>25</v>
      </c>
    </row>
    <row r="908" spans="1:4" x14ac:dyDescent="0.2">
      <c r="A908" s="334" t="s">
        <v>4582</v>
      </c>
      <c r="B908" s="334" t="s">
        <v>4583</v>
      </c>
      <c r="C908" s="334" t="s">
        <v>6613</v>
      </c>
    </row>
    <row r="909" spans="1:4" x14ac:dyDescent="0.2">
      <c r="A909" s="334" t="s">
        <v>4584</v>
      </c>
      <c r="B909" s="334" t="s">
        <v>4585</v>
      </c>
      <c r="C909" s="334" t="s">
        <v>6608</v>
      </c>
    </row>
    <row r="910" spans="1:4" x14ac:dyDescent="0.2">
      <c r="A910" s="334" t="s">
        <v>4586</v>
      </c>
      <c r="B910" s="334" t="s">
        <v>4587</v>
      </c>
      <c r="C910" s="334" t="s">
        <v>2338</v>
      </c>
    </row>
    <row r="911" spans="1:4" x14ac:dyDescent="0.2">
      <c r="A911" s="347" t="s">
        <v>1672</v>
      </c>
      <c r="B911" s="347" t="s">
        <v>7415</v>
      </c>
      <c r="C911" s="347" t="s">
        <v>25</v>
      </c>
      <c r="D911" s="348" t="s">
        <v>10271</v>
      </c>
    </row>
    <row r="912" spans="1:4" x14ac:dyDescent="0.2">
      <c r="A912" s="334" t="s">
        <v>1673</v>
      </c>
      <c r="B912" s="334" t="s">
        <v>7416</v>
      </c>
      <c r="C912" s="334" t="s">
        <v>25</v>
      </c>
    </row>
    <row r="913" spans="1:4" x14ac:dyDescent="0.2">
      <c r="A913" s="334" t="s">
        <v>1674</v>
      </c>
      <c r="B913" s="334" t="s">
        <v>7258</v>
      </c>
      <c r="C913" s="334" t="s">
        <v>11</v>
      </c>
    </row>
    <row r="914" spans="1:4" x14ac:dyDescent="0.2">
      <c r="A914" s="347" t="s">
        <v>1675</v>
      </c>
      <c r="B914" s="347" t="s">
        <v>7417</v>
      </c>
      <c r="C914" s="347" t="s">
        <v>11</v>
      </c>
      <c r="D914" s="348" t="s">
        <v>10271</v>
      </c>
    </row>
    <row r="915" spans="1:4" x14ac:dyDescent="0.2">
      <c r="A915" s="334" t="s">
        <v>1676</v>
      </c>
      <c r="B915" s="334" t="s">
        <v>7418</v>
      </c>
      <c r="C915" s="334" t="s">
        <v>11</v>
      </c>
    </row>
    <row r="916" spans="1:4" x14ac:dyDescent="0.2">
      <c r="A916" s="334" t="s">
        <v>1678</v>
      </c>
      <c r="B916" s="334" t="s">
        <v>7419</v>
      </c>
      <c r="C916" s="334" t="s">
        <v>25</v>
      </c>
    </row>
    <row r="917" spans="1:4" x14ac:dyDescent="0.2">
      <c r="A917" s="334" t="s">
        <v>1679</v>
      </c>
      <c r="B917" s="334" t="s">
        <v>7420</v>
      </c>
      <c r="C917" s="334" t="s">
        <v>25</v>
      </c>
    </row>
    <row r="918" spans="1:4" x14ac:dyDescent="0.2">
      <c r="A918" s="347" t="s">
        <v>1680</v>
      </c>
      <c r="B918" s="347" t="s">
        <v>7421</v>
      </c>
      <c r="C918" s="347" t="s">
        <v>25</v>
      </c>
      <c r="D918" s="348" t="s">
        <v>10271</v>
      </c>
    </row>
    <row r="919" spans="1:4" x14ac:dyDescent="0.2">
      <c r="A919" s="347" t="s">
        <v>1681</v>
      </c>
      <c r="B919" s="347" t="s">
        <v>7422</v>
      </c>
      <c r="C919" s="347" t="s">
        <v>7423</v>
      </c>
      <c r="D919" s="348" t="s">
        <v>10271</v>
      </c>
    </row>
    <row r="920" spans="1:4" x14ac:dyDescent="0.2">
      <c r="A920" s="347" t="s">
        <v>1682</v>
      </c>
      <c r="B920" s="347" t="s">
        <v>7424</v>
      </c>
      <c r="C920" s="347" t="s">
        <v>25</v>
      </c>
      <c r="D920" s="348" t="s">
        <v>10271</v>
      </c>
    </row>
    <row r="921" spans="1:4" x14ac:dyDescent="0.2">
      <c r="A921" s="334" t="s">
        <v>1683</v>
      </c>
      <c r="B921" s="334" t="s">
        <v>7425</v>
      </c>
      <c r="C921" s="334" t="s">
        <v>16</v>
      </c>
    </row>
    <row r="922" spans="1:4" x14ac:dyDescent="0.2">
      <c r="A922" s="347" t="s">
        <v>1684</v>
      </c>
      <c r="B922" s="347" t="s">
        <v>7426</v>
      </c>
      <c r="C922" s="347" t="s">
        <v>16</v>
      </c>
      <c r="D922" s="348" t="s">
        <v>10271</v>
      </c>
    </row>
    <row r="923" spans="1:4" x14ac:dyDescent="0.2">
      <c r="A923" s="347" t="s">
        <v>1685</v>
      </c>
      <c r="B923" s="347" t="s">
        <v>7427</v>
      </c>
      <c r="C923" s="347" t="s">
        <v>16</v>
      </c>
      <c r="D923" s="348" t="s">
        <v>10271</v>
      </c>
    </row>
    <row r="924" spans="1:4" x14ac:dyDescent="0.2">
      <c r="A924" s="347" t="s">
        <v>1687</v>
      </c>
      <c r="B924" s="347" t="s">
        <v>7428</v>
      </c>
      <c r="C924" s="347" t="s">
        <v>16</v>
      </c>
      <c r="D924" s="348" t="s">
        <v>10271</v>
      </c>
    </row>
    <row r="925" spans="1:4" x14ac:dyDescent="0.2">
      <c r="A925" s="334" t="s">
        <v>1688</v>
      </c>
      <c r="B925" s="334" t="s">
        <v>7429</v>
      </c>
      <c r="C925" s="334" t="s">
        <v>16</v>
      </c>
    </row>
    <row r="926" spans="1:4" x14ac:dyDescent="0.2">
      <c r="A926" s="334" t="s">
        <v>1689</v>
      </c>
      <c r="B926" s="334" t="s">
        <v>7430</v>
      </c>
      <c r="C926" s="334" t="s">
        <v>16</v>
      </c>
    </row>
    <row r="927" spans="1:4" x14ac:dyDescent="0.2">
      <c r="A927" s="347" t="s">
        <v>504</v>
      </c>
      <c r="B927" s="347" t="s">
        <v>2990</v>
      </c>
      <c r="C927" s="347" t="s">
        <v>11</v>
      </c>
      <c r="D927" s="348" t="s">
        <v>10271</v>
      </c>
    </row>
    <row r="928" spans="1:4" x14ac:dyDescent="0.2">
      <c r="A928" s="334" t="s">
        <v>1690</v>
      </c>
      <c r="B928" s="334" t="s">
        <v>7431</v>
      </c>
      <c r="C928" s="334" t="s">
        <v>25</v>
      </c>
    </row>
    <row r="929" spans="1:4" x14ac:dyDescent="0.2">
      <c r="A929" s="347" t="s">
        <v>1691</v>
      </c>
      <c r="B929" s="347" t="s">
        <v>7432</v>
      </c>
      <c r="C929" s="347" t="s">
        <v>25</v>
      </c>
      <c r="D929" s="348" t="s">
        <v>10271</v>
      </c>
    </row>
    <row r="930" spans="1:4" x14ac:dyDescent="0.2">
      <c r="A930" s="334" t="s">
        <v>1692</v>
      </c>
      <c r="B930" s="334" t="s">
        <v>7433</v>
      </c>
      <c r="C930" s="334" t="s">
        <v>25</v>
      </c>
    </row>
    <row r="931" spans="1:4" x14ac:dyDescent="0.2">
      <c r="A931" s="347" t="s">
        <v>1693</v>
      </c>
      <c r="B931" s="347" t="s">
        <v>7434</v>
      </c>
      <c r="C931" s="347" t="s">
        <v>25</v>
      </c>
      <c r="D931" s="348" t="s">
        <v>10271</v>
      </c>
    </row>
    <row r="932" spans="1:4" x14ac:dyDescent="0.2">
      <c r="A932" s="334" t="s">
        <v>1694</v>
      </c>
      <c r="B932" s="334" t="s">
        <v>7435</v>
      </c>
      <c r="C932" s="334" t="s">
        <v>25</v>
      </c>
    </row>
    <row r="933" spans="1:4" x14ac:dyDescent="0.2">
      <c r="A933" s="334" t="s">
        <v>1695</v>
      </c>
      <c r="B933" s="334" t="s">
        <v>4588</v>
      </c>
      <c r="C933" s="334" t="s">
        <v>11</v>
      </c>
    </row>
    <row r="934" spans="1:4" x14ac:dyDescent="0.2">
      <c r="A934" s="334" t="s">
        <v>1696</v>
      </c>
      <c r="B934" s="334" t="s">
        <v>4589</v>
      </c>
      <c r="C934" s="334" t="s">
        <v>11</v>
      </c>
    </row>
    <row r="935" spans="1:4" x14ac:dyDescent="0.2">
      <c r="A935" s="334" t="s">
        <v>4590</v>
      </c>
      <c r="B935" s="334" t="s">
        <v>4591</v>
      </c>
      <c r="C935" s="334" t="s">
        <v>6614</v>
      </c>
    </row>
    <row r="936" spans="1:4" x14ac:dyDescent="0.2">
      <c r="A936" s="334" t="s">
        <v>4592</v>
      </c>
      <c r="B936" s="334" t="s">
        <v>7436</v>
      </c>
      <c r="C936" s="334" t="s">
        <v>2557</v>
      </c>
    </row>
    <row r="937" spans="1:4" x14ac:dyDescent="0.2">
      <c r="A937" s="334" t="s">
        <v>4593</v>
      </c>
      <c r="B937" s="334" t="s">
        <v>4594</v>
      </c>
      <c r="C937" s="334" t="s">
        <v>2338</v>
      </c>
    </row>
    <row r="938" spans="1:4" x14ac:dyDescent="0.2">
      <c r="A938" s="334" t="s">
        <v>4595</v>
      </c>
      <c r="B938" s="334" t="s">
        <v>4596</v>
      </c>
      <c r="C938" s="334" t="s">
        <v>11</v>
      </c>
    </row>
    <row r="939" spans="1:4" x14ac:dyDescent="0.2">
      <c r="A939" s="334" t="s">
        <v>4597</v>
      </c>
      <c r="B939" s="334" t="s">
        <v>4598</v>
      </c>
      <c r="C939" s="334" t="s">
        <v>11</v>
      </c>
    </row>
    <row r="940" spans="1:4" x14ac:dyDescent="0.2">
      <c r="A940" s="334" t="s">
        <v>4599</v>
      </c>
      <c r="B940" s="334" t="s">
        <v>7437</v>
      </c>
      <c r="C940" s="334" t="s">
        <v>2557</v>
      </c>
    </row>
    <row r="941" spans="1:4" x14ac:dyDescent="0.2">
      <c r="A941" s="334" t="s">
        <v>4600</v>
      </c>
      <c r="B941" s="334" t="s">
        <v>4601</v>
      </c>
      <c r="C941" s="334" t="s">
        <v>2557</v>
      </c>
    </row>
    <row r="942" spans="1:4" x14ac:dyDescent="0.2">
      <c r="A942" s="334" t="s">
        <v>4602</v>
      </c>
      <c r="B942" s="334" t="s">
        <v>4603</v>
      </c>
      <c r="C942" s="334" t="s">
        <v>11</v>
      </c>
    </row>
    <row r="943" spans="1:4" x14ac:dyDescent="0.2">
      <c r="A943" s="334" t="s">
        <v>4604</v>
      </c>
      <c r="B943" s="334" t="s">
        <v>4605</v>
      </c>
      <c r="C943" s="334" t="s">
        <v>11</v>
      </c>
    </row>
    <row r="944" spans="1:4" x14ac:dyDescent="0.2">
      <c r="A944" s="334" t="s">
        <v>1697</v>
      </c>
      <c r="B944" s="334" t="s">
        <v>7438</v>
      </c>
      <c r="C944" s="334" t="s">
        <v>16</v>
      </c>
    </row>
    <row r="945" spans="1:3" x14ac:dyDescent="0.2">
      <c r="A945" s="334" t="s">
        <v>4606</v>
      </c>
      <c r="B945" s="334" t="s">
        <v>7439</v>
      </c>
      <c r="C945" s="334" t="s">
        <v>16</v>
      </c>
    </row>
    <row r="946" spans="1:3" x14ac:dyDescent="0.2">
      <c r="A946" s="334" t="s">
        <v>4607</v>
      </c>
      <c r="B946" s="334" t="s">
        <v>7440</v>
      </c>
      <c r="C946" s="334" t="s">
        <v>16</v>
      </c>
    </row>
    <row r="947" spans="1:3" x14ac:dyDescent="0.2">
      <c r="A947" s="334" t="s">
        <v>4608</v>
      </c>
      <c r="B947" s="334" t="s">
        <v>7441</v>
      </c>
      <c r="C947" s="334" t="s">
        <v>16</v>
      </c>
    </row>
    <row r="948" spans="1:3" x14ac:dyDescent="0.2">
      <c r="A948" s="334" t="s">
        <v>4609</v>
      </c>
      <c r="B948" s="334" t="s">
        <v>7442</v>
      </c>
      <c r="C948" s="334" t="s">
        <v>16</v>
      </c>
    </row>
    <row r="949" spans="1:3" x14ac:dyDescent="0.2">
      <c r="A949" s="334" t="s">
        <v>4610</v>
      </c>
      <c r="B949" s="334" t="s">
        <v>7443</v>
      </c>
      <c r="C949" s="334" t="s">
        <v>25</v>
      </c>
    </row>
    <row r="950" spans="1:3" x14ac:dyDescent="0.2">
      <c r="A950" s="334" t="s">
        <v>4611</v>
      </c>
      <c r="B950" s="334" t="s">
        <v>7444</v>
      </c>
      <c r="C950" s="334" t="s">
        <v>25</v>
      </c>
    </row>
    <row r="951" spans="1:3" x14ac:dyDescent="0.2">
      <c r="A951" s="334" t="s">
        <v>4612</v>
      </c>
      <c r="B951" s="334" t="s">
        <v>7445</v>
      </c>
      <c r="C951" s="334" t="s">
        <v>25</v>
      </c>
    </row>
    <row r="952" spans="1:3" x14ac:dyDescent="0.2">
      <c r="A952" s="334" t="s">
        <v>4613</v>
      </c>
      <c r="B952" s="334" t="s">
        <v>7446</v>
      </c>
      <c r="C952" s="334" t="s">
        <v>11</v>
      </c>
    </row>
    <row r="953" spans="1:3" x14ac:dyDescent="0.2">
      <c r="A953" s="334" t="s">
        <v>4614</v>
      </c>
      <c r="B953" s="334" t="s">
        <v>7447</v>
      </c>
      <c r="C953" s="334" t="s">
        <v>11</v>
      </c>
    </row>
    <row r="954" spans="1:3" x14ac:dyDescent="0.2">
      <c r="A954" s="334" t="s">
        <v>4615</v>
      </c>
      <c r="B954" s="334" t="s">
        <v>7448</v>
      </c>
      <c r="C954" s="334" t="s">
        <v>11</v>
      </c>
    </row>
    <row r="955" spans="1:3" x14ac:dyDescent="0.2">
      <c r="A955" s="334" t="s">
        <v>4616</v>
      </c>
      <c r="B955" s="334" t="s">
        <v>7449</v>
      </c>
      <c r="C955" s="334" t="s">
        <v>11</v>
      </c>
    </row>
    <row r="956" spans="1:3" x14ac:dyDescent="0.2">
      <c r="A956" s="334" t="s">
        <v>4617</v>
      </c>
      <c r="B956" s="334" t="s">
        <v>7450</v>
      </c>
      <c r="C956" s="334" t="s">
        <v>11</v>
      </c>
    </row>
    <row r="957" spans="1:3" x14ac:dyDescent="0.2">
      <c r="A957" s="334" t="s">
        <v>4618</v>
      </c>
      <c r="B957" s="334" t="s">
        <v>7451</v>
      </c>
      <c r="C957" s="334" t="s">
        <v>11</v>
      </c>
    </row>
    <row r="958" spans="1:3" x14ac:dyDescent="0.2">
      <c r="A958" s="334" t="s">
        <v>4619</v>
      </c>
      <c r="B958" s="334" t="s">
        <v>7452</v>
      </c>
      <c r="C958" s="334" t="s">
        <v>11</v>
      </c>
    </row>
    <row r="959" spans="1:3" x14ac:dyDescent="0.2">
      <c r="A959" s="334" t="s">
        <v>4620</v>
      </c>
      <c r="B959" s="334" t="s">
        <v>7453</v>
      </c>
      <c r="C959" s="334" t="s">
        <v>11</v>
      </c>
    </row>
    <row r="960" spans="1:3" x14ac:dyDescent="0.2">
      <c r="A960" s="334" t="s">
        <v>4621</v>
      </c>
      <c r="B960" s="334" t="s">
        <v>7454</v>
      </c>
      <c r="C960" s="334" t="s">
        <v>11</v>
      </c>
    </row>
    <row r="961" spans="1:3" x14ac:dyDescent="0.2">
      <c r="A961" s="334" t="s">
        <v>4622</v>
      </c>
      <c r="B961" s="334" t="s">
        <v>7455</v>
      </c>
      <c r="C961" s="334" t="s">
        <v>11</v>
      </c>
    </row>
    <row r="962" spans="1:3" x14ac:dyDescent="0.2">
      <c r="A962" s="334" t="s">
        <v>4623</v>
      </c>
      <c r="B962" s="334" t="s">
        <v>7456</v>
      </c>
      <c r="C962" s="334" t="s">
        <v>11</v>
      </c>
    </row>
    <row r="963" spans="1:3" x14ac:dyDescent="0.2">
      <c r="A963" s="334" t="s">
        <v>4624</v>
      </c>
      <c r="B963" s="334" t="s">
        <v>7457</v>
      </c>
      <c r="C963" s="334" t="s">
        <v>11</v>
      </c>
    </row>
    <row r="964" spans="1:3" x14ac:dyDescent="0.2">
      <c r="A964" s="334" t="s">
        <v>4625</v>
      </c>
      <c r="B964" s="334" t="s">
        <v>7458</v>
      </c>
      <c r="C964" s="334" t="s">
        <v>11</v>
      </c>
    </row>
    <row r="965" spans="1:3" x14ac:dyDescent="0.2">
      <c r="A965" s="334" t="s">
        <v>4626</v>
      </c>
      <c r="B965" s="334" t="s">
        <v>7459</v>
      </c>
      <c r="C965" s="334" t="s">
        <v>11</v>
      </c>
    </row>
    <row r="966" spans="1:3" x14ac:dyDescent="0.2">
      <c r="A966" s="334" t="s">
        <v>4627</v>
      </c>
      <c r="B966" s="334" t="s">
        <v>7460</v>
      </c>
      <c r="C966" s="334" t="s">
        <v>11</v>
      </c>
    </row>
    <row r="967" spans="1:3" x14ac:dyDescent="0.2">
      <c r="A967" s="334" t="s">
        <v>4628</v>
      </c>
      <c r="B967" s="334" t="s">
        <v>7461</v>
      </c>
      <c r="C967" s="334" t="s">
        <v>11</v>
      </c>
    </row>
    <row r="968" spans="1:3" x14ac:dyDescent="0.2">
      <c r="A968" s="334" t="s">
        <v>4629</v>
      </c>
      <c r="B968" s="334" t="s">
        <v>7462</v>
      </c>
      <c r="C968" s="334" t="s">
        <v>11</v>
      </c>
    </row>
    <row r="969" spans="1:3" x14ac:dyDescent="0.2">
      <c r="A969" s="334" t="s">
        <v>4630</v>
      </c>
      <c r="B969" s="334" t="s">
        <v>7463</v>
      </c>
      <c r="C969" s="334" t="s">
        <v>11</v>
      </c>
    </row>
    <row r="970" spans="1:3" x14ac:dyDescent="0.2">
      <c r="A970" s="334" t="s">
        <v>4631</v>
      </c>
      <c r="B970" s="334" t="s">
        <v>7464</v>
      </c>
      <c r="C970" s="334" t="s">
        <v>11</v>
      </c>
    </row>
    <row r="971" spans="1:3" x14ac:dyDescent="0.2">
      <c r="A971" s="334" t="s">
        <v>4632</v>
      </c>
      <c r="B971" s="334" t="s">
        <v>7465</v>
      </c>
      <c r="C971" s="334" t="s">
        <v>11</v>
      </c>
    </row>
    <row r="972" spans="1:3" x14ac:dyDescent="0.2">
      <c r="A972" s="334" t="s">
        <v>4633</v>
      </c>
      <c r="B972" s="334" t="s">
        <v>7466</v>
      </c>
      <c r="C972" s="334" t="s">
        <v>11</v>
      </c>
    </row>
    <row r="973" spans="1:3" x14ac:dyDescent="0.2">
      <c r="A973" s="334" t="s">
        <v>4634</v>
      </c>
      <c r="B973" s="334" t="s">
        <v>7467</v>
      </c>
      <c r="C973" s="334" t="s">
        <v>11</v>
      </c>
    </row>
    <row r="974" spans="1:3" x14ac:dyDescent="0.2">
      <c r="A974" s="334" t="s">
        <v>4635</v>
      </c>
      <c r="B974" s="334" t="s">
        <v>7468</v>
      </c>
      <c r="C974" s="334" t="s">
        <v>11</v>
      </c>
    </row>
    <row r="975" spans="1:3" x14ac:dyDescent="0.2">
      <c r="A975" s="334" t="s">
        <v>4636</v>
      </c>
      <c r="B975" s="334" t="s">
        <v>7469</v>
      </c>
      <c r="C975" s="334" t="s">
        <v>11</v>
      </c>
    </row>
    <row r="976" spans="1:3" x14ac:dyDescent="0.2">
      <c r="A976" s="334" t="s">
        <v>4637</v>
      </c>
      <c r="B976" s="334" t="s">
        <v>7470</v>
      </c>
      <c r="C976" s="334" t="s">
        <v>11</v>
      </c>
    </row>
    <row r="977" spans="1:3" x14ac:dyDescent="0.2">
      <c r="A977" s="334" t="s">
        <v>4638</v>
      </c>
      <c r="B977" s="334" t="s">
        <v>7461</v>
      </c>
      <c r="C977" s="334" t="s">
        <v>11</v>
      </c>
    </row>
    <row r="978" spans="1:3" x14ac:dyDescent="0.2">
      <c r="A978" s="334" t="s">
        <v>4639</v>
      </c>
      <c r="B978" s="334" t="s">
        <v>7471</v>
      </c>
      <c r="C978" s="334" t="s">
        <v>11</v>
      </c>
    </row>
    <row r="979" spans="1:3" x14ac:dyDescent="0.2">
      <c r="A979" s="334" t="s">
        <v>4640</v>
      </c>
      <c r="B979" s="334" t="s">
        <v>7472</v>
      </c>
      <c r="C979" s="334" t="s">
        <v>11</v>
      </c>
    </row>
    <row r="980" spans="1:3" x14ac:dyDescent="0.2">
      <c r="A980" s="334" t="s">
        <v>4641</v>
      </c>
      <c r="B980" s="334" t="s">
        <v>7473</v>
      </c>
      <c r="C980" s="334" t="s">
        <v>11</v>
      </c>
    </row>
    <row r="981" spans="1:3" x14ac:dyDescent="0.2">
      <c r="A981" s="334" t="s">
        <v>4642</v>
      </c>
      <c r="B981" s="334" t="s">
        <v>7474</v>
      </c>
      <c r="C981" s="334" t="s">
        <v>11</v>
      </c>
    </row>
    <row r="982" spans="1:3" x14ac:dyDescent="0.2">
      <c r="A982" s="334" t="s">
        <v>4643</v>
      </c>
      <c r="B982" s="334" t="s">
        <v>7475</v>
      </c>
      <c r="C982" s="334" t="s">
        <v>11</v>
      </c>
    </row>
    <row r="983" spans="1:3" x14ac:dyDescent="0.2">
      <c r="A983" s="334" t="s">
        <v>4644</v>
      </c>
      <c r="B983" s="334" t="s">
        <v>7476</v>
      </c>
      <c r="C983" s="334" t="s">
        <v>11</v>
      </c>
    </row>
    <row r="984" spans="1:3" x14ac:dyDescent="0.2">
      <c r="A984" s="334" t="s">
        <v>4645</v>
      </c>
      <c r="B984" s="334" t="s">
        <v>7477</v>
      </c>
      <c r="C984" s="334" t="s">
        <v>11</v>
      </c>
    </row>
    <row r="985" spans="1:3" x14ac:dyDescent="0.2">
      <c r="A985" s="334" t="s">
        <v>4646</v>
      </c>
      <c r="B985" s="334" t="s">
        <v>7478</v>
      </c>
      <c r="C985" s="334" t="s">
        <v>11</v>
      </c>
    </row>
    <row r="986" spans="1:3" x14ac:dyDescent="0.2">
      <c r="A986" s="334" t="s">
        <v>4647</v>
      </c>
      <c r="B986" s="334" t="s">
        <v>7479</v>
      </c>
      <c r="C986" s="334" t="s">
        <v>11</v>
      </c>
    </row>
    <row r="987" spans="1:3" x14ac:dyDescent="0.2">
      <c r="A987" s="334" t="s">
        <v>4648</v>
      </c>
      <c r="B987" s="334" t="s">
        <v>7480</v>
      </c>
      <c r="C987" s="334" t="s">
        <v>11</v>
      </c>
    </row>
    <row r="988" spans="1:3" x14ac:dyDescent="0.2">
      <c r="A988" s="334" t="s">
        <v>4649</v>
      </c>
      <c r="B988" s="334" t="s">
        <v>7481</v>
      </c>
      <c r="C988" s="334" t="s">
        <v>11</v>
      </c>
    </row>
    <row r="989" spans="1:3" x14ac:dyDescent="0.2">
      <c r="A989" s="334" t="s">
        <v>4650</v>
      </c>
      <c r="B989" s="334" t="s">
        <v>7482</v>
      </c>
      <c r="C989" s="334" t="s">
        <v>11</v>
      </c>
    </row>
    <row r="990" spans="1:3" x14ac:dyDescent="0.2">
      <c r="A990" s="334" t="s">
        <v>4651</v>
      </c>
      <c r="B990" s="334" t="s">
        <v>7483</v>
      </c>
      <c r="C990" s="334" t="s">
        <v>11</v>
      </c>
    </row>
    <row r="991" spans="1:3" x14ac:dyDescent="0.2">
      <c r="A991" s="334" t="s">
        <v>4652</v>
      </c>
      <c r="B991" s="334" t="s">
        <v>7484</v>
      </c>
      <c r="C991" s="334" t="s">
        <v>11</v>
      </c>
    </row>
    <row r="992" spans="1:3" x14ac:dyDescent="0.2">
      <c r="A992" s="334" t="s">
        <v>4653</v>
      </c>
      <c r="B992" s="334" t="s">
        <v>7485</v>
      </c>
      <c r="C992" s="334" t="s">
        <v>11</v>
      </c>
    </row>
    <row r="993" spans="1:3" x14ac:dyDescent="0.2">
      <c r="A993" s="334" t="s">
        <v>4654</v>
      </c>
      <c r="B993" s="334" t="s">
        <v>7486</v>
      </c>
      <c r="C993" s="334" t="s">
        <v>11</v>
      </c>
    </row>
    <row r="994" spans="1:3" x14ac:dyDescent="0.2">
      <c r="A994" s="334" t="s">
        <v>4655</v>
      </c>
      <c r="B994" s="334" t="s">
        <v>7487</v>
      </c>
      <c r="C994" s="334" t="s">
        <v>11</v>
      </c>
    </row>
    <row r="995" spans="1:3" x14ac:dyDescent="0.2">
      <c r="A995" s="334" t="s">
        <v>4656</v>
      </c>
      <c r="B995" s="334" t="s">
        <v>7258</v>
      </c>
      <c r="C995" s="334" t="s">
        <v>11</v>
      </c>
    </row>
    <row r="996" spans="1:3" x14ac:dyDescent="0.2">
      <c r="A996" s="334" t="s">
        <v>4657</v>
      </c>
      <c r="B996" s="334" t="s">
        <v>7488</v>
      </c>
      <c r="C996" s="334" t="s">
        <v>11</v>
      </c>
    </row>
    <row r="997" spans="1:3" x14ac:dyDescent="0.2">
      <c r="A997" s="334" t="s">
        <v>4658</v>
      </c>
      <c r="B997" s="334" t="s">
        <v>7489</v>
      </c>
      <c r="C997" s="334" t="s">
        <v>11</v>
      </c>
    </row>
    <row r="998" spans="1:3" x14ac:dyDescent="0.2">
      <c r="A998" s="334" t="s">
        <v>4659</v>
      </c>
      <c r="B998" s="334" t="s">
        <v>7490</v>
      </c>
      <c r="C998" s="334" t="s">
        <v>11</v>
      </c>
    </row>
    <row r="999" spans="1:3" x14ac:dyDescent="0.2">
      <c r="A999" s="334" t="s">
        <v>4660</v>
      </c>
      <c r="B999" s="334" t="s">
        <v>7491</v>
      </c>
      <c r="C999" s="334" t="s">
        <v>11</v>
      </c>
    </row>
    <row r="1000" spans="1:3" x14ac:dyDescent="0.2">
      <c r="A1000" s="334" t="s">
        <v>4661</v>
      </c>
      <c r="B1000" s="334" t="s">
        <v>7492</v>
      </c>
      <c r="C1000" s="334" t="s">
        <v>11</v>
      </c>
    </row>
    <row r="1001" spans="1:3" x14ac:dyDescent="0.2">
      <c r="A1001" s="334" t="s">
        <v>4662</v>
      </c>
      <c r="B1001" s="334" t="s">
        <v>7493</v>
      </c>
      <c r="C1001" s="334" t="s">
        <v>11</v>
      </c>
    </row>
    <row r="1002" spans="1:3" x14ac:dyDescent="0.2">
      <c r="A1002" s="334" t="s">
        <v>4663</v>
      </c>
      <c r="B1002" s="334" t="s">
        <v>7494</v>
      </c>
      <c r="C1002" s="334" t="s">
        <v>11</v>
      </c>
    </row>
    <row r="1003" spans="1:3" x14ac:dyDescent="0.2">
      <c r="A1003" s="334" t="s">
        <v>4664</v>
      </c>
      <c r="B1003" s="334" t="s">
        <v>7495</v>
      </c>
      <c r="C1003" s="334" t="s">
        <v>11</v>
      </c>
    </row>
    <row r="1004" spans="1:3" x14ac:dyDescent="0.2">
      <c r="A1004" s="334" t="s">
        <v>4665</v>
      </c>
      <c r="B1004" s="334" t="s">
        <v>7496</v>
      </c>
      <c r="C1004" s="334" t="s">
        <v>11</v>
      </c>
    </row>
    <row r="1005" spans="1:3" x14ac:dyDescent="0.2">
      <c r="A1005" s="334" t="s">
        <v>4666</v>
      </c>
      <c r="B1005" s="334" t="s">
        <v>7497</v>
      </c>
      <c r="C1005" s="334" t="s">
        <v>11</v>
      </c>
    </row>
    <row r="1006" spans="1:3" x14ac:dyDescent="0.2">
      <c r="A1006" s="334" t="s">
        <v>4667</v>
      </c>
      <c r="B1006" s="334" t="s">
        <v>7498</v>
      </c>
      <c r="C1006" s="334" t="s">
        <v>11</v>
      </c>
    </row>
    <row r="1007" spans="1:3" x14ac:dyDescent="0.2">
      <c r="A1007" s="334" t="s">
        <v>4668</v>
      </c>
      <c r="B1007" s="334" t="s">
        <v>7499</v>
      </c>
      <c r="C1007" s="334" t="s">
        <v>11</v>
      </c>
    </row>
    <row r="1008" spans="1:3" x14ac:dyDescent="0.2">
      <c r="A1008" s="334" t="s">
        <v>4669</v>
      </c>
      <c r="B1008" s="334" t="s">
        <v>7500</v>
      </c>
      <c r="C1008" s="334" t="s">
        <v>11</v>
      </c>
    </row>
    <row r="1009" spans="1:3" x14ac:dyDescent="0.2">
      <c r="A1009" s="334" t="s">
        <v>4670</v>
      </c>
      <c r="B1009" s="334" t="s">
        <v>7501</v>
      </c>
      <c r="C1009" s="334" t="s">
        <v>11</v>
      </c>
    </row>
    <row r="1010" spans="1:3" x14ac:dyDescent="0.2">
      <c r="A1010" s="334" t="s">
        <v>4671</v>
      </c>
      <c r="B1010" s="334" t="s">
        <v>7502</v>
      </c>
      <c r="C1010" s="334" t="s">
        <v>11</v>
      </c>
    </row>
    <row r="1011" spans="1:3" x14ac:dyDescent="0.2">
      <c r="A1011" s="334" t="s">
        <v>4672</v>
      </c>
      <c r="B1011" s="334" t="s">
        <v>7503</v>
      </c>
      <c r="C1011" s="334" t="s">
        <v>11</v>
      </c>
    </row>
    <row r="1012" spans="1:3" x14ac:dyDescent="0.2">
      <c r="A1012" s="334" t="s">
        <v>4673</v>
      </c>
      <c r="B1012" s="334" t="s">
        <v>4674</v>
      </c>
      <c r="C1012" s="334" t="s">
        <v>6615</v>
      </c>
    </row>
    <row r="1013" spans="1:3" x14ac:dyDescent="0.2">
      <c r="A1013" s="334" t="s">
        <v>4675</v>
      </c>
      <c r="B1013" s="334" t="s">
        <v>4676</v>
      </c>
      <c r="C1013" s="334" t="s">
        <v>11</v>
      </c>
    </row>
    <row r="1014" spans="1:3" x14ac:dyDescent="0.2">
      <c r="A1014" s="334" t="s">
        <v>4677</v>
      </c>
      <c r="B1014" s="334" t="s">
        <v>4678</v>
      </c>
      <c r="C1014" s="334" t="s">
        <v>6611</v>
      </c>
    </row>
    <row r="1015" spans="1:3" x14ac:dyDescent="0.2">
      <c r="A1015" s="334" t="s">
        <v>4679</v>
      </c>
      <c r="B1015" s="334" t="s">
        <v>4680</v>
      </c>
      <c r="C1015" s="334" t="s">
        <v>2338</v>
      </c>
    </row>
    <row r="1016" spans="1:3" x14ac:dyDescent="0.2">
      <c r="A1016" s="334" t="s">
        <v>1698</v>
      </c>
      <c r="B1016" s="334" t="s">
        <v>4681</v>
      </c>
      <c r="C1016" s="334" t="s">
        <v>2338</v>
      </c>
    </row>
    <row r="1017" spans="1:3" x14ac:dyDescent="0.2">
      <c r="A1017" s="334" t="s">
        <v>1699</v>
      </c>
      <c r="B1017" s="334" t="s">
        <v>4682</v>
      </c>
      <c r="C1017" s="334" t="s">
        <v>2338</v>
      </c>
    </row>
    <row r="1018" spans="1:3" x14ac:dyDescent="0.2">
      <c r="A1018" s="334" t="s">
        <v>1700</v>
      </c>
      <c r="B1018" s="334" t="s">
        <v>4683</v>
      </c>
      <c r="C1018" s="334" t="s">
        <v>2338</v>
      </c>
    </row>
    <row r="1019" spans="1:3" x14ac:dyDescent="0.2">
      <c r="A1019" s="334" t="s">
        <v>1701</v>
      </c>
      <c r="B1019" s="334" t="s">
        <v>4684</v>
      </c>
      <c r="C1019" s="334" t="s">
        <v>2338</v>
      </c>
    </row>
    <row r="1020" spans="1:3" x14ac:dyDescent="0.2">
      <c r="A1020" s="334" t="s">
        <v>1702</v>
      </c>
      <c r="B1020" s="334" t="s">
        <v>4685</v>
      </c>
      <c r="C1020" s="334" t="s">
        <v>2338</v>
      </c>
    </row>
    <row r="1021" spans="1:3" x14ac:dyDescent="0.2">
      <c r="A1021" s="334" t="s">
        <v>1703</v>
      </c>
      <c r="B1021" s="334" t="s">
        <v>4686</v>
      </c>
      <c r="C1021" s="334" t="s">
        <v>2338</v>
      </c>
    </row>
    <row r="1022" spans="1:3" x14ac:dyDescent="0.2">
      <c r="A1022" s="334" t="s">
        <v>1704</v>
      </c>
      <c r="B1022" s="334" t="s">
        <v>4687</v>
      </c>
      <c r="C1022" s="334" t="s">
        <v>2338</v>
      </c>
    </row>
    <row r="1023" spans="1:3" x14ac:dyDescent="0.2">
      <c r="A1023" s="334" t="s">
        <v>1705</v>
      </c>
      <c r="B1023" s="334" t="s">
        <v>4688</v>
      </c>
      <c r="C1023" s="334" t="s">
        <v>2338</v>
      </c>
    </row>
    <row r="1024" spans="1:3" x14ac:dyDescent="0.2">
      <c r="A1024" s="334" t="s">
        <v>1706</v>
      </c>
      <c r="B1024" s="334" t="s">
        <v>4689</v>
      </c>
      <c r="C1024" s="334" t="s">
        <v>2338</v>
      </c>
    </row>
    <row r="1025" spans="1:3" x14ac:dyDescent="0.2">
      <c r="A1025" s="334" t="s">
        <v>1707</v>
      </c>
      <c r="B1025" s="334" t="s">
        <v>4690</v>
      </c>
      <c r="C1025" s="334" t="s">
        <v>2338</v>
      </c>
    </row>
    <row r="1026" spans="1:3" x14ac:dyDescent="0.2">
      <c r="A1026" s="334" t="s">
        <v>1708</v>
      </c>
      <c r="B1026" s="334" t="s">
        <v>4691</v>
      </c>
      <c r="C1026" s="334" t="s">
        <v>2338</v>
      </c>
    </row>
    <row r="1027" spans="1:3" x14ac:dyDescent="0.2">
      <c r="A1027" s="334" t="s">
        <v>1709</v>
      </c>
      <c r="B1027" s="334" t="s">
        <v>4692</v>
      </c>
      <c r="C1027" s="334" t="s">
        <v>6615</v>
      </c>
    </row>
    <row r="1028" spans="1:3" x14ac:dyDescent="0.2">
      <c r="A1028" s="334" t="s">
        <v>1710</v>
      </c>
      <c r="B1028" s="334" t="s">
        <v>4693</v>
      </c>
      <c r="C1028" s="334" t="s">
        <v>2338</v>
      </c>
    </row>
    <row r="1029" spans="1:3" x14ac:dyDescent="0.2">
      <c r="A1029" s="334" t="s">
        <v>1711</v>
      </c>
      <c r="B1029" s="334" t="s">
        <v>4694</v>
      </c>
      <c r="C1029" s="334" t="s">
        <v>2338</v>
      </c>
    </row>
    <row r="1030" spans="1:3" x14ac:dyDescent="0.2">
      <c r="A1030" s="334" t="s">
        <v>1712</v>
      </c>
      <c r="B1030" s="334" t="s">
        <v>4695</v>
      </c>
      <c r="C1030" s="334" t="s">
        <v>2338</v>
      </c>
    </row>
    <row r="1031" spans="1:3" x14ac:dyDescent="0.2">
      <c r="A1031" s="334" t="s">
        <v>1713</v>
      </c>
      <c r="B1031" s="334" t="s">
        <v>4696</v>
      </c>
      <c r="C1031" s="334" t="s">
        <v>2338</v>
      </c>
    </row>
    <row r="1032" spans="1:3" x14ac:dyDescent="0.2">
      <c r="A1032" s="334" t="s">
        <v>1714</v>
      </c>
      <c r="B1032" s="334" t="s">
        <v>4697</v>
      </c>
      <c r="C1032" s="334" t="s">
        <v>2338</v>
      </c>
    </row>
    <row r="1033" spans="1:3" x14ac:dyDescent="0.2">
      <c r="A1033" s="334" t="s">
        <v>4698</v>
      </c>
      <c r="B1033" s="334" t="s">
        <v>4699</v>
      </c>
      <c r="C1033" s="334" t="s">
        <v>2338</v>
      </c>
    </row>
    <row r="1034" spans="1:3" x14ac:dyDescent="0.2">
      <c r="A1034" s="334" t="s">
        <v>4700</v>
      </c>
      <c r="B1034" s="334" t="s">
        <v>4701</v>
      </c>
      <c r="C1034" s="334" t="s">
        <v>2338</v>
      </c>
    </row>
    <row r="1035" spans="1:3" x14ac:dyDescent="0.2">
      <c r="A1035" s="334" t="s">
        <v>4702</v>
      </c>
      <c r="B1035" s="334" t="s">
        <v>4703</v>
      </c>
      <c r="C1035" s="334" t="s">
        <v>2338</v>
      </c>
    </row>
    <row r="1036" spans="1:3" x14ac:dyDescent="0.2">
      <c r="A1036" s="334" t="s">
        <v>4704</v>
      </c>
      <c r="B1036" s="334" t="s">
        <v>4705</v>
      </c>
      <c r="C1036" s="334" t="s">
        <v>2338</v>
      </c>
    </row>
    <row r="1037" spans="1:3" x14ac:dyDescent="0.2">
      <c r="A1037" s="334" t="s">
        <v>4706</v>
      </c>
      <c r="B1037" s="334" t="s">
        <v>4707</v>
      </c>
      <c r="C1037" s="334" t="s">
        <v>2338</v>
      </c>
    </row>
    <row r="1038" spans="1:3" x14ac:dyDescent="0.2">
      <c r="A1038" s="334" t="s">
        <v>4708</v>
      </c>
      <c r="B1038" s="334" t="s">
        <v>4709</v>
      </c>
      <c r="C1038" s="334" t="s">
        <v>2338</v>
      </c>
    </row>
    <row r="1039" spans="1:3" x14ac:dyDescent="0.2">
      <c r="A1039" s="334" t="s">
        <v>1715</v>
      </c>
      <c r="B1039" s="334" t="s">
        <v>7504</v>
      </c>
      <c r="C1039" s="334" t="s">
        <v>11</v>
      </c>
    </row>
    <row r="1040" spans="1:3" x14ac:dyDescent="0.2">
      <c r="A1040" s="334" t="s">
        <v>4710</v>
      </c>
      <c r="B1040" s="334" t="s">
        <v>4711</v>
      </c>
      <c r="C1040" s="334" t="s">
        <v>11</v>
      </c>
    </row>
    <row r="1041" spans="1:3" x14ac:dyDescent="0.2">
      <c r="A1041" s="334" t="s">
        <v>4712</v>
      </c>
      <c r="B1041" s="334" t="s">
        <v>4713</v>
      </c>
      <c r="C1041" s="334" t="s">
        <v>6616</v>
      </c>
    </row>
    <row r="1042" spans="1:3" x14ac:dyDescent="0.2">
      <c r="A1042" s="334" t="s">
        <v>4714</v>
      </c>
      <c r="B1042" s="334" t="s">
        <v>7505</v>
      </c>
      <c r="C1042" s="334" t="s">
        <v>16</v>
      </c>
    </row>
    <row r="1043" spans="1:3" x14ac:dyDescent="0.2">
      <c r="A1043" s="334" t="s">
        <v>4715</v>
      </c>
      <c r="B1043" s="334" t="s">
        <v>7506</v>
      </c>
      <c r="C1043" s="334" t="s">
        <v>16</v>
      </c>
    </row>
    <row r="1044" spans="1:3" x14ac:dyDescent="0.2">
      <c r="A1044" s="334" t="s">
        <v>4716</v>
      </c>
      <c r="B1044" s="334" t="s">
        <v>7507</v>
      </c>
      <c r="C1044" s="334" t="s">
        <v>16</v>
      </c>
    </row>
    <row r="1045" spans="1:3" x14ac:dyDescent="0.2">
      <c r="A1045" s="334" t="s">
        <v>4717</v>
      </c>
      <c r="B1045" s="334" t="s">
        <v>7508</v>
      </c>
      <c r="C1045" s="334" t="s">
        <v>16</v>
      </c>
    </row>
    <row r="1046" spans="1:3" x14ac:dyDescent="0.2">
      <c r="A1046" s="334" t="s">
        <v>4718</v>
      </c>
      <c r="B1046" s="334" t="s">
        <v>7509</v>
      </c>
      <c r="C1046" s="334" t="s">
        <v>25</v>
      </c>
    </row>
    <row r="1047" spans="1:3" x14ac:dyDescent="0.2">
      <c r="A1047" s="334" t="s">
        <v>4719</v>
      </c>
      <c r="B1047" s="334" t="s">
        <v>7510</v>
      </c>
      <c r="C1047" s="334" t="s">
        <v>25</v>
      </c>
    </row>
    <row r="1048" spans="1:3" x14ac:dyDescent="0.2">
      <c r="A1048" s="334" t="s">
        <v>4720</v>
      </c>
      <c r="B1048" s="334" t="s">
        <v>7511</v>
      </c>
      <c r="C1048" s="334" t="s">
        <v>25</v>
      </c>
    </row>
    <row r="1049" spans="1:3" x14ac:dyDescent="0.2">
      <c r="A1049" s="334" t="s">
        <v>4721</v>
      </c>
      <c r="B1049" s="334" t="s">
        <v>7512</v>
      </c>
      <c r="C1049" s="334" t="s">
        <v>25</v>
      </c>
    </row>
    <row r="1050" spans="1:3" x14ac:dyDescent="0.2">
      <c r="A1050" s="334" t="s">
        <v>4722</v>
      </c>
      <c r="B1050" s="334" t="s">
        <v>7513</v>
      </c>
      <c r="C1050" s="334" t="s">
        <v>16</v>
      </c>
    </row>
    <row r="1051" spans="1:3" x14ac:dyDescent="0.2">
      <c r="A1051" s="334" t="s">
        <v>4723</v>
      </c>
      <c r="B1051" s="334" t="s">
        <v>7514</v>
      </c>
      <c r="C1051" s="334" t="s">
        <v>25</v>
      </c>
    </row>
    <row r="1052" spans="1:3" x14ac:dyDescent="0.2">
      <c r="A1052" s="334" t="s">
        <v>4724</v>
      </c>
      <c r="B1052" s="334" t="s">
        <v>7515</v>
      </c>
      <c r="C1052" s="334" t="s">
        <v>25</v>
      </c>
    </row>
    <row r="1053" spans="1:3" x14ac:dyDescent="0.2">
      <c r="A1053" s="334" t="s">
        <v>4725</v>
      </c>
      <c r="B1053" s="334" t="s">
        <v>7516</v>
      </c>
      <c r="C1053" s="334" t="s">
        <v>25</v>
      </c>
    </row>
    <row r="1054" spans="1:3" x14ac:dyDescent="0.2">
      <c r="A1054" s="334" t="s">
        <v>4726</v>
      </c>
      <c r="B1054" s="334" t="s">
        <v>7517</v>
      </c>
      <c r="C1054" s="334" t="s">
        <v>25</v>
      </c>
    </row>
    <row r="1055" spans="1:3" x14ac:dyDescent="0.2">
      <c r="A1055" s="334" t="s">
        <v>4727</v>
      </c>
      <c r="B1055" s="334" t="s">
        <v>7518</v>
      </c>
      <c r="C1055" s="334" t="s">
        <v>25</v>
      </c>
    </row>
    <row r="1056" spans="1:3" x14ac:dyDescent="0.2">
      <c r="A1056" s="334" t="s">
        <v>4728</v>
      </c>
      <c r="B1056" s="334" t="s">
        <v>7519</v>
      </c>
      <c r="C1056" s="334" t="s">
        <v>25</v>
      </c>
    </row>
    <row r="1057" spans="1:3" x14ac:dyDescent="0.2">
      <c r="A1057" s="334" t="s">
        <v>4729</v>
      </c>
      <c r="B1057" s="334" t="s">
        <v>7520</v>
      </c>
      <c r="C1057" s="334" t="s">
        <v>25</v>
      </c>
    </row>
    <row r="1058" spans="1:3" x14ac:dyDescent="0.2">
      <c r="A1058" s="334" t="s">
        <v>4730</v>
      </c>
      <c r="B1058" s="334" t="s">
        <v>7521</v>
      </c>
      <c r="C1058" s="334" t="s">
        <v>25</v>
      </c>
    </row>
    <row r="1059" spans="1:3" x14ac:dyDescent="0.2">
      <c r="A1059" s="334" t="s">
        <v>4731</v>
      </c>
      <c r="B1059" s="334" t="s">
        <v>7522</v>
      </c>
      <c r="C1059" s="334" t="s">
        <v>25</v>
      </c>
    </row>
    <row r="1060" spans="1:3" x14ac:dyDescent="0.2">
      <c r="A1060" s="334" t="s">
        <v>4732</v>
      </c>
      <c r="B1060" s="334" t="s">
        <v>7523</v>
      </c>
      <c r="C1060" s="334" t="s">
        <v>25</v>
      </c>
    </row>
    <row r="1061" spans="1:3" x14ac:dyDescent="0.2">
      <c r="A1061" s="334" t="s">
        <v>4733</v>
      </c>
      <c r="B1061" s="334" t="s">
        <v>7524</v>
      </c>
      <c r="C1061" s="334" t="s">
        <v>16</v>
      </c>
    </row>
    <row r="1062" spans="1:3" x14ac:dyDescent="0.2">
      <c r="A1062" s="334" t="s">
        <v>4734</v>
      </c>
      <c r="B1062" s="334" t="s">
        <v>7525</v>
      </c>
      <c r="C1062" s="334" t="s">
        <v>16</v>
      </c>
    </row>
    <row r="1063" spans="1:3" x14ac:dyDescent="0.2">
      <c r="A1063" s="334" t="s">
        <v>4735</v>
      </c>
      <c r="B1063" s="334" t="s">
        <v>7526</v>
      </c>
      <c r="C1063" s="334" t="s">
        <v>11</v>
      </c>
    </row>
    <row r="1064" spans="1:3" x14ac:dyDescent="0.2">
      <c r="A1064" s="334" t="s">
        <v>4736</v>
      </c>
      <c r="B1064" s="334" t="s">
        <v>7527</v>
      </c>
      <c r="C1064" s="334" t="s">
        <v>11</v>
      </c>
    </row>
    <row r="1065" spans="1:3" x14ac:dyDescent="0.2">
      <c r="A1065" s="334" t="s">
        <v>4737</v>
      </c>
      <c r="B1065" s="334" t="s">
        <v>7528</v>
      </c>
      <c r="C1065" s="334" t="s">
        <v>11</v>
      </c>
    </row>
    <row r="1066" spans="1:3" x14ac:dyDescent="0.2">
      <c r="A1066" s="334" t="s">
        <v>4738</v>
      </c>
      <c r="B1066" s="334" t="s">
        <v>7529</v>
      </c>
      <c r="C1066" s="334" t="s">
        <v>11</v>
      </c>
    </row>
    <row r="1067" spans="1:3" x14ac:dyDescent="0.2">
      <c r="A1067" s="334" t="s">
        <v>4739</v>
      </c>
      <c r="B1067" s="334" t="s">
        <v>7530</v>
      </c>
      <c r="C1067" s="334" t="s">
        <v>11</v>
      </c>
    </row>
    <row r="1068" spans="1:3" x14ac:dyDescent="0.2">
      <c r="A1068" s="334" t="s">
        <v>4740</v>
      </c>
      <c r="B1068" s="334" t="s">
        <v>7531</v>
      </c>
      <c r="C1068" s="334" t="s">
        <v>16</v>
      </c>
    </row>
    <row r="1069" spans="1:3" x14ac:dyDescent="0.2">
      <c r="A1069" s="334" t="s">
        <v>4741</v>
      </c>
      <c r="B1069" s="334" t="s">
        <v>7532</v>
      </c>
      <c r="C1069" s="334" t="s">
        <v>11</v>
      </c>
    </row>
    <row r="1070" spans="1:3" x14ac:dyDescent="0.2">
      <c r="A1070" s="334" t="s">
        <v>4742</v>
      </c>
      <c r="B1070" s="334" t="s">
        <v>7533</v>
      </c>
      <c r="C1070" s="334" t="s">
        <v>25</v>
      </c>
    </row>
    <row r="1071" spans="1:3" x14ac:dyDescent="0.2">
      <c r="A1071" s="334" t="s">
        <v>4743</v>
      </c>
      <c r="B1071" s="334" t="s">
        <v>7534</v>
      </c>
      <c r="C1071" s="334" t="s">
        <v>25</v>
      </c>
    </row>
    <row r="1072" spans="1:3" x14ac:dyDescent="0.2">
      <c r="A1072" s="334" t="s">
        <v>4744</v>
      </c>
      <c r="B1072" s="334" t="s">
        <v>7535</v>
      </c>
      <c r="C1072" s="334" t="s">
        <v>25</v>
      </c>
    </row>
    <row r="1073" spans="1:3" x14ac:dyDescent="0.2">
      <c r="A1073" s="334" t="s">
        <v>4745</v>
      </c>
      <c r="B1073" s="334" t="s">
        <v>7536</v>
      </c>
      <c r="C1073" s="334" t="s">
        <v>25</v>
      </c>
    </row>
    <row r="1074" spans="1:3" x14ac:dyDescent="0.2">
      <c r="A1074" s="334" t="s">
        <v>4746</v>
      </c>
      <c r="B1074" s="334" t="s">
        <v>7537</v>
      </c>
      <c r="C1074" s="334" t="s">
        <v>11</v>
      </c>
    </row>
    <row r="1075" spans="1:3" x14ac:dyDescent="0.2">
      <c r="A1075" s="334" t="s">
        <v>4747</v>
      </c>
      <c r="B1075" s="334" t="s">
        <v>7538</v>
      </c>
      <c r="C1075" s="334" t="s">
        <v>11</v>
      </c>
    </row>
    <row r="1076" spans="1:3" x14ac:dyDescent="0.2">
      <c r="A1076" s="334" t="s">
        <v>4748</v>
      </c>
      <c r="B1076" s="334" t="s">
        <v>7539</v>
      </c>
      <c r="C1076" s="334" t="s">
        <v>11</v>
      </c>
    </row>
    <row r="1077" spans="1:3" x14ac:dyDescent="0.2">
      <c r="A1077" s="334" t="s">
        <v>4749</v>
      </c>
      <c r="B1077" s="334" t="s">
        <v>7540</v>
      </c>
      <c r="C1077" s="334" t="s">
        <v>11</v>
      </c>
    </row>
    <row r="1078" spans="1:3" x14ac:dyDescent="0.2">
      <c r="A1078" s="334" t="s">
        <v>4750</v>
      </c>
      <c r="B1078" s="334" t="s">
        <v>7541</v>
      </c>
      <c r="C1078" s="334" t="s">
        <v>11</v>
      </c>
    </row>
    <row r="1079" spans="1:3" x14ac:dyDescent="0.2">
      <c r="A1079" s="334" t="s">
        <v>4751</v>
      </c>
      <c r="B1079" s="334" t="s">
        <v>7542</v>
      </c>
      <c r="C1079" s="334" t="s">
        <v>11</v>
      </c>
    </row>
    <row r="1080" spans="1:3" x14ac:dyDescent="0.2">
      <c r="A1080" s="334" t="s">
        <v>4752</v>
      </c>
      <c r="B1080" s="334" t="s">
        <v>7543</v>
      </c>
      <c r="C1080" s="334" t="s">
        <v>25</v>
      </c>
    </row>
    <row r="1081" spans="1:3" x14ac:dyDescent="0.2">
      <c r="A1081" s="334" t="s">
        <v>4753</v>
      </c>
      <c r="B1081" s="334" t="s">
        <v>7544</v>
      </c>
      <c r="C1081" s="334" t="s">
        <v>11</v>
      </c>
    </row>
    <row r="1082" spans="1:3" x14ac:dyDescent="0.2">
      <c r="A1082" s="334" t="s">
        <v>4754</v>
      </c>
      <c r="B1082" s="334" t="s">
        <v>7545</v>
      </c>
      <c r="C1082" s="334" t="s">
        <v>11</v>
      </c>
    </row>
    <row r="1083" spans="1:3" x14ac:dyDescent="0.2">
      <c r="A1083" s="334" t="s">
        <v>4755</v>
      </c>
      <c r="B1083" s="334" t="s">
        <v>7546</v>
      </c>
      <c r="C1083" s="334" t="s">
        <v>11</v>
      </c>
    </row>
    <row r="1084" spans="1:3" x14ac:dyDescent="0.2">
      <c r="A1084" s="334" t="s">
        <v>4756</v>
      </c>
      <c r="B1084" s="334" t="s">
        <v>7547</v>
      </c>
      <c r="C1084" s="334" t="s">
        <v>11</v>
      </c>
    </row>
    <row r="1085" spans="1:3" x14ac:dyDescent="0.2">
      <c r="A1085" s="334" t="s">
        <v>4757</v>
      </c>
      <c r="B1085" s="334" t="s">
        <v>7548</v>
      </c>
      <c r="C1085" s="334" t="s">
        <v>11</v>
      </c>
    </row>
    <row r="1086" spans="1:3" x14ac:dyDescent="0.2">
      <c r="A1086" s="334" t="s">
        <v>4758</v>
      </c>
      <c r="B1086" s="334" t="s">
        <v>7549</v>
      </c>
      <c r="C1086" s="334" t="s">
        <v>11</v>
      </c>
    </row>
    <row r="1087" spans="1:3" x14ac:dyDescent="0.2">
      <c r="A1087" s="334" t="s">
        <v>4759</v>
      </c>
      <c r="B1087" s="334" t="s">
        <v>7550</v>
      </c>
      <c r="C1087" s="334" t="s">
        <v>11</v>
      </c>
    </row>
    <row r="1088" spans="1:3" x14ac:dyDescent="0.2">
      <c r="A1088" s="334" t="s">
        <v>4760</v>
      </c>
      <c r="B1088" s="334" t="s">
        <v>7551</v>
      </c>
      <c r="C1088" s="334" t="s">
        <v>11</v>
      </c>
    </row>
    <row r="1089" spans="1:3" x14ac:dyDescent="0.2">
      <c r="A1089" s="334" t="s">
        <v>4761</v>
      </c>
      <c r="B1089" s="334" t="s">
        <v>7552</v>
      </c>
      <c r="C1089" s="334" t="s">
        <v>11</v>
      </c>
    </row>
    <row r="1090" spans="1:3" x14ac:dyDescent="0.2">
      <c r="A1090" s="334" t="s">
        <v>4762</v>
      </c>
      <c r="B1090" s="334" t="s">
        <v>7553</v>
      </c>
      <c r="C1090" s="334" t="s">
        <v>11</v>
      </c>
    </row>
    <row r="1091" spans="1:3" x14ac:dyDescent="0.2">
      <c r="A1091" s="334" t="s">
        <v>4763</v>
      </c>
      <c r="B1091" s="334" t="s">
        <v>7554</v>
      </c>
      <c r="C1091" s="334" t="s">
        <v>11</v>
      </c>
    </row>
    <row r="1092" spans="1:3" x14ac:dyDescent="0.2">
      <c r="A1092" s="334" t="s">
        <v>4764</v>
      </c>
      <c r="B1092" s="334" t="s">
        <v>7555</v>
      </c>
      <c r="C1092" s="334" t="s">
        <v>11</v>
      </c>
    </row>
    <row r="1093" spans="1:3" x14ac:dyDescent="0.2">
      <c r="A1093" s="334" t="s">
        <v>4765</v>
      </c>
      <c r="B1093" s="334" t="s">
        <v>7556</v>
      </c>
      <c r="C1093" s="334" t="s">
        <v>11</v>
      </c>
    </row>
    <row r="1094" spans="1:3" x14ac:dyDescent="0.2">
      <c r="A1094" s="334" t="s">
        <v>4766</v>
      </c>
      <c r="B1094" s="334" t="s">
        <v>7557</v>
      </c>
      <c r="C1094" s="334" t="s">
        <v>11</v>
      </c>
    </row>
    <row r="1095" spans="1:3" x14ac:dyDescent="0.2">
      <c r="A1095" s="334" t="s">
        <v>4767</v>
      </c>
      <c r="B1095" s="334" t="s">
        <v>7558</v>
      </c>
      <c r="C1095" s="334" t="s">
        <v>11</v>
      </c>
    </row>
    <row r="1096" spans="1:3" x14ac:dyDescent="0.2">
      <c r="A1096" s="334" t="s">
        <v>4768</v>
      </c>
      <c r="B1096" s="334" t="s">
        <v>7559</v>
      </c>
      <c r="C1096" s="334" t="s">
        <v>11</v>
      </c>
    </row>
    <row r="1097" spans="1:3" x14ac:dyDescent="0.2">
      <c r="A1097" s="334" t="s">
        <v>4769</v>
      </c>
      <c r="B1097" s="334" t="s">
        <v>7560</v>
      </c>
      <c r="C1097" s="334" t="s">
        <v>11</v>
      </c>
    </row>
    <row r="1098" spans="1:3" x14ac:dyDescent="0.2">
      <c r="A1098" s="334" t="s">
        <v>4770</v>
      </c>
      <c r="B1098" s="334" t="s">
        <v>7561</v>
      </c>
      <c r="C1098" s="334" t="s">
        <v>11</v>
      </c>
    </row>
    <row r="1099" spans="1:3" x14ac:dyDescent="0.2">
      <c r="A1099" s="334" t="s">
        <v>4771</v>
      </c>
      <c r="B1099" s="334" t="s">
        <v>7562</v>
      </c>
      <c r="C1099" s="334" t="s">
        <v>11</v>
      </c>
    </row>
    <row r="1100" spans="1:3" x14ac:dyDescent="0.2">
      <c r="A1100" s="334" t="s">
        <v>4772</v>
      </c>
      <c r="B1100" s="334" t="s">
        <v>7563</v>
      </c>
      <c r="C1100" s="334" t="s">
        <v>16</v>
      </c>
    </row>
    <row r="1101" spans="1:3" x14ac:dyDescent="0.2">
      <c r="A1101" s="334" t="s">
        <v>4773</v>
      </c>
      <c r="B1101" s="334" t="s">
        <v>4774</v>
      </c>
      <c r="C1101" s="334" t="s">
        <v>6615</v>
      </c>
    </row>
    <row r="1102" spans="1:3" x14ac:dyDescent="0.2">
      <c r="A1102" s="334" t="s">
        <v>4775</v>
      </c>
      <c r="B1102" s="334" t="s">
        <v>4776</v>
      </c>
      <c r="C1102" s="334" t="s">
        <v>11</v>
      </c>
    </row>
    <row r="1103" spans="1:3" x14ac:dyDescent="0.2">
      <c r="A1103" s="334" t="s">
        <v>4777</v>
      </c>
      <c r="B1103" s="334" t="s">
        <v>4778</v>
      </c>
      <c r="C1103" s="334" t="s">
        <v>2338</v>
      </c>
    </row>
    <row r="1104" spans="1:3" x14ac:dyDescent="0.2">
      <c r="A1104" s="334" t="s">
        <v>4779</v>
      </c>
      <c r="B1104" s="334" t="s">
        <v>4780</v>
      </c>
      <c r="C1104" s="334" t="s">
        <v>6608</v>
      </c>
    </row>
    <row r="1105" spans="1:4" x14ac:dyDescent="0.2">
      <c r="A1105" s="334" t="s">
        <v>4781</v>
      </c>
      <c r="B1105" s="334" t="s">
        <v>4782</v>
      </c>
      <c r="C1105" s="334" t="s">
        <v>2338</v>
      </c>
    </row>
    <row r="1106" spans="1:4" x14ac:dyDescent="0.2">
      <c r="A1106" s="334" t="s">
        <v>4783</v>
      </c>
      <c r="B1106" s="334" t="s">
        <v>4784</v>
      </c>
      <c r="C1106" s="334" t="s">
        <v>6611</v>
      </c>
    </row>
    <row r="1107" spans="1:4" x14ac:dyDescent="0.2">
      <c r="A1107" s="334" t="s">
        <v>4785</v>
      </c>
      <c r="B1107" s="334" t="s">
        <v>7564</v>
      </c>
      <c r="C1107" s="334" t="s">
        <v>11</v>
      </c>
    </row>
    <row r="1108" spans="1:4" x14ac:dyDescent="0.2">
      <c r="A1108" s="334" t="s">
        <v>4786</v>
      </c>
      <c r="B1108" s="334" t="s">
        <v>4787</v>
      </c>
      <c r="C1108" s="334" t="s">
        <v>11</v>
      </c>
    </row>
    <row r="1109" spans="1:4" x14ac:dyDescent="0.2">
      <c r="A1109" s="334" t="s">
        <v>4788</v>
      </c>
      <c r="B1109" s="334" t="s">
        <v>4789</v>
      </c>
      <c r="C1109" s="334" t="s">
        <v>11</v>
      </c>
    </row>
    <row r="1110" spans="1:4" x14ac:dyDescent="0.2">
      <c r="A1110" s="347" t="s">
        <v>1716</v>
      </c>
      <c r="B1110" s="347" t="s">
        <v>7565</v>
      </c>
      <c r="C1110" s="347" t="s">
        <v>25</v>
      </c>
      <c r="D1110" s="348" t="s">
        <v>10271</v>
      </c>
    </row>
    <row r="1111" spans="1:4" x14ac:dyDescent="0.2">
      <c r="A1111" s="347" t="s">
        <v>1717</v>
      </c>
      <c r="B1111" s="347" t="s">
        <v>7566</v>
      </c>
      <c r="C1111" s="347" t="s">
        <v>25</v>
      </c>
      <c r="D1111" s="348" t="s">
        <v>10271</v>
      </c>
    </row>
    <row r="1112" spans="1:4" x14ac:dyDescent="0.2">
      <c r="A1112" s="334" t="s">
        <v>4790</v>
      </c>
      <c r="B1112" s="334" t="s">
        <v>4791</v>
      </c>
      <c r="C1112" s="334" t="s">
        <v>6608</v>
      </c>
    </row>
    <row r="1113" spans="1:4" x14ac:dyDescent="0.2">
      <c r="A1113" s="334" t="s">
        <v>4792</v>
      </c>
      <c r="B1113" s="334" t="s">
        <v>4793</v>
      </c>
      <c r="C1113" s="334" t="s">
        <v>2338</v>
      </c>
    </row>
    <row r="1114" spans="1:4" x14ac:dyDescent="0.2">
      <c r="A1114" s="334" t="s">
        <v>4794</v>
      </c>
      <c r="B1114" s="334" t="s">
        <v>4795</v>
      </c>
      <c r="C1114" s="334" t="s">
        <v>11</v>
      </c>
    </row>
    <row r="1115" spans="1:4" x14ac:dyDescent="0.2">
      <c r="A1115" s="334" t="s">
        <v>4796</v>
      </c>
      <c r="B1115" s="334" t="s">
        <v>4797</v>
      </c>
      <c r="C1115" s="334" t="s">
        <v>11</v>
      </c>
    </row>
    <row r="1116" spans="1:4" x14ac:dyDescent="0.2">
      <c r="A1116" s="334" t="s">
        <v>4798</v>
      </c>
      <c r="B1116" s="334" t="s">
        <v>4799</v>
      </c>
      <c r="C1116" s="334" t="s">
        <v>11</v>
      </c>
    </row>
    <row r="1117" spans="1:4" x14ac:dyDescent="0.2">
      <c r="A1117" s="334" t="s">
        <v>1718</v>
      </c>
      <c r="B1117" s="334" t="s">
        <v>7567</v>
      </c>
      <c r="C1117" s="334" t="s">
        <v>2557</v>
      </c>
    </row>
    <row r="1118" spans="1:4" x14ac:dyDescent="0.2">
      <c r="A1118" s="334" t="s">
        <v>1719</v>
      </c>
      <c r="B1118" s="334" t="s">
        <v>7568</v>
      </c>
      <c r="C1118" s="334" t="s">
        <v>6606</v>
      </c>
    </row>
    <row r="1119" spans="1:4" x14ac:dyDescent="0.2">
      <c r="A1119" s="334" t="s">
        <v>1720</v>
      </c>
      <c r="B1119" s="334" t="s">
        <v>4800</v>
      </c>
      <c r="C1119" s="334" t="s">
        <v>2557</v>
      </c>
    </row>
    <row r="1120" spans="1:4" x14ac:dyDescent="0.2">
      <c r="A1120" s="334" t="s">
        <v>1721</v>
      </c>
      <c r="B1120" s="334" t="s">
        <v>7569</v>
      </c>
      <c r="C1120" s="334" t="s">
        <v>2557</v>
      </c>
    </row>
    <row r="1121" spans="1:3" x14ac:dyDescent="0.2">
      <c r="A1121" s="334" t="s">
        <v>4801</v>
      </c>
      <c r="B1121" s="334" t="s">
        <v>7570</v>
      </c>
      <c r="C1121" s="334" t="s">
        <v>11</v>
      </c>
    </row>
    <row r="1122" spans="1:3" x14ac:dyDescent="0.2">
      <c r="A1122" s="334" t="s">
        <v>4802</v>
      </c>
      <c r="B1122" s="334" t="s">
        <v>7571</v>
      </c>
      <c r="C1122" s="334" t="s">
        <v>11</v>
      </c>
    </row>
    <row r="1123" spans="1:3" x14ac:dyDescent="0.2">
      <c r="A1123" s="334" t="s">
        <v>4803</v>
      </c>
      <c r="B1123" s="334" t="s">
        <v>7572</v>
      </c>
      <c r="C1123" s="334" t="s">
        <v>11</v>
      </c>
    </row>
    <row r="1124" spans="1:3" x14ac:dyDescent="0.2">
      <c r="A1124" s="334" t="s">
        <v>4804</v>
      </c>
      <c r="B1124" s="334" t="s">
        <v>7573</v>
      </c>
      <c r="C1124" s="334" t="s">
        <v>11</v>
      </c>
    </row>
    <row r="1125" spans="1:3" x14ac:dyDescent="0.2">
      <c r="A1125" s="334" t="s">
        <v>4805</v>
      </c>
      <c r="B1125" s="334" t="s">
        <v>7574</v>
      </c>
      <c r="C1125" s="334" t="s">
        <v>11</v>
      </c>
    </row>
    <row r="1126" spans="1:3" x14ac:dyDescent="0.2">
      <c r="A1126" s="334" t="s">
        <v>4806</v>
      </c>
      <c r="B1126" s="334" t="s">
        <v>7575</v>
      </c>
      <c r="C1126" s="334" t="s">
        <v>11</v>
      </c>
    </row>
    <row r="1127" spans="1:3" x14ac:dyDescent="0.2">
      <c r="A1127" s="334" t="s">
        <v>4807</v>
      </c>
      <c r="B1127" s="334" t="s">
        <v>7576</v>
      </c>
      <c r="C1127" s="334" t="s">
        <v>11</v>
      </c>
    </row>
    <row r="1128" spans="1:3" x14ac:dyDescent="0.2">
      <c r="A1128" s="334" t="s">
        <v>4808</v>
      </c>
      <c r="B1128" s="334" t="s">
        <v>7577</v>
      </c>
      <c r="C1128" s="334" t="s">
        <v>11</v>
      </c>
    </row>
    <row r="1129" spans="1:3" x14ac:dyDescent="0.2">
      <c r="A1129" s="334" t="s">
        <v>4809</v>
      </c>
      <c r="B1129" s="334" t="s">
        <v>7578</v>
      </c>
      <c r="C1129" s="334" t="s">
        <v>11</v>
      </c>
    </row>
    <row r="1130" spans="1:3" x14ac:dyDescent="0.2">
      <c r="A1130" s="334" t="s">
        <v>4810</v>
      </c>
      <c r="B1130" s="334" t="s">
        <v>7579</v>
      </c>
      <c r="C1130" s="334" t="s">
        <v>11</v>
      </c>
    </row>
    <row r="1131" spans="1:3" x14ac:dyDescent="0.2">
      <c r="A1131" s="334" t="s">
        <v>4811</v>
      </c>
      <c r="B1131" s="334" t="s">
        <v>7580</v>
      </c>
      <c r="C1131" s="334" t="s">
        <v>11</v>
      </c>
    </row>
    <row r="1132" spans="1:3" x14ac:dyDescent="0.2">
      <c r="A1132" s="334" t="s">
        <v>4812</v>
      </c>
      <c r="B1132" s="334" t="s">
        <v>7581</v>
      </c>
      <c r="C1132" s="334" t="s">
        <v>11</v>
      </c>
    </row>
    <row r="1133" spans="1:3" x14ac:dyDescent="0.2">
      <c r="A1133" s="334" t="s">
        <v>4813</v>
      </c>
      <c r="B1133" s="334" t="s">
        <v>7582</v>
      </c>
      <c r="C1133" s="334" t="s">
        <v>11</v>
      </c>
    </row>
    <row r="1134" spans="1:3" x14ac:dyDescent="0.2">
      <c r="A1134" s="334" t="s">
        <v>4814</v>
      </c>
      <c r="B1134" s="334" t="s">
        <v>7583</v>
      </c>
      <c r="C1134" s="334" t="s">
        <v>11</v>
      </c>
    </row>
    <row r="1135" spans="1:3" x14ac:dyDescent="0.2">
      <c r="A1135" s="334" t="s">
        <v>4815</v>
      </c>
      <c r="B1135" s="334" t="s">
        <v>7584</v>
      </c>
      <c r="C1135" s="334" t="s">
        <v>11</v>
      </c>
    </row>
    <row r="1136" spans="1:3" x14ac:dyDescent="0.2">
      <c r="A1136" s="334" t="s">
        <v>4816</v>
      </c>
      <c r="B1136" s="334" t="s">
        <v>7585</v>
      </c>
      <c r="C1136" s="334" t="s">
        <v>11</v>
      </c>
    </row>
    <row r="1137" spans="1:3" x14ac:dyDescent="0.2">
      <c r="A1137" s="334" t="s">
        <v>4817</v>
      </c>
      <c r="B1137" s="334" t="s">
        <v>7586</v>
      </c>
      <c r="C1137" s="334" t="s">
        <v>11</v>
      </c>
    </row>
    <row r="1138" spans="1:3" x14ac:dyDescent="0.2">
      <c r="A1138" s="334" t="s">
        <v>4818</v>
      </c>
      <c r="B1138" s="334" t="s">
        <v>7587</v>
      </c>
      <c r="C1138" s="334" t="s">
        <v>11</v>
      </c>
    </row>
    <row r="1139" spans="1:3" x14ac:dyDescent="0.2">
      <c r="A1139" s="334" t="s">
        <v>4819</v>
      </c>
      <c r="B1139" s="334" t="s">
        <v>7588</v>
      </c>
      <c r="C1139" s="334" t="s">
        <v>11</v>
      </c>
    </row>
    <row r="1140" spans="1:3" x14ac:dyDescent="0.2">
      <c r="A1140" s="334" t="s">
        <v>4820</v>
      </c>
      <c r="B1140" s="334" t="s">
        <v>7589</v>
      </c>
      <c r="C1140" s="334" t="s">
        <v>11</v>
      </c>
    </row>
    <row r="1141" spans="1:3" x14ac:dyDescent="0.2">
      <c r="A1141" s="334" t="s">
        <v>4821</v>
      </c>
      <c r="B1141" s="334" t="s">
        <v>7590</v>
      </c>
      <c r="C1141" s="334" t="s">
        <v>11</v>
      </c>
    </row>
    <row r="1142" spans="1:3" x14ac:dyDescent="0.2">
      <c r="A1142" s="334" t="s">
        <v>4822</v>
      </c>
      <c r="B1142" s="334" t="s">
        <v>7591</v>
      </c>
      <c r="C1142" s="334" t="s">
        <v>11</v>
      </c>
    </row>
    <row r="1143" spans="1:3" x14ac:dyDescent="0.2">
      <c r="A1143" s="334" t="s">
        <v>4823</v>
      </c>
      <c r="B1143" s="334" t="s">
        <v>7592</v>
      </c>
      <c r="C1143" s="334" t="s">
        <v>11</v>
      </c>
    </row>
    <row r="1144" spans="1:3" x14ac:dyDescent="0.2">
      <c r="A1144" s="334" t="s">
        <v>4824</v>
      </c>
      <c r="B1144" s="334" t="s">
        <v>7593</v>
      </c>
      <c r="C1144" s="334" t="s">
        <v>11</v>
      </c>
    </row>
    <row r="1145" spans="1:3" x14ac:dyDescent="0.2">
      <c r="A1145" s="334" t="s">
        <v>4825</v>
      </c>
      <c r="B1145" s="334" t="s">
        <v>7594</v>
      </c>
      <c r="C1145" s="334" t="s">
        <v>11</v>
      </c>
    </row>
    <row r="1146" spans="1:3" x14ac:dyDescent="0.2">
      <c r="A1146" s="334" t="s">
        <v>4826</v>
      </c>
      <c r="B1146" s="334" t="s">
        <v>7595</v>
      </c>
      <c r="C1146" s="334" t="s">
        <v>11</v>
      </c>
    </row>
    <row r="1147" spans="1:3" x14ac:dyDescent="0.2">
      <c r="A1147" s="334" t="s">
        <v>4827</v>
      </c>
      <c r="B1147" s="334" t="s">
        <v>7596</v>
      </c>
      <c r="C1147" s="334" t="s">
        <v>11</v>
      </c>
    </row>
    <row r="1148" spans="1:3" x14ac:dyDescent="0.2">
      <c r="A1148" s="334" t="s">
        <v>4828</v>
      </c>
      <c r="B1148" s="334" t="s">
        <v>7597</v>
      </c>
      <c r="C1148" s="334" t="s">
        <v>11</v>
      </c>
    </row>
    <row r="1149" spans="1:3" x14ac:dyDescent="0.2">
      <c r="A1149" s="334" t="s">
        <v>4829</v>
      </c>
      <c r="B1149" s="334" t="s">
        <v>7598</v>
      </c>
      <c r="C1149" s="334" t="s">
        <v>11</v>
      </c>
    </row>
    <row r="1150" spans="1:3" x14ac:dyDescent="0.2">
      <c r="A1150" s="334" t="s">
        <v>4830</v>
      </c>
      <c r="B1150" s="334" t="s">
        <v>7599</v>
      </c>
      <c r="C1150" s="334" t="s">
        <v>11</v>
      </c>
    </row>
    <row r="1151" spans="1:3" x14ac:dyDescent="0.2">
      <c r="A1151" s="334" t="s">
        <v>4831</v>
      </c>
      <c r="B1151" s="334" t="s">
        <v>7600</v>
      </c>
      <c r="C1151" s="334" t="s">
        <v>11</v>
      </c>
    </row>
    <row r="1152" spans="1:3" x14ac:dyDescent="0.2">
      <c r="A1152" s="334" t="s">
        <v>4832</v>
      </c>
      <c r="B1152" s="334" t="s">
        <v>7601</v>
      </c>
      <c r="C1152" s="334" t="s">
        <v>11</v>
      </c>
    </row>
    <row r="1153" spans="1:3" x14ac:dyDescent="0.2">
      <c r="A1153" s="334" t="s">
        <v>4833</v>
      </c>
      <c r="B1153" s="334" t="s">
        <v>7602</v>
      </c>
      <c r="C1153" s="334" t="s">
        <v>11</v>
      </c>
    </row>
    <row r="1154" spans="1:3" x14ac:dyDescent="0.2">
      <c r="A1154" s="334" t="s">
        <v>4834</v>
      </c>
      <c r="B1154" s="334" t="s">
        <v>7603</v>
      </c>
      <c r="C1154" s="334" t="s">
        <v>11</v>
      </c>
    </row>
    <row r="1155" spans="1:3" x14ac:dyDescent="0.2">
      <c r="A1155" s="334" t="s">
        <v>4835</v>
      </c>
      <c r="B1155" s="334" t="s">
        <v>7604</v>
      </c>
      <c r="C1155" s="334" t="s">
        <v>11</v>
      </c>
    </row>
    <row r="1156" spans="1:3" x14ac:dyDescent="0.2">
      <c r="A1156" s="334" t="s">
        <v>4836</v>
      </c>
      <c r="B1156" s="334" t="s">
        <v>7605</v>
      </c>
      <c r="C1156" s="334" t="s">
        <v>11</v>
      </c>
    </row>
    <row r="1157" spans="1:3" x14ac:dyDescent="0.2">
      <c r="A1157" s="334" t="s">
        <v>4837</v>
      </c>
      <c r="B1157" s="334" t="s">
        <v>7605</v>
      </c>
      <c r="C1157" s="334" t="s">
        <v>11</v>
      </c>
    </row>
    <row r="1158" spans="1:3" x14ac:dyDescent="0.2">
      <c r="A1158" s="334" t="s">
        <v>4838</v>
      </c>
      <c r="B1158" s="334" t="s">
        <v>7606</v>
      </c>
      <c r="C1158" s="334" t="s">
        <v>11</v>
      </c>
    </row>
    <row r="1159" spans="1:3" x14ac:dyDescent="0.2">
      <c r="A1159" s="334" t="s">
        <v>4839</v>
      </c>
      <c r="B1159" s="334" t="s">
        <v>7607</v>
      </c>
      <c r="C1159" s="334" t="s">
        <v>11</v>
      </c>
    </row>
    <row r="1160" spans="1:3" x14ac:dyDescent="0.2">
      <c r="A1160" s="334" t="s">
        <v>4840</v>
      </c>
      <c r="B1160" s="334" t="s">
        <v>7608</v>
      </c>
      <c r="C1160" s="334" t="s">
        <v>11</v>
      </c>
    </row>
    <row r="1161" spans="1:3" x14ac:dyDescent="0.2">
      <c r="A1161" s="334" t="s">
        <v>4841</v>
      </c>
      <c r="B1161" s="334" t="s">
        <v>7609</v>
      </c>
      <c r="C1161" s="334" t="s">
        <v>11</v>
      </c>
    </row>
    <row r="1162" spans="1:3" x14ac:dyDescent="0.2">
      <c r="A1162" s="334" t="s">
        <v>4842</v>
      </c>
      <c r="B1162" s="334" t="s">
        <v>7610</v>
      </c>
      <c r="C1162" s="334" t="s">
        <v>11</v>
      </c>
    </row>
    <row r="1163" spans="1:3" x14ac:dyDescent="0.2">
      <c r="A1163" s="334" t="s">
        <v>4843</v>
      </c>
      <c r="B1163" s="334" t="s">
        <v>7611</v>
      </c>
      <c r="C1163" s="334" t="s">
        <v>11</v>
      </c>
    </row>
    <row r="1164" spans="1:3" x14ac:dyDescent="0.2">
      <c r="A1164" s="334" t="s">
        <v>4844</v>
      </c>
      <c r="B1164" s="334" t="s">
        <v>7612</v>
      </c>
      <c r="C1164" s="334" t="s">
        <v>11</v>
      </c>
    </row>
    <row r="1165" spans="1:3" x14ac:dyDescent="0.2">
      <c r="A1165" s="334" t="s">
        <v>4845</v>
      </c>
      <c r="B1165" s="334" t="s">
        <v>7613</v>
      </c>
      <c r="C1165" s="334" t="s">
        <v>11</v>
      </c>
    </row>
    <row r="1166" spans="1:3" x14ac:dyDescent="0.2">
      <c r="A1166" s="334" t="s">
        <v>4846</v>
      </c>
      <c r="B1166" s="334" t="s">
        <v>7614</v>
      </c>
      <c r="C1166" s="334" t="s">
        <v>11</v>
      </c>
    </row>
    <row r="1167" spans="1:3" x14ac:dyDescent="0.2">
      <c r="A1167" s="334" t="s">
        <v>4847</v>
      </c>
      <c r="B1167" s="334" t="s">
        <v>7615</v>
      </c>
      <c r="C1167" s="334" t="s">
        <v>11</v>
      </c>
    </row>
    <row r="1168" spans="1:3" x14ac:dyDescent="0.2">
      <c r="A1168" s="334" t="s">
        <v>4848</v>
      </c>
      <c r="B1168" s="334" t="s">
        <v>7616</v>
      </c>
      <c r="C1168" s="334" t="s">
        <v>11</v>
      </c>
    </row>
    <row r="1169" spans="1:3" x14ac:dyDescent="0.2">
      <c r="A1169" s="334" t="s">
        <v>4849</v>
      </c>
      <c r="B1169" s="334" t="s">
        <v>7617</v>
      </c>
      <c r="C1169" s="334" t="s">
        <v>11</v>
      </c>
    </row>
    <row r="1170" spans="1:3" x14ac:dyDescent="0.2">
      <c r="A1170" s="334" t="s">
        <v>4850</v>
      </c>
      <c r="B1170" s="334" t="s">
        <v>7618</v>
      </c>
      <c r="C1170" s="334" t="s">
        <v>11</v>
      </c>
    </row>
    <row r="1171" spans="1:3" x14ac:dyDescent="0.2">
      <c r="A1171" s="334" t="s">
        <v>4851</v>
      </c>
      <c r="B1171" s="334" t="s">
        <v>7619</v>
      </c>
      <c r="C1171" s="334" t="s">
        <v>11</v>
      </c>
    </row>
    <row r="1172" spans="1:3" x14ac:dyDescent="0.2">
      <c r="A1172" s="334" t="s">
        <v>4852</v>
      </c>
      <c r="B1172" s="334" t="s">
        <v>7620</v>
      </c>
      <c r="C1172" s="334" t="s">
        <v>11</v>
      </c>
    </row>
    <row r="1173" spans="1:3" x14ac:dyDescent="0.2">
      <c r="A1173" s="334" t="s">
        <v>4853</v>
      </c>
      <c r="B1173" s="334" t="s">
        <v>7621</v>
      </c>
      <c r="C1173" s="334" t="s">
        <v>11</v>
      </c>
    </row>
    <row r="1174" spans="1:3" x14ac:dyDescent="0.2">
      <c r="A1174" s="334" t="s">
        <v>4854</v>
      </c>
      <c r="B1174" s="334" t="s">
        <v>7622</v>
      </c>
      <c r="C1174" s="334" t="s">
        <v>2338</v>
      </c>
    </row>
    <row r="1175" spans="1:3" x14ac:dyDescent="0.2">
      <c r="A1175" s="334" t="s">
        <v>4855</v>
      </c>
      <c r="B1175" s="334" t="s">
        <v>7623</v>
      </c>
      <c r="C1175" s="334" t="s">
        <v>2338</v>
      </c>
    </row>
    <row r="1176" spans="1:3" x14ac:dyDescent="0.2">
      <c r="A1176" s="334" t="s">
        <v>4856</v>
      </c>
      <c r="B1176" s="334" t="s">
        <v>7624</v>
      </c>
      <c r="C1176" s="334" t="s">
        <v>11</v>
      </c>
    </row>
    <row r="1177" spans="1:3" x14ac:dyDescent="0.2">
      <c r="A1177" s="334" t="s">
        <v>4857</v>
      </c>
      <c r="B1177" s="334" t="s">
        <v>7625</v>
      </c>
      <c r="C1177" s="334" t="s">
        <v>25</v>
      </c>
    </row>
    <row r="1178" spans="1:3" x14ac:dyDescent="0.2">
      <c r="A1178" s="334" t="s">
        <v>4858</v>
      </c>
      <c r="B1178" s="334" t="s">
        <v>7626</v>
      </c>
      <c r="C1178" s="334" t="s">
        <v>25</v>
      </c>
    </row>
    <row r="1179" spans="1:3" x14ac:dyDescent="0.2">
      <c r="A1179" s="334" t="s">
        <v>4859</v>
      </c>
      <c r="B1179" s="334" t="s">
        <v>7627</v>
      </c>
      <c r="C1179" s="334" t="s">
        <v>52</v>
      </c>
    </row>
    <row r="1180" spans="1:3" x14ac:dyDescent="0.2">
      <c r="A1180" s="334" t="s">
        <v>4860</v>
      </c>
      <c r="B1180" s="334" t="s">
        <v>7628</v>
      </c>
      <c r="C1180" s="334" t="s">
        <v>16</v>
      </c>
    </row>
    <row r="1181" spans="1:3" x14ac:dyDescent="0.2">
      <c r="A1181" s="334" t="s">
        <v>4861</v>
      </c>
      <c r="B1181" s="334" t="s">
        <v>7629</v>
      </c>
      <c r="C1181" s="334" t="s">
        <v>52</v>
      </c>
    </row>
    <row r="1182" spans="1:3" x14ac:dyDescent="0.2">
      <c r="A1182" s="334" t="s">
        <v>4862</v>
      </c>
      <c r="B1182" s="334" t="s">
        <v>7629</v>
      </c>
      <c r="C1182" s="334" t="s">
        <v>52</v>
      </c>
    </row>
    <row r="1183" spans="1:3" x14ac:dyDescent="0.2">
      <c r="A1183" s="334" t="s">
        <v>4863</v>
      </c>
      <c r="B1183" s="334" t="s">
        <v>7630</v>
      </c>
      <c r="C1183" s="334" t="s">
        <v>11</v>
      </c>
    </row>
    <row r="1184" spans="1:3" x14ac:dyDescent="0.2">
      <c r="A1184" s="334" t="s">
        <v>4864</v>
      </c>
      <c r="B1184" s="334" t="s">
        <v>7629</v>
      </c>
      <c r="C1184" s="334" t="s">
        <v>52</v>
      </c>
    </row>
    <row r="1185" spans="1:3" x14ac:dyDescent="0.2">
      <c r="A1185" s="334" t="s">
        <v>4865</v>
      </c>
      <c r="B1185" s="334" t="s">
        <v>7631</v>
      </c>
      <c r="C1185" s="334" t="s">
        <v>52</v>
      </c>
    </row>
    <row r="1186" spans="1:3" x14ac:dyDescent="0.2">
      <c r="A1186" s="334" t="s">
        <v>4866</v>
      </c>
      <c r="B1186" s="334" t="s">
        <v>7632</v>
      </c>
      <c r="C1186" s="334" t="s">
        <v>52</v>
      </c>
    </row>
    <row r="1187" spans="1:3" x14ac:dyDescent="0.2">
      <c r="A1187" s="334" t="s">
        <v>4867</v>
      </c>
      <c r="B1187" s="334" t="s">
        <v>4868</v>
      </c>
      <c r="C1187" s="334" t="s">
        <v>52</v>
      </c>
    </row>
    <row r="1188" spans="1:3" x14ac:dyDescent="0.2">
      <c r="A1188" s="334" t="s">
        <v>4869</v>
      </c>
      <c r="B1188" s="334" t="s">
        <v>7633</v>
      </c>
      <c r="C1188" s="334" t="s">
        <v>16</v>
      </c>
    </row>
    <row r="1189" spans="1:3" x14ac:dyDescent="0.2">
      <c r="A1189" s="334" t="s">
        <v>4870</v>
      </c>
      <c r="B1189" s="334" t="s">
        <v>7634</v>
      </c>
      <c r="C1189" s="334" t="s">
        <v>16</v>
      </c>
    </row>
    <row r="1190" spans="1:3" x14ac:dyDescent="0.2">
      <c r="A1190" s="334" t="s">
        <v>4871</v>
      </c>
      <c r="B1190" s="334" t="s">
        <v>7635</v>
      </c>
      <c r="C1190" s="334" t="s">
        <v>11</v>
      </c>
    </row>
    <row r="1191" spans="1:3" x14ac:dyDescent="0.2">
      <c r="A1191" s="334" t="s">
        <v>4872</v>
      </c>
      <c r="B1191" s="334" t="s">
        <v>7636</v>
      </c>
      <c r="C1191" s="334" t="s">
        <v>16</v>
      </c>
    </row>
    <row r="1192" spans="1:3" x14ac:dyDescent="0.2">
      <c r="A1192" s="334" t="s">
        <v>4873</v>
      </c>
      <c r="B1192" s="334" t="s">
        <v>7637</v>
      </c>
      <c r="C1192" s="334" t="s">
        <v>16</v>
      </c>
    </row>
    <row r="1193" spans="1:3" x14ac:dyDescent="0.2">
      <c r="A1193" s="334" t="s">
        <v>4874</v>
      </c>
      <c r="B1193" s="334" t="s">
        <v>7638</v>
      </c>
      <c r="C1193" s="334" t="s">
        <v>16</v>
      </c>
    </row>
    <row r="1194" spans="1:3" x14ac:dyDescent="0.2">
      <c r="A1194" s="334" t="s">
        <v>4875</v>
      </c>
      <c r="B1194" s="334" t="s">
        <v>7639</v>
      </c>
      <c r="C1194" s="334" t="s">
        <v>16</v>
      </c>
    </row>
    <row r="1195" spans="1:3" x14ac:dyDescent="0.2">
      <c r="A1195" s="334" t="s">
        <v>4876</v>
      </c>
      <c r="B1195" s="334" t="s">
        <v>7640</v>
      </c>
      <c r="C1195" s="334" t="s">
        <v>16</v>
      </c>
    </row>
    <row r="1196" spans="1:3" x14ac:dyDescent="0.2">
      <c r="A1196" s="334" t="s">
        <v>4877</v>
      </c>
      <c r="B1196" s="334" t="s">
        <v>7641</v>
      </c>
      <c r="C1196" s="334" t="s">
        <v>16</v>
      </c>
    </row>
    <row r="1197" spans="1:3" x14ac:dyDescent="0.2">
      <c r="A1197" s="334" t="s">
        <v>4878</v>
      </c>
      <c r="B1197" s="334" t="s">
        <v>7642</v>
      </c>
      <c r="C1197" s="334" t="s">
        <v>11</v>
      </c>
    </row>
    <row r="1198" spans="1:3" x14ac:dyDescent="0.2">
      <c r="A1198" s="334" t="s">
        <v>1722</v>
      </c>
      <c r="B1198" s="334" t="s">
        <v>7643</v>
      </c>
      <c r="C1198" s="334" t="s">
        <v>11</v>
      </c>
    </row>
    <row r="1199" spans="1:3" x14ac:dyDescent="0.2">
      <c r="A1199" s="334" t="s">
        <v>1723</v>
      </c>
      <c r="B1199" s="334" t="s">
        <v>7644</v>
      </c>
      <c r="C1199" s="334" t="s">
        <v>11</v>
      </c>
    </row>
    <row r="1200" spans="1:3" x14ac:dyDescent="0.2">
      <c r="A1200" s="334" t="s">
        <v>1724</v>
      </c>
      <c r="B1200" s="334" t="s">
        <v>7645</v>
      </c>
      <c r="C1200" s="334" t="s">
        <v>16</v>
      </c>
    </row>
    <row r="1201" spans="1:3" x14ac:dyDescent="0.2">
      <c r="A1201" s="334" t="s">
        <v>1725</v>
      </c>
      <c r="B1201" s="334" t="s">
        <v>7646</v>
      </c>
      <c r="C1201" s="334" t="s">
        <v>25</v>
      </c>
    </row>
    <row r="1202" spans="1:3" x14ac:dyDescent="0.2">
      <c r="A1202" s="334" t="s">
        <v>1726</v>
      </c>
      <c r="B1202" s="334" t="s">
        <v>7647</v>
      </c>
      <c r="C1202" s="334" t="s">
        <v>16</v>
      </c>
    </row>
    <row r="1203" spans="1:3" x14ac:dyDescent="0.2">
      <c r="A1203" s="334" t="s">
        <v>1727</v>
      </c>
      <c r="B1203" s="334" t="s">
        <v>7648</v>
      </c>
      <c r="C1203" s="334" t="s">
        <v>11</v>
      </c>
    </row>
    <row r="1204" spans="1:3" x14ac:dyDescent="0.2">
      <c r="A1204" s="334" t="s">
        <v>1728</v>
      </c>
      <c r="B1204" s="334" t="s">
        <v>7649</v>
      </c>
      <c r="C1204" s="334" t="s">
        <v>11</v>
      </c>
    </row>
    <row r="1205" spans="1:3" x14ac:dyDescent="0.2">
      <c r="A1205" s="334" t="s">
        <v>4879</v>
      </c>
      <c r="B1205" s="334" t="s">
        <v>7650</v>
      </c>
      <c r="C1205" s="334" t="s">
        <v>2557</v>
      </c>
    </row>
    <row r="1206" spans="1:3" x14ac:dyDescent="0.2">
      <c r="A1206" s="334" t="s">
        <v>4880</v>
      </c>
      <c r="B1206" s="334" t="s">
        <v>7097</v>
      </c>
      <c r="C1206" s="334" t="s">
        <v>11</v>
      </c>
    </row>
    <row r="1207" spans="1:3" x14ac:dyDescent="0.2">
      <c r="A1207" s="334" t="s">
        <v>4881</v>
      </c>
      <c r="B1207" s="334" t="s">
        <v>7651</v>
      </c>
      <c r="C1207" s="334" t="s">
        <v>25</v>
      </c>
    </row>
    <row r="1208" spans="1:3" x14ac:dyDescent="0.2">
      <c r="A1208" s="334" t="s">
        <v>4882</v>
      </c>
      <c r="B1208" s="334" t="s">
        <v>7652</v>
      </c>
      <c r="C1208" s="334" t="s">
        <v>25</v>
      </c>
    </row>
    <row r="1209" spans="1:3" x14ac:dyDescent="0.2">
      <c r="A1209" s="334" t="s">
        <v>4883</v>
      </c>
      <c r="B1209" s="334" t="s">
        <v>7653</v>
      </c>
      <c r="C1209" s="334" t="s">
        <v>11</v>
      </c>
    </row>
    <row r="1210" spans="1:3" x14ac:dyDescent="0.2">
      <c r="A1210" s="334" t="s">
        <v>4884</v>
      </c>
      <c r="B1210" s="334" t="s">
        <v>7654</v>
      </c>
      <c r="C1210" s="334" t="s">
        <v>11</v>
      </c>
    </row>
    <row r="1211" spans="1:3" x14ac:dyDescent="0.2">
      <c r="A1211" s="334" t="s">
        <v>4885</v>
      </c>
      <c r="B1211" s="334" t="s">
        <v>7655</v>
      </c>
      <c r="C1211" s="334" t="s">
        <v>11</v>
      </c>
    </row>
    <row r="1212" spans="1:3" x14ac:dyDescent="0.2">
      <c r="A1212" s="334" t="s">
        <v>4886</v>
      </c>
      <c r="B1212" s="334" t="s">
        <v>7656</v>
      </c>
      <c r="C1212" s="334" t="s">
        <v>11</v>
      </c>
    </row>
    <row r="1213" spans="1:3" x14ac:dyDescent="0.2">
      <c r="A1213" s="334" t="s">
        <v>4887</v>
      </c>
      <c r="B1213" s="334" t="s">
        <v>7657</v>
      </c>
      <c r="C1213" s="334" t="s">
        <v>11</v>
      </c>
    </row>
    <row r="1214" spans="1:3" x14ac:dyDescent="0.2">
      <c r="A1214" s="334" t="s">
        <v>4888</v>
      </c>
      <c r="B1214" s="334" t="s">
        <v>7658</v>
      </c>
      <c r="C1214" s="334" t="s">
        <v>11</v>
      </c>
    </row>
    <row r="1215" spans="1:3" x14ac:dyDescent="0.2">
      <c r="A1215" s="334" t="s">
        <v>4889</v>
      </c>
      <c r="B1215" s="334" t="s">
        <v>7659</v>
      </c>
      <c r="C1215" s="334" t="s">
        <v>11</v>
      </c>
    </row>
    <row r="1216" spans="1:3" x14ac:dyDescent="0.2">
      <c r="A1216" s="334" t="s">
        <v>4890</v>
      </c>
      <c r="B1216" s="334" t="s">
        <v>7660</v>
      </c>
      <c r="C1216" s="334" t="s">
        <v>11</v>
      </c>
    </row>
    <row r="1217" spans="1:3" x14ac:dyDescent="0.2">
      <c r="A1217" s="334" t="s">
        <v>4891</v>
      </c>
      <c r="B1217" s="334" t="s">
        <v>7661</v>
      </c>
      <c r="C1217" s="334" t="s">
        <v>11</v>
      </c>
    </row>
    <row r="1218" spans="1:3" x14ac:dyDescent="0.2">
      <c r="A1218" s="334" t="s">
        <v>4892</v>
      </c>
      <c r="B1218" s="334" t="s">
        <v>4893</v>
      </c>
      <c r="C1218" s="334" t="s">
        <v>11</v>
      </c>
    </row>
    <row r="1219" spans="1:3" x14ac:dyDescent="0.2">
      <c r="A1219" s="334" t="s">
        <v>4894</v>
      </c>
      <c r="B1219" s="334" t="s">
        <v>7662</v>
      </c>
      <c r="C1219" s="334" t="s">
        <v>16</v>
      </c>
    </row>
    <row r="1220" spans="1:3" x14ac:dyDescent="0.2">
      <c r="A1220" s="334" t="s">
        <v>1729</v>
      </c>
      <c r="B1220" s="334" t="s">
        <v>7145</v>
      </c>
      <c r="C1220" s="334" t="s">
        <v>11</v>
      </c>
    </row>
    <row r="1221" spans="1:3" x14ac:dyDescent="0.2">
      <c r="A1221" s="334" t="s">
        <v>4895</v>
      </c>
      <c r="B1221" s="334" t="s">
        <v>7663</v>
      </c>
      <c r="C1221" s="334" t="s">
        <v>11</v>
      </c>
    </row>
    <row r="1222" spans="1:3" x14ac:dyDescent="0.2">
      <c r="A1222" s="334" t="s">
        <v>4896</v>
      </c>
      <c r="B1222" s="334" t="s">
        <v>7664</v>
      </c>
      <c r="C1222" s="334" t="s">
        <v>11</v>
      </c>
    </row>
    <row r="1223" spans="1:3" x14ac:dyDescent="0.2">
      <c r="A1223" s="334" t="s">
        <v>4897</v>
      </c>
      <c r="B1223" s="334" t="s">
        <v>7665</v>
      </c>
      <c r="C1223" s="334" t="s">
        <v>11</v>
      </c>
    </row>
    <row r="1224" spans="1:3" x14ac:dyDescent="0.2">
      <c r="A1224" s="334" t="s">
        <v>4898</v>
      </c>
      <c r="B1224" s="334" t="s">
        <v>7664</v>
      </c>
      <c r="C1224" s="334" t="s">
        <v>11</v>
      </c>
    </row>
    <row r="1225" spans="1:3" x14ac:dyDescent="0.2">
      <c r="A1225" s="334" t="s">
        <v>4899</v>
      </c>
      <c r="B1225" s="334" t="s">
        <v>7664</v>
      </c>
      <c r="C1225" s="334" t="s">
        <v>11</v>
      </c>
    </row>
    <row r="1226" spans="1:3" x14ac:dyDescent="0.2">
      <c r="A1226" s="334" t="s">
        <v>4900</v>
      </c>
      <c r="B1226" s="334" t="s">
        <v>7664</v>
      </c>
      <c r="C1226" s="334" t="s">
        <v>11</v>
      </c>
    </row>
    <row r="1227" spans="1:3" x14ac:dyDescent="0.2">
      <c r="A1227" s="334" t="s">
        <v>4901</v>
      </c>
      <c r="B1227" s="334" t="s">
        <v>7664</v>
      </c>
      <c r="C1227" s="334" t="s">
        <v>11</v>
      </c>
    </row>
    <row r="1228" spans="1:3" x14ac:dyDescent="0.2">
      <c r="A1228" s="334" t="s">
        <v>4902</v>
      </c>
      <c r="B1228" s="334" t="s">
        <v>4903</v>
      </c>
      <c r="C1228" s="334" t="s">
        <v>11</v>
      </c>
    </row>
    <row r="1229" spans="1:3" x14ac:dyDescent="0.2">
      <c r="A1229" s="334" t="s">
        <v>1730</v>
      </c>
      <c r="B1229" s="334" t="s">
        <v>7666</v>
      </c>
      <c r="C1229" s="334" t="s">
        <v>11</v>
      </c>
    </row>
    <row r="1230" spans="1:3" x14ac:dyDescent="0.2">
      <c r="A1230" s="334" t="s">
        <v>4904</v>
      </c>
      <c r="B1230" s="334" t="s">
        <v>7667</v>
      </c>
      <c r="C1230" s="334" t="s">
        <v>11</v>
      </c>
    </row>
    <row r="1231" spans="1:3" x14ac:dyDescent="0.2">
      <c r="A1231" s="334" t="s">
        <v>4905</v>
      </c>
      <c r="B1231" s="334" t="s">
        <v>7668</v>
      </c>
      <c r="C1231" s="334" t="s">
        <v>11</v>
      </c>
    </row>
    <row r="1232" spans="1:3" x14ac:dyDescent="0.2">
      <c r="A1232" s="334" t="s">
        <v>4906</v>
      </c>
      <c r="B1232" s="334" t="s">
        <v>7669</v>
      </c>
      <c r="C1232" s="334" t="s">
        <v>11</v>
      </c>
    </row>
    <row r="1233" spans="1:4" x14ac:dyDescent="0.2">
      <c r="A1233" s="334" t="s">
        <v>4907</v>
      </c>
      <c r="B1233" s="334" t="s">
        <v>4908</v>
      </c>
      <c r="C1233" s="334" t="s">
        <v>6612</v>
      </c>
    </row>
    <row r="1234" spans="1:4" x14ac:dyDescent="0.2">
      <c r="A1234" s="347" t="s">
        <v>1731</v>
      </c>
      <c r="B1234" s="347" t="s">
        <v>7670</v>
      </c>
      <c r="C1234" s="347" t="s">
        <v>25</v>
      </c>
      <c r="D1234" s="348" t="s">
        <v>10271</v>
      </c>
    </row>
    <row r="1235" spans="1:4" x14ac:dyDescent="0.2">
      <c r="A1235" s="347" t="s">
        <v>1732</v>
      </c>
      <c r="B1235" s="347" t="s">
        <v>7671</v>
      </c>
      <c r="C1235" s="347" t="s">
        <v>25</v>
      </c>
      <c r="D1235" s="348" t="s">
        <v>10271</v>
      </c>
    </row>
    <row r="1236" spans="1:4" x14ac:dyDescent="0.2">
      <c r="A1236" s="334" t="s">
        <v>1733</v>
      </c>
      <c r="B1236" s="334" t="s">
        <v>4909</v>
      </c>
      <c r="C1236" s="334" t="s">
        <v>11</v>
      </c>
    </row>
    <row r="1237" spans="1:4" x14ac:dyDescent="0.2">
      <c r="A1237" s="334" t="s">
        <v>1734</v>
      </c>
      <c r="B1237" s="334" t="s">
        <v>7672</v>
      </c>
      <c r="C1237" s="334" t="s">
        <v>7673</v>
      </c>
    </row>
    <row r="1238" spans="1:4" x14ac:dyDescent="0.2">
      <c r="A1238" s="347" t="s">
        <v>1736</v>
      </c>
      <c r="B1238" s="347" t="s">
        <v>7674</v>
      </c>
      <c r="C1238" s="347" t="s">
        <v>25</v>
      </c>
      <c r="D1238" s="348" t="s">
        <v>10271</v>
      </c>
    </row>
    <row r="1239" spans="1:4" x14ac:dyDescent="0.2">
      <c r="A1239" s="347" t="s">
        <v>1737</v>
      </c>
      <c r="B1239" s="347" t="s">
        <v>7675</v>
      </c>
      <c r="C1239" s="347" t="s">
        <v>25</v>
      </c>
      <c r="D1239" s="348" t="s">
        <v>10271</v>
      </c>
    </row>
    <row r="1240" spans="1:4" x14ac:dyDescent="0.2">
      <c r="A1240" s="334" t="s">
        <v>4910</v>
      </c>
      <c r="B1240" s="334" t="s">
        <v>7676</v>
      </c>
      <c r="C1240" s="334" t="s">
        <v>25</v>
      </c>
    </row>
    <row r="1241" spans="1:4" x14ac:dyDescent="0.2">
      <c r="A1241" s="334" t="s">
        <v>4911</v>
      </c>
      <c r="B1241" s="334" t="s">
        <v>7677</v>
      </c>
      <c r="C1241" s="334" t="s">
        <v>25</v>
      </c>
    </row>
    <row r="1242" spans="1:4" x14ac:dyDescent="0.2">
      <c r="A1242" s="334" t="s">
        <v>4912</v>
      </c>
      <c r="B1242" s="334" t="s">
        <v>7678</v>
      </c>
      <c r="C1242" s="334" t="s">
        <v>25</v>
      </c>
    </row>
    <row r="1243" spans="1:4" x14ac:dyDescent="0.2">
      <c r="A1243" s="334" t="s">
        <v>4913</v>
      </c>
      <c r="B1243" s="334" t="s">
        <v>7679</v>
      </c>
      <c r="C1243" s="334" t="s">
        <v>25</v>
      </c>
    </row>
    <row r="1244" spans="1:4" x14ac:dyDescent="0.2">
      <c r="A1244" s="334" t="s">
        <v>4914</v>
      </c>
      <c r="B1244" s="334" t="s">
        <v>4915</v>
      </c>
      <c r="C1244" s="334" t="s">
        <v>2557</v>
      </c>
    </row>
    <row r="1245" spans="1:4" x14ac:dyDescent="0.2">
      <c r="A1245" s="334" t="s">
        <v>4916</v>
      </c>
      <c r="B1245" s="334" t="s">
        <v>7680</v>
      </c>
      <c r="C1245" s="334" t="s">
        <v>11</v>
      </c>
    </row>
    <row r="1246" spans="1:4" x14ac:dyDescent="0.2">
      <c r="A1246" s="334" t="s">
        <v>4917</v>
      </c>
      <c r="B1246" s="334" t="s">
        <v>7681</v>
      </c>
      <c r="C1246" s="334" t="s">
        <v>52</v>
      </c>
    </row>
    <row r="1247" spans="1:4" x14ac:dyDescent="0.2">
      <c r="A1247" s="334" t="s">
        <v>4918</v>
      </c>
      <c r="B1247" s="334" t="s">
        <v>7682</v>
      </c>
      <c r="C1247" s="334" t="s">
        <v>25</v>
      </c>
    </row>
    <row r="1248" spans="1:4" x14ac:dyDescent="0.2">
      <c r="A1248" s="334" t="s">
        <v>4919</v>
      </c>
      <c r="B1248" s="334" t="s">
        <v>7683</v>
      </c>
      <c r="C1248" s="334" t="s">
        <v>25</v>
      </c>
    </row>
    <row r="1249" spans="1:3" x14ac:dyDescent="0.2">
      <c r="A1249" s="334" t="s">
        <v>4920</v>
      </c>
      <c r="B1249" s="334" t="s">
        <v>7079</v>
      </c>
      <c r="C1249" s="334" t="s">
        <v>2557</v>
      </c>
    </row>
    <row r="1250" spans="1:3" x14ac:dyDescent="0.2">
      <c r="A1250" s="334" t="s">
        <v>4921</v>
      </c>
      <c r="B1250" s="334" t="s">
        <v>7684</v>
      </c>
      <c r="C1250" s="334" t="s">
        <v>25</v>
      </c>
    </row>
    <row r="1251" spans="1:3" x14ac:dyDescent="0.2">
      <c r="A1251" s="334" t="s">
        <v>4922</v>
      </c>
      <c r="B1251" s="334" t="s">
        <v>7685</v>
      </c>
      <c r="C1251" s="334" t="s">
        <v>11</v>
      </c>
    </row>
    <row r="1252" spans="1:3" x14ac:dyDescent="0.2">
      <c r="A1252" s="334" t="s">
        <v>4923</v>
      </c>
      <c r="B1252" s="334" t="s">
        <v>7130</v>
      </c>
      <c r="C1252" s="334" t="s">
        <v>11</v>
      </c>
    </row>
    <row r="1253" spans="1:3" x14ac:dyDescent="0.2">
      <c r="A1253" s="334" t="s">
        <v>4924</v>
      </c>
      <c r="B1253" s="334" t="s">
        <v>7686</v>
      </c>
      <c r="C1253" s="334" t="s">
        <v>16</v>
      </c>
    </row>
    <row r="1254" spans="1:3" x14ac:dyDescent="0.2">
      <c r="A1254" s="334" t="s">
        <v>4925</v>
      </c>
      <c r="B1254" s="334" t="s">
        <v>7687</v>
      </c>
      <c r="C1254" s="334" t="s">
        <v>16</v>
      </c>
    </row>
    <row r="1255" spans="1:3" x14ac:dyDescent="0.2">
      <c r="A1255" s="334" t="s">
        <v>4926</v>
      </c>
      <c r="B1255" s="334" t="s">
        <v>7688</v>
      </c>
      <c r="C1255" s="334" t="s">
        <v>16</v>
      </c>
    </row>
    <row r="1256" spans="1:3" x14ac:dyDescent="0.2">
      <c r="A1256" s="334" t="s">
        <v>4927</v>
      </c>
      <c r="B1256" s="334" t="s">
        <v>7689</v>
      </c>
      <c r="C1256" s="334" t="s">
        <v>16</v>
      </c>
    </row>
    <row r="1257" spans="1:3" x14ac:dyDescent="0.2">
      <c r="A1257" s="334" t="s">
        <v>4928</v>
      </c>
      <c r="B1257" s="334" t="s">
        <v>7690</v>
      </c>
      <c r="C1257" s="334" t="s">
        <v>25</v>
      </c>
    </row>
    <row r="1258" spans="1:3" x14ac:dyDescent="0.2">
      <c r="A1258" s="334" t="s">
        <v>4929</v>
      </c>
      <c r="B1258" s="334" t="s">
        <v>7691</v>
      </c>
      <c r="C1258" s="334" t="s">
        <v>25</v>
      </c>
    </row>
    <row r="1259" spans="1:3" x14ac:dyDescent="0.2">
      <c r="A1259" s="334" t="s">
        <v>4930</v>
      </c>
      <c r="B1259" s="334" t="s">
        <v>7692</v>
      </c>
      <c r="C1259" s="334" t="s">
        <v>11</v>
      </c>
    </row>
    <row r="1260" spans="1:3" x14ac:dyDescent="0.2">
      <c r="A1260" s="334" t="s">
        <v>4931</v>
      </c>
      <c r="B1260" s="334" t="s">
        <v>7693</v>
      </c>
      <c r="C1260" s="334" t="s">
        <v>16</v>
      </c>
    </row>
    <row r="1261" spans="1:3" x14ac:dyDescent="0.2">
      <c r="A1261" s="334" t="s">
        <v>4932</v>
      </c>
      <c r="B1261" s="334" t="s">
        <v>7694</v>
      </c>
      <c r="C1261" s="334" t="s">
        <v>25</v>
      </c>
    </row>
    <row r="1262" spans="1:3" x14ac:dyDescent="0.2">
      <c r="A1262" s="334" t="s">
        <v>4933</v>
      </c>
      <c r="B1262" s="334" t="s">
        <v>7695</v>
      </c>
      <c r="C1262" s="334" t="s">
        <v>16</v>
      </c>
    </row>
    <row r="1263" spans="1:3" x14ac:dyDescent="0.2">
      <c r="A1263" s="334" t="s">
        <v>4934</v>
      </c>
      <c r="B1263" s="334" t="s">
        <v>7696</v>
      </c>
      <c r="C1263" s="334" t="s">
        <v>16</v>
      </c>
    </row>
    <row r="1264" spans="1:3" x14ac:dyDescent="0.2">
      <c r="A1264" s="334" t="s">
        <v>4935</v>
      </c>
      <c r="B1264" s="334" t="s">
        <v>7697</v>
      </c>
      <c r="C1264" s="334" t="s">
        <v>2557</v>
      </c>
    </row>
    <row r="1265" spans="1:3" x14ac:dyDescent="0.2">
      <c r="A1265" s="334" t="s">
        <v>4936</v>
      </c>
      <c r="B1265" s="334" t="s">
        <v>7698</v>
      </c>
      <c r="C1265" s="334" t="s">
        <v>25</v>
      </c>
    </row>
    <row r="1266" spans="1:3" x14ac:dyDescent="0.2">
      <c r="A1266" s="334" t="s">
        <v>4937</v>
      </c>
      <c r="B1266" s="334" t="s">
        <v>7699</v>
      </c>
      <c r="C1266" s="334" t="s">
        <v>16</v>
      </c>
    </row>
    <row r="1267" spans="1:3" x14ac:dyDescent="0.2">
      <c r="A1267" s="334" t="s">
        <v>4938</v>
      </c>
      <c r="B1267" s="334" t="s">
        <v>7700</v>
      </c>
      <c r="C1267" s="334" t="s">
        <v>16</v>
      </c>
    </row>
    <row r="1268" spans="1:3" x14ac:dyDescent="0.2">
      <c r="A1268" s="334" t="s">
        <v>4939</v>
      </c>
      <c r="B1268" s="334" t="s">
        <v>7701</v>
      </c>
      <c r="C1268" s="334" t="s">
        <v>25</v>
      </c>
    </row>
    <row r="1269" spans="1:3" x14ac:dyDescent="0.2">
      <c r="A1269" s="334" t="s">
        <v>4940</v>
      </c>
      <c r="B1269" s="334" t="s">
        <v>7702</v>
      </c>
      <c r="C1269" s="334" t="s">
        <v>25</v>
      </c>
    </row>
    <row r="1270" spans="1:3" x14ac:dyDescent="0.2">
      <c r="A1270" s="334" t="s">
        <v>4941</v>
      </c>
      <c r="B1270" s="334" t="s">
        <v>7703</v>
      </c>
      <c r="C1270" s="334" t="s">
        <v>16</v>
      </c>
    </row>
    <row r="1271" spans="1:3" x14ac:dyDescent="0.2">
      <c r="A1271" s="334" t="s">
        <v>4942</v>
      </c>
      <c r="B1271" s="334" t="s">
        <v>7704</v>
      </c>
      <c r="C1271" s="334" t="s">
        <v>25</v>
      </c>
    </row>
    <row r="1272" spans="1:3" x14ac:dyDescent="0.2">
      <c r="A1272" s="334" t="s">
        <v>4943</v>
      </c>
      <c r="B1272" s="334" t="s">
        <v>7705</v>
      </c>
      <c r="C1272" s="334" t="s">
        <v>16</v>
      </c>
    </row>
    <row r="1273" spans="1:3" x14ac:dyDescent="0.2">
      <c r="A1273" s="334" t="s">
        <v>4944</v>
      </c>
      <c r="B1273" s="334" t="s">
        <v>7706</v>
      </c>
      <c r="C1273" s="334" t="s">
        <v>16</v>
      </c>
    </row>
    <row r="1274" spans="1:3" x14ac:dyDescent="0.2">
      <c r="A1274" s="334" t="s">
        <v>4945</v>
      </c>
      <c r="B1274" s="334" t="s">
        <v>7707</v>
      </c>
      <c r="C1274" s="334" t="s">
        <v>25</v>
      </c>
    </row>
    <row r="1275" spans="1:3" x14ac:dyDescent="0.2">
      <c r="A1275" s="334" t="s">
        <v>4946</v>
      </c>
      <c r="B1275" s="334" t="s">
        <v>7708</v>
      </c>
      <c r="C1275" s="334" t="s">
        <v>25</v>
      </c>
    </row>
    <row r="1276" spans="1:3" x14ac:dyDescent="0.2">
      <c r="A1276" s="334" t="s">
        <v>4947</v>
      </c>
      <c r="B1276" s="334" t="s">
        <v>7709</v>
      </c>
      <c r="C1276" s="334" t="s">
        <v>25</v>
      </c>
    </row>
    <row r="1277" spans="1:3" x14ac:dyDescent="0.2">
      <c r="A1277" s="334" t="s">
        <v>4948</v>
      </c>
      <c r="B1277" s="334" t="s">
        <v>7710</v>
      </c>
      <c r="C1277" s="334" t="s">
        <v>25</v>
      </c>
    </row>
    <row r="1278" spans="1:3" x14ac:dyDescent="0.2">
      <c r="A1278" s="334" t="s">
        <v>4949</v>
      </c>
      <c r="B1278" s="334" t="s">
        <v>7711</v>
      </c>
      <c r="C1278" s="334" t="s">
        <v>11</v>
      </c>
    </row>
    <row r="1279" spans="1:3" x14ac:dyDescent="0.2">
      <c r="A1279" s="334" t="s">
        <v>4950</v>
      </c>
      <c r="B1279" s="334" t="s">
        <v>7712</v>
      </c>
      <c r="C1279" s="334" t="s">
        <v>11</v>
      </c>
    </row>
    <row r="1280" spans="1:3" x14ac:dyDescent="0.2">
      <c r="A1280" s="334" t="s">
        <v>4951</v>
      </c>
      <c r="B1280" s="334" t="s">
        <v>7713</v>
      </c>
      <c r="C1280" s="334" t="s">
        <v>11</v>
      </c>
    </row>
    <row r="1281" spans="1:3" x14ac:dyDescent="0.2">
      <c r="A1281" s="334" t="s">
        <v>4952</v>
      </c>
      <c r="B1281" s="334" t="s">
        <v>7714</v>
      </c>
      <c r="C1281" s="334" t="s">
        <v>11</v>
      </c>
    </row>
    <row r="1282" spans="1:3" x14ac:dyDescent="0.2">
      <c r="A1282" s="334" t="s">
        <v>4953</v>
      </c>
      <c r="B1282" s="334" t="s">
        <v>7715</v>
      </c>
      <c r="C1282" s="334" t="s">
        <v>11</v>
      </c>
    </row>
    <row r="1283" spans="1:3" x14ac:dyDescent="0.2">
      <c r="A1283" s="334" t="s">
        <v>4954</v>
      </c>
      <c r="B1283" s="334" t="s">
        <v>7716</v>
      </c>
      <c r="C1283" s="334" t="s">
        <v>11</v>
      </c>
    </row>
    <row r="1284" spans="1:3" x14ac:dyDescent="0.2">
      <c r="A1284" s="334" t="s">
        <v>4955</v>
      </c>
      <c r="B1284" s="334" t="s">
        <v>7717</v>
      </c>
      <c r="C1284" s="334" t="s">
        <v>11</v>
      </c>
    </row>
    <row r="1285" spans="1:3" x14ac:dyDescent="0.2">
      <c r="A1285" s="334" t="s">
        <v>4956</v>
      </c>
      <c r="B1285" s="334" t="s">
        <v>7718</v>
      </c>
      <c r="C1285" s="334" t="s">
        <v>11</v>
      </c>
    </row>
    <row r="1286" spans="1:3" x14ac:dyDescent="0.2">
      <c r="A1286" s="334" t="s">
        <v>7719</v>
      </c>
      <c r="B1286" s="334" t="s">
        <v>7720</v>
      </c>
      <c r="C1286" s="334" t="s">
        <v>11</v>
      </c>
    </row>
    <row r="1287" spans="1:3" x14ac:dyDescent="0.2">
      <c r="A1287" s="334" t="s">
        <v>7721</v>
      </c>
      <c r="B1287" s="334" t="s">
        <v>7722</v>
      </c>
      <c r="C1287" s="334" t="s">
        <v>7673</v>
      </c>
    </row>
    <row r="1288" spans="1:3" x14ac:dyDescent="0.2">
      <c r="A1288" s="334" t="s">
        <v>1739</v>
      </c>
      <c r="B1288" s="334" t="s">
        <v>7723</v>
      </c>
      <c r="C1288" s="334" t="s">
        <v>11</v>
      </c>
    </row>
    <row r="1289" spans="1:3" x14ac:dyDescent="0.2">
      <c r="A1289" s="334" t="s">
        <v>1740</v>
      </c>
      <c r="B1289" s="334" t="s">
        <v>7724</v>
      </c>
      <c r="C1289" s="334" t="s">
        <v>11</v>
      </c>
    </row>
    <row r="1290" spans="1:3" x14ac:dyDescent="0.2">
      <c r="A1290" s="334" t="s">
        <v>4957</v>
      </c>
      <c r="B1290" s="334" t="s">
        <v>4958</v>
      </c>
      <c r="C1290" s="334" t="s">
        <v>2338</v>
      </c>
    </row>
    <row r="1291" spans="1:3" x14ac:dyDescent="0.2">
      <c r="A1291" s="334" t="s">
        <v>1741</v>
      </c>
      <c r="B1291" s="334" t="s">
        <v>7725</v>
      </c>
      <c r="C1291" s="334" t="s">
        <v>25</v>
      </c>
    </row>
    <row r="1292" spans="1:3" x14ac:dyDescent="0.2">
      <c r="A1292" s="334" t="s">
        <v>1742</v>
      </c>
      <c r="B1292" s="334" t="s">
        <v>7726</v>
      </c>
      <c r="C1292" s="334" t="s">
        <v>25</v>
      </c>
    </row>
    <row r="1293" spans="1:3" x14ac:dyDescent="0.2">
      <c r="A1293" s="334" t="s">
        <v>1743</v>
      </c>
      <c r="B1293" s="334" t="s">
        <v>7727</v>
      </c>
      <c r="C1293" s="334" t="s">
        <v>25</v>
      </c>
    </row>
    <row r="1294" spans="1:3" x14ac:dyDescent="0.2">
      <c r="A1294" s="334" t="s">
        <v>1744</v>
      </c>
      <c r="B1294" s="334" t="s">
        <v>7728</v>
      </c>
      <c r="C1294" s="334" t="s">
        <v>25</v>
      </c>
    </row>
    <row r="1295" spans="1:3" x14ac:dyDescent="0.2">
      <c r="A1295" s="334" t="s">
        <v>1745</v>
      </c>
      <c r="B1295" s="334" t="s">
        <v>7729</v>
      </c>
      <c r="C1295" s="334" t="s">
        <v>25</v>
      </c>
    </row>
    <row r="1296" spans="1:3" x14ac:dyDescent="0.2">
      <c r="A1296" s="334" t="s">
        <v>1746</v>
      </c>
      <c r="B1296" s="334" t="s">
        <v>7730</v>
      </c>
      <c r="C1296" s="334" t="s">
        <v>25</v>
      </c>
    </row>
    <row r="1297" spans="1:4" x14ac:dyDescent="0.2">
      <c r="A1297" s="334" t="s">
        <v>1747</v>
      </c>
      <c r="B1297" s="334" t="s">
        <v>7731</v>
      </c>
      <c r="C1297" s="334" t="s">
        <v>25</v>
      </c>
    </row>
    <row r="1298" spans="1:4" x14ac:dyDescent="0.2">
      <c r="A1298" s="334" t="s">
        <v>1748</v>
      </c>
      <c r="B1298" s="334" t="s">
        <v>7731</v>
      </c>
      <c r="C1298" s="334" t="s">
        <v>25</v>
      </c>
    </row>
    <row r="1299" spans="1:4" x14ac:dyDescent="0.2">
      <c r="A1299" s="334" t="s">
        <v>1749</v>
      </c>
      <c r="B1299" s="334" t="s">
        <v>7732</v>
      </c>
      <c r="C1299" s="334" t="s">
        <v>25</v>
      </c>
    </row>
    <row r="1300" spans="1:4" x14ac:dyDescent="0.2">
      <c r="A1300" s="334" t="s">
        <v>4959</v>
      </c>
      <c r="B1300" s="334" t="s">
        <v>4960</v>
      </c>
      <c r="C1300" s="334" t="s">
        <v>2557</v>
      </c>
    </row>
    <row r="1301" spans="1:4" x14ac:dyDescent="0.2">
      <c r="A1301" s="334" t="s">
        <v>4961</v>
      </c>
      <c r="B1301" s="334" t="s">
        <v>4962</v>
      </c>
      <c r="C1301" s="334" t="s">
        <v>6611</v>
      </c>
    </row>
    <row r="1302" spans="1:4" x14ac:dyDescent="0.2">
      <c r="A1302" s="334" t="s">
        <v>4963</v>
      </c>
      <c r="B1302" s="334" t="s">
        <v>4964</v>
      </c>
      <c r="C1302" s="334" t="s">
        <v>6608</v>
      </c>
    </row>
    <row r="1303" spans="1:4" x14ac:dyDescent="0.2">
      <c r="A1303" s="334" t="s">
        <v>4965</v>
      </c>
      <c r="B1303" s="334" t="s">
        <v>4966</v>
      </c>
      <c r="C1303" s="334" t="s">
        <v>2338</v>
      </c>
    </row>
    <row r="1304" spans="1:4" x14ac:dyDescent="0.2">
      <c r="A1304" s="334" t="s">
        <v>7733</v>
      </c>
      <c r="B1304" s="334" t="s">
        <v>7734</v>
      </c>
      <c r="C1304" s="334" t="s">
        <v>16</v>
      </c>
    </row>
    <row r="1305" spans="1:4" x14ac:dyDescent="0.2">
      <c r="A1305" s="334" t="s">
        <v>1750</v>
      </c>
      <c r="B1305" s="334" t="s">
        <v>7735</v>
      </c>
      <c r="C1305" s="334" t="s">
        <v>16</v>
      </c>
    </row>
    <row r="1306" spans="1:4" x14ac:dyDescent="0.2">
      <c r="A1306" s="334" t="s">
        <v>1751</v>
      </c>
      <c r="B1306" s="334" t="s">
        <v>7736</v>
      </c>
      <c r="C1306" s="334" t="s">
        <v>11</v>
      </c>
    </row>
    <row r="1307" spans="1:4" x14ac:dyDescent="0.2">
      <c r="A1307" s="347" t="s">
        <v>1752</v>
      </c>
      <c r="B1307" s="347" t="s">
        <v>7737</v>
      </c>
      <c r="C1307" s="347" t="s">
        <v>11</v>
      </c>
      <c r="D1307" s="348" t="s">
        <v>10271</v>
      </c>
    </row>
    <row r="1308" spans="1:4" x14ac:dyDescent="0.2">
      <c r="A1308" s="334" t="s">
        <v>1754</v>
      </c>
      <c r="B1308" s="334" t="s">
        <v>7738</v>
      </c>
      <c r="C1308" s="334" t="s">
        <v>25</v>
      </c>
    </row>
    <row r="1309" spans="1:4" x14ac:dyDescent="0.2">
      <c r="A1309" s="347" t="s">
        <v>1755</v>
      </c>
      <c r="B1309" s="347" t="s">
        <v>7739</v>
      </c>
      <c r="C1309" s="347" t="s">
        <v>25</v>
      </c>
      <c r="D1309" s="348" t="s">
        <v>10271</v>
      </c>
    </row>
    <row r="1310" spans="1:4" x14ac:dyDescent="0.2">
      <c r="A1310" s="334" t="s">
        <v>4967</v>
      </c>
      <c r="B1310" s="334" t="s">
        <v>7740</v>
      </c>
      <c r="C1310" s="334" t="s">
        <v>2338</v>
      </c>
    </row>
    <row r="1311" spans="1:4" x14ac:dyDescent="0.2">
      <c r="A1311" s="334" t="s">
        <v>4968</v>
      </c>
      <c r="B1311" s="334" t="s">
        <v>7741</v>
      </c>
      <c r="C1311" s="334" t="s">
        <v>2338</v>
      </c>
    </row>
    <row r="1312" spans="1:4" x14ac:dyDescent="0.2">
      <c r="A1312" s="334" t="s">
        <v>4969</v>
      </c>
      <c r="B1312" s="334" t="s">
        <v>7742</v>
      </c>
      <c r="C1312" s="334" t="s">
        <v>2338</v>
      </c>
    </row>
    <row r="1313" spans="1:3" x14ac:dyDescent="0.2">
      <c r="A1313" s="334" t="s">
        <v>4970</v>
      </c>
      <c r="B1313" s="334" t="s">
        <v>7743</v>
      </c>
      <c r="C1313" s="334" t="s">
        <v>11</v>
      </c>
    </row>
    <row r="1314" spans="1:3" x14ac:dyDescent="0.2">
      <c r="A1314" s="334" t="s">
        <v>4971</v>
      </c>
      <c r="B1314" s="334" t="s">
        <v>7549</v>
      </c>
      <c r="C1314" s="334" t="s">
        <v>11</v>
      </c>
    </row>
    <row r="1315" spans="1:3" x14ac:dyDescent="0.2">
      <c r="A1315" s="334" t="s">
        <v>4972</v>
      </c>
      <c r="B1315" s="334" t="s">
        <v>7744</v>
      </c>
      <c r="C1315" s="334" t="s">
        <v>11</v>
      </c>
    </row>
    <row r="1316" spans="1:3" x14ac:dyDescent="0.2">
      <c r="A1316" s="334" t="s">
        <v>4973</v>
      </c>
      <c r="B1316" s="334" t="s">
        <v>7745</v>
      </c>
      <c r="C1316" s="334" t="s">
        <v>11</v>
      </c>
    </row>
    <row r="1317" spans="1:3" x14ac:dyDescent="0.2">
      <c r="A1317" s="334" t="s">
        <v>4974</v>
      </c>
      <c r="B1317" s="334" t="s">
        <v>7746</v>
      </c>
      <c r="C1317" s="334" t="s">
        <v>11</v>
      </c>
    </row>
    <row r="1318" spans="1:3" x14ac:dyDescent="0.2">
      <c r="A1318" s="334" t="s">
        <v>4975</v>
      </c>
      <c r="B1318" s="334" t="s">
        <v>7747</v>
      </c>
      <c r="C1318" s="334" t="s">
        <v>11</v>
      </c>
    </row>
    <row r="1319" spans="1:3" x14ac:dyDescent="0.2">
      <c r="A1319" s="334" t="s">
        <v>4976</v>
      </c>
      <c r="B1319" s="334" t="s">
        <v>7748</v>
      </c>
      <c r="C1319" s="334" t="s">
        <v>11</v>
      </c>
    </row>
    <row r="1320" spans="1:3" x14ac:dyDescent="0.2">
      <c r="A1320" s="334" t="s">
        <v>4977</v>
      </c>
      <c r="B1320" s="334" t="s">
        <v>7749</v>
      </c>
      <c r="C1320" s="334" t="s">
        <v>11</v>
      </c>
    </row>
    <row r="1321" spans="1:3" x14ac:dyDescent="0.2">
      <c r="A1321" s="334" t="s">
        <v>4978</v>
      </c>
      <c r="B1321" s="334" t="s">
        <v>7750</v>
      </c>
      <c r="C1321" s="334" t="s">
        <v>11</v>
      </c>
    </row>
    <row r="1322" spans="1:3" x14ac:dyDescent="0.2">
      <c r="A1322" s="334" t="s">
        <v>4979</v>
      </c>
      <c r="B1322" s="334" t="s">
        <v>7751</v>
      </c>
      <c r="C1322" s="334" t="s">
        <v>11</v>
      </c>
    </row>
    <row r="1323" spans="1:3" x14ac:dyDescent="0.2">
      <c r="A1323" s="334" t="s">
        <v>4980</v>
      </c>
      <c r="B1323" s="334" t="s">
        <v>7752</v>
      </c>
      <c r="C1323" s="334" t="s">
        <v>11</v>
      </c>
    </row>
    <row r="1324" spans="1:3" x14ac:dyDescent="0.2">
      <c r="A1324" s="334" t="s">
        <v>4981</v>
      </c>
      <c r="B1324" s="334" t="s">
        <v>7753</v>
      </c>
      <c r="C1324" s="334" t="s">
        <v>11</v>
      </c>
    </row>
    <row r="1325" spans="1:3" x14ac:dyDescent="0.2">
      <c r="A1325" s="334" t="s">
        <v>4982</v>
      </c>
      <c r="B1325" s="334" t="s">
        <v>7754</v>
      </c>
      <c r="C1325" s="334" t="s">
        <v>2338</v>
      </c>
    </row>
    <row r="1326" spans="1:3" x14ac:dyDescent="0.2">
      <c r="A1326" s="334" t="s">
        <v>4983</v>
      </c>
      <c r="B1326" s="334" t="s">
        <v>4984</v>
      </c>
      <c r="C1326" s="334" t="s">
        <v>2338</v>
      </c>
    </row>
    <row r="1327" spans="1:3" x14ac:dyDescent="0.2">
      <c r="A1327" s="334" t="s">
        <v>4985</v>
      </c>
      <c r="B1327" s="334" t="s">
        <v>7755</v>
      </c>
      <c r="C1327" s="334" t="s">
        <v>11</v>
      </c>
    </row>
    <row r="1328" spans="1:3" x14ac:dyDescent="0.2">
      <c r="A1328" s="334" t="s">
        <v>4986</v>
      </c>
      <c r="B1328" s="334" t="s">
        <v>7756</v>
      </c>
      <c r="C1328" s="334" t="s">
        <v>2338</v>
      </c>
    </row>
    <row r="1329" spans="1:3" x14ac:dyDescent="0.2">
      <c r="A1329" s="334" t="s">
        <v>4987</v>
      </c>
      <c r="B1329" s="334" t="s">
        <v>7104</v>
      </c>
      <c r="C1329" s="334" t="s">
        <v>11</v>
      </c>
    </row>
    <row r="1330" spans="1:3" x14ac:dyDescent="0.2">
      <c r="A1330" s="334" t="s">
        <v>4988</v>
      </c>
      <c r="B1330" s="334" t="s">
        <v>7757</v>
      </c>
      <c r="C1330" s="334" t="s">
        <v>2338</v>
      </c>
    </row>
    <row r="1331" spans="1:3" x14ac:dyDescent="0.2">
      <c r="A1331" s="334" t="s">
        <v>4989</v>
      </c>
      <c r="B1331" s="334" t="s">
        <v>7758</v>
      </c>
      <c r="C1331" s="334" t="s">
        <v>2338</v>
      </c>
    </row>
    <row r="1332" spans="1:3" x14ac:dyDescent="0.2">
      <c r="A1332" s="334" t="s">
        <v>4990</v>
      </c>
      <c r="B1332" s="334" t="s">
        <v>2684</v>
      </c>
      <c r="C1332" s="334" t="s">
        <v>11</v>
      </c>
    </row>
    <row r="1333" spans="1:3" x14ac:dyDescent="0.2">
      <c r="A1333" s="334" t="s">
        <v>4991</v>
      </c>
      <c r="B1333" s="334" t="s">
        <v>7759</v>
      </c>
      <c r="C1333" s="334" t="s">
        <v>25</v>
      </c>
    </row>
    <row r="1334" spans="1:3" x14ac:dyDescent="0.2">
      <c r="A1334" s="334" t="s">
        <v>4992</v>
      </c>
      <c r="B1334" s="334" t="s">
        <v>7760</v>
      </c>
      <c r="C1334" s="334" t="s">
        <v>2338</v>
      </c>
    </row>
    <row r="1335" spans="1:3" x14ac:dyDescent="0.2">
      <c r="A1335" s="334" t="s">
        <v>4993</v>
      </c>
      <c r="B1335" s="334" t="s">
        <v>7761</v>
      </c>
      <c r="C1335" s="334" t="s">
        <v>16</v>
      </c>
    </row>
    <row r="1336" spans="1:3" x14ac:dyDescent="0.2">
      <c r="A1336" s="334" t="s">
        <v>4994</v>
      </c>
      <c r="B1336" s="334" t="s">
        <v>7762</v>
      </c>
      <c r="C1336" s="334" t="s">
        <v>25</v>
      </c>
    </row>
    <row r="1337" spans="1:3" x14ac:dyDescent="0.2">
      <c r="A1337" s="334" t="s">
        <v>4995</v>
      </c>
      <c r="B1337" s="334" t="s">
        <v>7763</v>
      </c>
      <c r="C1337" s="334" t="s">
        <v>25</v>
      </c>
    </row>
    <row r="1338" spans="1:3" x14ac:dyDescent="0.2">
      <c r="A1338" s="334" t="s">
        <v>4996</v>
      </c>
      <c r="B1338" s="334" t="s">
        <v>7764</v>
      </c>
      <c r="C1338" s="334" t="s">
        <v>25</v>
      </c>
    </row>
    <row r="1339" spans="1:3" x14ac:dyDescent="0.2">
      <c r="A1339" s="334" t="s">
        <v>4997</v>
      </c>
      <c r="B1339" s="334" t="s">
        <v>7765</v>
      </c>
      <c r="C1339" s="334" t="s">
        <v>25</v>
      </c>
    </row>
    <row r="1340" spans="1:3" x14ac:dyDescent="0.2">
      <c r="A1340" s="334" t="s">
        <v>4998</v>
      </c>
      <c r="B1340" s="334" t="s">
        <v>7766</v>
      </c>
      <c r="C1340" s="334" t="s">
        <v>25</v>
      </c>
    </row>
    <row r="1341" spans="1:3" x14ac:dyDescent="0.2">
      <c r="A1341" s="334" t="s">
        <v>4999</v>
      </c>
      <c r="B1341" s="334" t="s">
        <v>7767</v>
      </c>
      <c r="C1341" s="334" t="s">
        <v>11</v>
      </c>
    </row>
    <row r="1342" spans="1:3" x14ac:dyDescent="0.2">
      <c r="A1342" s="334" t="s">
        <v>5000</v>
      </c>
      <c r="B1342" s="334" t="s">
        <v>7768</v>
      </c>
      <c r="C1342" s="334" t="s">
        <v>11</v>
      </c>
    </row>
    <row r="1343" spans="1:3" x14ac:dyDescent="0.2">
      <c r="A1343" s="334" t="s">
        <v>5001</v>
      </c>
      <c r="B1343" s="334" t="s">
        <v>7239</v>
      </c>
      <c r="C1343" s="334" t="s">
        <v>11</v>
      </c>
    </row>
    <row r="1344" spans="1:3" x14ac:dyDescent="0.2">
      <c r="A1344" s="334" t="s">
        <v>5002</v>
      </c>
      <c r="B1344" s="334" t="s">
        <v>7769</v>
      </c>
      <c r="C1344" s="334" t="s">
        <v>25</v>
      </c>
    </row>
    <row r="1345" spans="1:3" x14ac:dyDescent="0.2">
      <c r="A1345" s="334" t="s">
        <v>5003</v>
      </c>
      <c r="B1345" s="334" t="s">
        <v>7239</v>
      </c>
      <c r="C1345" s="334" t="s">
        <v>11</v>
      </c>
    </row>
    <row r="1346" spans="1:3" x14ac:dyDescent="0.2">
      <c r="A1346" s="334" t="s">
        <v>5004</v>
      </c>
      <c r="B1346" s="334" t="s">
        <v>7770</v>
      </c>
      <c r="C1346" s="334" t="s">
        <v>11</v>
      </c>
    </row>
    <row r="1347" spans="1:3" x14ac:dyDescent="0.2">
      <c r="A1347" s="334" t="s">
        <v>5005</v>
      </c>
      <c r="B1347" s="334" t="s">
        <v>7771</v>
      </c>
      <c r="C1347" s="334" t="s">
        <v>16</v>
      </c>
    </row>
    <row r="1348" spans="1:3" x14ac:dyDescent="0.2">
      <c r="A1348" s="334" t="s">
        <v>5006</v>
      </c>
      <c r="B1348" s="334" t="s">
        <v>7772</v>
      </c>
      <c r="C1348" s="334" t="s">
        <v>16</v>
      </c>
    </row>
    <row r="1349" spans="1:3" x14ac:dyDescent="0.2">
      <c r="A1349" s="334" t="s">
        <v>5007</v>
      </c>
      <c r="B1349" s="334" t="s">
        <v>7773</v>
      </c>
      <c r="C1349" s="334" t="s">
        <v>16</v>
      </c>
    </row>
    <row r="1350" spans="1:3" x14ac:dyDescent="0.2">
      <c r="A1350" s="334" t="s">
        <v>5008</v>
      </c>
      <c r="B1350" s="334" t="s">
        <v>7774</v>
      </c>
      <c r="C1350" s="334" t="s">
        <v>16</v>
      </c>
    </row>
    <row r="1351" spans="1:3" x14ac:dyDescent="0.2">
      <c r="A1351" s="334" t="s">
        <v>5009</v>
      </c>
      <c r="B1351" s="334" t="s">
        <v>7775</v>
      </c>
      <c r="C1351" s="334" t="s">
        <v>16</v>
      </c>
    </row>
    <row r="1352" spans="1:3" x14ac:dyDescent="0.2">
      <c r="A1352" s="334" t="s">
        <v>5010</v>
      </c>
      <c r="B1352" s="334" t="s">
        <v>7776</v>
      </c>
      <c r="C1352" s="334" t="s">
        <v>16</v>
      </c>
    </row>
    <row r="1353" spans="1:3" x14ac:dyDescent="0.2">
      <c r="A1353" s="334" t="s">
        <v>5011</v>
      </c>
      <c r="B1353" s="334" t="s">
        <v>7777</v>
      </c>
      <c r="C1353" s="334" t="s">
        <v>25</v>
      </c>
    </row>
    <row r="1354" spans="1:3" x14ac:dyDescent="0.2">
      <c r="A1354" s="334" t="s">
        <v>5012</v>
      </c>
      <c r="B1354" s="334" t="s">
        <v>7778</v>
      </c>
      <c r="C1354" s="334" t="s">
        <v>11</v>
      </c>
    </row>
    <row r="1355" spans="1:3" x14ac:dyDescent="0.2">
      <c r="A1355" s="334" t="s">
        <v>5013</v>
      </c>
      <c r="B1355" s="334" t="s">
        <v>7779</v>
      </c>
      <c r="C1355" s="334" t="s">
        <v>11</v>
      </c>
    </row>
    <row r="1356" spans="1:3" x14ac:dyDescent="0.2">
      <c r="A1356" s="334" t="s">
        <v>1756</v>
      </c>
      <c r="B1356" s="334" t="s">
        <v>7780</v>
      </c>
      <c r="C1356" s="334" t="s">
        <v>11</v>
      </c>
    </row>
    <row r="1357" spans="1:3" x14ac:dyDescent="0.2">
      <c r="A1357" s="334" t="s">
        <v>1757</v>
      </c>
      <c r="B1357" s="334" t="s">
        <v>7781</v>
      </c>
      <c r="C1357" s="334" t="s">
        <v>11</v>
      </c>
    </row>
    <row r="1358" spans="1:3" x14ac:dyDescent="0.2">
      <c r="A1358" s="334" t="s">
        <v>1758</v>
      </c>
      <c r="B1358" s="334" t="s">
        <v>7782</v>
      </c>
      <c r="C1358" s="334" t="s">
        <v>11</v>
      </c>
    </row>
    <row r="1359" spans="1:3" x14ac:dyDescent="0.2">
      <c r="A1359" s="334" t="s">
        <v>1759</v>
      </c>
      <c r="B1359" s="334" t="s">
        <v>7783</v>
      </c>
      <c r="C1359" s="334" t="s">
        <v>11</v>
      </c>
    </row>
    <row r="1360" spans="1:3" x14ac:dyDescent="0.2">
      <c r="A1360" s="334" t="s">
        <v>5014</v>
      </c>
      <c r="B1360" s="334" t="s">
        <v>7784</v>
      </c>
      <c r="C1360" s="334" t="s">
        <v>11</v>
      </c>
    </row>
    <row r="1361" spans="1:4" x14ac:dyDescent="0.2">
      <c r="A1361" s="334" t="s">
        <v>5015</v>
      </c>
      <c r="B1361" s="334" t="s">
        <v>7785</v>
      </c>
      <c r="C1361" s="334" t="s">
        <v>11</v>
      </c>
    </row>
    <row r="1362" spans="1:4" x14ac:dyDescent="0.2">
      <c r="A1362" s="334" t="s">
        <v>5016</v>
      </c>
      <c r="B1362" s="334" t="s">
        <v>7786</v>
      </c>
      <c r="C1362" s="334" t="s">
        <v>11</v>
      </c>
    </row>
    <row r="1363" spans="1:4" x14ac:dyDescent="0.2">
      <c r="A1363" s="334" t="s">
        <v>5017</v>
      </c>
      <c r="B1363" s="334" t="s">
        <v>7787</v>
      </c>
      <c r="C1363" s="334" t="s">
        <v>11</v>
      </c>
    </row>
    <row r="1364" spans="1:4" x14ac:dyDescent="0.2">
      <c r="A1364" s="334" t="s">
        <v>5018</v>
      </c>
      <c r="B1364" s="334" t="s">
        <v>7788</v>
      </c>
      <c r="C1364" s="334" t="s">
        <v>11</v>
      </c>
    </row>
    <row r="1365" spans="1:4" x14ac:dyDescent="0.2">
      <c r="A1365" s="334" t="s">
        <v>5019</v>
      </c>
      <c r="B1365" s="334" t="s">
        <v>7789</v>
      </c>
      <c r="C1365" s="334" t="s">
        <v>11</v>
      </c>
    </row>
    <row r="1366" spans="1:4" x14ac:dyDescent="0.2">
      <c r="A1366" s="334" t="s">
        <v>5020</v>
      </c>
      <c r="B1366" s="334" t="s">
        <v>7790</v>
      </c>
      <c r="C1366" s="334" t="s">
        <v>11</v>
      </c>
    </row>
    <row r="1367" spans="1:4" x14ac:dyDescent="0.2">
      <c r="A1367" s="334" t="s">
        <v>5021</v>
      </c>
      <c r="B1367" s="334" t="s">
        <v>7791</v>
      </c>
      <c r="C1367" s="334" t="s">
        <v>11</v>
      </c>
    </row>
    <row r="1368" spans="1:4" x14ac:dyDescent="0.2">
      <c r="A1368" s="334" t="s">
        <v>5022</v>
      </c>
      <c r="B1368" s="334" t="s">
        <v>7792</v>
      </c>
      <c r="C1368" s="334" t="s">
        <v>11</v>
      </c>
    </row>
    <row r="1369" spans="1:4" x14ac:dyDescent="0.2">
      <c r="A1369" s="334" t="s">
        <v>5023</v>
      </c>
      <c r="B1369" s="334" t="s">
        <v>7793</v>
      </c>
      <c r="C1369" s="334" t="s">
        <v>11</v>
      </c>
    </row>
    <row r="1370" spans="1:4" x14ac:dyDescent="0.2">
      <c r="A1370" s="334" t="s">
        <v>5024</v>
      </c>
      <c r="B1370" s="334" t="s">
        <v>7794</v>
      </c>
      <c r="C1370" s="334" t="s">
        <v>11</v>
      </c>
    </row>
    <row r="1371" spans="1:4" x14ac:dyDescent="0.2">
      <c r="A1371" s="347" t="s">
        <v>1760</v>
      </c>
      <c r="B1371" s="347" t="s">
        <v>7795</v>
      </c>
      <c r="C1371" s="347" t="s">
        <v>11</v>
      </c>
      <c r="D1371" s="348" t="s">
        <v>10271</v>
      </c>
    </row>
    <row r="1372" spans="1:4" x14ac:dyDescent="0.2">
      <c r="A1372" s="347" t="s">
        <v>1761</v>
      </c>
      <c r="B1372" s="347" t="s">
        <v>7796</v>
      </c>
      <c r="C1372" s="347" t="s">
        <v>11</v>
      </c>
      <c r="D1372" s="348" t="s">
        <v>10271</v>
      </c>
    </row>
    <row r="1373" spans="1:4" x14ac:dyDescent="0.2">
      <c r="A1373" s="334" t="s">
        <v>1762</v>
      </c>
      <c r="B1373" s="334" t="s">
        <v>7797</v>
      </c>
      <c r="C1373" s="334" t="s">
        <v>11</v>
      </c>
    </row>
    <row r="1374" spans="1:4" x14ac:dyDescent="0.2">
      <c r="A1374" s="334" t="s">
        <v>5025</v>
      </c>
      <c r="B1374" s="334" t="s">
        <v>7798</v>
      </c>
      <c r="C1374" s="334" t="s">
        <v>11</v>
      </c>
    </row>
    <row r="1375" spans="1:4" x14ac:dyDescent="0.2">
      <c r="A1375" s="334" t="s">
        <v>1763</v>
      </c>
      <c r="B1375" s="334" t="s">
        <v>7799</v>
      </c>
      <c r="C1375" s="334" t="s">
        <v>11</v>
      </c>
    </row>
    <row r="1376" spans="1:4" x14ac:dyDescent="0.2">
      <c r="A1376" s="334" t="s">
        <v>1764</v>
      </c>
      <c r="B1376" s="334" t="s">
        <v>7800</v>
      </c>
      <c r="C1376" s="334" t="s">
        <v>11</v>
      </c>
    </row>
    <row r="1377" spans="1:4" x14ac:dyDescent="0.2">
      <c r="A1377" s="347" t="s">
        <v>1765</v>
      </c>
      <c r="B1377" s="347" t="s">
        <v>7801</v>
      </c>
      <c r="C1377" s="347" t="s">
        <v>11</v>
      </c>
      <c r="D1377" s="348" t="s">
        <v>10271</v>
      </c>
    </row>
    <row r="1378" spans="1:4" x14ac:dyDescent="0.2">
      <c r="A1378" s="334" t="s">
        <v>1766</v>
      </c>
      <c r="B1378" s="334" t="s">
        <v>7802</v>
      </c>
      <c r="C1378" s="334" t="s">
        <v>11</v>
      </c>
    </row>
    <row r="1379" spans="1:4" x14ac:dyDescent="0.2">
      <c r="A1379" s="347" t="s">
        <v>1767</v>
      </c>
      <c r="B1379" s="347" t="s">
        <v>7803</v>
      </c>
      <c r="C1379" s="347" t="s">
        <v>11</v>
      </c>
      <c r="D1379" s="348" t="s">
        <v>10271</v>
      </c>
    </row>
    <row r="1380" spans="1:4" x14ac:dyDescent="0.2">
      <c r="A1380" s="334" t="s">
        <v>1768</v>
      </c>
      <c r="B1380" s="334" t="s">
        <v>7804</v>
      </c>
      <c r="C1380" s="334" t="s">
        <v>11</v>
      </c>
    </row>
    <row r="1381" spans="1:4" x14ac:dyDescent="0.2">
      <c r="A1381" s="347" t="s">
        <v>203</v>
      </c>
      <c r="B1381" s="347" t="s">
        <v>7805</v>
      </c>
      <c r="C1381" s="347" t="s">
        <v>11</v>
      </c>
      <c r="D1381" s="348" t="s">
        <v>10271</v>
      </c>
    </row>
    <row r="1382" spans="1:4" x14ac:dyDescent="0.2">
      <c r="A1382" s="334" t="s">
        <v>1769</v>
      </c>
      <c r="B1382" s="334" t="s">
        <v>7806</v>
      </c>
      <c r="C1382" s="334" t="s">
        <v>11</v>
      </c>
    </row>
    <row r="1383" spans="1:4" x14ac:dyDescent="0.2">
      <c r="A1383" s="334" t="s">
        <v>5026</v>
      </c>
      <c r="B1383" s="334" t="s">
        <v>7807</v>
      </c>
      <c r="C1383" s="334" t="s">
        <v>11</v>
      </c>
    </row>
    <row r="1384" spans="1:4" x14ac:dyDescent="0.2">
      <c r="A1384" s="334" t="s">
        <v>1770</v>
      </c>
      <c r="B1384" s="334" t="s">
        <v>7808</v>
      </c>
      <c r="C1384" s="334" t="s">
        <v>11</v>
      </c>
    </row>
    <row r="1385" spans="1:4" x14ac:dyDescent="0.2">
      <c r="A1385" s="334" t="s">
        <v>1771</v>
      </c>
      <c r="B1385" s="334" t="s">
        <v>7809</v>
      </c>
      <c r="C1385" s="334" t="s">
        <v>11</v>
      </c>
    </row>
    <row r="1386" spans="1:4" x14ac:dyDescent="0.2">
      <c r="A1386" s="334" t="s">
        <v>1772</v>
      </c>
      <c r="B1386" s="334" t="s">
        <v>7810</v>
      </c>
      <c r="C1386" s="334" t="s">
        <v>11</v>
      </c>
    </row>
    <row r="1387" spans="1:4" x14ac:dyDescent="0.2">
      <c r="A1387" s="347" t="s">
        <v>1773</v>
      </c>
      <c r="B1387" s="347" t="s">
        <v>7811</v>
      </c>
      <c r="C1387" s="347" t="s">
        <v>11</v>
      </c>
      <c r="D1387" s="348" t="s">
        <v>10271</v>
      </c>
    </row>
    <row r="1388" spans="1:4" x14ac:dyDescent="0.2">
      <c r="A1388" s="334" t="s">
        <v>1774</v>
      </c>
      <c r="B1388" s="334" t="s">
        <v>7812</v>
      </c>
      <c r="C1388" s="334" t="s">
        <v>11</v>
      </c>
    </row>
    <row r="1389" spans="1:4" x14ac:dyDescent="0.2">
      <c r="A1389" s="334" t="s">
        <v>1775</v>
      </c>
      <c r="B1389" s="334" t="s">
        <v>7460</v>
      </c>
      <c r="C1389" s="334" t="s">
        <v>11</v>
      </c>
    </row>
    <row r="1390" spans="1:4" x14ac:dyDescent="0.2">
      <c r="A1390" s="334" t="s">
        <v>1776</v>
      </c>
      <c r="B1390" s="334" t="s">
        <v>7813</v>
      </c>
      <c r="C1390" s="334" t="s">
        <v>11</v>
      </c>
    </row>
    <row r="1391" spans="1:4" x14ac:dyDescent="0.2">
      <c r="A1391" s="334" t="s">
        <v>1777</v>
      </c>
      <c r="B1391" s="334" t="s">
        <v>7814</v>
      </c>
      <c r="C1391" s="334" t="s">
        <v>11</v>
      </c>
    </row>
    <row r="1392" spans="1:4" x14ac:dyDescent="0.2">
      <c r="A1392" s="334" t="s">
        <v>1778</v>
      </c>
      <c r="B1392" s="334" t="s">
        <v>7815</v>
      </c>
      <c r="C1392" s="334" t="s">
        <v>11</v>
      </c>
    </row>
    <row r="1393" spans="1:4" x14ac:dyDescent="0.2">
      <c r="A1393" s="334" t="s">
        <v>1779</v>
      </c>
      <c r="B1393" s="334" t="s">
        <v>7816</v>
      </c>
      <c r="C1393" s="334" t="s">
        <v>11</v>
      </c>
    </row>
    <row r="1394" spans="1:4" x14ac:dyDescent="0.2">
      <c r="A1394" s="334" t="s">
        <v>1780</v>
      </c>
      <c r="B1394" s="334" t="s">
        <v>7817</v>
      </c>
      <c r="C1394" s="334" t="s">
        <v>11</v>
      </c>
    </row>
    <row r="1395" spans="1:4" x14ac:dyDescent="0.2">
      <c r="A1395" s="334" t="s">
        <v>1781</v>
      </c>
      <c r="B1395" s="334" t="s">
        <v>7818</v>
      </c>
      <c r="C1395" s="334" t="s">
        <v>11</v>
      </c>
    </row>
    <row r="1396" spans="1:4" x14ac:dyDescent="0.2">
      <c r="A1396" s="347" t="s">
        <v>1782</v>
      </c>
      <c r="B1396" s="347" t="s">
        <v>7819</v>
      </c>
      <c r="C1396" s="347" t="s">
        <v>11</v>
      </c>
      <c r="D1396" s="348" t="s">
        <v>10271</v>
      </c>
    </row>
    <row r="1397" spans="1:4" x14ac:dyDescent="0.2">
      <c r="A1397" s="334" t="s">
        <v>1783</v>
      </c>
      <c r="B1397" s="334" t="s">
        <v>7820</v>
      </c>
      <c r="C1397" s="334" t="s">
        <v>11</v>
      </c>
    </row>
    <row r="1398" spans="1:4" x14ac:dyDescent="0.2">
      <c r="A1398" s="347" t="s">
        <v>1784</v>
      </c>
      <c r="B1398" s="347" t="s">
        <v>7821</v>
      </c>
      <c r="C1398" s="347" t="s">
        <v>11</v>
      </c>
      <c r="D1398" s="348" t="s">
        <v>10271</v>
      </c>
    </row>
    <row r="1399" spans="1:4" x14ac:dyDescent="0.2">
      <c r="A1399" s="334" t="s">
        <v>1785</v>
      </c>
      <c r="B1399" s="334" t="s">
        <v>7822</v>
      </c>
      <c r="C1399" s="334" t="s">
        <v>11</v>
      </c>
    </row>
    <row r="1400" spans="1:4" x14ac:dyDescent="0.2">
      <c r="A1400" s="334" t="s">
        <v>1786</v>
      </c>
      <c r="B1400" s="334" t="s">
        <v>7823</v>
      </c>
      <c r="C1400" s="334" t="s">
        <v>11</v>
      </c>
    </row>
    <row r="1401" spans="1:4" x14ac:dyDescent="0.2">
      <c r="A1401" s="334" t="s">
        <v>1787</v>
      </c>
      <c r="B1401" s="334" t="s">
        <v>7824</v>
      </c>
      <c r="C1401" s="334" t="s">
        <v>11</v>
      </c>
    </row>
    <row r="1402" spans="1:4" x14ac:dyDescent="0.2">
      <c r="A1402" s="334" t="s">
        <v>1788</v>
      </c>
      <c r="B1402" s="334" t="s">
        <v>7825</v>
      </c>
      <c r="C1402" s="334" t="s">
        <v>11</v>
      </c>
    </row>
    <row r="1403" spans="1:4" x14ac:dyDescent="0.2">
      <c r="A1403" s="334" t="s">
        <v>1789</v>
      </c>
      <c r="B1403" s="334" t="s">
        <v>7826</v>
      </c>
      <c r="C1403" s="334" t="s">
        <v>11</v>
      </c>
    </row>
    <row r="1404" spans="1:4" x14ac:dyDescent="0.2">
      <c r="A1404" s="334" t="s">
        <v>1790</v>
      </c>
      <c r="B1404" s="334" t="s">
        <v>7827</v>
      </c>
      <c r="C1404" s="334" t="s">
        <v>11</v>
      </c>
    </row>
    <row r="1405" spans="1:4" x14ac:dyDescent="0.2">
      <c r="A1405" s="347" t="s">
        <v>1791</v>
      </c>
      <c r="B1405" s="347" t="s">
        <v>7828</v>
      </c>
      <c r="C1405" s="347" t="s">
        <v>11</v>
      </c>
      <c r="D1405" s="348" t="s">
        <v>10271</v>
      </c>
    </row>
    <row r="1406" spans="1:4" x14ac:dyDescent="0.2">
      <c r="A1406" s="347" t="s">
        <v>1792</v>
      </c>
      <c r="B1406" s="347" t="s">
        <v>7829</v>
      </c>
      <c r="C1406" s="347" t="s">
        <v>11</v>
      </c>
      <c r="D1406" s="348" t="s">
        <v>10271</v>
      </c>
    </row>
    <row r="1407" spans="1:4" x14ac:dyDescent="0.2">
      <c r="A1407" s="347" t="s">
        <v>1793</v>
      </c>
      <c r="B1407" s="347" t="s">
        <v>7830</v>
      </c>
      <c r="C1407" s="347" t="s">
        <v>11</v>
      </c>
      <c r="D1407" s="348" t="s">
        <v>10271</v>
      </c>
    </row>
    <row r="1408" spans="1:4" x14ac:dyDescent="0.2">
      <c r="A1408" s="334" t="s">
        <v>5027</v>
      </c>
      <c r="B1408" s="334" t="s">
        <v>7831</v>
      </c>
      <c r="C1408" s="334" t="s">
        <v>11</v>
      </c>
    </row>
    <row r="1409" spans="1:4" x14ac:dyDescent="0.2">
      <c r="A1409" s="334" t="s">
        <v>5028</v>
      </c>
      <c r="B1409" s="334" t="s">
        <v>7832</v>
      </c>
      <c r="C1409" s="334" t="s">
        <v>7372</v>
      </c>
    </row>
    <row r="1410" spans="1:4" x14ac:dyDescent="0.2">
      <c r="A1410" s="334" t="s">
        <v>5029</v>
      </c>
      <c r="B1410" s="334" t="s">
        <v>7833</v>
      </c>
      <c r="C1410" s="334" t="s">
        <v>11</v>
      </c>
    </row>
    <row r="1411" spans="1:4" x14ac:dyDescent="0.2">
      <c r="A1411" s="334" t="s">
        <v>5030</v>
      </c>
      <c r="B1411" s="334" t="s">
        <v>7834</v>
      </c>
      <c r="C1411" s="334" t="s">
        <v>11</v>
      </c>
    </row>
    <row r="1412" spans="1:4" x14ac:dyDescent="0.2">
      <c r="A1412" s="334" t="s">
        <v>5031</v>
      </c>
      <c r="B1412" s="334" t="s">
        <v>7835</v>
      </c>
      <c r="C1412" s="334" t="s">
        <v>11</v>
      </c>
    </row>
    <row r="1413" spans="1:4" x14ac:dyDescent="0.2">
      <c r="A1413" s="334" t="s">
        <v>5032</v>
      </c>
      <c r="B1413" s="334" t="s">
        <v>7836</v>
      </c>
      <c r="C1413" s="334" t="s">
        <v>11</v>
      </c>
    </row>
    <row r="1414" spans="1:4" x14ac:dyDescent="0.2">
      <c r="A1414" s="334" t="s">
        <v>5033</v>
      </c>
      <c r="B1414" s="334" t="s">
        <v>7837</v>
      </c>
      <c r="C1414" s="334" t="s">
        <v>11</v>
      </c>
    </row>
    <row r="1415" spans="1:4" x14ac:dyDescent="0.2">
      <c r="A1415" s="334" t="s">
        <v>5034</v>
      </c>
      <c r="B1415" s="334" t="s">
        <v>7838</v>
      </c>
      <c r="C1415" s="334" t="s">
        <v>11</v>
      </c>
    </row>
    <row r="1416" spans="1:4" x14ac:dyDescent="0.2">
      <c r="A1416" s="334" t="s">
        <v>5035</v>
      </c>
      <c r="B1416" s="334" t="s">
        <v>7839</v>
      </c>
      <c r="C1416" s="334" t="s">
        <v>11</v>
      </c>
    </row>
    <row r="1417" spans="1:4" x14ac:dyDescent="0.2">
      <c r="A1417" s="334" t="s">
        <v>5036</v>
      </c>
      <c r="B1417" s="334" t="s">
        <v>7840</v>
      </c>
      <c r="C1417" s="334" t="s">
        <v>11</v>
      </c>
    </row>
    <row r="1418" spans="1:4" x14ac:dyDescent="0.2">
      <c r="A1418" s="334" t="s">
        <v>5037</v>
      </c>
      <c r="B1418" s="334" t="s">
        <v>7841</v>
      </c>
      <c r="C1418" s="334" t="s">
        <v>11</v>
      </c>
    </row>
    <row r="1419" spans="1:4" x14ac:dyDescent="0.2">
      <c r="A1419" s="347" t="s">
        <v>1794</v>
      </c>
      <c r="B1419" s="347" t="s">
        <v>7842</v>
      </c>
      <c r="C1419" s="347" t="s">
        <v>11</v>
      </c>
      <c r="D1419" s="348" t="s">
        <v>10271</v>
      </c>
    </row>
    <row r="1420" spans="1:4" x14ac:dyDescent="0.2">
      <c r="A1420" s="334" t="s">
        <v>5038</v>
      </c>
      <c r="B1420" s="334" t="s">
        <v>7843</v>
      </c>
      <c r="C1420" s="334" t="s">
        <v>11</v>
      </c>
    </row>
    <row r="1421" spans="1:4" x14ac:dyDescent="0.2">
      <c r="A1421" s="334" t="s">
        <v>1795</v>
      </c>
      <c r="B1421" s="334" t="s">
        <v>7844</v>
      </c>
      <c r="C1421" s="334" t="s">
        <v>25</v>
      </c>
    </row>
    <row r="1422" spans="1:4" x14ac:dyDescent="0.2">
      <c r="A1422" s="334" t="s">
        <v>1796</v>
      </c>
      <c r="B1422" s="334" t="s">
        <v>7845</v>
      </c>
      <c r="C1422" s="334" t="s">
        <v>25</v>
      </c>
    </row>
    <row r="1423" spans="1:4" x14ac:dyDescent="0.2">
      <c r="A1423" s="334" t="s">
        <v>1797</v>
      </c>
      <c r="B1423" s="334" t="s">
        <v>7846</v>
      </c>
      <c r="C1423" s="334" t="s">
        <v>25</v>
      </c>
    </row>
    <row r="1424" spans="1:4" x14ac:dyDescent="0.2">
      <c r="A1424" s="347" t="s">
        <v>1798</v>
      </c>
      <c r="B1424" s="347" t="s">
        <v>7847</v>
      </c>
      <c r="C1424" s="347" t="s">
        <v>11</v>
      </c>
      <c r="D1424" s="348" t="s">
        <v>10271</v>
      </c>
    </row>
    <row r="1425" spans="1:4" x14ac:dyDescent="0.2">
      <c r="A1425" s="347" t="s">
        <v>205</v>
      </c>
      <c r="B1425" s="347" t="s">
        <v>7848</v>
      </c>
      <c r="C1425" s="347" t="s">
        <v>11</v>
      </c>
      <c r="D1425" s="348" t="s">
        <v>10271</v>
      </c>
    </row>
    <row r="1426" spans="1:4" x14ac:dyDescent="0.2">
      <c r="A1426" s="334" t="s">
        <v>1799</v>
      </c>
      <c r="B1426" s="334" t="s">
        <v>7849</v>
      </c>
      <c r="C1426" s="334" t="s">
        <v>11</v>
      </c>
    </row>
    <row r="1427" spans="1:4" x14ac:dyDescent="0.2">
      <c r="A1427" s="347" t="s">
        <v>1800</v>
      </c>
      <c r="B1427" s="347" t="s">
        <v>7850</v>
      </c>
      <c r="C1427" s="347" t="s">
        <v>11</v>
      </c>
      <c r="D1427" s="348" t="s">
        <v>10271</v>
      </c>
    </row>
    <row r="1428" spans="1:4" x14ac:dyDescent="0.2">
      <c r="A1428" s="347" t="s">
        <v>1801</v>
      </c>
      <c r="B1428" s="347" t="s">
        <v>7851</v>
      </c>
      <c r="C1428" s="347" t="s">
        <v>11</v>
      </c>
      <c r="D1428" s="348" t="s">
        <v>10271</v>
      </c>
    </row>
    <row r="1429" spans="1:4" x14ac:dyDescent="0.2">
      <c r="A1429" s="334" t="s">
        <v>481</v>
      </c>
      <c r="B1429" s="334" t="s">
        <v>7852</v>
      </c>
      <c r="C1429" s="334" t="s">
        <v>11</v>
      </c>
    </row>
    <row r="1430" spans="1:4" x14ac:dyDescent="0.2">
      <c r="A1430" s="334" t="s">
        <v>1802</v>
      </c>
      <c r="B1430" s="334" t="s">
        <v>7853</v>
      </c>
      <c r="C1430" s="334" t="s">
        <v>11</v>
      </c>
    </row>
    <row r="1431" spans="1:4" x14ac:dyDescent="0.2">
      <c r="A1431" s="334" t="s">
        <v>1803</v>
      </c>
      <c r="B1431" s="334" t="s">
        <v>7854</v>
      </c>
      <c r="C1431" s="334" t="s">
        <v>2338</v>
      </c>
    </row>
    <row r="1432" spans="1:4" x14ac:dyDescent="0.2">
      <c r="A1432" s="347" t="s">
        <v>480</v>
      </c>
      <c r="B1432" s="347" t="s">
        <v>7855</v>
      </c>
      <c r="C1432" s="347" t="s">
        <v>11</v>
      </c>
      <c r="D1432" s="348" t="s">
        <v>10271</v>
      </c>
    </row>
    <row r="1433" spans="1:4" x14ac:dyDescent="0.2">
      <c r="A1433" s="334" t="s">
        <v>1804</v>
      </c>
      <c r="B1433" s="334" t="s">
        <v>7102</v>
      </c>
      <c r="C1433" s="334" t="s">
        <v>11</v>
      </c>
    </row>
    <row r="1434" spans="1:4" x14ac:dyDescent="0.2">
      <c r="A1434" s="334" t="s">
        <v>5039</v>
      </c>
      <c r="B1434" s="334" t="s">
        <v>7856</v>
      </c>
      <c r="C1434" s="334" t="s">
        <v>16</v>
      </c>
    </row>
    <row r="1435" spans="1:4" x14ac:dyDescent="0.2">
      <c r="A1435" s="334" t="s">
        <v>1805</v>
      </c>
      <c r="B1435" s="334" t="s">
        <v>7857</v>
      </c>
      <c r="C1435" s="334" t="s">
        <v>16</v>
      </c>
    </row>
    <row r="1436" spans="1:4" x14ac:dyDescent="0.2">
      <c r="A1436" s="334" t="s">
        <v>1806</v>
      </c>
      <c r="B1436" s="334" t="s">
        <v>7858</v>
      </c>
      <c r="C1436" s="334" t="s">
        <v>16</v>
      </c>
    </row>
    <row r="1437" spans="1:4" x14ac:dyDescent="0.2">
      <c r="A1437" s="334" t="s">
        <v>1807</v>
      </c>
      <c r="B1437" s="334" t="s">
        <v>7859</v>
      </c>
      <c r="C1437" s="334" t="s">
        <v>25</v>
      </c>
    </row>
    <row r="1438" spans="1:4" x14ac:dyDescent="0.2">
      <c r="A1438" s="334" t="s">
        <v>1808</v>
      </c>
      <c r="B1438" s="334" t="s">
        <v>7860</v>
      </c>
      <c r="C1438" s="334" t="s">
        <v>25</v>
      </c>
    </row>
    <row r="1439" spans="1:4" x14ac:dyDescent="0.2">
      <c r="A1439" s="334" t="s">
        <v>1809</v>
      </c>
      <c r="B1439" s="334" t="s">
        <v>7861</v>
      </c>
      <c r="C1439" s="334" t="s">
        <v>25</v>
      </c>
    </row>
    <row r="1440" spans="1:4" x14ac:dyDescent="0.2">
      <c r="A1440" s="334" t="s">
        <v>1810</v>
      </c>
      <c r="B1440" s="334" t="s">
        <v>7862</v>
      </c>
      <c r="C1440" s="334" t="s">
        <v>25</v>
      </c>
    </row>
    <row r="1441" spans="1:4" x14ac:dyDescent="0.2">
      <c r="A1441" s="347" t="s">
        <v>1811</v>
      </c>
      <c r="B1441" s="347" t="s">
        <v>7863</v>
      </c>
      <c r="C1441" s="347" t="s">
        <v>11</v>
      </c>
      <c r="D1441" s="348" t="s">
        <v>10271</v>
      </c>
    </row>
    <row r="1442" spans="1:4" x14ac:dyDescent="0.2">
      <c r="A1442" s="334" t="s">
        <v>1812</v>
      </c>
      <c r="B1442" s="334" t="s">
        <v>7864</v>
      </c>
      <c r="C1442" s="334" t="s">
        <v>11</v>
      </c>
    </row>
    <row r="1443" spans="1:4" x14ac:dyDescent="0.2">
      <c r="A1443" s="334" t="s">
        <v>1813</v>
      </c>
      <c r="B1443" s="334" t="s">
        <v>7865</v>
      </c>
      <c r="C1443" s="334" t="s">
        <v>11</v>
      </c>
    </row>
    <row r="1444" spans="1:4" x14ac:dyDescent="0.2">
      <c r="A1444" s="334" t="s">
        <v>1814</v>
      </c>
      <c r="B1444" s="334" t="s">
        <v>7866</v>
      </c>
      <c r="C1444" s="334" t="s">
        <v>11</v>
      </c>
    </row>
    <row r="1445" spans="1:4" x14ac:dyDescent="0.2">
      <c r="A1445" s="347" t="s">
        <v>1815</v>
      </c>
      <c r="B1445" s="347" t="s">
        <v>7867</v>
      </c>
      <c r="C1445" s="347" t="s">
        <v>11</v>
      </c>
      <c r="D1445" s="348" t="s">
        <v>10271</v>
      </c>
    </row>
    <row r="1446" spans="1:4" x14ac:dyDescent="0.2">
      <c r="A1446" s="347" t="s">
        <v>1817</v>
      </c>
      <c r="B1446" s="347" t="s">
        <v>7868</v>
      </c>
      <c r="C1446" s="347" t="s">
        <v>2338</v>
      </c>
      <c r="D1446" s="348" t="s">
        <v>10271</v>
      </c>
    </row>
    <row r="1447" spans="1:4" x14ac:dyDescent="0.2">
      <c r="A1447" s="334" t="s">
        <v>1818</v>
      </c>
      <c r="B1447" s="334" t="s">
        <v>7869</v>
      </c>
      <c r="C1447" s="334" t="s">
        <v>6604</v>
      </c>
    </row>
    <row r="1448" spans="1:4" x14ac:dyDescent="0.2">
      <c r="A1448" s="334" t="s">
        <v>1819</v>
      </c>
      <c r="B1448" s="334" t="s">
        <v>6712</v>
      </c>
      <c r="C1448" s="334" t="s">
        <v>6602</v>
      </c>
    </row>
    <row r="1449" spans="1:4" x14ac:dyDescent="0.2">
      <c r="A1449" s="334" t="s">
        <v>482</v>
      </c>
      <c r="B1449" s="334" t="s">
        <v>7852</v>
      </c>
      <c r="C1449" s="334" t="s">
        <v>11</v>
      </c>
    </row>
    <row r="1450" spans="1:4" x14ac:dyDescent="0.2">
      <c r="A1450" s="347" t="s">
        <v>483</v>
      </c>
      <c r="B1450" s="347" t="s">
        <v>7870</v>
      </c>
      <c r="C1450" s="347" t="s">
        <v>11</v>
      </c>
      <c r="D1450" s="348" t="s">
        <v>10271</v>
      </c>
    </row>
    <row r="1451" spans="1:4" x14ac:dyDescent="0.2">
      <c r="A1451" s="347" t="s">
        <v>484</v>
      </c>
      <c r="B1451" s="347" t="s">
        <v>7871</v>
      </c>
      <c r="C1451" s="347" t="s">
        <v>11</v>
      </c>
      <c r="D1451" s="348" t="s">
        <v>10271</v>
      </c>
    </row>
    <row r="1452" spans="1:4" x14ac:dyDescent="0.2">
      <c r="A1452" s="347" t="s">
        <v>202</v>
      </c>
      <c r="B1452" s="347" t="s">
        <v>7872</v>
      </c>
      <c r="C1452" s="347" t="s">
        <v>11</v>
      </c>
      <c r="D1452" s="348" t="s">
        <v>10271</v>
      </c>
    </row>
    <row r="1453" spans="1:4" x14ac:dyDescent="0.2">
      <c r="A1453" s="347" t="s">
        <v>485</v>
      </c>
      <c r="B1453" s="347" t="s">
        <v>7873</v>
      </c>
      <c r="C1453" s="347" t="s">
        <v>11</v>
      </c>
      <c r="D1453" s="348" t="s">
        <v>10271</v>
      </c>
    </row>
    <row r="1454" spans="1:4" x14ac:dyDescent="0.2">
      <c r="A1454" s="347" t="s">
        <v>206</v>
      </c>
      <c r="B1454" s="347" t="s">
        <v>7874</v>
      </c>
      <c r="C1454" s="347" t="s">
        <v>11</v>
      </c>
      <c r="D1454" s="348" t="s">
        <v>10271</v>
      </c>
    </row>
    <row r="1455" spans="1:4" x14ac:dyDescent="0.2">
      <c r="A1455" s="347" t="s">
        <v>486</v>
      </c>
      <c r="B1455" s="347" t="s">
        <v>7875</v>
      </c>
      <c r="C1455" s="347" t="s">
        <v>11</v>
      </c>
      <c r="D1455" s="348" t="s">
        <v>10271</v>
      </c>
    </row>
    <row r="1456" spans="1:4" x14ac:dyDescent="0.2">
      <c r="A1456" s="334" t="s">
        <v>1820</v>
      </c>
      <c r="B1456" s="334" t="s">
        <v>7876</v>
      </c>
      <c r="C1456" s="334" t="s">
        <v>11</v>
      </c>
    </row>
    <row r="1457" spans="1:4" x14ac:dyDescent="0.2">
      <c r="A1457" s="347" t="s">
        <v>1821</v>
      </c>
      <c r="B1457" s="347" t="s">
        <v>7877</v>
      </c>
      <c r="C1457" s="347" t="s">
        <v>11</v>
      </c>
      <c r="D1457" s="348" t="s">
        <v>10271</v>
      </c>
    </row>
    <row r="1458" spans="1:4" x14ac:dyDescent="0.2">
      <c r="A1458" s="347" t="s">
        <v>1822</v>
      </c>
      <c r="B1458" s="347" t="s">
        <v>7878</v>
      </c>
      <c r="C1458" s="347" t="s">
        <v>11</v>
      </c>
      <c r="D1458" s="348" t="s">
        <v>10271</v>
      </c>
    </row>
    <row r="1459" spans="1:4" x14ac:dyDescent="0.2">
      <c r="A1459" s="347" t="s">
        <v>1823</v>
      </c>
      <c r="B1459" s="347" t="s">
        <v>7879</v>
      </c>
      <c r="C1459" s="347" t="s">
        <v>11</v>
      </c>
      <c r="D1459" s="348" t="s">
        <v>10271</v>
      </c>
    </row>
    <row r="1460" spans="1:4" x14ac:dyDescent="0.2">
      <c r="A1460" s="347" t="s">
        <v>1824</v>
      </c>
      <c r="B1460" s="347" t="s">
        <v>7880</v>
      </c>
      <c r="C1460" s="347" t="s">
        <v>11</v>
      </c>
      <c r="D1460" s="348" t="s">
        <v>10271</v>
      </c>
    </row>
    <row r="1461" spans="1:4" x14ac:dyDescent="0.2">
      <c r="A1461" s="347" t="s">
        <v>1825</v>
      </c>
      <c r="B1461" s="347" t="s">
        <v>7881</v>
      </c>
      <c r="C1461" s="347" t="s">
        <v>11</v>
      </c>
      <c r="D1461" s="348" t="s">
        <v>10271</v>
      </c>
    </row>
    <row r="1462" spans="1:4" x14ac:dyDescent="0.2">
      <c r="A1462" s="334" t="s">
        <v>1826</v>
      </c>
      <c r="B1462" s="334" t="s">
        <v>7882</v>
      </c>
      <c r="C1462" s="334" t="s">
        <v>11</v>
      </c>
    </row>
    <row r="1463" spans="1:4" x14ac:dyDescent="0.2">
      <c r="A1463" s="334" t="s">
        <v>1827</v>
      </c>
      <c r="B1463" s="334" t="s">
        <v>7883</v>
      </c>
      <c r="C1463" s="334" t="s">
        <v>11</v>
      </c>
    </row>
    <row r="1464" spans="1:4" x14ac:dyDescent="0.2">
      <c r="A1464" s="334" t="s">
        <v>1828</v>
      </c>
      <c r="B1464" s="334" t="s">
        <v>7884</v>
      </c>
      <c r="C1464" s="334" t="s">
        <v>11</v>
      </c>
    </row>
    <row r="1465" spans="1:4" x14ac:dyDescent="0.2">
      <c r="A1465" s="334" t="s">
        <v>1829</v>
      </c>
      <c r="B1465" s="334" t="s">
        <v>7885</v>
      </c>
      <c r="C1465" s="334" t="s">
        <v>11</v>
      </c>
    </row>
    <row r="1466" spans="1:4" x14ac:dyDescent="0.2">
      <c r="A1466" s="334" t="s">
        <v>1830</v>
      </c>
      <c r="B1466" s="334" t="s">
        <v>7886</v>
      </c>
      <c r="C1466" s="334" t="s">
        <v>11</v>
      </c>
    </row>
    <row r="1467" spans="1:4" x14ac:dyDescent="0.2">
      <c r="A1467" s="334" t="s">
        <v>1831</v>
      </c>
      <c r="B1467" s="334" t="s">
        <v>7887</v>
      </c>
      <c r="C1467" s="334" t="s">
        <v>11</v>
      </c>
    </row>
    <row r="1468" spans="1:4" x14ac:dyDescent="0.2">
      <c r="A1468" s="334" t="s">
        <v>1832</v>
      </c>
      <c r="B1468" s="334" t="s">
        <v>7888</v>
      </c>
      <c r="C1468" s="334" t="s">
        <v>16</v>
      </c>
    </row>
    <row r="1469" spans="1:4" x14ac:dyDescent="0.2">
      <c r="A1469" s="334" t="s">
        <v>1833</v>
      </c>
      <c r="B1469" s="334" t="s">
        <v>7889</v>
      </c>
      <c r="C1469" s="334" t="s">
        <v>11</v>
      </c>
    </row>
    <row r="1470" spans="1:4" x14ac:dyDescent="0.2">
      <c r="A1470" s="334" t="s">
        <v>1834</v>
      </c>
      <c r="B1470" s="334" t="s">
        <v>7890</v>
      </c>
      <c r="C1470" s="334" t="s">
        <v>11</v>
      </c>
    </row>
    <row r="1471" spans="1:4" x14ac:dyDescent="0.2">
      <c r="A1471" s="347" t="s">
        <v>3423</v>
      </c>
      <c r="B1471" s="347" t="s">
        <v>7891</v>
      </c>
      <c r="C1471" s="347" t="s">
        <v>11</v>
      </c>
      <c r="D1471" s="348" t="s">
        <v>10271</v>
      </c>
    </row>
    <row r="1472" spans="1:4" x14ac:dyDescent="0.2">
      <c r="A1472" s="334" t="s">
        <v>1835</v>
      </c>
      <c r="B1472" s="334" t="s">
        <v>7892</v>
      </c>
      <c r="C1472" s="334" t="s">
        <v>2338</v>
      </c>
    </row>
    <row r="1473" spans="1:3" x14ac:dyDescent="0.2">
      <c r="A1473" s="334" t="s">
        <v>5040</v>
      </c>
      <c r="B1473" s="334" t="s">
        <v>7893</v>
      </c>
      <c r="C1473" s="334" t="s">
        <v>16</v>
      </c>
    </row>
    <row r="1474" spans="1:3" x14ac:dyDescent="0.2">
      <c r="A1474" s="334" t="s">
        <v>5041</v>
      </c>
      <c r="B1474" s="334" t="s">
        <v>7894</v>
      </c>
      <c r="C1474" s="334" t="s">
        <v>16</v>
      </c>
    </row>
    <row r="1475" spans="1:3" x14ac:dyDescent="0.2">
      <c r="A1475" s="334" t="s">
        <v>5042</v>
      </c>
      <c r="B1475" s="334" t="s">
        <v>7895</v>
      </c>
      <c r="C1475" s="334" t="s">
        <v>25</v>
      </c>
    </row>
    <row r="1476" spans="1:3" x14ac:dyDescent="0.2">
      <c r="A1476" s="334" t="s">
        <v>5043</v>
      </c>
      <c r="B1476" s="334" t="s">
        <v>7896</v>
      </c>
      <c r="C1476" s="334" t="s">
        <v>25</v>
      </c>
    </row>
    <row r="1477" spans="1:3" x14ac:dyDescent="0.2">
      <c r="A1477" s="334" t="s">
        <v>5044</v>
      </c>
      <c r="B1477" s="334" t="s">
        <v>7897</v>
      </c>
      <c r="C1477" s="334" t="s">
        <v>25</v>
      </c>
    </row>
    <row r="1478" spans="1:3" x14ac:dyDescent="0.2">
      <c r="A1478" s="334" t="s">
        <v>5045</v>
      </c>
      <c r="B1478" s="334" t="s">
        <v>7898</v>
      </c>
      <c r="C1478" s="334" t="s">
        <v>16</v>
      </c>
    </row>
    <row r="1479" spans="1:3" x14ac:dyDescent="0.2">
      <c r="A1479" s="334" t="s">
        <v>5046</v>
      </c>
      <c r="B1479" s="334" t="s">
        <v>7899</v>
      </c>
      <c r="C1479" s="334" t="s">
        <v>25</v>
      </c>
    </row>
    <row r="1480" spans="1:3" x14ac:dyDescent="0.2">
      <c r="A1480" s="334" t="s">
        <v>5047</v>
      </c>
      <c r="B1480" s="334" t="s">
        <v>7900</v>
      </c>
      <c r="C1480" s="334" t="s">
        <v>25</v>
      </c>
    </row>
    <row r="1481" spans="1:3" x14ac:dyDescent="0.2">
      <c r="A1481" s="334" t="s">
        <v>5048</v>
      </c>
      <c r="B1481" s="334" t="s">
        <v>7901</v>
      </c>
      <c r="C1481" s="334" t="s">
        <v>25</v>
      </c>
    </row>
    <row r="1482" spans="1:3" x14ac:dyDescent="0.2">
      <c r="A1482" s="334" t="s">
        <v>5049</v>
      </c>
      <c r="B1482" s="334" t="s">
        <v>7902</v>
      </c>
      <c r="C1482" s="334" t="s">
        <v>2338</v>
      </c>
    </row>
    <row r="1483" spans="1:3" x14ac:dyDescent="0.2">
      <c r="A1483" s="334" t="s">
        <v>5050</v>
      </c>
      <c r="B1483" s="334" t="s">
        <v>7902</v>
      </c>
      <c r="C1483" s="334" t="s">
        <v>2338</v>
      </c>
    </row>
    <row r="1484" spans="1:3" x14ac:dyDescent="0.2">
      <c r="A1484" s="334" t="s">
        <v>5051</v>
      </c>
      <c r="B1484" s="334" t="s">
        <v>7903</v>
      </c>
      <c r="C1484" s="334" t="s">
        <v>2338</v>
      </c>
    </row>
    <row r="1485" spans="1:3" x14ac:dyDescent="0.2">
      <c r="A1485" s="334" t="s">
        <v>5052</v>
      </c>
      <c r="B1485" s="334" t="s">
        <v>7904</v>
      </c>
      <c r="C1485" s="334" t="s">
        <v>2338</v>
      </c>
    </row>
    <row r="1486" spans="1:3" x14ac:dyDescent="0.2">
      <c r="A1486" s="334" t="s">
        <v>5053</v>
      </c>
      <c r="B1486" s="334" t="s">
        <v>7903</v>
      </c>
      <c r="C1486" s="334" t="s">
        <v>2338</v>
      </c>
    </row>
    <row r="1487" spans="1:3" x14ac:dyDescent="0.2">
      <c r="A1487" s="334" t="s">
        <v>5054</v>
      </c>
      <c r="B1487" s="334" t="s">
        <v>7903</v>
      </c>
      <c r="C1487" s="334" t="s">
        <v>2338</v>
      </c>
    </row>
    <row r="1488" spans="1:3" x14ac:dyDescent="0.2">
      <c r="A1488" s="334" t="s">
        <v>5055</v>
      </c>
      <c r="B1488" s="334" t="s">
        <v>7903</v>
      </c>
      <c r="C1488" s="334" t="s">
        <v>2338</v>
      </c>
    </row>
    <row r="1489" spans="1:3" x14ac:dyDescent="0.2">
      <c r="A1489" s="334" t="s">
        <v>5056</v>
      </c>
      <c r="B1489" s="334" t="s">
        <v>7903</v>
      </c>
      <c r="C1489" s="334" t="s">
        <v>2338</v>
      </c>
    </row>
    <row r="1490" spans="1:3" x14ac:dyDescent="0.2">
      <c r="A1490" s="334" t="s">
        <v>5057</v>
      </c>
      <c r="B1490" s="334" t="s">
        <v>7903</v>
      </c>
      <c r="C1490" s="334" t="s">
        <v>2338</v>
      </c>
    </row>
    <row r="1491" spans="1:3" x14ac:dyDescent="0.2">
      <c r="A1491" s="334" t="s">
        <v>5058</v>
      </c>
      <c r="B1491" s="334" t="s">
        <v>7903</v>
      </c>
      <c r="C1491" s="334" t="s">
        <v>2338</v>
      </c>
    </row>
    <row r="1492" spans="1:3" x14ac:dyDescent="0.2">
      <c r="A1492" s="334" t="s">
        <v>5059</v>
      </c>
      <c r="B1492" s="334" t="s">
        <v>7905</v>
      </c>
      <c r="C1492" s="334" t="s">
        <v>2338</v>
      </c>
    </row>
    <row r="1493" spans="1:3" x14ac:dyDescent="0.2">
      <c r="A1493" s="334" t="s">
        <v>5060</v>
      </c>
      <c r="B1493" s="334" t="s">
        <v>7903</v>
      </c>
      <c r="C1493" s="334" t="s">
        <v>2338</v>
      </c>
    </row>
    <row r="1494" spans="1:3" x14ac:dyDescent="0.2">
      <c r="A1494" s="334" t="s">
        <v>5061</v>
      </c>
      <c r="B1494" s="334" t="s">
        <v>7903</v>
      </c>
      <c r="C1494" s="334" t="s">
        <v>2338</v>
      </c>
    </row>
    <row r="1495" spans="1:3" x14ac:dyDescent="0.2">
      <c r="A1495" s="334" t="s">
        <v>5062</v>
      </c>
      <c r="B1495" s="334" t="s">
        <v>7903</v>
      </c>
      <c r="C1495" s="334" t="s">
        <v>2338</v>
      </c>
    </row>
    <row r="1496" spans="1:3" x14ac:dyDescent="0.2">
      <c r="A1496" s="334" t="s">
        <v>5063</v>
      </c>
      <c r="B1496" s="334" t="s">
        <v>7906</v>
      </c>
      <c r="C1496" s="334" t="s">
        <v>2338</v>
      </c>
    </row>
    <row r="1497" spans="1:3" x14ac:dyDescent="0.2">
      <c r="A1497" s="334" t="s">
        <v>5064</v>
      </c>
      <c r="B1497" s="334" t="s">
        <v>7907</v>
      </c>
      <c r="C1497" s="334" t="s">
        <v>2338</v>
      </c>
    </row>
    <row r="1498" spans="1:3" x14ac:dyDescent="0.2">
      <c r="A1498" s="334" t="s">
        <v>5065</v>
      </c>
      <c r="B1498" s="334" t="s">
        <v>7908</v>
      </c>
      <c r="C1498" s="334" t="s">
        <v>2338</v>
      </c>
    </row>
    <row r="1499" spans="1:3" x14ac:dyDescent="0.2">
      <c r="A1499" s="334" t="s">
        <v>5066</v>
      </c>
      <c r="B1499" s="334" t="s">
        <v>7908</v>
      </c>
      <c r="C1499" s="334" t="s">
        <v>2338</v>
      </c>
    </row>
    <row r="1500" spans="1:3" x14ac:dyDescent="0.2">
      <c r="A1500" s="334" t="s">
        <v>5067</v>
      </c>
      <c r="B1500" s="334" t="s">
        <v>7908</v>
      </c>
      <c r="C1500" s="334" t="s">
        <v>2338</v>
      </c>
    </row>
    <row r="1501" spans="1:3" x14ac:dyDescent="0.2">
      <c r="A1501" s="334" t="s">
        <v>5068</v>
      </c>
      <c r="B1501" s="334" t="s">
        <v>7909</v>
      </c>
      <c r="C1501" s="334" t="s">
        <v>2338</v>
      </c>
    </row>
    <row r="1502" spans="1:3" x14ac:dyDescent="0.2">
      <c r="A1502" s="334" t="s">
        <v>5069</v>
      </c>
      <c r="B1502" s="334" t="s">
        <v>7910</v>
      </c>
      <c r="C1502" s="334" t="s">
        <v>2338</v>
      </c>
    </row>
    <row r="1503" spans="1:3" x14ac:dyDescent="0.2">
      <c r="A1503" s="334" t="s">
        <v>5070</v>
      </c>
      <c r="B1503" s="334" t="s">
        <v>7911</v>
      </c>
      <c r="C1503" s="334" t="s">
        <v>2338</v>
      </c>
    </row>
    <row r="1504" spans="1:3" x14ac:dyDescent="0.2">
      <c r="A1504" s="334" t="s">
        <v>5071</v>
      </c>
      <c r="B1504" s="334" t="s">
        <v>7912</v>
      </c>
      <c r="C1504" s="334" t="s">
        <v>2338</v>
      </c>
    </row>
    <row r="1505" spans="1:3" x14ac:dyDescent="0.2">
      <c r="A1505" s="334" t="s">
        <v>5072</v>
      </c>
      <c r="B1505" s="334" t="s">
        <v>7913</v>
      </c>
      <c r="C1505" s="334" t="s">
        <v>2338</v>
      </c>
    </row>
    <row r="1506" spans="1:3" x14ac:dyDescent="0.2">
      <c r="A1506" s="334" t="s">
        <v>5073</v>
      </c>
      <c r="B1506" s="334" t="s">
        <v>7914</v>
      </c>
      <c r="C1506" s="334" t="s">
        <v>2338</v>
      </c>
    </row>
    <row r="1507" spans="1:3" x14ac:dyDescent="0.2">
      <c r="A1507" s="334" t="s">
        <v>5074</v>
      </c>
      <c r="B1507" s="334" t="s">
        <v>7915</v>
      </c>
      <c r="C1507" s="334" t="s">
        <v>2338</v>
      </c>
    </row>
    <row r="1508" spans="1:3" x14ac:dyDescent="0.2">
      <c r="A1508" s="334" t="s">
        <v>5075</v>
      </c>
      <c r="B1508" s="334" t="s">
        <v>7916</v>
      </c>
      <c r="C1508" s="334" t="s">
        <v>2338</v>
      </c>
    </row>
    <row r="1509" spans="1:3" x14ac:dyDescent="0.2">
      <c r="A1509" s="334" t="s">
        <v>5076</v>
      </c>
      <c r="B1509" s="334" t="s">
        <v>7917</v>
      </c>
      <c r="C1509" s="334" t="s">
        <v>2338</v>
      </c>
    </row>
    <row r="1510" spans="1:3" x14ac:dyDescent="0.2">
      <c r="A1510" s="334" t="s">
        <v>5077</v>
      </c>
      <c r="B1510" s="334" t="s">
        <v>7918</v>
      </c>
      <c r="C1510" s="334" t="s">
        <v>2338</v>
      </c>
    </row>
    <row r="1511" spans="1:3" x14ac:dyDescent="0.2">
      <c r="A1511" s="334" t="s">
        <v>5078</v>
      </c>
      <c r="B1511" s="334" t="s">
        <v>7919</v>
      </c>
      <c r="C1511" s="334" t="s">
        <v>2338</v>
      </c>
    </row>
    <row r="1512" spans="1:3" x14ac:dyDescent="0.2">
      <c r="A1512" s="334" t="s">
        <v>5079</v>
      </c>
      <c r="B1512" s="334" t="s">
        <v>7920</v>
      </c>
      <c r="C1512" s="334" t="s">
        <v>2338</v>
      </c>
    </row>
    <row r="1513" spans="1:3" x14ac:dyDescent="0.2">
      <c r="A1513" s="334" t="s">
        <v>5080</v>
      </c>
      <c r="B1513" s="334" t="s">
        <v>7921</v>
      </c>
      <c r="C1513" s="334" t="s">
        <v>2338</v>
      </c>
    </row>
    <row r="1514" spans="1:3" x14ac:dyDescent="0.2">
      <c r="A1514" s="334" t="s">
        <v>5081</v>
      </c>
      <c r="B1514" s="334" t="s">
        <v>7922</v>
      </c>
      <c r="C1514" s="334" t="s">
        <v>2338</v>
      </c>
    </row>
    <row r="1515" spans="1:3" x14ac:dyDescent="0.2">
      <c r="A1515" s="334" t="s">
        <v>5082</v>
      </c>
      <c r="B1515" s="334" t="s">
        <v>7921</v>
      </c>
      <c r="C1515" s="334" t="s">
        <v>2338</v>
      </c>
    </row>
    <row r="1516" spans="1:3" x14ac:dyDescent="0.2">
      <c r="A1516" s="334" t="s">
        <v>5083</v>
      </c>
      <c r="B1516" s="334" t="s">
        <v>7923</v>
      </c>
      <c r="C1516" s="334" t="s">
        <v>2338</v>
      </c>
    </row>
    <row r="1517" spans="1:3" x14ac:dyDescent="0.2">
      <c r="A1517" s="334" t="s">
        <v>5084</v>
      </c>
      <c r="B1517" s="334" t="s">
        <v>7924</v>
      </c>
      <c r="C1517" s="334" t="s">
        <v>2338</v>
      </c>
    </row>
    <row r="1518" spans="1:3" x14ac:dyDescent="0.2">
      <c r="A1518" s="334" t="s">
        <v>5085</v>
      </c>
      <c r="B1518" s="334" t="s">
        <v>7925</v>
      </c>
      <c r="C1518" s="334" t="s">
        <v>2338</v>
      </c>
    </row>
    <row r="1519" spans="1:3" x14ac:dyDescent="0.2">
      <c r="A1519" s="334" t="s">
        <v>5086</v>
      </c>
      <c r="B1519" s="334" t="s">
        <v>7926</v>
      </c>
      <c r="C1519" s="334" t="s">
        <v>2338</v>
      </c>
    </row>
    <row r="1520" spans="1:3" x14ac:dyDescent="0.2">
      <c r="A1520" s="334" t="s">
        <v>5087</v>
      </c>
      <c r="B1520" s="334" t="s">
        <v>7927</v>
      </c>
      <c r="C1520" s="334" t="s">
        <v>2338</v>
      </c>
    </row>
    <row r="1521" spans="1:3" x14ac:dyDescent="0.2">
      <c r="A1521" s="334" t="s">
        <v>5088</v>
      </c>
      <c r="B1521" s="334" t="s">
        <v>7928</v>
      </c>
      <c r="C1521" s="334" t="s">
        <v>2338</v>
      </c>
    </row>
    <row r="1522" spans="1:3" x14ac:dyDescent="0.2">
      <c r="A1522" s="334" t="s">
        <v>5089</v>
      </c>
      <c r="B1522" s="334" t="s">
        <v>7929</v>
      </c>
      <c r="C1522" s="334" t="s">
        <v>2338</v>
      </c>
    </row>
    <row r="1523" spans="1:3" x14ac:dyDescent="0.2">
      <c r="A1523" s="334" t="s">
        <v>5090</v>
      </c>
      <c r="B1523" s="334" t="s">
        <v>7930</v>
      </c>
      <c r="C1523" s="334" t="s">
        <v>2338</v>
      </c>
    </row>
    <row r="1524" spans="1:3" x14ac:dyDescent="0.2">
      <c r="A1524" s="334" t="s">
        <v>5091</v>
      </c>
      <c r="B1524" s="334" t="s">
        <v>7931</v>
      </c>
      <c r="C1524" s="334" t="s">
        <v>2338</v>
      </c>
    </row>
    <row r="1525" spans="1:3" x14ac:dyDescent="0.2">
      <c r="A1525" s="334" t="s">
        <v>5092</v>
      </c>
      <c r="B1525" s="334" t="s">
        <v>7932</v>
      </c>
      <c r="C1525" s="334" t="s">
        <v>2338</v>
      </c>
    </row>
    <row r="1526" spans="1:3" x14ac:dyDescent="0.2">
      <c r="A1526" s="334" t="s">
        <v>5093</v>
      </c>
      <c r="B1526" s="334" t="s">
        <v>7932</v>
      </c>
      <c r="C1526" s="334" t="s">
        <v>2338</v>
      </c>
    </row>
    <row r="1527" spans="1:3" x14ac:dyDescent="0.2">
      <c r="A1527" s="334" t="s">
        <v>5094</v>
      </c>
      <c r="B1527" s="334" t="s">
        <v>7932</v>
      </c>
      <c r="C1527" s="334" t="s">
        <v>2338</v>
      </c>
    </row>
    <row r="1528" spans="1:3" x14ac:dyDescent="0.2">
      <c r="A1528" s="334" t="s">
        <v>5095</v>
      </c>
      <c r="B1528" s="334" t="s">
        <v>7932</v>
      </c>
      <c r="C1528" s="334" t="s">
        <v>2338</v>
      </c>
    </row>
    <row r="1529" spans="1:3" x14ac:dyDescent="0.2">
      <c r="A1529" s="334" t="s">
        <v>5096</v>
      </c>
      <c r="B1529" s="334" t="s">
        <v>7932</v>
      </c>
      <c r="C1529" s="334" t="s">
        <v>2338</v>
      </c>
    </row>
    <row r="1530" spans="1:3" x14ac:dyDescent="0.2">
      <c r="A1530" s="334" t="s">
        <v>5097</v>
      </c>
      <c r="B1530" s="334" t="s">
        <v>7932</v>
      </c>
      <c r="C1530" s="334" t="s">
        <v>2338</v>
      </c>
    </row>
    <row r="1531" spans="1:3" x14ac:dyDescent="0.2">
      <c r="A1531" s="334" t="s">
        <v>5098</v>
      </c>
      <c r="B1531" s="334" t="s">
        <v>7932</v>
      </c>
      <c r="C1531" s="334" t="s">
        <v>2338</v>
      </c>
    </row>
    <row r="1532" spans="1:3" x14ac:dyDescent="0.2">
      <c r="A1532" s="334" t="s">
        <v>5099</v>
      </c>
      <c r="B1532" s="334" t="s">
        <v>7932</v>
      </c>
      <c r="C1532" s="334" t="s">
        <v>2338</v>
      </c>
    </row>
    <row r="1533" spans="1:3" x14ac:dyDescent="0.2">
      <c r="A1533" s="334" t="s">
        <v>5100</v>
      </c>
      <c r="B1533" s="334" t="s">
        <v>7932</v>
      </c>
      <c r="C1533" s="334" t="s">
        <v>2338</v>
      </c>
    </row>
    <row r="1534" spans="1:3" x14ac:dyDescent="0.2">
      <c r="A1534" s="334" t="s">
        <v>5101</v>
      </c>
      <c r="B1534" s="334" t="s">
        <v>7932</v>
      </c>
      <c r="C1534" s="334" t="s">
        <v>2338</v>
      </c>
    </row>
    <row r="1535" spans="1:3" x14ac:dyDescent="0.2">
      <c r="A1535" s="334" t="s">
        <v>5102</v>
      </c>
      <c r="B1535" s="334" t="s">
        <v>7932</v>
      </c>
      <c r="C1535" s="334" t="s">
        <v>2338</v>
      </c>
    </row>
    <row r="1536" spans="1:3" x14ac:dyDescent="0.2">
      <c r="A1536" s="334" t="s">
        <v>5103</v>
      </c>
      <c r="B1536" s="334" t="s">
        <v>7932</v>
      </c>
      <c r="C1536" s="334" t="s">
        <v>2338</v>
      </c>
    </row>
    <row r="1537" spans="1:3" x14ac:dyDescent="0.2">
      <c r="A1537" s="334" t="s">
        <v>5104</v>
      </c>
      <c r="B1537" s="334" t="s">
        <v>7932</v>
      </c>
      <c r="C1537" s="334" t="s">
        <v>2338</v>
      </c>
    </row>
    <row r="1538" spans="1:3" x14ac:dyDescent="0.2">
      <c r="A1538" s="334" t="s">
        <v>5105</v>
      </c>
      <c r="B1538" s="334" t="s">
        <v>7932</v>
      </c>
      <c r="C1538" s="334" t="s">
        <v>2338</v>
      </c>
    </row>
    <row r="1539" spans="1:3" x14ac:dyDescent="0.2">
      <c r="A1539" s="334" t="s">
        <v>5106</v>
      </c>
      <c r="B1539" s="334" t="s">
        <v>7932</v>
      </c>
      <c r="C1539" s="334" t="s">
        <v>2338</v>
      </c>
    </row>
    <row r="1540" spans="1:3" x14ac:dyDescent="0.2">
      <c r="A1540" s="334" t="s">
        <v>5107</v>
      </c>
      <c r="B1540" s="334" t="s">
        <v>7932</v>
      </c>
      <c r="C1540" s="334" t="s">
        <v>2338</v>
      </c>
    </row>
    <row r="1541" spans="1:3" x14ac:dyDescent="0.2">
      <c r="A1541" s="334" t="s">
        <v>5108</v>
      </c>
      <c r="B1541" s="334" t="s">
        <v>7932</v>
      </c>
      <c r="C1541" s="334" t="s">
        <v>2338</v>
      </c>
    </row>
    <row r="1542" spans="1:3" x14ac:dyDescent="0.2">
      <c r="A1542" s="334" t="s">
        <v>5109</v>
      </c>
      <c r="B1542" s="334" t="s">
        <v>7933</v>
      </c>
      <c r="C1542" s="334" t="s">
        <v>2338</v>
      </c>
    </row>
    <row r="1543" spans="1:3" x14ac:dyDescent="0.2">
      <c r="A1543" s="334" t="s">
        <v>5110</v>
      </c>
      <c r="B1543" s="334" t="s">
        <v>7934</v>
      </c>
      <c r="C1543" s="334" t="s">
        <v>2338</v>
      </c>
    </row>
    <row r="1544" spans="1:3" x14ac:dyDescent="0.2">
      <c r="A1544" s="334" t="s">
        <v>5111</v>
      </c>
      <c r="B1544" s="334" t="s">
        <v>7935</v>
      </c>
      <c r="C1544" s="334" t="s">
        <v>2338</v>
      </c>
    </row>
    <row r="1545" spans="1:3" x14ac:dyDescent="0.2">
      <c r="A1545" s="334" t="s">
        <v>5112</v>
      </c>
      <c r="B1545" s="334" t="s">
        <v>7936</v>
      </c>
      <c r="C1545" s="334" t="s">
        <v>2338</v>
      </c>
    </row>
    <row r="1546" spans="1:3" x14ac:dyDescent="0.2">
      <c r="A1546" s="334" t="s">
        <v>5113</v>
      </c>
      <c r="B1546" s="334" t="s">
        <v>7937</v>
      </c>
      <c r="C1546" s="334" t="s">
        <v>2338</v>
      </c>
    </row>
    <row r="1547" spans="1:3" x14ac:dyDescent="0.2">
      <c r="A1547" s="334" t="s">
        <v>5114</v>
      </c>
      <c r="B1547" s="334" t="s">
        <v>7938</v>
      </c>
      <c r="C1547" s="334" t="s">
        <v>16</v>
      </c>
    </row>
    <row r="1548" spans="1:3" x14ac:dyDescent="0.2">
      <c r="A1548" s="334" t="s">
        <v>5115</v>
      </c>
      <c r="B1548" s="334" t="s">
        <v>7939</v>
      </c>
      <c r="C1548" s="334" t="s">
        <v>16</v>
      </c>
    </row>
    <row r="1549" spans="1:3" x14ac:dyDescent="0.2">
      <c r="A1549" s="334" t="s">
        <v>5116</v>
      </c>
      <c r="B1549" s="334" t="s">
        <v>7940</v>
      </c>
      <c r="C1549" s="334" t="s">
        <v>16</v>
      </c>
    </row>
    <row r="1550" spans="1:3" x14ac:dyDescent="0.2">
      <c r="A1550" s="334" t="s">
        <v>5117</v>
      </c>
      <c r="B1550" s="334" t="s">
        <v>7941</v>
      </c>
      <c r="C1550" s="334" t="s">
        <v>16</v>
      </c>
    </row>
    <row r="1551" spans="1:3" x14ac:dyDescent="0.2">
      <c r="A1551" s="334" t="s">
        <v>5118</v>
      </c>
      <c r="B1551" s="334" t="s">
        <v>7942</v>
      </c>
      <c r="C1551" s="334" t="s">
        <v>16</v>
      </c>
    </row>
    <row r="1552" spans="1:3" x14ac:dyDescent="0.2">
      <c r="A1552" s="334" t="s">
        <v>5119</v>
      </c>
      <c r="B1552" s="334" t="s">
        <v>7943</v>
      </c>
      <c r="C1552" s="334" t="s">
        <v>25</v>
      </c>
    </row>
    <row r="1553" spans="1:3" x14ac:dyDescent="0.2">
      <c r="A1553" s="334" t="s">
        <v>5120</v>
      </c>
      <c r="B1553" s="334" t="s">
        <v>7944</v>
      </c>
      <c r="C1553" s="334" t="s">
        <v>11</v>
      </c>
    </row>
    <row r="1554" spans="1:3" x14ac:dyDescent="0.2">
      <c r="A1554" s="334" t="s">
        <v>5121</v>
      </c>
      <c r="B1554" s="334" t="s">
        <v>7945</v>
      </c>
      <c r="C1554" s="334" t="s">
        <v>11</v>
      </c>
    </row>
    <row r="1555" spans="1:3" x14ac:dyDescent="0.2">
      <c r="A1555" s="334" t="s">
        <v>5122</v>
      </c>
      <c r="B1555" s="334" t="s">
        <v>7946</v>
      </c>
      <c r="C1555" s="334" t="s">
        <v>11</v>
      </c>
    </row>
    <row r="1556" spans="1:3" x14ac:dyDescent="0.2">
      <c r="A1556" s="334" t="s">
        <v>5123</v>
      </c>
      <c r="B1556" s="334" t="s">
        <v>7946</v>
      </c>
      <c r="C1556" s="334" t="s">
        <v>11</v>
      </c>
    </row>
    <row r="1557" spans="1:3" x14ac:dyDescent="0.2">
      <c r="A1557" s="334" t="s">
        <v>5124</v>
      </c>
      <c r="B1557" s="334" t="s">
        <v>7946</v>
      </c>
      <c r="C1557" s="334" t="s">
        <v>11</v>
      </c>
    </row>
    <row r="1558" spans="1:3" x14ac:dyDescent="0.2">
      <c r="A1558" s="334" t="s">
        <v>5125</v>
      </c>
      <c r="B1558" s="334" t="s">
        <v>7946</v>
      </c>
      <c r="C1558" s="334" t="s">
        <v>11</v>
      </c>
    </row>
    <row r="1559" spans="1:3" x14ac:dyDescent="0.2">
      <c r="A1559" s="334" t="s">
        <v>5126</v>
      </c>
      <c r="B1559" s="334" t="s">
        <v>7947</v>
      </c>
      <c r="C1559" s="334" t="s">
        <v>2338</v>
      </c>
    </row>
    <row r="1560" spans="1:3" x14ac:dyDescent="0.2">
      <c r="A1560" s="334" t="s">
        <v>5127</v>
      </c>
      <c r="B1560" s="334" t="s">
        <v>7948</v>
      </c>
      <c r="C1560" s="334" t="s">
        <v>11</v>
      </c>
    </row>
    <row r="1561" spans="1:3" x14ac:dyDescent="0.2">
      <c r="A1561" s="334" t="s">
        <v>5128</v>
      </c>
      <c r="B1561" s="334" t="s">
        <v>7949</v>
      </c>
      <c r="C1561" s="334" t="s">
        <v>2338</v>
      </c>
    </row>
    <row r="1562" spans="1:3" x14ac:dyDescent="0.2">
      <c r="A1562" s="334" t="s">
        <v>5129</v>
      </c>
      <c r="B1562" s="334" t="s">
        <v>7950</v>
      </c>
      <c r="C1562" s="334" t="s">
        <v>11</v>
      </c>
    </row>
    <row r="1563" spans="1:3" x14ac:dyDescent="0.2">
      <c r="A1563" s="334" t="s">
        <v>5130</v>
      </c>
      <c r="B1563" s="334" t="s">
        <v>7951</v>
      </c>
      <c r="C1563" s="334" t="s">
        <v>11</v>
      </c>
    </row>
    <row r="1564" spans="1:3" x14ac:dyDescent="0.2">
      <c r="A1564" s="334" t="s">
        <v>5131</v>
      </c>
      <c r="B1564" s="334" t="s">
        <v>7952</v>
      </c>
      <c r="C1564" s="334" t="s">
        <v>11</v>
      </c>
    </row>
    <row r="1565" spans="1:3" x14ac:dyDescent="0.2">
      <c r="A1565" s="334" t="s">
        <v>5132</v>
      </c>
      <c r="B1565" s="334" t="s">
        <v>7953</v>
      </c>
      <c r="C1565" s="334" t="s">
        <v>11</v>
      </c>
    </row>
    <row r="1566" spans="1:3" x14ac:dyDescent="0.2">
      <c r="A1566" s="334" t="s">
        <v>5133</v>
      </c>
      <c r="B1566" s="334" t="s">
        <v>7954</v>
      </c>
      <c r="C1566" s="334" t="s">
        <v>11</v>
      </c>
    </row>
    <row r="1567" spans="1:3" x14ac:dyDescent="0.2">
      <c r="A1567" s="334" t="s">
        <v>5134</v>
      </c>
      <c r="B1567" s="334" t="s">
        <v>7955</v>
      </c>
      <c r="C1567" s="334" t="s">
        <v>11</v>
      </c>
    </row>
    <row r="1568" spans="1:3" x14ac:dyDescent="0.2">
      <c r="A1568" s="334" t="s">
        <v>5135</v>
      </c>
      <c r="B1568" s="334" t="s">
        <v>7956</v>
      </c>
      <c r="C1568" s="334" t="s">
        <v>11</v>
      </c>
    </row>
    <row r="1569" spans="1:4" x14ac:dyDescent="0.2">
      <c r="A1569" s="334" t="s">
        <v>5136</v>
      </c>
      <c r="B1569" s="334" t="s">
        <v>7957</v>
      </c>
      <c r="C1569" s="334" t="s">
        <v>11</v>
      </c>
    </row>
    <row r="1570" spans="1:4" x14ac:dyDescent="0.2">
      <c r="A1570" s="334" t="s">
        <v>7958</v>
      </c>
      <c r="B1570" s="334" t="s">
        <v>7959</v>
      </c>
      <c r="C1570" s="334" t="s">
        <v>11</v>
      </c>
    </row>
    <row r="1571" spans="1:4" x14ac:dyDescent="0.2">
      <c r="A1571" s="334" t="s">
        <v>7960</v>
      </c>
      <c r="B1571" s="334" t="s">
        <v>7961</v>
      </c>
      <c r="C1571" s="334" t="s">
        <v>11</v>
      </c>
    </row>
    <row r="1572" spans="1:4" x14ac:dyDescent="0.2">
      <c r="A1572" s="334" t="s">
        <v>5137</v>
      </c>
      <c r="B1572" s="334" t="s">
        <v>5138</v>
      </c>
      <c r="C1572" s="334" t="s">
        <v>11</v>
      </c>
    </row>
    <row r="1573" spans="1:4" x14ac:dyDescent="0.2">
      <c r="A1573" s="334" t="s">
        <v>5139</v>
      </c>
      <c r="B1573" s="334" t="s">
        <v>5140</v>
      </c>
      <c r="C1573" s="334" t="s">
        <v>11</v>
      </c>
    </row>
    <row r="1574" spans="1:4" x14ac:dyDescent="0.2">
      <c r="A1574" s="334" t="s">
        <v>5141</v>
      </c>
      <c r="B1574" s="334" t="s">
        <v>5142</v>
      </c>
      <c r="C1574" s="334" t="s">
        <v>11</v>
      </c>
    </row>
    <row r="1575" spans="1:4" x14ac:dyDescent="0.2">
      <c r="A1575" s="347" t="s">
        <v>3056</v>
      </c>
      <c r="B1575" s="347" t="s">
        <v>2377</v>
      </c>
      <c r="C1575" s="347" t="s">
        <v>16</v>
      </c>
      <c r="D1575" s="348" t="s">
        <v>10271</v>
      </c>
    </row>
    <row r="1576" spans="1:4" x14ac:dyDescent="0.2">
      <c r="A1576" s="334" t="s">
        <v>5143</v>
      </c>
      <c r="B1576" s="334" t="s">
        <v>5144</v>
      </c>
      <c r="C1576" s="334" t="s">
        <v>11</v>
      </c>
    </row>
    <row r="1577" spans="1:4" x14ac:dyDescent="0.2">
      <c r="A1577" s="334" t="s">
        <v>5145</v>
      </c>
      <c r="B1577" s="334" t="s">
        <v>5146</v>
      </c>
      <c r="C1577" s="334" t="s">
        <v>11</v>
      </c>
    </row>
    <row r="1578" spans="1:4" x14ac:dyDescent="0.2">
      <c r="A1578" s="334" t="s">
        <v>5147</v>
      </c>
      <c r="B1578" s="334" t="s">
        <v>5148</v>
      </c>
      <c r="C1578" s="334" t="s">
        <v>11</v>
      </c>
    </row>
    <row r="1579" spans="1:4" x14ac:dyDescent="0.2">
      <c r="A1579" s="334" t="s">
        <v>5149</v>
      </c>
      <c r="B1579" s="334" t="s">
        <v>5150</v>
      </c>
      <c r="C1579" s="334" t="s">
        <v>11</v>
      </c>
    </row>
    <row r="1580" spans="1:4" x14ac:dyDescent="0.2">
      <c r="A1580" s="334" t="s">
        <v>5151</v>
      </c>
      <c r="B1580" s="334" t="s">
        <v>5152</v>
      </c>
      <c r="C1580" s="334" t="s">
        <v>11</v>
      </c>
    </row>
    <row r="1581" spans="1:4" x14ac:dyDescent="0.2">
      <c r="A1581" s="334" t="s">
        <v>5153</v>
      </c>
      <c r="B1581" s="334" t="s">
        <v>5154</v>
      </c>
      <c r="C1581" s="334" t="s">
        <v>11</v>
      </c>
    </row>
    <row r="1582" spans="1:4" x14ac:dyDescent="0.2">
      <c r="A1582" s="334" t="s">
        <v>5155</v>
      </c>
      <c r="B1582" s="334" t="s">
        <v>5156</v>
      </c>
      <c r="C1582" s="334" t="s">
        <v>6608</v>
      </c>
    </row>
    <row r="1583" spans="1:4" x14ac:dyDescent="0.2">
      <c r="A1583" s="334" t="s">
        <v>5157</v>
      </c>
      <c r="B1583" s="334" t="s">
        <v>5158</v>
      </c>
      <c r="C1583" s="334" t="s">
        <v>6608</v>
      </c>
    </row>
    <row r="1584" spans="1:4" x14ac:dyDescent="0.2">
      <c r="A1584" s="334" t="s">
        <v>5159</v>
      </c>
      <c r="B1584" s="334" t="s">
        <v>5160</v>
      </c>
      <c r="C1584" s="334" t="s">
        <v>25</v>
      </c>
    </row>
    <row r="1585" spans="1:3" x14ac:dyDescent="0.2">
      <c r="A1585" s="334" t="s">
        <v>5161</v>
      </c>
      <c r="B1585" s="334" t="s">
        <v>5162</v>
      </c>
      <c r="C1585" s="334" t="s">
        <v>16</v>
      </c>
    </row>
    <row r="1586" spans="1:3" x14ac:dyDescent="0.2">
      <c r="A1586" s="334" t="s">
        <v>5163</v>
      </c>
      <c r="B1586" s="334" t="s">
        <v>5164</v>
      </c>
      <c r="C1586" s="334" t="s">
        <v>11</v>
      </c>
    </row>
    <row r="1587" spans="1:3" x14ac:dyDescent="0.2">
      <c r="A1587" s="334" t="s">
        <v>5165</v>
      </c>
      <c r="B1587" s="334" t="s">
        <v>5166</v>
      </c>
      <c r="C1587" s="334" t="s">
        <v>11</v>
      </c>
    </row>
    <row r="1588" spans="1:3" x14ac:dyDescent="0.2">
      <c r="A1588" s="334" t="s">
        <v>5167</v>
      </c>
      <c r="B1588" s="334" t="s">
        <v>5168</v>
      </c>
      <c r="C1588" s="334" t="s">
        <v>11</v>
      </c>
    </row>
    <row r="1589" spans="1:3" x14ac:dyDescent="0.2">
      <c r="A1589" s="334" t="s">
        <v>5169</v>
      </c>
      <c r="B1589" s="334" t="s">
        <v>5170</v>
      </c>
      <c r="C1589" s="334" t="s">
        <v>11</v>
      </c>
    </row>
    <row r="1590" spans="1:3" x14ac:dyDescent="0.2">
      <c r="A1590" s="334" t="s">
        <v>5171</v>
      </c>
      <c r="B1590" s="334" t="s">
        <v>5172</v>
      </c>
      <c r="C1590" s="334" t="s">
        <v>11</v>
      </c>
    </row>
    <row r="1591" spans="1:3" x14ac:dyDescent="0.2">
      <c r="A1591" s="334" t="s">
        <v>5173</v>
      </c>
      <c r="B1591" s="334" t="s">
        <v>7962</v>
      </c>
      <c r="C1591" s="334" t="s">
        <v>11</v>
      </c>
    </row>
    <row r="1592" spans="1:3" x14ac:dyDescent="0.2">
      <c r="A1592" s="334" t="s">
        <v>5174</v>
      </c>
      <c r="B1592" s="334" t="s">
        <v>5175</v>
      </c>
      <c r="C1592" s="334" t="s">
        <v>11</v>
      </c>
    </row>
    <row r="1593" spans="1:3" x14ac:dyDescent="0.2">
      <c r="A1593" s="334" t="s">
        <v>5176</v>
      </c>
      <c r="B1593" s="334" t="s">
        <v>5177</v>
      </c>
      <c r="C1593" s="334" t="s">
        <v>11</v>
      </c>
    </row>
    <row r="1594" spans="1:3" x14ac:dyDescent="0.2">
      <c r="A1594" s="334" t="s">
        <v>5178</v>
      </c>
      <c r="B1594" s="334" t="s">
        <v>5179</v>
      </c>
      <c r="C1594" s="334" t="s">
        <v>11</v>
      </c>
    </row>
    <row r="1595" spans="1:3" x14ac:dyDescent="0.2">
      <c r="A1595" s="334" t="s">
        <v>5180</v>
      </c>
      <c r="B1595" s="334" t="s">
        <v>5181</v>
      </c>
      <c r="C1595" s="334" t="s">
        <v>2557</v>
      </c>
    </row>
    <row r="1596" spans="1:3" x14ac:dyDescent="0.2">
      <c r="A1596" s="334" t="s">
        <v>5182</v>
      </c>
      <c r="B1596" s="334" t="s">
        <v>7963</v>
      </c>
      <c r="C1596" s="334" t="s">
        <v>52</v>
      </c>
    </row>
    <row r="1597" spans="1:3" x14ac:dyDescent="0.2">
      <c r="A1597" s="334" t="s">
        <v>5183</v>
      </c>
      <c r="B1597" s="334" t="s">
        <v>5184</v>
      </c>
      <c r="C1597" s="334" t="s">
        <v>16</v>
      </c>
    </row>
    <row r="1598" spans="1:3" x14ac:dyDescent="0.2">
      <c r="A1598" s="334" t="s">
        <v>5185</v>
      </c>
      <c r="B1598" s="334" t="s">
        <v>5186</v>
      </c>
      <c r="C1598" s="334" t="s">
        <v>16</v>
      </c>
    </row>
    <row r="1599" spans="1:3" x14ac:dyDescent="0.2">
      <c r="A1599" s="334" t="s">
        <v>5187</v>
      </c>
      <c r="B1599" s="334" t="s">
        <v>5188</v>
      </c>
      <c r="C1599" s="334" t="s">
        <v>16</v>
      </c>
    </row>
    <row r="1600" spans="1:3" x14ac:dyDescent="0.2">
      <c r="A1600" s="334" t="s">
        <v>5189</v>
      </c>
      <c r="B1600" s="334" t="s">
        <v>5190</v>
      </c>
      <c r="C1600" s="334" t="s">
        <v>16</v>
      </c>
    </row>
    <row r="1601" spans="1:3" x14ac:dyDescent="0.2">
      <c r="A1601" s="334" t="s">
        <v>5191</v>
      </c>
      <c r="B1601" s="334" t="s">
        <v>5192</v>
      </c>
      <c r="C1601" s="334" t="s">
        <v>16</v>
      </c>
    </row>
    <row r="1602" spans="1:3" x14ac:dyDescent="0.2">
      <c r="A1602" s="334" t="s">
        <v>5193</v>
      </c>
      <c r="B1602" s="334" t="s">
        <v>5194</v>
      </c>
      <c r="C1602" s="334" t="s">
        <v>11</v>
      </c>
    </row>
    <row r="1603" spans="1:3" x14ac:dyDescent="0.2">
      <c r="A1603" s="334" t="s">
        <v>5195</v>
      </c>
      <c r="B1603" s="334" t="s">
        <v>5196</v>
      </c>
      <c r="C1603" s="334" t="s">
        <v>11</v>
      </c>
    </row>
    <row r="1604" spans="1:3" x14ac:dyDescent="0.2">
      <c r="A1604" s="334" t="s">
        <v>5197</v>
      </c>
      <c r="B1604" s="334" t="s">
        <v>5198</v>
      </c>
      <c r="C1604" s="334" t="s">
        <v>11</v>
      </c>
    </row>
    <row r="1605" spans="1:3" x14ac:dyDescent="0.2">
      <c r="A1605" s="334" t="s">
        <v>5199</v>
      </c>
      <c r="B1605" s="334" t="s">
        <v>5200</v>
      </c>
      <c r="C1605" s="334" t="s">
        <v>16</v>
      </c>
    </row>
    <row r="1606" spans="1:3" x14ac:dyDescent="0.2">
      <c r="A1606" s="334" t="s">
        <v>5201</v>
      </c>
      <c r="B1606" s="334" t="s">
        <v>5202</v>
      </c>
      <c r="C1606" s="334" t="s">
        <v>6613</v>
      </c>
    </row>
    <row r="1607" spans="1:3" x14ac:dyDescent="0.2">
      <c r="A1607" s="334" t="s">
        <v>5203</v>
      </c>
      <c r="B1607" s="334" t="s">
        <v>5204</v>
      </c>
      <c r="C1607" s="334" t="s">
        <v>2338</v>
      </c>
    </row>
    <row r="1608" spans="1:3" x14ac:dyDescent="0.2">
      <c r="A1608" s="334" t="s">
        <v>5205</v>
      </c>
      <c r="B1608" s="334" t="s">
        <v>5206</v>
      </c>
      <c r="C1608" s="334" t="s">
        <v>16</v>
      </c>
    </row>
    <row r="1609" spans="1:3" x14ac:dyDescent="0.2">
      <c r="A1609" s="334" t="s">
        <v>5207</v>
      </c>
      <c r="B1609" s="334" t="s">
        <v>5208</v>
      </c>
      <c r="C1609" s="334" t="s">
        <v>16</v>
      </c>
    </row>
    <row r="1610" spans="1:3" x14ac:dyDescent="0.2">
      <c r="A1610" s="334" t="s">
        <v>5209</v>
      </c>
      <c r="B1610" s="334" t="s">
        <v>5210</v>
      </c>
      <c r="C1610" s="334" t="s">
        <v>16</v>
      </c>
    </row>
    <row r="1611" spans="1:3" x14ac:dyDescent="0.2">
      <c r="A1611" s="334" t="s">
        <v>5211</v>
      </c>
      <c r="B1611" s="334" t="s">
        <v>5212</v>
      </c>
      <c r="C1611" s="334" t="s">
        <v>16</v>
      </c>
    </row>
    <row r="1612" spans="1:3" x14ac:dyDescent="0.2">
      <c r="A1612" s="334" t="s">
        <v>5213</v>
      </c>
      <c r="B1612" s="334" t="s">
        <v>5214</v>
      </c>
      <c r="C1612" s="334" t="s">
        <v>16</v>
      </c>
    </row>
    <row r="1613" spans="1:3" x14ac:dyDescent="0.2">
      <c r="A1613" s="334" t="s">
        <v>5215</v>
      </c>
      <c r="B1613" s="334" t="s">
        <v>5216</v>
      </c>
      <c r="C1613" s="334" t="s">
        <v>16</v>
      </c>
    </row>
    <row r="1614" spans="1:3" x14ac:dyDescent="0.2">
      <c r="A1614" s="334" t="s">
        <v>5217</v>
      </c>
      <c r="B1614" s="334" t="s">
        <v>5218</v>
      </c>
      <c r="C1614" s="334" t="s">
        <v>2557</v>
      </c>
    </row>
    <row r="1615" spans="1:3" x14ac:dyDescent="0.2">
      <c r="A1615" s="334" t="s">
        <v>5219</v>
      </c>
      <c r="B1615" s="334" t="s">
        <v>5220</v>
      </c>
      <c r="C1615" s="334" t="s">
        <v>2557</v>
      </c>
    </row>
    <row r="1616" spans="1:3" x14ac:dyDescent="0.2">
      <c r="A1616" s="334" t="s">
        <v>5221</v>
      </c>
      <c r="B1616" s="334" t="s">
        <v>5222</v>
      </c>
      <c r="C1616" s="334" t="s">
        <v>2557</v>
      </c>
    </row>
    <row r="1617" spans="1:4" x14ac:dyDescent="0.2">
      <c r="A1617" s="334" t="s">
        <v>5223</v>
      </c>
      <c r="B1617" s="334" t="s">
        <v>5224</v>
      </c>
      <c r="C1617" s="334" t="s">
        <v>2557</v>
      </c>
    </row>
    <row r="1618" spans="1:4" x14ac:dyDescent="0.2">
      <c r="A1618" s="334" t="s">
        <v>5225</v>
      </c>
      <c r="B1618" s="334" t="s">
        <v>5226</v>
      </c>
      <c r="C1618" s="334" t="s">
        <v>2557</v>
      </c>
    </row>
    <row r="1619" spans="1:4" x14ac:dyDescent="0.2">
      <c r="A1619" s="334" t="s">
        <v>5227</v>
      </c>
      <c r="B1619" s="334" t="s">
        <v>5228</v>
      </c>
      <c r="C1619" s="334" t="s">
        <v>2557</v>
      </c>
    </row>
    <row r="1620" spans="1:4" x14ac:dyDescent="0.2">
      <c r="A1620" s="334" t="s">
        <v>5229</v>
      </c>
      <c r="B1620" s="334" t="s">
        <v>5230</v>
      </c>
      <c r="C1620" s="334" t="s">
        <v>2557</v>
      </c>
    </row>
    <row r="1621" spans="1:4" x14ac:dyDescent="0.2">
      <c r="A1621" s="334" t="s">
        <v>5231</v>
      </c>
      <c r="B1621" s="334" t="s">
        <v>5232</v>
      </c>
      <c r="C1621" s="334" t="s">
        <v>2557</v>
      </c>
    </row>
    <row r="1622" spans="1:4" x14ac:dyDescent="0.2">
      <c r="A1622" s="334" t="s">
        <v>5233</v>
      </c>
      <c r="B1622" s="334" t="s">
        <v>5234</v>
      </c>
      <c r="C1622" s="334" t="s">
        <v>2557</v>
      </c>
    </row>
    <row r="1623" spans="1:4" x14ac:dyDescent="0.2">
      <c r="A1623" s="334" t="s">
        <v>5235</v>
      </c>
      <c r="B1623" s="334" t="s">
        <v>5236</v>
      </c>
      <c r="C1623" s="334" t="s">
        <v>2557</v>
      </c>
    </row>
    <row r="1624" spans="1:4" x14ac:dyDescent="0.2">
      <c r="A1624" s="334" t="s">
        <v>5237</v>
      </c>
      <c r="B1624" s="334" t="s">
        <v>5238</v>
      </c>
      <c r="C1624" s="334" t="s">
        <v>2557</v>
      </c>
    </row>
    <row r="1625" spans="1:4" x14ac:dyDescent="0.2">
      <c r="A1625" s="334" t="s">
        <v>5239</v>
      </c>
      <c r="B1625" s="334" t="s">
        <v>5240</v>
      </c>
      <c r="C1625" s="334" t="s">
        <v>2557</v>
      </c>
    </row>
    <row r="1626" spans="1:4" x14ac:dyDescent="0.2">
      <c r="A1626" s="334" t="s">
        <v>5241</v>
      </c>
      <c r="B1626" s="334" t="s">
        <v>5242</v>
      </c>
      <c r="C1626" s="334" t="s">
        <v>11</v>
      </c>
    </row>
    <row r="1627" spans="1:4" x14ac:dyDescent="0.2">
      <c r="A1627" s="334" t="s">
        <v>1836</v>
      </c>
      <c r="B1627" s="334" t="s">
        <v>7964</v>
      </c>
      <c r="C1627" s="334" t="s">
        <v>2338</v>
      </c>
    </row>
    <row r="1628" spans="1:4" x14ac:dyDescent="0.2">
      <c r="A1628" s="347" t="s">
        <v>1837</v>
      </c>
      <c r="B1628" s="347" t="s">
        <v>7965</v>
      </c>
      <c r="C1628" s="347" t="s">
        <v>52</v>
      </c>
      <c r="D1628" s="348" t="s">
        <v>10271</v>
      </c>
    </row>
    <row r="1629" spans="1:4" x14ac:dyDescent="0.2">
      <c r="A1629" s="334" t="s">
        <v>1838</v>
      </c>
      <c r="B1629" s="334" t="s">
        <v>7966</v>
      </c>
      <c r="C1629" s="334" t="s">
        <v>25</v>
      </c>
    </row>
    <row r="1630" spans="1:4" x14ac:dyDescent="0.2">
      <c r="A1630" s="334" t="s">
        <v>1839</v>
      </c>
      <c r="B1630" s="334" t="s">
        <v>7967</v>
      </c>
      <c r="C1630" s="334" t="s">
        <v>16</v>
      </c>
    </row>
    <row r="1631" spans="1:4" x14ac:dyDescent="0.2">
      <c r="A1631" s="334" t="s">
        <v>1840</v>
      </c>
      <c r="B1631" s="334" t="s">
        <v>7968</v>
      </c>
      <c r="C1631" s="334" t="s">
        <v>7969</v>
      </c>
    </row>
    <row r="1632" spans="1:4" x14ac:dyDescent="0.2">
      <c r="A1632" s="334" t="s">
        <v>1841</v>
      </c>
      <c r="B1632" s="334" t="s">
        <v>7970</v>
      </c>
      <c r="C1632" s="334" t="s">
        <v>11</v>
      </c>
    </row>
    <row r="1633" spans="1:4" x14ac:dyDescent="0.2">
      <c r="A1633" s="334" t="s">
        <v>1842</v>
      </c>
      <c r="B1633" s="334" t="s">
        <v>5243</v>
      </c>
      <c r="C1633" s="334" t="s">
        <v>2338</v>
      </c>
    </row>
    <row r="1634" spans="1:4" x14ac:dyDescent="0.2">
      <c r="A1634" s="347" t="s">
        <v>1843</v>
      </c>
      <c r="B1634" s="347" t="s">
        <v>7971</v>
      </c>
      <c r="C1634" s="347" t="s">
        <v>2338</v>
      </c>
      <c r="D1634" s="348" t="s">
        <v>10271</v>
      </c>
    </row>
    <row r="1635" spans="1:4" x14ac:dyDescent="0.2">
      <c r="A1635" s="334" t="s">
        <v>1844</v>
      </c>
      <c r="B1635" s="334" t="s">
        <v>5244</v>
      </c>
      <c r="C1635" s="334" t="s">
        <v>2338</v>
      </c>
    </row>
    <row r="1636" spans="1:4" x14ac:dyDescent="0.2">
      <c r="A1636" s="334" t="s">
        <v>1845</v>
      </c>
      <c r="B1636" s="334" t="s">
        <v>7972</v>
      </c>
      <c r="C1636" s="334" t="s">
        <v>2557</v>
      </c>
    </row>
    <row r="1637" spans="1:4" x14ac:dyDescent="0.2">
      <c r="A1637" s="347" t="s">
        <v>1846</v>
      </c>
      <c r="B1637" s="347" t="s">
        <v>7973</v>
      </c>
      <c r="C1637" s="347" t="s">
        <v>11</v>
      </c>
      <c r="D1637" s="348" t="s">
        <v>10271</v>
      </c>
    </row>
    <row r="1638" spans="1:4" x14ac:dyDescent="0.2">
      <c r="A1638" s="347" t="s">
        <v>1847</v>
      </c>
      <c r="B1638" s="347" t="s">
        <v>7974</v>
      </c>
      <c r="C1638" s="347" t="s">
        <v>16</v>
      </c>
      <c r="D1638" s="348" t="s">
        <v>10271</v>
      </c>
    </row>
    <row r="1639" spans="1:4" x14ac:dyDescent="0.2">
      <c r="A1639" s="347" t="s">
        <v>1848</v>
      </c>
      <c r="B1639" s="347" t="s">
        <v>7975</v>
      </c>
      <c r="C1639" s="347" t="s">
        <v>16</v>
      </c>
      <c r="D1639" s="348" t="s">
        <v>10271</v>
      </c>
    </row>
    <row r="1640" spans="1:4" x14ac:dyDescent="0.2">
      <c r="A1640" s="347" t="s">
        <v>1849</v>
      </c>
      <c r="B1640" s="347" t="s">
        <v>7976</v>
      </c>
      <c r="C1640" s="347" t="s">
        <v>16</v>
      </c>
      <c r="D1640" s="348" t="s">
        <v>10271</v>
      </c>
    </row>
    <row r="1641" spans="1:4" x14ac:dyDescent="0.2">
      <c r="A1641" s="334" t="s">
        <v>1850</v>
      </c>
      <c r="B1641" s="334" t="s">
        <v>7977</v>
      </c>
      <c r="C1641" s="334" t="s">
        <v>16</v>
      </c>
    </row>
    <row r="1642" spans="1:4" x14ac:dyDescent="0.2">
      <c r="A1642" s="347" t="s">
        <v>1851</v>
      </c>
      <c r="B1642" s="347" t="s">
        <v>7978</v>
      </c>
      <c r="C1642" s="347" t="s">
        <v>7673</v>
      </c>
      <c r="D1642" s="348" t="s">
        <v>10271</v>
      </c>
    </row>
    <row r="1643" spans="1:4" x14ac:dyDescent="0.2">
      <c r="A1643" s="334" t="s">
        <v>1852</v>
      </c>
      <c r="B1643" s="334" t="s">
        <v>7979</v>
      </c>
      <c r="C1643" s="334" t="s">
        <v>16</v>
      </c>
    </row>
    <row r="1644" spans="1:4" x14ac:dyDescent="0.2">
      <c r="A1644" s="347" t="s">
        <v>1853</v>
      </c>
      <c r="B1644" s="347" t="s">
        <v>7980</v>
      </c>
      <c r="C1644" s="347" t="s">
        <v>2557</v>
      </c>
      <c r="D1644" s="348" t="s">
        <v>10271</v>
      </c>
    </row>
    <row r="1645" spans="1:4" x14ac:dyDescent="0.2">
      <c r="A1645" s="347" t="s">
        <v>1854</v>
      </c>
      <c r="B1645" s="347" t="s">
        <v>7981</v>
      </c>
      <c r="C1645" s="347" t="s">
        <v>16</v>
      </c>
      <c r="D1645" s="348" t="s">
        <v>10271</v>
      </c>
    </row>
    <row r="1646" spans="1:4" x14ac:dyDescent="0.2">
      <c r="A1646" s="347" t="s">
        <v>1855</v>
      </c>
      <c r="B1646" s="347" t="s">
        <v>7982</v>
      </c>
      <c r="C1646" s="347" t="s">
        <v>16</v>
      </c>
      <c r="D1646" s="348" t="s">
        <v>10271</v>
      </c>
    </row>
    <row r="1647" spans="1:4" x14ac:dyDescent="0.2">
      <c r="A1647" s="347" t="s">
        <v>1856</v>
      </c>
      <c r="B1647" s="347" t="s">
        <v>7983</v>
      </c>
      <c r="C1647" s="347" t="s">
        <v>16</v>
      </c>
      <c r="D1647" s="348" t="s">
        <v>10271</v>
      </c>
    </row>
    <row r="1648" spans="1:4" x14ac:dyDescent="0.2">
      <c r="A1648" s="347" t="s">
        <v>1857</v>
      </c>
      <c r="B1648" s="347" t="s">
        <v>7984</v>
      </c>
      <c r="C1648" s="347" t="s">
        <v>16</v>
      </c>
      <c r="D1648" s="348" t="s">
        <v>10271</v>
      </c>
    </row>
    <row r="1649" spans="1:4" x14ac:dyDescent="0.2">
      <c r="A1649" s="347" t="s">
        <v>1858</v>
      </c>
      <c r="B1649" s="347" t="s">
        <v>7985</v>
      </c>
      <c r="C1649" s="347" t="s">
        <v>16</v>
      </c>
      <c r="D1649" s="348" t="s">
        <v>10271</v>
      </c>
    </row>
    <row r="1650" spans="1:4" x14ac:dyDescent="0.2">
      <c r="A1650" s="347" t="s">
        <v>1859</v>
      </c>
      <c r="B1650" s="347" t="s">
        <v>7986</v>
      </c>
      <c r="C1650" s="347" t="s">
        <v>16</v>
      </c>
      <c r="D1650" s="348" t="s">
        <v>10271</v>
      </c>
    </row>
    <row r="1651" spans="1:4" x14ac:dyDescent="0.2">
      <c r="A1651" s="347" t="s">
        <v>1860</v>
      </c>
      <c r="B1651" s="347" t="s">
        <v>7987</v>
      </c>
      <c r="C1651" s="347" t="s">
        <v>16</v>
      </c>
      <c r="D1651" s="348" t="s">
        <v>10271</v>
      </c>
    </row>
    <row r="1652" spans="1:4" x14ac:dyDescent="0.2">
      <c r="A1652" s="347" t="s">
        <v>1861</v>
      </c>
      <c r="B1652" s="347" t="s">
        <v>7988</v>
      </c>
      <c r="C1652" s="347" t="s">
        <v>16</v>
      </c>
      <c r="D1652" s="348" t="s">
        <v>10271</v>
      </c>
    </row>
    <row r="1653" spans="1:4" x14ac:dyDescent="0.2">
      <c r="A1653" s="347" t="s">
        <v>1862</v>
      </c>
      <c r="B1653" s="347" t="s">
        <v>7989</v>
      </c>
      <c r="C1653" s="347" t="s">
        <v>16</v>
      </c>
      <c r="D1653" s="348" t="s">
        <v>10271</v>
      </c>
    </row>
    <row r="1654" spans="1:4" x14ac:dyDescent="0.2">
      <c r="A1654" s="334" t="s">
        <v>1863</v>
      </c>
      <c r="B1654" s="334" t="s">
        <v>7990</v>
      </c>
      <c r="C1654" s="334" t="s">
        <v>16</v>
      </c>
    </row>
    <row r="1655" spans="1:4" x14ac:dyDescent="0.2">
      <c r="A1655" s="347" t="s">
        <v>1864</v>
      </c>
      <c r="B1655" s="347" t="s">
        <v>7991</v>
      </c>
      <c r="C1655" s="347" t="s">
        <v>16</v>
      </c>
      <c r="D1655" s="348" t="s">
        <v>10271</v>
      </c>
    </row>
    <row r="1656" spans="1:4" x14ac:dyDescent="0.2">
      <c r="A1656" s="347" t="s">
        <v>1865</v>
      </c>
      <c r="B1656" s="347" t="s">
        <v>7992</v>
      </c>
      <c r="C1656" s="347" t="s">
        <v>16</v>
      </c>
      <c r="D1656" s="348" t="s">
        <v>10271</v>
      </c>
    </row>
    <row r="1657" spans="1:4" x14ac:dyDescent="0.2">
      <c r="A1657" s="347" t="s">
        <v>1866</v>
      </c>
      <c r="B1657" s="347" t="s">
        <v>7993</v>
      </c>
      <c r="C1657" s="347" t="s">
        <v>25</v>
      </c>
      <c r="D1657" s="348" t="s">
        <v>10271</v>
      </c>
    </row>
    <row r="1658" spans="1:4" x14ac:dyDescent="0.2">
      <c r="A1658" s="347" t="s">
        <v>1867</v>
      </c>
      <c r="B1658" s="347" t="s">
        <v>7994</v>
      </c>
      <c r="C1658" s="347" t="s">
        <v>25</v>
      </c>
      <c r="D1658" s="348" t="s">
        <v>10271</v>
      </c>
    </row>
    <row r="1659" spans="1:4" x14ac:dyDescent="0.2">
      <c r="A1659" s="334" t="s">
        <v>1868</v>
      </c>
      <c r="B1659" s="334" t="s">
        <v>7995</v>
      </c>
      <c r="C1659" s="334" t="s">
        <v>25</v>
      </c>
    </row>
    <row r="1660" spans="1:4" x14ac:dyDescent="0.2">
      <c r="A1660" s="347" t="s">
        <v>1869</v>
      </c>
      <c r="B1660" s="347" t="s">
        <v>7996</v>
      </c>
      <c r="C1660" s="347" t="s">
        <v>25</v>
      </c>
      <c r="D1660" s="348" t="s">
        <v>10271</v>
      </c>
    </row>
    <row r="1661" spans="1:4" x14ac:dyDescent="0.2">
      <c r="A1661" s="347" t="s">
        <v>1870</v>
      </c>
      <c r="B1661" s="347" t="s">
        <v>7997</v>
      </c>
      <c r="C1661" s="347" t="s">
        <v>16</v>
      </c>
      <c r="D1661" s="348" t="s">
        <v>10271</v>
      </c>
    </row>
    <row r="1662" spans="1:4" x14ac:dyDescent="0.2">
      <c r="A1662" s="347" t="s">
        <v>654</v>
      </c>
      <c r="B1662" s="347" t="s">
        <v>2634</v>
      </c>
      <c r="C1662" s="347" t="s">
        <v>16</v>
      </c>
      <c r="D1662" s="348" t="s">
        <v>10271</v>
      </c>
    </row>
    <row r="1663" spans="1:4" x14ac:dyDescent="0.2">
      <c r="A1663" s="347" t="s">
        <v>1871</v>
      </c>
      <c r="B1663" s="347" t="s">
        <v>7998</v>
      </c>
      <c r="C1663" s="347" t="s">
        <v>16</v>
      </c>
      <c r="D1663" s="348" t="s">
        <v>10271</v>
      </c>
    </row>
    <row r="1664" spans="1:4" x14ac:dyDescent="0.2">
      <c r="A1664" s="334" t="s">
        <v>1872</v>
      </c>
      <c r="B1664" s="334" t="s">
        <v>7999</v>
      </c>
      <c r="C1664" s="334" t="s">
        <v>25</v>
      </c>
    </row>
    <row r="1665" spans="1:4" x14ac:dyDescent="0.2">
      <c r="A1665" s="334" t="s">
        <v>1873</v>
      </c>
      <c r="B1665" s="334" t="s">
        <v>8000</v>
      </c>
      <c r="C1665" s="334" t="s">
        <v>25</v>
      </c>
    </row>
    <row r="1666" spans="1:4" x14ac:dyDescent="0.2">
      <c r="A1666" s="334" t="s">
        <v>1874</v>
      </c>
      <c r="B1666" s="334" t="s">
        <v>8001</v>
      </c>
      <c r="C1666" s="334" t="s">
        <v>2338</v>
      </c>
    </row>
    <row r="1667" spans="1:4" x14ac:dyDescent="0.2">
      <c r="A1667" s="334" t="s">
        <v>1875</v>
      </c>
      <c r="B1667" s="334" t="s">
        <v>8002</v>
      </c>
      <c r="C1667" s="334" t="s">
        <v>11</v>
      </c>
    </row>
    <row r="1668" spans="1:4" x14ac:dyDescent="0.2">
      <c r="A1668" s="334" t="s">
        <v>1876</v>
      </c>
      <c r="B1668" s="334" t="s">
        <v>8003</v>
      </c>
      <c r="C1668" s="334" t="s">
        <v>11</v>
      </c>
    </row>
    <row r="1669" spans="1:4" x14ac:dyDescent="0.2">
      <c r="A1669" s="334" t="s">
        <v>1877</v>
      </c>
      <c r="B1669" s="334" t="s">
        <v>8004</v>
      </c>
      <c r="C1669" s="334" t="s">
        <v>2338</v>
      </c>
    </row>
    <row r="1670" spans="1:4" x14ac:dyDescent="0.2">
      <c r="A1670" s="347" t="s">
        <v>3181</v>
      </c>
      <c r="B1670" s="347" t="s">
        <v>8005</v>
      </c>
      <c r="C1670" s="347" t="s">
        <v>6617</v>
      </c>
      <c r="D1670" s="348" t="s">
        <v>10271</v>
      </c>
    </row>
    <row r="1671" spans="1:4" x14ac:dyDescent="0.2">
      <c r="A1671" s="334" t="s">
        <v>1878</v>
      </c>
      <c r="B1671" s="334" t="s">
        <v>8006</v>
      </c>
      <c r="C1671" s="334" t="s">
        <v>2338</v>
      </c>
    </row>
    <row r="1672" spans="1:4" x14ac:dyDescent="0.2">
      <c r="A1672" s="347" t="s">
        <v>170</v>
      </c>
      <c r="B1672" s="347" t="s">
        <v>2870</v>
      </c>
      <c r="C1672" s="347" t="s">
        <v>16</v>
      </c>
      <c r="D1672" s="348" t="s">
        <v>10271</v>
      </c>
    </row>
    <row r="1673" spans="1:4" x14ac:dyDescent="0.2">
      <c r="A1673" s="334" t="s">
        <v>1879</v>
      </c>
      <c r="B1673" s="334" t="s">
        <v>8007</v>
      </c>
      <c r="C1673" s="334" t="s">
        <v>16</v>
      </c>
    </row>
    <row r="1674" spans="1:4" x14ac:dyDescent="0.2">
      <c r="A1674" s="334" t="s">
        <v>1880</v>
      </c>
      <c r="B1674" s="334" t="s">
        <v>8008</v>
      </c>
      <c r="C1674" s="334" t="s">
        <v>16</v>
      </c>
    </row>
    <row r="1675" spans="1:4" x14ac:dyDescent="0.2">
      <c r="A1675" s="347" t="s">
        <v>1881</v>
      </c>
      <c r="B1675" s="347" t="s">
        <v>8009</v>
      </c>
      <c r="C1675" s="347" t="s">
        <v>16</v>
      </c>
      <c r="D1675" s="348" t="s">
        <v>10271</v>
      </c>
    </row>
    <row r="1676" spans="1:4" x14ac:dyDescent="0.2">
      <c r="A1676" s="334" t="s">
        <v>1882</v>
      </c>
      <c r="B1676" s="334" t="s">
        <v>8010</v>
      </c>
      <c r="C1676" s="334" t="s">
        <v>16</v>
      </c>
    </row>
    <row r="1677" spans="1:4" x14ac:dyDescent="0.2">
      <c r="A1677" s="334" t="s">
        <v>1883</v>
      </c>
      <c r="B1677" s="334" t="s">
        <v>8011</v>
      </c>
      <c r="C1677" s="334" t="s">
        <v>16</v>
      </c>
    </row>
    <row r="1678" spans="1:4" x14ac:dyDescent="0.2">
      <c r="A1678" s="334" t="s">
        <v>5245</v>
      </c>
      <c r="B1678" s="334" t="s">
        <v>8012</v>
      </c>
      <c r="C1678" s="334" t="s">
        <v>16</v>
      </c>
    </row>
    <row r="1679" spans="1:4" x14ac:dyDescent="0.2">
      <c r="A1679" s="334" t="s">
        <v>428</v>
      </c>
      <c r="B1679" s="334" t="s">
        <v>8013</v>
      </c>
      <c r="C1679" s="334" t="s">
        <v>16</v>
      </c>
    </row>
    <row r="1680" spans="1:4" x14ac:dyDescent="0.2">
      <c r="A1680" s="334" t="s">
        <v>230</v>
      </c>
      <c r="B1680" s="334" t="s">
        <v>8014</v>
      </c>
      <c r="C1680" s="334" t="s">
        <v>52</v>
      </c>
    </row>
    <row r="1681" spans="1:4" x14ac:dyDescent="0.2">
      <c r="A1681" s="334" t="s">
        <v>231</v>
      </c>
      <c r="B1681" s="334" t="s">
        <v>8015</v>
      </c>
      <c r="C1681" s="334" t="s">
        <v>2338</v>
      </c>
    </row>
    <row r="1682" spans="1:4" x14ac:dyDescent="0.2">
      <c r="A1682" s="347" t="s">
        <v>1884</v>
      </c>
      <c r="B1682" s="347" t="s">
        <v>2546</v>
      </c>
      <c r="C1682" s="347" t="s">
        <v>52</v>
      </c>
      <c r="D1682" s="348" t="s">
        <v>10271</v>
      </c>
    </row>
    <row r="1683" spans="1:4" x14ac:dyDescent="0.2">
      <c r="A1683" s="334" t="s">
        <v>1885</v>
      </c>
      <c r="B1683" s="334" t="s">
        <v>8016</v>
      </c>
      <c r="C1683" s="334" t="s">
        <v>16</v>
      </c>
    </row>
    <row r="1684" spans="1:4" x14ac:dyDescent="0.2">
      <c r="A1684" s="347" t="s">
        <v>1886</v>
      </c>
      <c r="B1684" s="347" t="s">
        <v>8017</v>
      </c>
      <c r="C1684" s="347" t="s">
        <v>16</v>
      </c>
      <c r="D1684" s="348" t="s">
        <v>10271</v>
      </c>
    </row>
    <row r="1685" spans="1:4" x14ac:dyDescent="0.2">
      <c r="A1685" s="347" t="s">
        <v>232</v>
      </c>
      <c r="B1685" s="347" t="s">
        <v>2547</v>
      </c>
      <c r="C1685" s="347" t="s">
        <v>52</v>
      </c>
      <c r="D1685" s="348" t="s">
        <v>10271</v>
      </c>
    </row>
    <row r="1686" spans="1:4" x14ac:dyDescent="0.2">
      <c r="A1686" s="334" t="s">
        <v>5246</v>
      </c>
      <c r="B1686" s="334" t="s">
        <v>8018</v>
      </c>
      <c r="C1686" s="334" t="s">
        <v>2338</v>
      </c>
    </row>
    <row r="1687" spans="1:4" x14ac:dyDescent="0.2">
      <c r="A1687" s="334" t="s">
        <v>5247</v>
      </c>
      <c r="B1687" s="334" t="s">
        <v>8019</v>
      </c>
      <c r="C1687" s="334" t="s">
        <v>2338</v>
      </c>
    </row>
    <row r="1688" spans="1:4" x14ac:dyDescent="0.2">
      <c r="A1688" s="347" t="s">
        <v>1887</v>
      </c>
      <c r="B1688" s="347" t="s">
        <v>8020</v>
      </c>
      <c r="C1688" s="347" t="s">
        <v>16</v>
      </c>
      <c r="D1688" s="348" t="s">
        <v>10271</v>
      </c>
    </row>
    <row r="1689" spans="1:4" x14ac:dyDescent="0.2">
      <c r="A1689" s="334" t="s">
        <v>1888</v>
      </c>
      <c r="B1689" s="334" t="s">
        <v>8021</v>
      </c>
      <c r="C1689" s="334" t="s">
        <v>11</v>
      </c>
    </row>
    <row r="1690" spans="1:4" x14ac:dyDescent="0.2">
      <c r="A1690" s="334" t="s">
        <v>1889</v>
      </c>
      <c r="B1690" s="334" t="s">
        <v>8022</v>
      </c>
      <c r="C1690" s="334" t="s">
        <v>25</v>
      </c>
    </row>
    <row r="1691" spans="1:4" x14ac:dyDescent="0.2">
      <c r="A1691" s="347" t="s">
        <v>1890</v>
      </c>
      <c r="B1691" s="347" t="s">
        <v>2349</v>
      </c>
      <c r="C1691" s="347" t="s">
        <v>2338</v>
      </c>
      <c r="D1691" s="348" t="s">
        <v>10271</v>
      </c>
    </row>
    <row r="1692" spans="1:4" x14ac:dyDescent="0.2">
      <c r="A1692" s="347" t="s">
        <v>226</v>
      </c>
      <c r="B1692" s="347" t="s">
        <v>2534</v>
      </c>
      <c r="C1692" s="347" t="s">
        <v>6603</v>
      </c>
      <c r="D1692" s="348" t="s">
        <v>10271</v>
      </c>
    </row>
    <row r="1693" spans="1:4" x14ac:dyDescent="0.2">
      <c r="A1693" s="334" t="s">
        <v>1891</v>
      </c>
      <c r="B1693" s="334" t="s">
        <v>8023</v>
      </c>
      <c r="C1693" s="334" t="s">
        <v>16</v>
      </c>
    </row>
    <row r="1694" spans="1:4" x14ac:dyDescent="0.2">
      <c r="A1694" s="334" t="s">
        <v>1892</v>
      </c>
      <c r="B1694" s="334" t="s">
        <v>8024</v>
      </c>
      <c r="C1694" s="334" t="s">
        <v>25</v>
      </c>
    </row>
    <row r="1695" spans="1:4" x14ac:dyDescent="0.2">
      <c r="A1695" s="334" t="s">
        <v>1893</v>
      </c>
      <c r="B1695" s="334" t="s">
        <v>8025</v>
      </c>
      <c r="C1695" s="334" t="s">
        <v>11</v>
      </c>
    </row>
    <row r="1696" spans="1:4" x14ac:dyDescent="0.2">
      <c r="A1696" s="334" t="s">
        <v>1894</v>
      </c>
      <c r="B1696" s="334" t="s">
        <v>8026</v>
      </c>
      <c r="C1696" s="334" t="s">
        <v>11</v>
      </c>
    </row>
    <row r="1697" spans="1:4" x14ac:dyDescent="0.2">
      <c r="A1697" s="334" t="s">
        <v>1895</v>
      </c>
      <c r="B1697" s="334" t="s">
        <v>8027</v>
      </c>
      <c r="C1697" s="334" t="s">
        <v>2338</v>
      </c>
    </row>
    <row r="1698" spans="1:4" x14ac:dyDescent="0.2">
      <c r="A1698" s="334" t="s">
        <v>1896</v>
      </c>
      <c r="B1698" s="334" t="s">
        <v>8028</v>
      </c>
      <c r="C1698" s="334" t="s">
        <v>52</v>
      </c>
    </row>
    <row r="1699" spans="1:4" x14ac:dyDescent="0.2">
      <c r="A1699" s="347" t="s">
        <v>260</v>
      </c>
      <c r="B1699" s="347" t="s">
        <v>8029</v>
      </c>
      <c r="C1699" s="347" t="s">
        <v>25</v>
      </c>
      <c r="D1699" s="348" t="s">
        <v>10271</v>
      </c>
    </row>
    <row r="1700" spans="1:4" x14ac:dyDescent="0.2">
      <c r="A1700" s="347" t="s">
        <v>261</v>
      </c>
      <c r="B1700" s="347" t="s">
        <v>8030</v>
      </c>
      <c r="C1700" s="347" t="s">
        <v>25</v>
      </c>
      <c r="D1700" s="348" t="s">
        <v>10271</v>
      </c>
    </row>
    <row r="1701" spans="1:4" x14ac:dyDescent="0.2">
      <c r="A1701" s="347" t="s">
        <v>1897</v>
      </c>
      <c r="B1701" s="347" t="s">
        <v>8031</v>
      </c>
      <c r="C1701" s="347" t="s">
        <v>11</v>
      </c>
      <c r="D1701" s="348" t="s">
        <v>10271</v>
      </c>
    </row>
    <row r="1702" spans="1:4" x14ac:dyDescent="0.2">
      <c r="A1702" s="334" t="s">
        <v>1898</v>
      </c>
      <c r="B1702" s="334" t="s">
        <v>8032</v>
      </c>
      <c r="C1702" s="334" t="s">
        <v>2338</v>
      </c>
    </row>
    <row r="1703" spans="1:4" x14ac:dyDescent="0.2">
      <c r="A1703" s="347" t="s">
        <v>245</v>
      </c>
      <c r="B1703" s="347" t="s">
        <v>8033</v>
      </c>
      <c r="C1703" s="347" t="s">
        <v>52</v>
      </c>
      <c r="D1703" s="348" t="s">
        <v>10271</v>
      </c>
    </row>
    <row r="1704" spans="1:4" x14ac:dyDescent="0.2">
      <c r="A1704" s="334" t="s">
        <v>1899</v>
      </c>
      <c r="B1704" s="334" t="s">
        <v>8034</v>
      </c>
      <c r="C1704" s="334" t="s">
        <v>52</v>
      </c>
    </row>
    <row r="1705" spans="1:4" x14ac:dyDescent="0.2">
      <c r="A1705" s="334" t="s">
        <v>1900</v>
      </c>
      <c r="B1705" s="334" t="s">
        <v>6751</v>
      </c>
      <c r="C1705" s="334" t="s">
        <v>8035</v>
      </c>
    </row>
    <row r="1706" spans="1:4" x14ac:dyDescent="0.2">
      <c r="A1706" s="334" t="s">
        <v>1901</v>
      </c>
      <c r="B1706" s="334" t="s">
        <v>7979</v>
      </c>
      <c r="C1706" s="334" t="s">
        <v>16</v>
      </c>
    </row>
    <row r="1707" spans="1:4" x14ac:dyDescent="0.2">
      <c r="A1707" s="347" t="s">
        <v>1902</v>
      </c>
      <c r="B1707" s="347" t="s">
        <v>8036</v>
      </c>
      <c r="C1707" s="347" t="s">
        <v>16</v>
      </c>
      <c r="D1707" s="348" t="s">
        <v>10271</v>
      </c>
    </row>
    <row r="1708" spans="1:4" x14ac:dyDescent="0.2">
      <c r="A1708" s="334" t="s">
        <v>5248</v>
      </c>
      <c r="B1708" s="334" t="s">
        <v>8037</v>
      </c>
      <c r="C1708" s="334" t="s">
        <v>2338</v>
      </c>
    </row>
    <row r="1709" spans="1:4" x14ac:dyDescent="0.2">
      <c r="A1709" s="334" t="s">
        <v>410</v>
      </c>
      <c r="B1709" s="334" t="s">
        <v>8038</v>
      </c>
      <c r="C1709" s="334" t="s">
        <v>16</v>
      </c>
    </row>
    <row r="1710" spans="1:4" x14ac:dyDescent="0.2">
      <c r="A1710" s="347" t="s">
        <v>656</v>
      </c>
      <c r="B1710" s="347" t="s">
        <v>2635</v>
      </c>
      <c r="C1710" s="347" t="s">
        <v>16</v>
      </c>
      <c r="D1710" s="348" t="s">
        <v>10271</v>
      </c>
    </row>
    <row r="1711" spans="1:4" x14ac:dyDescent="0.2">
      <c r="A1711" s="334" t="s">
        <v>1903</v>
      </c>
      <c r="B1711" s="334" t="s">
        <v>2530</v>
      </c>
      <c r="C1711" s="334" t="s">
        <v>16</v>
      </c>
    </row>
    <row r="1712" spans="1:4" x14ac:dyDescent="0.2">
      <c r="A1712" s="334" t="s">
        <v>1904</v>
      </c>
      <c r="B1712" s="334" t="s">
        <v>2393</v>
      </c>
      <c r="C1712" s="334" t="s">
        <v>6604</v>
      </c>
    </row>
    <row r="1713" spans="1:4" x14ac:dyDescent="0.2">
      <c r="A1713" s="334" t="s">
        <v>1905</v>
      </c>
      <c r="B1713" s="334" t="s">
        <v>8039</v>
      </c>
      <c r="C1713" s="334" t="s">
        <v>6604</v>
      </c>
    </row>
    <row r="1714" spans="1:4" x14ac:dyDescent="0.2">
      <c r="A1714" s="347" t="s">
        <v>1906</v>
      </c>
      <c r="B1714" s="347" t="s">
        <v>2391</v>
      </c>
      <c r="C1714" s="347" t="s">
        <v>6604</v>
      </c>
      <c r="D1714" s="348" t="s">
        <v>10271</v>
      </c>
    </row>
    <row r="1715" spans="1:4" x14ac:dyDescent="0.2">
      <c r="A1715" s="347" t="s">
        <v>1907</v>
      </c>
      <c r="B1715" s="347" t="s">
        <v>2393</v>
      </c>
      <c r="C1715" s="347" t="s">
        <v>6604</v>
      </c>
      <c r="D1715" s="348" t="s">
        <v>10271</v>
      </c>
    </row>
    <row r="1716" spans="1:4" x14ac:dyDescent="0.2">
      <c r="A1716" s="347" t="s">
        <v>1908</v>
      </c>
      <c r="B1716" s="347" t="s">
        <v>8040</v>
      </c>
      <c r="C1716" s="347" t="s">
        <v>16</v>
      </c>
      <c r="D1716" s="348" t="s">
        <v>10271</v>
      </c>
    </row>
    <row r="1717" spans="1:4" x14ac:dyDescent="0.2">
      <c r="A1717" s="347" t="s">
        <v>1909</v>
      </c>
      <c r="B1717" s="347" t="s">
        <v>2705</v>
      </c>
      <c r="C1717" s="347" t="s">
        <v>16</v>
      </c>
      <c r="D1717" s="348" t="s">
        <v>10271</v>
      </c>
    </row>
    <row r="1718" spans="1:4" x14ac:dyDescent="0.2">
      <c r="A1718" s="347" t="s">
        <v>1910</v>
      </c>
      <c r="B1718" s="347" t="s">
        <v>8041</v>
      </c>
      <c r="C1718" s="347" t="s">
        <v>16</v>
      </c>
      <c r="D1718" s="348" t="s">
        <v>10271</v>
      </c>
    </row>
    <row r="1719" spans="1:4" x14ac:dyDescent="0.2">
      <c r="A1719" s="347" t="s">
        <v>1911</v>
      </c>
      <c r="B1719" s="347" t="s">
        <v>8042</v>
      </c>
      <c r="C1719" s="347" t="s">
        <v>16</v>
      </c>
      <c r="D1719" s="348" t="s">
        <v>10271</v>
      </c>
    </row>
    <row r="1720" spans="1:4" x14ac:dyDescent="0.2">
      <c r="A1720" s="334" t="s">
        <v>1912</v>
      </c>
      <c r="B1720" s="334" t="s">
        <v>8043</v>
      </c>
      <c r="C1720" s="334" t="s">
        <v>2338</v>
      </c>
    </row>
    <row r="1721" spans="1:4" x14ac:dyDescent="0.2">
      <c r="A1721" s="334" t="s">
        <v>1913</v>
      </c>
      <c r="B1721" s="334" t="s">
        <v>8044</v>
      </c>
      <c r="C1721" s="334" t="s">
        <v>11</v>
      </c>
    </row>
    <row r="1722" spans="1:4" x14ac:dyDescent="0.2">
      <c r="A1722" s="334" t="s">
        <v>1914</v>
      </c>
      <c r="B1722" s="334" t="s">
        <v>8045</v>
      </c>
      <c r="C1722" s="334" t="s">
        <v>2338</v>
      </c>
    </row>
    <row r="1723" spans="1:4" x14ac:dyDescent="0.2">
      <c r="A1723" s="334" t="s">
        <v>5249</v>
      </c>
      <c r="B1723" s="334" t="s">
        <v>2336</v>
      </c>
      <c r="C1723" s="334" t="s">
        <v>2338</v>
      </c>
    </row>
    <row r="1724" spans="1:4" x14ac:dyDescent="0.2">
      <c r="A1724" s="347" t="s">
        <v>262</v>
      </c>
      <c r="B1724" s="347" t="s">
        <v>2610</v>
      </c>
      <c r="C1724" s="347" t="s">
        <v>25</v>
      </c>
      <c r="D1724" s="348" t="s">
        <v>10271</v>
      </c>
    </row>
    <row r="1725" spans="1:4" x14ac:dyDescent="0.2">
      <c r="A1725" s="347" t="s">
        <v>263</v>
      </c>
      <c r="B1725" s="347" t="s">
        <v>2611</v>
      </c>
      <c r="C1725" s="347" t="s">
        <v>25</v>
      </c>
      <c r="D1725" s="348" t="s">
        <v>10271</v>
      </c>
    </row>
    <row r="1726" spans="1:4" x14ac:dyDescent="0.2">
      <c r="A1726" s="347" t="s">
        <v>1915</v>
      </c>
      <c r="B1726" s="347" t="s">
        <v>8046</v>
      </c>
      <c r="C1726" s="347" t="s">
        <v>25</v>
      </c>
      <c r="D1726" s="348" t="s">
        <v>10271</v>
      </c>
    </row>
    <row r="1727" spans="1:4" x14ac:dyDescent="0.2">
      <c r="A1727" s="334" t="s">
        <v>5250</v>
      </c>
      <c r="B1727" s="334" t="s">
        <v>2336</v>
      </c>
      <c r="C1727" s="334" t="s">
        <v>2338</v>
      </c>
    </row>
    <row r="1728" spans="1:4" x14ac:dyDescent="0.2">
      <c r="A1728" s="334" t="s">
        <v>1916</v>
      </c>
      <c r="B1728" s="334" t="s">
        <v>8047</v>
      </c>
      <c r="C1728" s="334" t="s">
        <v>2338</v>
      </c>
    </row>
    <row r="1729" spans="1:4" x14ac:dyDescent="0.2">
      <c r="A1729" s="334" t="s">
        <v>5251</v>
      </c>
      <c r="B1729" s="334" t="s">
        <v>8048</v>
      </c>
      <c r="C1729" s="334" t="s">
        <v>2338</v>
      </c>
    </row>
    <row r="1730" spans="1:4" x14ac:dyDescent="0.2">
      <c r="A1730" s="334" t="s">
        <v>5252</v>
      </c>
      <c r="B1730" s="334" t="s">
        <v>8049</v>
      </c>
      <c r="C1730" s="334" t="s">
        <v>25</v>
      </c>
    </row>
    <row r="1731" spans="1:4" x14ac:dyDescent="0.2">
      <c r="A1731" s="334" t="s">
        <v>5253</v>
      </c>
      <c r="B1731" s="334" t="s">
        <v>8050</v>
      </c>
      <c r="C1731" s="334" t="s">
        <v>25</v>
      </c>
    </row>
    <row r="1732" spans="1:4" x14ac:dyDescent="0.2">
      <c r="A1732" s="347" t="s">
        <v>1917</v>
      </c>
      <c r="B1732" s="347" t="s">
        <v>2340</v>
      </c>
      <c r="C1732" s="347" t="s">
        <v>2338</v>
      </c>
      <c r="D1732" s="348" t="s">
        <v>10271</v>
      </c>
    </row>
    <row r="1733" spans="1:4" x14ac:dyDescent="0.2">
      <c r="A1733" s="347" t="s">
        <v>1918</v>
      </c>
      <c r="B1733" s="347" t="s">
        <v>8051</v>
      </c>
      <c r="C1733" s="347" t="s">
        <v>2338</v>
      </c>
      <c r="D1733" s="348" t="s">
        <v>10271</v>
      </c>
    </row>
    <row r="1734" spans="1:4" x14ac:dyDescent="0.2">
      <c r="A1734" s="334" t="s">
        <v>1919</v>
      </c>
      <c r="B1734" s="334" t="s">
        <v>8052</v>
      </c>
      <c r="C1734" s="334" t="s">
        <v>2338</v>
      </c>
    </row>
    <row r="1735" spans="1:4" x14ac:dyDescent="0.2">
      <c r="A1735" s="334" t="s">
        <v>1920</v>
      </c>
      <c r="B1735" s="334" t="s">
        <v>5254</v>
      </c>
      <c r="C1735" s="334" t="s">
        <v>2338</v>
      </c>
    </row>
    <row r="1736" spans="1:4" x14ac:dyDescent="0.2">
      <c r="A1736" s="334" t="s">
        <v>1921</v>
      </c>
      <c r="B1736" s="334" t="s">
        <v>8053</v>
      </c>
      <c r="C1736" s="334" t="s">
        <v>2338</v>
      </c>
    </row>
    <row r="1737" spans="1:4" x14ac:dyDescent="0.2">
      <c r="A1737" s="334" t="s">
        <v>1922</v>
      </c>
      <c r="B1737" s="334" t="s">
        <v>8054</v>
      </c>
      <c r="C1737" s="334" t="s">
        <v>11</v>
      </c>
    </row>
    <row r="1738" spans="1:4" x14ac:dyDescent="0.2">
      <c r="A1738" s="347" t="s">
        <v>264</v>
      </c>
      <c r="B1738" s="347" t="s">
        <v>2612</v>
      </c>
      <c r="C1738" s="347" t="s">
        <v>25</v>
      </c>
      <c r="D1738" s="348" t="s">
        <v>10271</v>
      </c>
    </row>
    <row r="1739" spans="1:4" x14ac:dyDescent="0.2">
      <c r="A1739" s="334" t="s">
        <v>1923</v>
      </c>
      <c r="B1739" s="334" t="s">
        <v>7965</v>
      </c>
      <c r="C1739" s="334" t="s">
        <v>52</v>
      </c>
    </row>
    <row r="1740" spans="1:4" x14ac:dyDescent="0.2">
      <c r="A1740" s="334" t="s">
        <v>1924</v>
      </c>
      <c r="B1740" s="334" t="s">
        <v>8055</v>
      </c>
      <c r="C1740" s="334" t="s">
        <v>16</v>
      </c>
    </row>
    <row r="1741" spans="1:4" x14ac:dyDescent="0.2">
      <c r="A1741" s="347" t="s">
        <v>1925</v>
      </c>
      <c r="B1741" s="347" t="s">
        <v>8056</v>
      </c>
      <c r="C1741" s="347" t="s">
        <v>11</v>
      </c>
      <c r="D1741" s="348" t="s">
        <v>10271</v>
      </c>
    </row>
    <row r="1742" spans="1:4" x14ac:dyDescent="0.2">
      <c r="A1742" s="347" t="s">
        <v>1926</v>
      </c>
      <c r="B1742" s="347" t="s">
        <v>8057</v>
      </c>
      <c r="C1742" s="347" t="s">
        <v>16</v>
      </c>
      <c r="D1742" s="348" t="s">
        <v>10271</v>
      </c>
    </row>
    <row r="1743" spans="1:4" x14ac:dyDescent="0.2">
      <c r="A1743" s="334" t="s">
        <v>5255</v>
      </c>
      <c r="B1743" s="334" t="s">
        <v>8058</v>
      </c>
      <c r="C1743" s="334" t="s">
        <v>16</v>
      </c>
    </row>
    <row r="1744" spans="1:4" x14ac:dyDescent="0.2">
      <c r="A1744" s="334" t="s">
        <v>5256</v>
      </c>
      <c r="B1744" s="334" t="s">
        <v>8059</v>
      </c>
      <c r="C1744" s="334" t="s">
        <v>2338</v>
      </c>
    </row>
    <row r="1745" spans="1:4" x14ac:dyDescent="0.2">
      <c r="A1745" s="334" t="s">
        <v>1927</v>
      </c>
      <c r="B1745" s="334" t="s">
        <v>8060</v>
      </c>
      <c r="C1745" s="334" t="s">
        <v>2338</v>
      </c>
    </row>
    <row r="1746" spans="1:4" x14ac:dyDescent="0.2">
      <c r="A1746" s="334" t="s">
        <v>1928</v>
      </c>
      <c r="B1746" s="334" t="s">
        <v>8061</v>
      </c>
      <c r="C1746" s="334" t="s">
        <v>2338</v>
      </c>
    </row>
    <row r="1747" spans="1:4" x14ac:dyDescent="0.2">
      <c r="A1747" s="334" t="s">
        <v>1929</v>
      </c>
      <c r="B1747" s="334" t="s">
        <v>8062</v>
      </c>
      <c r="C1747" s="334" t="s">
        <v>2338</v>
      </c>
    </row>
    <row r="1748" spans="1:4" x14ac:dyDescent="0.2">
      <c r="A1748" s="334" t="s">
        <v>1930</v>
      </c>
      <c r="B1748" s="334" t="s">
        <v>8063</v>
      </c>
      <c r="C1748" s="334" t="s">
        <v>25</v>
      </c>
    </row>
    <row r="1749" spans="1:4" x14ac:dyDescent="0.2">
      <c r="A1749" s="334" t="s">
        <v>1931</v>
      </c>
      <c r="B1749" s="334" t="s">
        <v>8064</v>
      </c>
      <c r="C1749" s="334" t="s">
        <v>11</v>
      </c>
    </row>
    <row r="1750" spans="1:4" x14ac:dyDescent="0.2">
      <c r="A1750" s="334" t="s">
        <v>1932</v>
      </c>
      <c r="B1750" s="334" t="s">
        <v>8065</v>
      </c>
      <c r="C1750" s="334" t="s">
        <v>11</v>
      </c>
    </row>
    <row r="1751" spans="1:4" x14ac:dyDescent="0.2">
      <c r="A1751" s="334" t="s">
        <v>1933</v>
      </c>
      <c r="B1751" s="334" t="s">
        <v>8066</v>
      </c>
      <c r="C1751" s="334" t="s">
        <v>11</v>
      </c>
    </row>
    <row r="1752" spans="1:4" x14ac:dyDescent="0.2">
      <c r="A1752" s="334" t="s">
        <v>1934</v>
      </c>
      <c r="B1752" s="334" t="s">
        <v>8067</v>
      </c>
      <c r="C1752" s="334" t="s">
        <v>11</v>
      </c>
    </row>
    <row r="1753" spans="1:4" x14ac:dyDescent="0.2">
      <c r="A1753" s="334" t="s">
        <v>8068</v>
      </c>
      <c r="B1753" s="334" t="s">
        <v>8069</v>
      </c>
      <c r="C1753" s="334" t="s">
        <v>11</v>
      </c>
    </row>
    <row r="1754" spans="1:4" x14ac:dyDescent="0.2">
      <c r="A1754" s="334" t="s">
        <v>1935</v>
      </c>
      <c r="B1754" s="334" t="s">
        <v>8070</v>
      </c>
      <c r="C1754" s="334" t="s">
        <v>11</v>
      </c>
    </row>
    <row r="1755" spans="1:4" x14ac:dyDescent="0.2">
      <c r="A1755" s="334" t="s">
        <v>8071</v>
      </c>
      <c r="B1755" s="334" t="s">
        <v>8072</v>
      </c>
      <c r="C1755" s="334" t="s">
        <v>11</v>
      </c>
    </row>
    <row r="1756" spans="1:4" x14ac:dyDescent="0.2">
      <c r="A1756" s="334" t="s">
        <v>1936</v>
      </c>
      <c r="B1756" s="334" t="s">
        <v>8073</v>
      </c>
      <c r="C1756" s="334" t="s">
        <v>11</v>
      </c>
    </row>
    <row r="1757" spans="1:4" x14ac:dyDescent="0.2">
      <c r="A1757" s="347" t="s">
        <v>1937</v>
      </c>
      <c r="B1757" s="347" t="s">
        <v>8074</v>
      </c>
      <c r="C1757" s="347" t="s">
        <v>25</v>
      </c>
      <c r="D1757" s="348" t="s">
        <v>10271</v>
      </c>
    </row>
    <row r="1758" spans="1:4" x14ac:dyDescent="0.2">
      <c r="A1758" s="334" t="s">
        <v>1938</v>
      </c>
      <c r="B1758" s="334" t="s">
        <v>8075</v>
      </c>
      <c r="C1758" s="334" t="s">
        <v>11</v>
      </c>
    </row>
    <row r="1759" spans="1:4" x14ac:dyDescent="0.2">
      <c r="A1759" s="334" t="s">
        <v>1939</v>
      </c>
      <c r="B1759" s="334" t="s">
        <v>8076</v>
      </c>
      <c r="C1759" s="334" t="s">
        <v>11</v>
      </c>
    </row>
    <row r="1760" spans="1:4" x14ac:dyDescent="0.2">
      <c r="A1760" s="334" t="s">
        <v>1940</v>
      </c>
      <c r="B1760" s="334" t="s">
        <v>8077</v>
      </c>
      <c r="C1760" s="334" t="s">
        <v>11</v>
      </c>
    </row>
    <row r="1761" spans="1:4" x14ac:dyDescent="0.2">
      <c r="A1761" s="334" t="s">
        <v>1941</v>
      </c>
      <c r="B1761" s="334" t="s">
        <v>8078</v>
      </c>
      <c r="C1761" s="334" t="s">
        <v>25</v>
      </c>
    </row>
    <row r="1762" spans="1:4" x14ac:dyDescent="0.2">
      <c r="A1762" s="334" t="s">
        <v>1942</v>
      </c>
      <c r="B1762" s="334" t="s">
        <v>8079</v>
      </c>
      <c r="C1762" s="334" t="s">
        <v>25</v>
      </c>
    </row>
    <row r="1763" spans="1:4" x14ac:dyDescent="0.2">
      <c r="A1763" s="347" t="s">
        <v>1943</v>
      </c>
      <c r="B1763" s="347" t="s">
        <v>8080</v>
      </c>
      <c r="C1763" s="347" t="s">
        <v>16</v>
      </c>
      <c r="D1763" s="348" t="s">
        <v>10271</v>
      </c>
    </row>
    <row r="1764" spans="1:4" x14ac:dyDescent="0.2">
      <c r="A1764" s="347" t="s">
        <v>1944</v>
      </c>
      <c r="B1764" s="347" t="s">
        <v>8081</v>
      </c>
      <c r="C1764" s="347" t="s">
        <v>16</v>
      </c>
      <c r="D1764" s="348" t="s">
        <v>10271</v>
      </c>
    </row>
    <row r="1765" spans="1:4" x14ac:dyDescent="0.2">
      <c r="A1765" s="347" t="s">
        <v>1945</v>
      </c>
      <c r="B1765" s="347" t="s">
        <v>8082</v>
      </c>
      <c r="C1765" s="347" t="s">
        <v>16</v>
      </c>
      <c r="D1765" s="348" t="s">
        <v>10271</v>
      </c>
    </row>
    <row r="1766" spans="1:4" x14ac:dyDescent="0.2">
      <c r="A1766" s="334" t="s">
        <v>1946</v>
      </c>
      <c r="B1766" s="334" t="s">
        <v>8083</v>
      </c>
      <c r="C1766" s="334" t="s">
        <v>11</v>
      </c>
    </row>
    <row r="1767" spans="1:4" x14ac:dyDescent="0.2">
      <c r="A1767" s="334" t="s">
        <v>1947</v>
      </c>
      <c r="B1767" s="334" t="s">
        <v>8084</v>
      </c>
      <c r="C1767" s="334" t="s">
        <v>25</v>
      </c>
    </row>
    <row r="1768" spans="1:4" x14ac:dyDescent="0.2">
      <c r="A1768" s="347" t="s">
        <v>1948</v>
      </c>
      <c r="B1768" s="347" t="s">
        <v>8085</v>
      </c>
      <c r="C1768" s="347" t="s">
        <v>2338</v>
      </c>
      <c r="D1768" s="348" t="s">
        <v>10271</v>
      </c>
    </row>
    <row r="1769" spans="1:4" x14ac:dyDescent="0.2">
      <c r="A1769" s="347" t="s">
        <v>1949</v>
      </c>
      <c r="B1769" s="347" t="s">
        <v>2534</v>
      </c>
      <c r="C1769" s="347" t="s">
        <v>2338</v>
      </c>
      <c r="D1769" s="348" t="s">
        <v>10271</v>
      </c>
    </row>
    <row r="1770" spans="1:4" x14ac:dyDescent="0.2">
      <c r="A1770" s="347" t="s">
        <v>1950</v>
      </c>
      <c r="B1770" s="347" t="s">
        <v>8086</v>
      </c>
      <c r="C1770" s="347" t="s">
        <v>16</v>
      </c>
      <c r="D1770" s="348" t="s">
        <v>10271</v>
      </c>
    </row>
    <row r="1771" spans="1:4" x14ac:dyDescent="0.2">
      <c r="A1771" s="334" t="s">
        <v>1951</v>
      </c>
      <c r="B1771" s="334" t="s">
        <v>8087</v>
      </c>
      <c r="C1771" s="334" t="s">
        <v>16</v>
      </c>
    </row>
    <row r="1772" spans="1:4" x14ac:dyDescent="0.2">
      <c r="A1772" s="334" t="s">
        <v>1952</v>
      </c>
      <c r="B1772" s="334" t="s">
        <v>8088</v>
      </c>
      <c r="C1772" s="334" t="s">
        <v>16</v>
      </c>
    </row>
    <row r="1773" spans="1:4" x14ac:dyDescent="0.2">
      <c r="A1773" s="334" t="s">
        <v>1953</v>
      </c>
      <c r="B1773" s="334" t="s">
        <v>8089</v>
      </c>
      <c r="C1773" s="334" t="s">
        <v>11</v>
      </c>
    </row>
    <row r="1774" spans="1:4" x14ac:dyDescent="0.2">
      <c r="A1774" s="334" t="s">
        <v>1954</v>
      </c>
      <c r="B1774" s="334" t="s">
        <v>8090</v>
      </c>
      <c r="C1774" s="334" t="s">
        <v>16</v>
      </c>
    </row>
    <row r="1775" spans="1:4" x14ac:dyDescent="0.2">
      <c r="A1775" s="334" t="s">
        <v>496</v>
      </c>
      <c r="B1775" s="334" t="s">
        <v>8091</v>
      </c>
      <c r="C1775" s="334" t="s">
        <v>11</v>
      </c>
    </row>
    <row r="1776" spans="1:4" x14ac:dyDescent="0.2">
      <c r="A1776" s="347" t="s">
        <v>3406</v>
      </c>
      <c r="B1776" s="347" t="s">
        <v>2909</v>
      </c>
      <c r="C1776" s="347" t="s">
        <v>2338</v>
      </c>
      <c r="D1776" s="348" t="s">
        <v>10271</v>
      </c>
    </row>
    <row r="1777" spans="1:4" x14ac:dyDescent="0.2">
      <c r="A1777" s="334" t="s">
        <v>5257</v>
      </c>
      <c r="B1777" s="334" t="s">
        <v>8092</v>
      </c>
      <c r="C1777" s="334" t="s">
        <v>2338</v>
      </c>
    </row>
    <row r="1778" spans="1:4" x14ac:dyDescent="0.2">
      <c r="A1778" s="334" t="s">
        <v>1955</v>
      </c>
      <c r="B1778" s="334" t="s">
        <v>8093</v>
      </c>
      <c r="C1778" s="334" t="s">
        <v>16</v>
      </c>
    </row>
    <row r="1779" spans="1:4" x14ac:dyDescent="0.2">
      <c r="A1779" s="347" t="s">
        <v>1956</v>
      </c>
      <c r="B1779" s="347" t="s">
        <v>8094</v>
      </c>
      <c r="C1779" s="347" t="s">
        <v>52</v>
      </c>
      <c r="D1779" s="348" t="s">
        <v>10271</v>
      </c>
    </row>
    <row r="1780" spans="1:4" x14ac:dyDescent="0.2">
      <c r="A1780" s="347" t="s">
        <v>222</v>
      </c>
      <c r="B1780" s="347" t="s">
        <v>8095</v>
      </c>
      <c r="C1780" s="347" t="s">
        <v>2338</v>
      </c>
      <c r="D1780" s="348" t="s">
        <v>10271</v>
      </c>
    </row>
    <row r="1781" spans="1:4" x14ac:dyDescent="0.2">
      <c r="A1781" s="347" t="s">
        <v>1957</v>
      </c>
      <c r="B1781" s="347" t="s">
        <v>8096</v>
      </c>
      <c r="C1781" s="347" t="s">
        <v>16</v>
      </c>
      <c r="D1781" s="348" t="s">
        <v>10271</v>
      </c>
    </row>
    <row r="1782" spans="1:4" x14ac:dyDescent="0.2">
      <c r="A1782" s="334" t="s">
        <v>5258</v>
      </c>
      <c r="B1782" s="334" t="s">
        <v>8097</v>
      </c>
      <c r="C1782" s="334" t="s">
        <v>16</v>
      </c>
    </row>
    <row r="1783" spans="1:4" x14ac:dyDescent="0.2">
      <c r="A1783" s="334" t="s">
        <v>5259</v>
      </c>
      <c r="B1783" s="334" t="s">
        <v>8098</v>
      </c>
      <c r="C1783" s="334" t="s">
        <v>16</v>
      </c>
    </row>
    <row r="1784" spans="1:4" x14ac:dyDescent="0.2">
      <c r="A1784" s="334" t="s">
        <v>1958</v>
      </c>
      <c r="B1784" s="334" t="s">
        <v>8099</v>
      </c>
      <c r="C1784" s="334" t="s">
        <v>16</v>
      </c>
    </row>
    <row r="1785" spans="1:4" x14ac:dyDescent="0.2">
      <c r="A1785" s="334" t="s">
        <v>1959</v>
      </c>
      <c r="B1785" s="334" t="s">
        <v>8100</v>
      </c>
      <c r="C1785" s="334" t="s">
        <v>25</v>
      </c>
    </row>
    <row r="1786" spans="1:4" x14ac:dyDescent="0.2">
      <c r="A1786" s="334" t="s">
        <v>1960</v>
      </c>
      <c r="B1786" s="334" t="s">
        <v>8101</v>
      </c>
      <c r="C1786" s="334" t="s">
        <v>11</v>
      </c>
    </row>
    <row r="1787" spans="1:4" x14ac:dyDescent="0.2">
      <c r="A1787" s="334" t="s">
        <v>1961</v>
      </c>
      <c r="B1787" s="334" t="s">
        <v>5260</v>
      </c>
      <c r="C1787" s="334" t="s">
        <v>11</v>
      </c>
    </row>
    <row r="1788" spans="1:4" x14ac:dyDescent="0.2">
      <c r="A1788" s="334" t="s">
        <v>1962</v>
      </c>
      <c r="B1788" s="334" t="s">
        <v>8102</v>
      </c>
      <c r="C1788" s="334" t="s">
        <v>11</v>
      </c>
    </row>
    <row r="1789" spans="1:4" x14ac:dyDescent="0.2">
      <c r="A1789" s="334" t="s">
        <v>1963</v>
      </c>
      <c r="B1789" s="334" t="s">
        <v>8103</v>
      </c>
      <c r="C1789" s="334" t="s">
        <v>25</v>
      </c>
    </row>
    <row r="1790" spans="1:4" x14ac:dyDescent="0.2">
      <c r="A1790" s="334" t="s">
        <v>5261</v>
      </c>
      <c r="B1790" s="334" t="s">
        <v>8104</v>
      </c>
      <c r="C1790" s="334" t="s">
        <v>11</v>
      </c>
    </row>
    <row r="1791" spans="1:4" x14ac:dyDescent="0.2">
      <c r="A1791" s="334" t="s">
        <v>1964</v>
      </c>
      <c r="B1791" s="334" t="s">
        <v>8105</v>
      </c>
      <c r="C1791" s="334" t="s">
        <v>25</v>
      </c>
    </row>
    <row r="1792" spans="1:4" x14ac:dyDescent="0.2">
      <c r="A1792" s="334" t="s">
        <v>1965</v>
      </c>
      <c r="B1792" s="334" t="s">
        <v>8106</v>
      </c>
      <c r="C1792" s="334" t="s">
        <v>25</v>
      </c>
    </row>
    <row r="1793" spans="1:3" x14ac:dyDescent="0.2">
      <c r="A1793" s="334" t="s">
        <v>1966</v>
      </c>
      <c r="B1793" s="334" t="s">
        <v>8107</v>
      </c>
      <c r="C1793" s="334" t="s">
        <v>11</v>
      </c>
    </row>
    <row r="1794" spans="1:3" x14ac:dyDescent="0.2">
      <c r="A1794" s="334" t="s">
        <v>1967</v>
      </c>
      <c r="B1794" s="334" t="s">
        <v>8108</v>
      </c>
      <c r="C1794" s="334" t="s">
        <v>52</v>
      </c>
    </row>
    <row r="1795" spans="1:3" x14ac:dyDescent="0.2">
      <c r="A1795" s="334" t="s">
        <v>5262</v>
      </c>
      <c r="B1795" s="334" t="s">
        <v>8109</v>
      </c>
      <c r="C1795" s="334" t="s">
        <v>2338</v>
      </c>
    </row>
    <row r="1796" spans="1:3" x14ac:dyDescent="0.2">
      <c r="A1796" s="334" t="s">
        <v>5263</v>
      </c>
      <c r="B1796" s="334" t="s">
        <v>8110</v>
      </c>
      <c r="C1796" s="334" t="s">
        <v>16</v>
      </c>
    </row>
    <row r="1797" spans="1:3" x14ac:dyDescent="0.2">
      <c r="A1797" s="334" t="s">
        <v>5264</v>
      </c>
      <c r="B1797" s="334" t="s">
        <v>8111</v>
      </c>
      <c r="C1797" s="334" t="s">
        <v>6604</v>
      </c>
    </row>
    <row r="1798" spans="1:3" x14ac:dyDescent="0.2">
      <c r="A1798" s="334" t="s">
        <v>1968</v>
      </c>
      <c r="B1798" s="334" t="s">
        <v>8112</v>
      </c>
      <c r="C1798" s="334" t="s">
        <v>52</v>
      </c>
    </row>
    <row r="1799" spans="1:3" x14ac:dyDescent="0.2">
      <c r="A1799" s="334" t="s">
        <v>1969</v>
      </c>
      <c r="B1799" s="334" t="s">
        <v>8113</v>
      </c>
      <c r="C1799" s="334" t="s">
        <v>16</v>
      </c>
    </row>
    <row r="1800" spans="1:3" x14ac:dyDescent="0.2">
      <c r="A1800" s="334" t="s">
        <v>5265</v>
      </c>
      <c r="B1800" s="334" t="s">
        <v>8114</v>
      </c>
      <c r="C1800" s="334" t="s">
        <v>2338</v>
      </c>
    </row>
    <row r="1801" spans="1:3" x14ac:dyDescent="0.2">
      <c r="A1801" s="334" t="s">
        <v>5266</v>
      </c>
      <c r="B1801" s="334" t="s">
        <v>8115</v>
      </c>
      <c r="C1801" s="334" t="s">
        <v>2338</v>
      </c>
    </row>
    <row r="1802" spans="1:3" x14ac:dyDescent="0.2">
      <c r="A1802" s="334" t="s">
        <v>5267</v>
      </c>
      <c r="B1802" s="334" t="s">
        <v>8116</v>
      </c>
      <c r="C1802" s="334" t="s">
        <v>2338</v>
      </c>
    </row>
    <row r="1803" spans="1:3" x14ac:dyDescent="0.2">
      <c r="A1803" s="334" t="s">
        <v>5268</v>
      </c>
      <c r="B1803" s="334" t="s">
        <v>8117</v>
      </c>
      <c r="C1803" s="334" t="s">
        <v>52</v>
      </c>
    </row>
    <row r="1804" spans="1:3" x14ac:dyDescent="0.2">
      <c r="A1804" s="334" t="s">
        <v>5269</v>
      </c>
      <c r="B1804" s="334" t="s">
        <v>8118</v>
      </c>
      <c r="C1804" s="334" t="s">
        <v>25</v>
      </c>
    </row>
    <row r="1805" spans="1:3" x14ac:dyDescent="0.2">
      <c r="A1805" s="334" t="s">
        <v>5270</v>
      </c>
      <c r="B1805" s="334" t="s">
        <v>8119</v>
      </c>
      <c r="C1805" s="334" t="s">
        <v>25</v>
      </c>
    </row>
    <row r="1806" spans="1:3" x14ac:dyDescent="0.2">
      <c r="A1806" s="334" t="s">
        <v>5271</v>
      </c>
      <c r="B1806" s="334" t="s">
        <v>8120</v>
      </c>
      <c r="C1806" s="334" t="s">
        <v>2338</v>
      </c>
    </row>
    <row r="1807" spans="1:3" x14ac:dyDescent="0.2">
      <c r="A1807" s="334" t="s">
        <v>5272</v>
      </c>
      <c r="B1807" s="334" t="s">
        <v>8121</v>
      </c>
      <c r="C1807" s="334" t="s">
        <v>16</v>
      </c>
    </row>
    <row r="1808" spans="1:3" x14ac:dyDescent="0.2">
      <c r="A1808" s="334" t="s">
        <v>5273</v>
      </c>
      <c r="B1808" s="334" t="s">
        <v>8122</v>
      </c>
      <c r="C1808" s="334" t="s">
        <v>16</v>
      </c>
    </row>
    <row r="1809" spans="1:4" x14ac:dyDescent="0.2">
      <c r="A1809" s="334" t="s">
        <v>5274</v>
      </c>
      <c r="B1809" s="334" t="s">
        <v>8123</v>
      </c>
      <c r="C1809" s="334" t="s">
        <v>16</v>
      </c>
    </row>
    <row r="1810" spans="1:4" x14ac:dyDescent="0.2">
      <c r="A1810" s="334" t="s">
        <v>5275</v>
      </c>
      <c r="B1810" s="334" t="s">
        <v>8124</v>
      </c>
      <c r="C1810" s="334" t="s">
        <v>25</v>
      </c>
    </row>
    <row r="1811" spans="1:4" x14ac:dyDescent="0.2">
      <c r="A1811" s="334" t="s">
        <v>5276</v>
      </c>
      <c r="B1811" s="334" t="s">
        <v>8125</v>
      </c>
      <c r="C1811" s="334" t="s">
        <v>11</v>
      </c>
    </row>
    <row r="1812" spans="1:4" x14ac:dyDescent="0.2">
      <c r="A1812" s="334" t="s">
        <v>1970</v>
      </c>
      <c r="B1812" s="334" t="s">
        <v>8126</v>
      </c>
      <c r="C1812" s="334" t="s">
        <v>6602</v>
      </c>
    </row>
    <row r="1813" spans="1:4" x14ac:dyDescent="0.2">
      <c r="A1813" s="334" t="s">
        <v>5277</v>
      </c>
      <c r="B1813" s="334" t="s">
        <v>8127</v>
      </c>
      <c r="C1813" s="334" t="s">
        <v>2338</v>
      </c>
    </row>
    <row r="1814" spans="1:4" x14ac:dyDescent="0.2">
      <c r="A1814" s="334" t="s">
        <v>8128</v>
      </c>
      <c r="B1814" s="334" t="s">
        <v>8129</v>
      </c>
      <c r="C1814" s="334" t="s">
        <v>7673</v>
      </c>
    </row>
    <row r="1815" spans="1:4" x14ac:dyDescent="0.2">
      <c r="A1815" s="334" t="s">
        <v>8130</v>
      </c>
      <c r="B1815" s="334" t="s">
        <v>8131</v>
      </c>
      <c r="C1815" s="334" t="s">
        <v>7673</v>
      </c>
    </row>
    <row r="1816" spans="1:4" x14ac:dyDescent="0.2">
      <c r="A1816" s="334" t="s">
        <v>8132</v>
      </c>
      <c r="B1816" s="334" t="s">
        <v>8133</v>
      </c>
      <c r="C1816" s="334" t="s">
        <v>8134</v>
      </c>
    </row>
    <row r="1817" spans="1:4" x14ac:dyDescent="0.2">
      <c r="A1817" s="334" t="s">
        <v>5278</v>
      </c>
      <c r="B1817" s="334" t="s">
        <v>8135</v>
      </c>
      <c r="C1817" s="334" t="s">
        <v>2338</v>
      </c>
    </row>
    <row r="1818" spans="1:4" x14ac:dyDescent="0.2">
      <c r="A1818" s="334" t="s">
        <v>5279</v>
      </c>
      <c r="B1818" s="334" t="s">
        <v>8136</v>
      </c>
      <c r="C1818" s="334" t="s">
        <v>16</v>
      </c>
    </row>
    <row r="1819" spans="1:4" x14ac:dyDescent="0.2">
      <c r="A1819" s="334" t="s">
        <v>5280</v>
      </c>
      <c r="B1819" s="334" t="s">
        <v>8137</v>
      </c>
      <c r="C1819" s="334" t="s">
        <v>16</v>
      </c>
    </row>
    <row r="1820" spans="1:4" x14ac:dyDescent="0.2">
      <c r="A1820" s="334" t="s">
        <v>5281</v>
      </c>
      <c r="B1820" s="334" t="s">
        <v>8138</v>
      </c>
      <c r="C1820" s="334" t="s">
        <v>2338</v>
      </c>
    </row>
    <row r="1821" spans="1:4" x14ac:dyDescent="0.2">
      <c r="A1821" s="334" t="s">
        <v>5282</v>
      </c>
      <c r="B1821" s="334" t="s">
        <v>8139</v>
      </c>
      <c r="C1821" s="334" t="s">
        <v>2338</v>
      </c>
    </row>
    <row r="1822" spans="1:4" x14ac:dyDescent="0.2">
      <c r="A1822" s="347" t="s">
        <v>3015</v>
      </c>
      <c r="B1822" s="347" t="s">
        <v>2345</v>
      </c>
      <c r="C1822" s="347" t="s">
        <v>2338</v>
      </c>
      <c r="D1822" s="348" t="s">
        <v>10271</v>
      </c>
    </row>
    <row r="1823" spans="1:4" x14ac:dyDescent="0.2">
      <c r="A1823" s="334" t="s">
        <v>5283</v>
      </c>
      <c r="B1823" s="334" t="s">
        <v>8140</v>
      </c>
      <c r="C1823" s="334" t="s">
        <v>2338</v>
      </c>
    </row>
    <row r="1824" spans="1:4" x14ac:dyDescent="0.2">
      <c r="A1824" s="334" t="s">
        <v>5284</v>
      </c>
      <c r="B1824" s="334" t="s">
        <v>8141</v>
      </c>
      <c r="C1824" s="334" t="s">
        <v>2338</v>
      </c>
    </row>
    <row r="1825" spans="1:3" x14ac:dyDescent="0.2">
      <c r="A1825" s="334" t="s">
        <v>1971</v>
      </c>
      <c r="B1825" s="334" t="s">
        <v>8142</v>
      </c>
      <c r="C1825" s="334" t="s">
        <v>2338</v>
      </c>
    </row>
    <row r="1826" spans="1:3" x14ac:dyDescent="0.2">
      <c r="A1826" s="334" t="s">
        <v>5285</v>
      </c>
      <c r="B1826" s="334" t="s">
        <v>8143</v>
      </c>
      <c r="C1826" s="334" t="s">
        <v>2338</v>
      </c>
    </row>
    <row r="1827" spans="1:3" x14ac:dyDescent="0.2">
      <c r="A1827" s="334" t="s">
        <v>5286</v>
      </c>
      <c r="B1827" s="334" t="s">
        <v>8144</v>
      </c>
      <c r="C1827" s="334" t="s">
        <v>11</v>
      </c>
    </row>
    <row r="1828" spans="1:3" x14ac:dyDescent="0.2">
      <c r="A1828" s="334" t="s">
        <v>5287</v>
      </c>
      <c r="B1828" s="334" t="s">
        <v>8145</v>
      </c>
      <c r="C1828" s="334" t="s">
        <v>11</v>
      </c>
    </row>
    <row r="1829" spans="1:3" x14ac:dyDescent="0.2">
      <c r="A1829" s="334" t="s">
        <v>1972</v>
      </c>
      <c r="B1829" s="334" t="s">
        <v>8146</v>
      </c>
      <c r="C1829" s="334" t="s">
        <v>2338</v>
      </c>
    </row>
    <row r="1830" spans="1:3" x14ac:dyDescent="0.2">
      <c r="A1830" s="334" t="s">
        <v>5288</v>
      </c>
      <c r="B1830" s="334" t="s">
        <v>8147</v>
      </c>
      <c r="C1830" s="334" t="s">
        <v>52</v>
      </c>
    </row>
    <row r="1831" spans="1:3" x14ac:dyDescent="0.2">
      <c r="A1831" s="334" t="s">
        <v>5289</v>
      </c>
      <c r="B1831" s="334" t="s">
        <v>8148</v>
      </c>
      <c r="C1831" s="334" t="s">
        <v>52</v>
      </c>
    </row>
    <row r="1832" spans="1:3" x14ac:dyDescent="0.2">
      <c r="A1832" s="334" t="s">
        <v>5290</v>
      </c>
      <c r="B1832" s="334" t="s">
        <v>2635</v>
      </c>
      <c r="C1832" s="334" t="s">
        <v>16</v>
      </c>
    </row>
    <row r="1833" spans="1:3" x14ac:dyDescent="0.2">
      <c r="A1833" s="334" t="s">
        <v>5291</v>
      </c>
      <c r="B1833" s="334" t="s">
        <v>2634</v>
      </c>
      <c r="C1833" s="334" t="s">
        <v>16</v>
      </c>
    </row>
    <row r="1834" spans="1:3" x14ac:dyDescent="0.2">
      <c r="A1834" s="334" t="s">
        <v>5292</v>
      </c>
      <c r="B1834" s="334" t="s">
        <v>2640</v>
      </c>
      <c r="C1834" s="334" t="s">
        <v>25</v>
      </c>
    </row>
    <row r="1835" spans="1:3" x14ac:dyDescent="0.2">
      <c r="A1835" s="334" t="s">
        <v>5293</v>
      </c>
      <c r="B1835" s="334" t="s">
        <v>8149</v>
      </c>
      <c r="C1835" s="334" t="s">
        <v>16</v>
      </c>
    </row>
    <row r="1836" spans="1:3" x14ac:dyDescent="0.2">
      <c r="A1836" s="334" t="s">
        <v>5294</v>
      </c>
      <c r="B1836" s="334" t="s">
        <v>8150</v>
      </c>
      <c r="C1836" s="334" t="s">
        <v>16</v>
      </c>
    </row>
    <row r="1837" spans="1:3" x14ac:dyDescent="0.2">
      <c r="A1837" s="334" t="s">
        <v>5295</v>
      </c>
      <c r="B1837" s="334" t="s">
        <v>8150</v>
      </c>
      <c r="C1837" s="334" t="s">
        <v>16</v>
      </c>
    </row>
    <row r="1838" spans="1:3" x14ac:dyDescent="0.2">
      <c r="A1838" s="334" t="s">
        <v>5296</v>
      </c>
      <c r="B1838" s="334" t="s">
        <v>8151</v>
      </c>
      <c r="C1838" s="334" t="s">
        <v>16</v>
      </c>
    </row>
    <row r="1839" spans="1:3" x14ac:dyDescent="0.2">
      <c r="A1839" s="334" t="s">
        <v>5297</v>
      </c>
      <c r="B1839" s="334" t="s">
        <v>8151</v>
      </c>
      <c r="C1839" s="334" t="s">
        <v>16</v>
      </c>
    </row>
    <row r="1840" spans="1:3" x14ac:dyDescent="0.2">
      <c r="A1840" s="334" t="s">
        <v>5298</v>
      </c>
      <c r="B1840" s="334" t="s">
        <v>8152</v>
      </c>
      <c r="C1840" s="334" t="s">
        <v>16</v>
      </c>
    </row>
    <row r="1841" spans="1:3" x14ac:dyDescent="0.2">
      <c r="A1841" s="334" t="s">
        <v>5299</v>
      </c>
      <c r="B1841" s="334" t="s">
        <v>8153</v>
      </c>
      <c r="C1841" s="334" t="s">
        <v>16</v>
      </c>
    </row>
    <row r="1842" spans="1:3" x14ac:dyDescent="0.2">
      <c r="A1842" s="334" t="s">
        <v>5300</v>
      </c>
      <c r="B1842" s="334" t="s">
        <v>8154</v>
      </c>
      <c r="C1842" s="334" t="s">
        <v>16</v>
      </c>
    </row>
    <row r="1843" spans="1:3" x14ac:dyDescent="0.2">
      <c r="A1843" s="334" t="s">
        <v>5301</v>
      </c>
      <c r="B1843" s="334" t="s">
        <v>8155</v>
      </c>
      <c r="C1843" s="334" t="s">
        <v>16</v>
      </c>
    </row>
    <row r="1844" spans="1:3" x14ac:dyDescent="0.2">
      <c r="A1844" s="334" t="s">
        <v>5302</v>
      </c>
      <c r="B1844" s="334" t="s">
        <v>8154</v>
      </c>
      <c r="C1844" s="334" t="s">
        <v>16</v>
      </c>
    </row>
    <row r="1845" spans="1:3" x14ac:dyDescent="0.2">
      <c r="A1845" s="334" t="s">
        <v>5303</v>
      </c>
      <c r="B1845" s="334" t="s">
        <v>8156</v>
      </c>
      <c r="C1845" s="334" t="s">
        <v>16</v>
      </c>
    </row>
    <row r="1846" spans="1:3" x14ac:dyDescent="0.2">
      <c r="A1846" s="334" t="s">
        <v>5304</v>
      </c>
      <c r="B1846" s="334" t="s">
        <v>8157</v>
      </c>
      <c r="C1846" s="334" t="s">
        <v>16</v>
      </c>
    </row>
    <row r="1847" spans="1:3" x14ac:dyDescent="0.2">
      <c r="A1847" s="334" t="s">
        <v>5305</v>
      </c>
      <c r="B1847" s="334" t="s">
        <v>8158</v>
      </c>
      <c r="C1847" s="334" t="s">
        <v>16</v>
      </c>
    </row>
    <row r="1848" spans="1:3" x14ac:dyDescent="0.2">
      <c r="A1848" s="334" t="s">
        <v>5306</v>
      </c>
      <c r="B1848" s="334" t="s">
        <v>8159</v>
      </c>
      <c r="C1848" s="334" t="s">
        <v>16</v>
      </c>
    </row>
    <row r="1849" spans="1:3" x14ac:dyDescent="0.2">
      <c r="A1849" s="334" t="s">
        <v>5307</v>
      </c>
      <c r="B1849" s="334" t="s">
        <v>8160</v>
      </c>
      <c r="C1849" s="334" t="s">
        <v>16</v>
      </c>
    </row>
    <row r="1850" spans="1:3" x14ac:dyDescent="0.2">
      <c r="A1850" s="334" t="s">
        <v>5308</v>
      </c>
      <c r="B1850" s="334" t="s">
        <v>8156</v>
      </c>
      <c r="C1850" s="334" t="s">
        <v>16</v>
      </c>
    </row>
    <row r="1851" spans="1:3" x14ac:dyDescent="0.2">
      <c r="A1851" s="334" t="s">
        <v>5309</v>
      </c>
      <c r="B1851" s="334" t="s">
        <v>8154</v>
      </c>
      <c r="C1851" s="334" t="s">
        <v>16</v>
      </c>
    </row>
    <row r="1852" spans="1:3" x14ac:dyDescent="0.2">
      <c r="A1852" s="334" t="s">
        <v>5310</v>
      </c>
      <c r="B1852" s="334" t="s">
        <v>8161</v>
      </c>
      <c r="C1852" s="334" t="s">
        <v>16</v>
      </c>
    </row>
    <row r="1853" spans="1:3" x14ac:dyDescent="0.2">
      <c r="A1853" s="334" t="s">
        <v>5311</v>
      </c>
      <c r="B1853" s="334" t="s">
        <v>8162</v>
      </c>
      <c r="C1853" s="334" t="s">
        <v>25</v>
      </c>
    </row>
    <row r="1854" spans="1:3" x14ac:dyDescent="0.2">
      <c r="A1854" s="334" t="s">
        <v>5312</v>
      </c>
      <c r="B1854" s="334" t="s">
        <v>8163</v>
      </c>
      <c r="C1854" s="334" t="s">
        <v>25</v>
      </c>
    </row>
    <row r="1855" spans="1:3" x14ac:dyDescent="0.2">
      <c r="A1855" s="334" t="s">
        <v>5313</v>
      </c>
      <c r="B1855" s="334" t="s">
        <v>8164</v>
      </c>
      <c r="C1855" s="334" t="s">
        <v>16</v>
      </c>
    </row>
    <row r="1856" spans="1:3" x14ac:dyDescent="0.2">
      <c r="A1856" s="334" t="s">
        <v>5314</v>
      </c>
      <c r="B1856" s="334" t="s">
        <v>2922</v>
      </c>
      <c r="C1856" s="334" t="s">
        <v>16</v>
      </c>
    </row>
    <row r="1857" spans="1:3" x14ac:dyDescent="0.2">
      <c r="A1857" s="334" t="s">
        <v>5315</v>
      </c>
      <c r="B1857" s="334" t="s">
        <v>8165</v>
      </c>
      <c r="C1857" s="334" t="s">
        <v>16</v>
      </c>
    </row>
    <row r="1858" spans="1:3" x14ac:dyDescent="0.2">
      <c r="A1858" s="334" t="s">
        <v>5316</v>
      </c>
      <c r="B1858" s="334" t="s">
        <v>8166</v>
      </c>
      <c r="C1858" s="334" t="s">
        <v>16</v>
      </c>
    </row>
    <row r="1859" spans="1:3" x14ac:dyDescent="0.2">
      <c r="A1859" s="334" t="s">
        <v>5317</v>
      </c>
      <c r="B1859" s="334" t="s">
        <v>8167</v>
      </c>
      <c r="C1859" s="334" t="s">
        <v>25</v>
      </c>
    </row>
    <row r="1860" spans="1:3" x14ac:dyDescent="0.2">
      <c r="A1860" s="334" t="s">
        <v>5318</v>
      </c>
      <c r="B1860" s="334" t="s">
        <v>8168</v>
      </c>
      <c r="C1860" s="334" t="s">
        <v>25</v>
      </c>
    </row>
    <row r="1861" spans="1:3" x14ac:dyDescent="0.2">
      <c r="A1861" s="334" t="s">
        <v>5319</v>
      </c>
      <c r="B1861" s="334" t="s">
        <v>8169</v>
      </c>
      <c r="C1861" s="334" t="s">
        <v>16</v>
      </c>
    </row>
    <row r="1862" spans="1:3" x14ac:dyDescent="0.2">
      <c r="A1862" s="334" t="s">
        <v>5320</v>
      </c>
      <c r="B1862" s="334" t="s">
        <v>8137</v>
      </c>
      <c r="C1862" s="334" t="s">
        <v>16</v>
      </c>
    </row>
    <row r="1863" spans="1:3" x14ac:dyDescent="0.2">
      <c r="A1863" s="334" t="s">
        <v>5321</v>
      </c>
      <c r="B1863" s="334" t="s">
        <v>8170</v>
      </c>
      <c r="C1863" s="334" t="s">
        <v>25</v>
      </c>
    </row>
    <row r="1864" spans="1:3" x14ac:dyDescent="0.2">
      <c r="A1864" s="334" t="s">
        <v>5322</v>
      </c>
      <c r="B1864" s="334" t="s">
        <v>8171</v>
      </c>
      <c r="C1864" s="334" t="s">
        <v>25</v>
      </c>
    </row>
    <row r="1865" spans="1:3" x14ac:dyDescent="0.2">
      <c r="A1865" s="334" t="s">
        <v>5323</v>
      </c>
      <c r="B1865" s="334" t="s">
        <v>8172</v>
      </c>
      <c r="C1865" s="334" t="s">
        <v>25</v>
      </c>
    </row>
    <row r="1866" spans="1:3" x14ac:dyDescent="0.2">
      <c r="A1866" s="334" t="s">
        <v>5324</v>
      </c>
      <c r="B1866" s="334" t="s">
        <v>8173</v>
      </c>
      <c r="C1866" s="334" t="s">
        <v>16</v>
      </c>
    </row>
    <row r="1867" spans="1:3" x14ac:dyDescent="0.2">
      <c r="A1867" s="334" t="s">
        <v>5325</v>
      </c>
      <c r="B1867" s="334" t="s">
        <v>8174</v>
      </c>
      <c r="C1867" s="334" t="s">
        <v>11</v>
      </c>
    </row>
    <row r="1868" spans="1:3" x14ac:dyDescent="0.2">
      <c r="A1868" s="334" t="s">
        <v>5326</v>
      </c>
      <c r="B1868" s="334" t="s">
        <v>8175</v>
      </c>
      <c r="C1868" s="334" t="s">
        <v>11</v>
      </c>
    </row>
    <row r="1869" spans="1:3" x14ac:dyDescent="0.2">
      <c r="A1869" s="334" t="s">
        <v>5327</v>
      </c>
      <c r="B1869" s="334" t="s">
        <v>2923</v>
      </c>
      <c r="C1869" s="334" t="s">
        <v>25</v>
      </c>
    </row>
    <row r="1870" spans="1:3" x14ac:dyDescent="0.2">
      <c r="A1870" s="334" t="s">
        <v>5328</v>
      </c>
      <c r="B1870" s="334" t="s">
        <v>8176</v>
      </c>
      <c r="C1870" s="334" t="s">
        <v>16</v>
      </c>
    </row>
    <row r="1871" spans="1:3" x14ac:dyDescent="0.2">
      <c r="A1871" s="334" t="s">
        <v>5329</v>
      </c>
      <c r="B1871" s="334" t="s">
        <v>8177</v>
      </c>
      <c r="C1871" s="334" t="s">
        <v>16</v>
      </c>
    </row>
    <row r="1872" spans="1:3" x14ac:dyDescent="0.2">
      <c r="A1872" s="334" t="s">
        <v>5330</v>
      </c>
      <c r="B1872" s="334" t="s">
        <v>8178</v>
      </c>
      <c r="C1872" s="334" t="s">
        <v>16</v>
      </c>
    </row>
    <row r="1873" spans="1:3" x14ac:dyDescent="0.2">
      <c r="A1873" s="334" t="s">
        <v>5331</v>
      </c>
      <c r="B1873" s="334" t="s">
        <v>8179</v>
      </c>
      <c r="C1873" s="334" t="s">
        <v>7372</v>
      </c>
    </row>
    <row r="1874" spans="1:3" x14ac:dyDescent="0.2">
      <c r="A1874" s="334" t="s">
        <v>5332</v>
      </c>
      <c r="B1874" s="334" t="s">
        <v>8180</v>
      </c>
      <c r="C1874" s="334" t="s">
        <v>11</v>
      </c>
    </row>
    <row r="1875" spans="1:3" x14ac:dyDescent="0.2">
      <c r="A1875" s="334" t="s">
        <v>5333</v>
      </c>
      <c r="B1875" s="334" t="s">
        <v>8181</v>
      </c>
      <c r="C1875" s="334" t="s">
        <v>16</v>
      </c>
    </row>
    <row r="1876" spans="1:3" x14ac:dyDescent="0.2">
      <c r="A1876" s="334" t="s">
        <v>5334</v>
      </c>
      <c r="B1876" s="334" t="s">
        <v>8182</v>
      </c>
      <c r="C1876" s="334" t="s">
        <v>16</v>
      </c>
    </row>
    <row r="1877" spans="1:3" x14ac:dyDescent="0.2">
      <c r="A1877" s="334" t="s">
        <v>5335</v>
      </c>
      <c r="B1877" s="334" t="s">
        <v>2976</v>
      </c>
      <c r="C1877" s="334" t="s">
        <v>52</v>
      </c>
    </row>
    <row r="1878" spans="1:3" x14ac:dyDescent="0.2">
      <c r="A1878" s="334" t="s">
        <v>5336</v>
      </c>
      <c r="B1878" s="334" t="s">
        <v>8183</v>
      </c>
      <c r="C1878" s="334" t="s">
        <v>16</v>
      </c>
    </row>
    <row r="1879" spans="1:3" x14ac:dyDescent="0.2">
      <c r="A1879" s="334" t="s">
        <v>5337</v>
      </c>
      <c r="B1879" s="334" t="s">
        <v>8183</v>
      </c>
      <c r="C1879" s="334" t="s">
        <v>16</v>
      </c>
    </row>
    <row r="1880" spans="1:3" x14ac:dyDescent="0.2">
      <c r="A1880" s="334" t="s">
        <v>5338</v>
      </c>
      <c r="B1880" s="334" t="s">
        <v>8184</v>
      </c>
      <c r="C1880" s="334" t="s">
        <v>16</v>
      </c>
    </row>
    <row r="1881" spans="1:3" x14ac:dyDescent="0.2">
      <c r="A1881" s="334" t="s">
        <v>5339</v>
      </c>
      <c r="B1881" s="334" t="s">
        <v>8185</v>
      </c>
      <c r="C1881" s="334" t="s">
        <v>2338</v>
      </c>
    </row>
    <row r="1882" spans="1:3" x14ac:dyDescent="0.2">
      <c r="A1882" s="334" t="s">
        <v>5340</v>
      </c>
      <c r="B1882" s="334" t="s">
        <v>3000</v>
      </c>
      <c r="C1882" s="334" t="s">
        <v>16</v>
      </c>
    </row>
    <row r="1883" spans="1:3" x14ac:dyDescent="0.2">
      <c r="A1883" s="334" t="s">
        <v>5341</v>
      </c>
      <c r="B1883" s="334" t="s">
        <v>5342</v>
      </c>
      <c r="C1883" s="334" t="s">
        <v>11</v>
      </c>
    </row>
    <row r="1884" spans="1:3" x14ac:dyDescent="0.2">
      <c r="A1884" s="334" t="s">
        <v>5343</v>
      </c>
      <c r="B1884" s="334" t="s">
        <v>8186</v>
      </c>
      <c r="C1884" s="334" t="s">
        <v>16</v>
      </c>
    </row>
    <row r="1885" spans="1:3" x14ac:dyDescent="0.2">
      <c r="A1885" s="334" t="s">
        <v>5344</v>
      </c>
      <c r="B1885" s="334" t="s">
        <v>8187</v>
      </c>
      <c r="C1885" s="334" t="s">
        <v>2338</v>
      </c>
    </row>
    <row r="1886" spans="1:3" x14ac:dyDescent="0.2">
      <c r="A1886" s="334" t="s">
        <v>5345</v>
      </c>
      <c r="B1886" s="334" t="s">
        <v>8188</v>
      </c>
      <c r="C1886" s="334" t="s">
        <v>11</v>
      </c>
    </row>
    <row r="1887" spans="1:3" x14ac:dyDescent="0.2">
      <c r="A1887" s="334" t="s">
        <v>5346</v>
      </c>
      <c r="B1887" s="334" t="s">
        <v>8189</v>
      </c>
      <c r="C1887" s="334" t="s">
        <v>11</v>
      </c>
    </row>
    <row r="1888" spans="1:3" x14ac:dyDescent="0.2">
      <c r="A1888" s="334" t="s">
        <v>5347</v>
      </c>
      <c r="B1888" s="334" t="s">
        <v>8190</v>
      </c>
      <c r="C1888" s="334" t="s">
        <v>11</v>
      </c>
    </row>
    <row r="1889" spans="1:4" x14ac:dyDescent="0.2">
      <c r="A1889" s="334" t="s">
        <v>5348</v>
      </c>
      <c r="B1889" s="334" t="s">
        <v>8191</v>
      </c>
      <c r="C1889" s="334" t="s">
        <v>11</v>
      </c>
    </row>
    <row r="1890" spans="1:4" x14ac:dyDescent="0.2">
      <c r="A1890" s="334" t="s">
        <v>5349</v>
      </c>
      <c r="B1890" s="334" t="s">
        <v>8192</v>
      </c>
      <c r="C1890" s="334" t="s">
        <v>11</v>
      </c>
    </row>
    <row r="1891" spans="1:4" x14ac:dyDescent="0.2">
      <c r="A1891" s="334" t="s">
        <v>5350</v>
      </c>
      <c r="B1891" s="334" t="s">
        <v>8193</v>
      </c>
      <c r="C1891" s="334" t="s">
        <v>11</v>
      </c>
    </row>
    <row r="1892" spans="1:4" x14ac:dyDescent="0.2">
      <c r="A1892" s="334" t="s">
        <v>5351</v>
      </c>
      <c r="B1892" s="334" t="s">
        <v>8194</v>
      </c>
      <c r="C1892" s="334" t="s">
        <v>2338</v>
      </c>
    </row>
    <row r="1893" spans="1:4" x14ac:dyDescent="0.2">
      <c r="A1893" s="334" t="s">
        <v>5352</v>
      </c>
      <c r="B1893" s="334" t="s">
        <v>8195</v>
      </c>
      <c r="C1893" s="334" t="s">
        <v>16</v>
      </c>
    </row>
    <row r="1894" spans="1:4" x14ac:dyDescent="0.2">
      <c r="A1894" s="347" t="s">
        <v>1973</v>
      </c>
      <c r="B1894" s="347" t="s">
        <v>8196</v>
      </c>
      <c r="C1894" s="347" t="s">
        <v>2338</v>
      </c>
      <c r="D1894" s="348" t="s">
        <v>10271</v>
      </c>
    </row>
    <row r="1895" spans="1:4" x14ac:dyDescent="0.2">
      <c r="A1895" s="347" t="s">
        <v>1974</v>
      </c>
      <c r="B1895" s="347" t="s">
        <v>6877</v>
      </c>
      <c r="C1895" s="347" t="s">
        <v>2338</v>
      </c>
      <c r="D1895" s="348" t="s">
        <v>10271</v>
      </c>
    </row>
    <row r="1896" spans="1:4" x14ac:dyDescent="0.2">
      <c r="A1896" s="334" t="s">
        <v>1975</v>
      </c>
      <c r="B1896" s="334" t="s">
        <v>8197</v>
      </c>
      <c r="C1896" s="334" t="s">
        <v>16</v>
      </c>
    </row>
    <row r="1897" spans="1:4" x14ac:dyDescent="0.2">
      <c r="A1897" s="334" t="s">
        <v>1976</v>
      </c>
      <c r="B1897" s="334" t="s">
        <v>8198</v>
      </c>
      <c r="C1897" s="334" t="s">
        <v>16</v>
      </c>
    </row>
    <row r="1898" spans="1:4" x14ac:dyDescent="0.2">
      <c r="A1898" s="334" t="s">
        <v>5353</v>
      </c>
      <c r="B1898" s="334" t="s">
        <v>8199</v>
      </c>
      <c r="C1898" s="334" t="s">
        <v>16</v>
      </c>
    </row>
    <row r="1899" spans="1:4" x14ac:dyDescent="0.2">
      <c r="A1899" s="334" t="s">
        <v>5354</v>
      </c>
      <c r="B1899" s="334" t="s">
        <v>8200</v>
      </c>
      <c r="C1899" s="334" t="s">
        <v>25</v>
      </c>
    </row>
    <row r="1900" spans="1:4" x14ac:dyDescent="0.2">
      <c r="A1900" s="347" t="s">
        <v>3291</v>
      </c>
      <c r="B1900" s="347" t="s">
        <v>8201</v>
      </c>
      <c r="C1900" s="347" t="s">
        <v>11</v>
      </c>
      <c r="D1900" s="348" t="s">
        <v>10271</v>
      </c>
    </row>
    <row r="1901" spans="1:4" x14ac:dyDescent="0.2">
      <c r="A1901" s="347" t="s">
        <v>3293</v>
      </c>
      <c r="B1901" s="347" t="s">
        <v>8202</v>
      </c>
      <c r="C1901" s="347" t="s">
        <v>11</v>
      </c>
      <c r="D1901" s="348" t="s">
        <v>10271</v>
      </c>
    </row>
    <row r="1902" spans="1:4" x14ac:dyDescent="0.2">
      <c r="A1902" s="347" t="s">
        <v>3295</v>
      </c>
      <c r="B1902" s="347" t="s">
        <v>8203</v>
      </c>
      <c r="C1902" s="347" t="s">
        <v>11</v>
      </c>
      <c r="D1902" s="348" t="s">
        <v>10271</v>
      </c>
    </row>
    <row r="1903" spans="1:4" x14ac:dyDescent="0.2">
      <c r="A1903" s="347" t="s">
        <v>3297</v>
      </c>
      <c r="B1903" s="347" t="s">
        <v>8204</v>
      </c>
      <c r="C1903" s="347" t="s">
        <v>11</v>
      </c>
      <c r="D1903" s="348" t="s">
        <v>10271</v>
      </c>
    </row>
    <row r="1904" spans="1:4" x14ac:dyDescent="0.2">
      <c r="A1904" s="347" t="s">
        <v>3339</v>
      </c>
      <c r="B1904" s="347" t="s">
        <v>8205</v>
      </c>
      <c r="C1904" s="347" t="s">
        <v>11</v>
      </c>
      <c r="D1904" s="348" t="s">
        <v>10271</v>
      </c>
    </row>
    <row r="1905" spans="1:4" x14ac:dyDescent="0.2">
      <c r="A1905" s="347" t="s">
        <v>3341</v>
      </c>
      <c r="B1905" s="347" t="s">
        <v>8206</v>
      </c>
      <c r="C1905" s="347" t="s">
        <v>11</v>
      </c>
      <c r="D1905" s="348" t="s">
        <v>10271</v>
      </c>
    </row>
    <row r="1906" spans="1:4" x14ac:dyDescent="0.2">
      <c r="A1906" s="334" t="s">
        <v>249</v>
      </c>
      <c r="B1906" s="334" t="s">
        <v>8207</v>
      </c>
      <c r="C1906" s="334" t="s">
        <v>52</v>
      </c>
    </row>
    <row r="1907" spans="1:4" x14ac:dyDescent="0.2">
      <c r="A1907" s="334" t="s">
        <v>1979</v>
      </c>
      <c r="B1907" s="334" t="s">
        <v>8208</v>
      </c>
      <c r="C1907" s="334" t="s">
        <v>2338</v>
      </c>
    </row>
    <row r="1908" spans="1:4" x14ac:dyDescent="0.2">
      <c r="A1908" s="347" t="s">
        <v>1980</v>
      </c>
      <c r="B1908" s="347" t="s">
        <v>8209</v>
      </c>
      <c r="C1908" s="347" t="s">
        <v>2557</v>
      </c>
      <c r="D1908" s="348" t="s">
        <v>10271</v>
      </c>
    </row>
    <row r="1909" spans="1:4" x14ac:dyDescent="0.2">
      <c r="A1909" s="347" t="s">
        <v>3010</v>
      </c>
      <c r="B1909" s="347" t="s">
        <v>2342</v>
      </c>
      <c r="C1909" s="347" t="s">
        <v>2338</v>
      </c>
      <c r="D1909" s="348" t="s">
        <v>10271</v>
      </c>
    </row>
    <row r="1910" spans="1:4" x14ac:dyDescent="0.2">
      <c r="A1910" s="347" t="s">
        <v>3112</v>
      </c>
      <c r="B1910" s="347" t="s">
        <v>2426</v>
      </c>
      <c r="C1910" s="347" t="s">
        <v>2338</v>
      </c>
      <c r="D1910" s="348" t="s">
        <v>10271</v>
      </c>
    </row>
    <row r="1911" spans="1:4" x14ac:dyDescent="0.2">
      <c r="A1911" s="347" t="s">
        <v>3216</v>
      </c>
      <c r="B1911" s="347" t="s">
        <v>2577</v>
      </c>
      <c r="C1911" s="347" t="s">
        <v>2338</v>
      </c>
      <c r="D1911" s="348" t="s">
        <v>10271</v>
      </c>
    </row>
    <row r="1912" spans="1:4" x14ac:dyDescent="0.2">
      <c r="A1912" s="347" t="s">
        <v>5355</v>
      </c>
      <c r="B1912" s="347" t="s">
        <v>8210</v>
      </c>
      <c r="C1912" s="347" t="s">
        <v>2338</v>
      </c>
      <c r="D1912" s="348" t="s">
        <v>10271</v>
      </c>
    </row>
    <row r="1913" spans="1:4" x14ac:dyDescent="0.2">
      <c r="A1913" s="347" t="s">
        <v>5356</v>
      </c>
      <c r="B1913" s="347" t="s">
        <v>8211</v>
      </c>
      <c r="C1913" s="347" t="s">
        <v>2338</v>
      </c>
      <c r="D1913" s="348" t="s">
        <v>10271</v>
      </c>
    </row>
    <row r="1914" spans="1:4" x14ac:dyDescent="0.2">
      <c r="A1914" s="347" t="s">
        <v>5357</v>
      </c>
      <c r="B1914" s="347" t="s">
        <v>8212</v>
      </c>
      <c r="C1914" s="347" t="s">
        <v>11</v>
      </c>
      <c r="D1914" s="348" t="s">
        <v>10271</v>
      </c>
    </row>
    <row r="1915" spans="1:4" x14ac:dyDescent="0.2">
      <c r="A1915" s="347" t="s">
        <v>5358</v>
      </c>
      <c r="B1915" s="347" t="s">
        <v>8213</v>
      </c>
      <c r="C1915" s="347" t="s">
        <v>11</v>
      </c>
      <c r="D1915" s="348" t="s">
        <v>10271</v>
      </c>
    </row>
    <row r="1916" spans="1:4" x14ac:dyDescent="0.2">
      <c r="A1916" s="347" t="s">
        <v>5359</v>
      </c>
      <c r="B1916" s="347" t="s">
        <v>8214</v>
      </c>
      <c r="C1916" s="347" t="s">
        <v>2338</v>
      </c>
      <c r="D1916" s="348" t="s">
        <v>10271</v>
      </c>
    </row>
    <row r="1917" spans="1:4" x14ac:dyDescent="0.2">
      <c r="A1917" s="347" t="s">
        <v>3204</v>
      </c>
      <c r="B1917" s="347" t="s">
        <v>8215</v>
      </c>
      <c r="C1917" s="347" t="s">
        <v>2338</v>
      </c>
      <c r="D1917" s="348" t="s">
        <v>10271</v>
      </c>
    </row>
    <row r="1918" spans="1:4" x14ac:dyDescent="0.2">
      <c r="A1918" s="347" t="s">
        <v>3047</v>
      </c>
      <c r="B1918" s="347" t="s">
        <v>2369</v>
      </c>
      <c r="C1918" s="347" t="s">
        <v>2338</v>
      </c>
      <c r="D1918" s="348" t="s">
        <v>10271</v>
      </c>
    </row>
    <row r="1919" spans="1:4" x14ac:dyDescent="0.2">
      <c r="A1919" s="347" t="s">
        <v>3197</v>
      </c>
      <c r="B1919" s="347" t="s">
        <v>2528</v>
      </c>
      <c r="C1919" s="347" t="s">
        <v>6604</v>
      </c>
      <c r="D1919" s="348" t="s">
        <v>10271</v>
      </c>
    </row>
    <row r="1920" spans="1:4" x14ac:dyDescent="0.2">
      <c r="A1920" s="347" t="s">
        <v>3191</v>
      </c>
      <c r="B1920" s="347" t="s">
        <v>8216</v>
      </c>
      <c r="C1920" s="347" t="s">
        <v>2338</v>
      </c>
      <c r="D1920" s="348" t="s">
        <v>10271</v>
      </c>
    </row>
    <row r="1921" spans="1:4" x14ac:dyDescent="0.2">
      <c r="A1921" s="347" t="s">
        <v>3193</v>
      </c>
      <c r="B1921" s="347" t="s">
        <v>2526</v>
      </c>
      <c r="C1921" s="347" t="s">
        <v>2338</v>
      </c>
      <c r="D1921" s="348" t="s">
        <v>10271</v>
      </c>
    </row>
    <row r="1922" spans="1:4" x14ac:dyDescent="0.2">
      <c r="A1922" s="347" t="s">
        <v>3175</v>
      </c>
      <c r="B1922" s="347" t="s">
        <v>2510</v>
      </c>
      <c r="C1922" s="347" t="s">
        <v>2338</v>
      </c>
      <c r="D1922" s="348" t="s">
        <v>10271</v>
      </c>
    </row>
    <row r="1923" spans="1:4" x14ac:dyDescent="0.2">
      <c r="A1923" s="347" t="s">
        <v>3119</v>
      </c>
      <c r="B1923" s="347" t="s">
        <v>2431</v>
      </c>
      <c r="C1923" s="347" t="s">
        <v>6604</v>
      </c>
      <c r="D1923" s="348" t="s">
        <v>10271</v>
      </c>
    </row>
    <row r="1924" spans="1:4" x14ac:dyDescent="0.2">
      <c r="A1924" s="347" t="s">
        <v>5360</v>
      </c>
      <c r="B1924" s="347" t="s">
        <v>8217</v>
      </c>
      <c r="C1924" s="347" t="s">
        <v>2338</v>
      </c>
      <c r="D1924" s="348" t="s">
        <v>10271</v>
      </c>
    </row>
    <row r="1925" spans="1:4" x14ac:dyDescent="0.2">
      <c r="A1925" s="347" t="s">
        <v>5361</v>
      </c>
      <c r="B1925" s="347" t="s">
        <v>8218</v>
      </c>
      <c r="C1925" s="347" t="s">
        <v>2338</v>
      </c>
      <c r="D1925" s="348" t="s">
        <v>10271</v>
      </c>
    </row>
    <row r="1926" spans="1:4" x14ac:dyDescent="0.2">
      <c r="A1926" s="334" t="s">
        <v>1983</v>
      </c>
      <c r="B1926" s="334" t="s">
        <v>8219</v>
      </c>
      <c r="C1926" s="334" t="s">
        <v>16</v>
      </c>
    </row>
    <row r="1927" spans="1:4" x14ac:dyDescent="0.2">
      <c r="A1927" s="334" t="s">
        <v>1984</v>
      </c>
      <c r="B1927" s="334" t="s">
        <v>8220</v>
      </c>
      <c r="C1927" s="334" t="s">
        <v>16</v>
      </c>
    </row>
    <row r="1928" spans="1:4" x14ac:dyDescent="0.2">
      <c r="A1928" s="334" t="s">
        <v>1985</v>
      </c>
      <c r="B1928" s="334" t="s">
        <v>8221</v>
      </c>
      <c r="C1928" s="334" t="s">
        <v>16</v>
      </c>
    </row>
    <row r="1929" spans="1:4" x14ac:dyDescent="0.2">
      <c r="A1929" s="347" t="s">
        <v>1986</v>
      </c>
      <c r="B1929" s="347" t="s">
        <v>2361</v>
      </c>
      <c r="C1929" s="347" t="s">
        <v>2338</v>
      </c>
      <c r="D1929" s="348" t="s">
        <v>10271</v>
      </c>
    </row>
    <row r="1930" spans="1:4" x14ac:dyDescent="0.2">
      <c r="A1930" s="334" t="s">
        <v>1987</v>
      </c>
      <c r="B1930" s="334" t="s">
        <v>5362</v>
      </c>
      <c r="C1930" s="334" t="s">
        <v>6602</v>
      </c>
    </row>
    <row r="1931" spans="1:4" x14ac:dyDescent="0.2">
      <c r="A1931" s="334" t="s">
        <v>1988</v>
      </c>
      <c r="B1931" s="334" t="s">
        <v>8222</v>
      </c>
      <c r="C1931" s="334" t="s">
        <v>6602</v>
      </c>
    </row>
    <row r="1932" spans="1:4" x14ac:dyDescent="0.2">
      <c r="A1932" s="334" t="s">
        <v>366</v>
      </c>
      <c r="B1932" s="334" t="s">
        <v>8223</v>
      </c>
      <c r="C1932" s="334" t="s">
        <v>25</v>
      </c>
    </row>
    <row r="1933" spans="1:4" x14ac:dyDescent="0.2">
      <c r="A1933" s="334" t="s">
        <v>1989</v>
      </c>
      <c r="B1933" s="334" t="s">
        <v>8224</v>
      </c>
      <c r="C1933" s="334" t="s">
        <v>11</v>
      </c>
    </row>
    <row r="1934" spans="1:4" x14ac:dyDescent="0.2">
      <c r="A1934" s="334" t="s">
        <v>1990</v>
      </c>
      <c r="B1934" s="334" t="s">
        <v>8225</v>
      </c>
      <c r="C1934" s="334" t="s">
        <v>2338</v>
      </c>
    </row>
    <row r="1935" spans="1:4" x14ac:dyDescent="0.2">
      <c r="A1935" s="347" t="s">
        <v>1991</v>
      </c>
      <c r="B1935" s="347" t="s">
        <v>2997</v>
      </c>
      <c r="C1935" s="347" t="s">
        <v>16</v>
      </c>
      <c r="D1935" s="348" t="s">
        <v>10271</v>
      </c>
    </row>
    <row r="1936" spans="1:4" x14ac:dyDescent="0.2">
      <c r="A1936" s="347" t="s">
        <v>1992</v>
      </c>
      <c r="B1936" s="347" t="s">
        <v>8226</v>
      </c>
      <c r="C1936" s="347" t="s">
        <v>2338</v>
      </c>
      <c r="D1936" s="348" t="s">
        <v>10271</v>
      </c>
    </row>
    <row r="1937" spans="1:3" x14ac:dyDescent="0.2">
      <c r="A1937" s="334" t="s">
        <v>5363</v>
      </c>
      <c r="B1937" s="334" t="s">
        <v>8227</v>
      </c>
      <c r="C1937" s="334" t="s">
        <v>2338</v>
      </c>
    </row>
    <row r="1938" spans="1:3" x14ac:dyDescent="0.2">
      <c r="A1938" s="334" t="s">
        <v>5364</v>
      </c>
      <c r="B1938" s="334" t="s">
        <v>8228</v>
      </c>
      <c r="C1938" s="334" t="s">
        <v>2338</v>
      </c>
    </row>
    <row r="1939" spans="1:3" x14ac:dyDescent="0.2">
      <c r="A1939" s="334" t="s">
        <v>5365</v>
      </c>
      <c r="B1939" s="334" t="s">
        <v>8229</v>
      </c>
      <c r="C1939" s="334" t="s">
        <v>16</v>
      </c>
    </row>
    <row r="1940" spans="1:3" x14ac:dyDescent="0.2">
      <c r="A1940" s="334" t="s">
        <v>5366</v>
      </c>
      <c r="B1940" s="334" t="s">
        <v>8230</v>
      </c>
      <c r="C1940" s="334" t="s">
        <v>16</v>
      </c>
    </row>
    <row r="1941" spans="1:3" x14ac:dyDescent="0.2">
      <c r="A1941" s="334" t="s">
        <v>5367</v>
      </c>
      <c r="B1941" s="334" t="s">
        <v>8231</v>
      </c>
      <c r="C1941" s="334" t="s">
        <v>11</v>
      </c>
    </row>
    <row r="1942" spans="1:3" x14ac:dyDescent="0.2">
      <c r="A1942" s="334" t="s">
        <v>5368</v>
      </c>
      <c r="B1942" s="334" t="s">
        <v>8232</v>
      </c>
      <c r="C1942" s="334" t="s">
        <v>11</v>
      </c>
    </row>
    <row r="1943" spans="1:3" x14ac:dyDescent="0.2">
      <c r="A1943" s="334" t="s">
        <v>5369</v>
      </c>
      <c r="B1943" s="334" t="s">
        <v>8233</v>
      </c>
      <c r="C1943" s="334" t="s">
        <v>11</v>
      </c>
    </row>
    <row r="1944" spans="1:3" x14ac:dyDescent="0.2">
      <c r="A1944" s="334" t="s">
        <v>5370</v>
      </c>
      <c r="B1944" s="334" t="s">
        <v>8234</v>
      </c>
      <c r="C1944" s="334" t="s">
        <v>2338</v>
      </c>
    </row>
    <row r="1945" spans="1:3" x14ac:dyDescent="0.2">
      <c r="A1945" s="334" t="s">
        <v>5371</v>
      </c>
      <c r="B1945" s="334" t="s">
        <v>8235</v>
      </c>
      <c r="C1945" s="334" t="s">
        <v>11</v>
      </c>
    </row>
    <row r="1946" spans="1:3" x14ac:dyDescent="0.2">
      <c r="A1946" s="334" t="s">
        <v>5372</v>
      </c>
      <c r="B1946" s="334" t="s">
        <v>8236</v>
      </c>
      <c r="C1946" s="334" t="s">
        <v>25</v>
      </c>
    </row>
    <row r="1947" spans="1:3" x14ac:dyDescent="0.2">
      <c r="A1947" s="334" t="s">
        <v>5373</v>
      </c>
      <c r="B1947" s="334" t="s">
        <v>8237</v>
      </c>
      <c r="C1947" s="334" t="s">
        <v>25</v>
      </c>
    </row>
    <row r="1948" spans="1:3" x14ac:dyDescent="0.2">
      <c r="A1948" s="334" t="s">
        <v>5374</v>
      </c>
      <c r="B1948" s="334" t="s">
        <v>8238</v>
      </c>
      <c r="C1948" s="334" t="s">
        <v>25</v>
      </c>
    </row>
    <row r="1949" spans="1:3" x14ac:dyDescent="0.2">
      <c r="A1949" s="334" t="s">
        <v>5375</v>
      </c>
      <c r="B1949" s="334" t="s">
        <v>8239</v>
      </c>
      <c r="C1949" s="334" t="s">
        <v>16</v>
      </c>
    </row>
    <row r="1950" spans="1:3" x14ac:dyDescent="0.2">
      <c r="A1950" s="334" t="s">
        <v>5376</v>
      </c>
      <c r="B1950" s="334" t="s">
        <v>8240</v>
      </c>
      <c r="C1950" s="334" t="s">
        <v>25</v>
      </c>
    </row>
    <row r="1951" spans="1:3" x14ac:dyDescent="0.2">
      <c r="A1951" s="334" t="s">
        <v>5377</v>
      </c>
      <c r="B1951" s="334" t="s">
        <v>5378</v>
      </c>
      <c r="C1951" s="334" t="s">
        <v>16</v>
      </c>
    </row>
    <row r="1952" spans="1:3" x14ac:dyDescent="0.2">
      <c r="A1952" s="334" t="s">
        <v>5379</v>
      </c>
      <c r="B1952" s="334" t="s">
        <v>8241</v>
      </c>
      <c r="C1952" s="334" t="s">
        <v>2338</v>
      </c>
    </row>
    <row r="1953" spans="1:3" x14ac:dyDescent="0.2">
      <c r="A1953" s="334" t="s">
        <v>5380</v>
      </c>
      <c r="B1953" s="334" t="s">
        <v>8242</v>
      </c>
      <c r="C1953" s="334" t="s">
        <v>11</v>
      </c>
    </row>
    <row r="1954" spans="1:3" x14ac:dyDescent="0.2">
      <c r="A1954" s="334" t="s">
        <v>5381</v>
      </c>
      <c r="B1954" s="334" t="s">
        <v>8243</v>
      </c>
      <c r="C1954" s="334" t="s">
        <v>11</v>
      </c>
    </row>
    <row r="1955" spans="1:3" x14ac:dyDescent="0.2">
      <c r="A1955" s="334" t="s">
        <v>5382</v>
      </c>
      <c r="B1955" s="334" t="s">
        <v>8244</v>
      </c>
      <c r="C1955" s="334" t="s">
        <v>11</v>
      </c>
    </row>
    <row r="1956" spans="1:3" x14ac:dyDescent="0.2">
      <c r="A1956" s="334" t="s">
        <v>5383</v>
      </c>
      <c r="B1956" s="334" t="s">
        <v>8245</v>
      </c>
      <c r="C1956" s="334" t="s">
        <v>11</v>
      </c>
    </row>
    <row r="1957" spans="1:3" x14ac:dyDescent="0.2">
      <c r="A1957" s="334" t="s">
        <v>5384</v>
      </c>
      <c r="B1957" s="334" t="s">
        <v>8246</v>
      </c>
      <c r="C1957" s="334" t="s">
        <v>16</v>
      </c>
    </row>
    <row r="1958" spans="1:3" x14ac:dyDescent="0.2">
      <c r="A1958" s="334" t="s">
        <v>5385</v>
      </c>
      <c r="B1958" s="334" t="s">
        <v>8247</v>
      </c>
      <c r="C1958" s="334" t="s">
        <v>16</v>
      </c>
    </row>
    <row r="1959" spans="1:3" x14ac:dyDescent="0.2">
      <c r="A1959" s="334" t="s">
        <v>5386</v>
      </c>
      <c r="B1959" s="334" t="s">
        <v>8248</v>
      </c>
      <c r="C1959" s="334" t="s">
        <v>16</v>
      </c>
    </row>
    <row r="1960" spans="1:3" x14ac:dyDescent="0.2">
      <c r="A1960" s="334" t="s">
        <v>5387</v>
      </c>
      <c r="B1960" s="334" t="s">
        <v>8249</v>
      </c>
      <c r="C1960" s="334" t="s">
        <v>16</v>
      </c>
    </row>
    <row r="1961" spans="1:3" x14ac:dyDescent="0.2">
      <c r="A1961" s="334" t="s">
        <v>5388</v>
      </c>
      <c r="B1961" s="334" t="s">
        <v>8250</v>
      </c>
      <c r="C1961" s="334" t="s">
        <v>16</v>
      </c>
    </row>
    <row r="1962" spans="1:3" x14ac:dyDescent="0.2">
      <c r="A1962" s="334" t="s">
        <v>5389</v>
      </c>
      <c r="B1962" s="334" t="s">
        <v>8251</v>
      </c>
      <c r="C1962" s="334" t="s">
        <v>16</v>
      </c>
    </row>
    <row r="1963" spans="1:3" x14ac:dyDescent="0.2">
      <c r="A1963" s="334" t="s">
        <v>5390</v>
      </c>
      <c r="B1963" s="334" t="s">
        <v>8252</v>
      </c>
      <c r="C1963" s="334" t="s">
        <v>16</v>
      </c>
    </row>
    <row r="1964" spans="1:3" x14ac:dyDescent="0.2">
      <c r="A1964" s="334" t="s">
        <v>5391</v>
      </c>
      <c r="B1964" s="334" t="s">
        <v>8253</v>
      </c>
      <c r="C1964" s="334" t="s">
        <v>16</v>
      </c>
    </row>
    <row r="1965" spans="1:3" x14ac:dyDescent="0.2">
      <c r="A1965" s="334" t="s">
        <v>5392</v>
      </c>
      <c r="B1965" s="334" t="s">
        <v>8253</v>
      </c>
      <c r="C1965" s="334" t="s">
        <v>16</v>
      </c>
    </row>
    <row r="1966" spans="1:3" x14ac:dyDescent="0.2">
      <c r="A1966" s="334" t="s">
        <v>5393</v>
      </c>
      <c r="B1966" s="334" t="s">
        <v>8254</v>
      </c>
      <c r="C1966" s="334" t="s">
        <v>6602</v>
      </c>
    </row>
    <row r="1967" spans="1:3" x14ac:dyDescent="0.2">
      <c r="A1967" s="334" t="s">
        <v>5394</v>
      </c>
      <c r="B1967" s="334" t="s">
        <v>8255</v>
      </c>
      <c r="C1967" s="334" t="s">
        <v>16</v>
      </c>
    </row>
    <row r="1968" spans="1:3" x14ac:dyDescent="0.2">
      <c r="A1968" s="334" t="s">
        <v>5395</v>
      </c>
      <c r="B1968" s="334" t="s">
        <v>8256</v>
      </c>
      <c r="C1968" s="334" t="s">
        <v>16</v>
      </c>
    </row>
    <row r="1969" spans="1:4" x14ac:dyDescent="0.2">
      <c r="A1969" s="334" t="s">
        <v>5396</v>
      </c>
      <c r="B1969" s="334" t="s">
        <v>8257</v>
      </c>
      <c r="C1969" s="334" t="s">
        <v>11</v>
      </c>
    </row>
    <row r="1970" spans="1:4" x14ac:dyDescent="0.2">
      <c r="A1970" s="334" t="s">
        <v>5397</v>
      </c>
      <c r="B1970" s="334" t="s">
        <v>8258</v>
      </c>
      <c r="C1970" s="334" t="s">
        <v>16</v>
      </c>
    </row>
    <row r="1971" spans="1:4" x14ac:dyDescent="0.2">
      <c r="A1971" s="334" t="s">
        <v>5398</v>
      </c>
      <c r="B1971" s="334" t="s">
        <v>8259</v>
      </c>
      <c r="C1971" s="334" t="s">
        <v>16</v>
      </c>
    </row>
    <row r="1972" spans="1:4" x14ac:dyDescent="0.2">
      <c r="A1972" s="334" t="s">
        <v>5399</v>
      </c>
      <c r="B1972" s="334" t="s">
        <v>8260</v>
      </c>
      <c r="C1972" s="334" t="s">
        <v>16</v>
      </c>
    </row>
    <row r="1973" spans="1:4" x14ac:dyDescent="0.2">
      <c r="A1973" s="334" t="s">
        <v>5400</v>
      </c>
      <c r="B1973" s="334" t="s">
        <v>8261</v>
      </c>
      <c r="C1973" s="334" t="s">
        <v>25</v>
      </c>
    </row>
    <row r="1974" spans="1:4" x14ac:dyDescent="0.2">
      <c r="A1974" s="334" t="s">
        <v>5401</v>
      </c>
      <c r="B1974" s="334" t="s">
        <v>8262</v>
      </c>
      <c r="C1974" s="334" t="s">
        <v>25</v>
      </c>
    </row>
    <row r="1975" spans="1:4" x14ac:dyDescent="0.2">
      <c r="A1975" s="334" t="s">
        <v>5402</v>
      </c>
      <c r="B1975" s="334" t="s">
        <v>8263</v>
      </c>
      <c r="C1975" s="334" t="s">
        <v>11</v>
      </c>
    </row>
    <row r="1976" spans="1:4" x14ac:dyDescent="0.2">
      <c r="A1976" s="334" t="s">
        <v>5403</v>
      </c>
      <c r="B1976" s="334" t="s">
        <v>8264</v>
      </c>
      <c r="C1976" s="334" t="s">
        <v>16</v>
      </c>
    </row>
    <row r="1977" spans="1:4" x14ac:dyDescent="0.2">
      <c r="A1977" s="334" t="s">
        <v>5404</v>
      </c>
      <c r="B1977" s="334" t="s">
        <v>8265</v>
      </c>
      <c r="C1977" s="334" t="s">
        <v>2338</v>
      </c>
    </row>
    <row r="1978" spans="1:4" x14ac:dyDescent="0.2">
      <c r="A1978" s="334" t="s">
        <v>5405</v>
      </c>
      <c r="B1978" s="334" t="s">
        <v>8266</v>
      </c>
      <c r="C1978" s="334" t="s">
        <v>2338</v>
      </c>
    </row>
    <row r="1979" spans="1:4" x14ac:dyDescent="0.2">
      <c r="A1979" s="334" t="s">
        <v>5406</v>
      </c>
      <c r="B1979" s="334" t="s">
        <v>8267</v>
      </c>
      <c r="C1979" s="334" t="s">
        <v>11</v>
      </c>
    </row>
    <row r="1980" spans="1:4" x14ac:dyDescent="0.2">
      <c r="A1980" s="334" t="s">
        <v>5407</v>
      </c>
      <c r="B1980" s="334" t="s">
        <v>8268</v>
      </c>
      <c r="C1980" s="334" t="s">
        <v>2338</v>
      </c>
    </row>
    <row r="1981" spans="1:4" x14ac:dyDescent="0.2">
      <c r="A1981" s="347" t="s">
        <v>5408</v>
      </c>
      <c r="B1981" s="347" t="s">
        <v>8269</v>
      </c>
      <c r="C1981" s="347" t="s">
        <v>2338</v>
      </c>
      <c r="D1981" s="348" t="s">
        <v>10271</v>
      </c>
    </row>
    <row r="1982" spans="1:4" x14ac:dyDescent="0.2">
      <c r="A1982" s="334" t="s">
        <v>5409</v>
      </c>
      <c r="B1982" s="334" t="s">
        <v>8270</v>
      </c>
      <c r="C1982" s="334" t="s">
        <v>2338</v>
      </c>
    </row>
    <row r="1983" spans="1:4" x14ac:dyDescent="0.2">
      <c r="A1983" s="334" t="s">
        <v>5410</v>
      </c>
      <c r="B1983" s="334" t="s">
        <v>8271</v>
      </c>
      <c r="C1983" s="334" t="s">
        <v>11</v>
      </c>
    </row>
    <row r="1984" spans="1:4" x14ac:dyDescent="0.2">
      <c r="A1984" s="334" t="s">
        <v>5411</v>
      </c>
      <c r="B1984" s="334" t="s">
        <v>5412</v>
      </c>
      <c r="C1984" s="334" t="s">
        <v>2338</v>
      </c>
    </row>
    <row r="1985" spans="1:3" x14ac:dyDescent="0.2">
      <c r="A1985" s="334" t="s">
        <v>5413</v>
      </c>
      <c r="B1985" s="334" t="s">
        <v>8272</v>
      </c>
      <c r="C1985" s="334" t="s">
        <v>16</v>
      </c>
    </row>
    <row r="1986" spans="1:3" x14ac:dyDescent="0.2">
      <c r="A1986" s="334" t="s">
        <v>5414</v>
      </c>
      <c r="B1986" s="334" t="s">
        <v>8273</v>
      </c>
      <c r="C1986" s="334" t="s">
        <v>25</v>
      </c>
    </row>
    <row r="1987" spans="1:3" x14ac:dyDescent="0.2">
      <c r="A1987" s="334" t="s">
        <v>5415</v>
      </c>
      <c r="B1987" s="334" t="s">
        <v>8274</v>
      </c>
      <c r="C1987" s="334" t="s">
        <v>11</v>
      </c>
    </row>
    <row r="1988" spans="1:3" x14ac:dyDescent="0.2">
      <c r="A1988" s="334" t="s">
        <v>5416</v>
      </c>
      <c r="B1988" s="334" t="s">
        <v>8275</v>
      </c>
      <c r="C1988" s="334" t="s">
        <v>16</v>
      </c>
    </row>
    <row r="1989" spans="1:3" x14ac:dyDescent="0.2">
      <c r="A1989" s="334" t="s">
        <v>5417</v>
      </c>
      <c r="B1989" s="334" t="s">
        <v>8276</v>
      </c>
      <c r="C1989" s="334" t="s">
        <v>52</v>
      </c>
    </row>
    <row r="1990" spans="1:3" x14ac:dyDescent="0.2">
      <c r="A1990" s="334" t="s">
        <v>5418</v>
      </c>
      <c r="B1990" s="334" t="s">
        <v>8277</v>
      </c>
      <c r="C1990" s="334" t="s">
        <v>25</v>
      </c>
    </row>
    <row r="1991" spans="1:3" x14ac:dyDescent="0.2">
      <c r="A1991" s="334" t="s">
        <v>5419</v>
      </c>
      <c r="B1991" s="334" t="s">
        <v>8005</v>
      </c>
      <c r="C1991" s="334" t="s">
        <v>2338</v>
      </c>
    </row>
    <row r="1992" spans="1:3" x14ac:dyDescent="0.2">
      <c r="A1992" s="334" t="s">
        <v>5420</v>
      </c>
      <c r="B1992" s="334" t="s">
        <v>8278</v>
      </c>
      <c r="C1992" s="334" t="s">
        <v>16</v>
      </c>
    </row>
    <row r="1993" spans="1:3" x14ac:dyDescent="0.2">
      <c r="A1993" s="334" t="s">
        <v>5421</v>
      </c>
      <c r="B1993" s="334" t="s">
        <v>8279</v>
      </c>
      <c r="C1993" s="334" t="s">
        <v>16</v>
      </c>
    </row>
    <row r="1994" spans="1:3" x14ac:dyDescent="0.2">
      <c r="A1994" s="334" t="s">
        <v>5422</v>
      </c>
      <c r="B1994" s="334" t="s">
        <v>8280</v>
      </c>
      <c r="C1994" s="334" t="s">
        <v>16</v>
      </c>
    </row>
    <row r="1995" spans="1:3" x14ac:dyDescent="0.2">
      <c r="A1995" s="334" t="s">
        <v>5423</v>
      </c>
      <c r="B1995" s="334" t="s">
        <v>8281</v>
      </c>
      <c r="C1995" s="334" t="s">
        <v>16</v>
      </c>
    </row>
    <row r="1996" spans="1:3" x14ac:dyDescent="0.2">
      <c r="A1996" s="334" t="s">
        <v>5424</v>
      </c>
      <c r="B1996" s="334" t="s">
        <v>8282</v>
      </c>
      <c r="C1996" s="334" t="s">
        <v>2338</v>
      </c>
    </row>
    <row r="1997" spans="1:3" x14ac:dyDescent="0.2">
      <c r="A1997" s="334" t="s">
        <v>5425</v>
      </c>
      <c r="B1997" s="334" t="s">
        <v>8283</v>
      </c>
      <c r="C1997" s="334" t="s">
        <v>52</v>
      </c>
    </row>
    <row r="1998" spans="1:3" x14ac:dyDescent="0.2">
      <c r="A1998" s="334" t="s">
        <v>5426</v>
      </c>
      <c r="B1998" s="334" t="s">
        <v>8284</v>
      </c>
      <c r="C1998" s="334" t="s">
        <v>2338</v>
      </c>
    </row>
    <row r="1999" spans="1:3" x14ac:dyDescent="0.2">
      <c r="A1999" s="334" t="s">
        <v>5427</v>
      </c>
      <c r="B1999" s="334" t="s">
        <v>8285</v>
      </c>
      <c r="C1999" s="334" t="s">
        <v>2338</v>
      </c>
    </row>
    <row r="2000" spans="1:3" x14ac:dyDescent="0.2">
      <c r="A2000" s="334" t="s">
        <v>5428</v>
      </c>
      <c r="B2000" s="334" t="s">
        <v>8286</v>
      </c>
      <c r="C2000" s="334" t="s">
        <v>2338</v>
      </c>
    </row>
    <row r="2001" spans="1:4" x14ac:dyDescent="0.2">
      <c r="A2001" s="334" t="s">
        <v>5429</v>
      </c>
      <c r="B2001" s="334" t="s">
        <v>8287</v>
      </c>
      <c r="C2001" s="334" t="s">
        <v>2338</v>
      </c>
    </row>
    <row r="2002" spans="1:4" x14ac:dyDescent="0.2">
      <c r="A2002" s="334" t="s">
        <v>5430</v>
      </c>
      <c r="B2002" s="334" t="s">
        <v>8288</v>
      </c>
      <c r="C2002" s="334" t="s">
        <v>2338</v>
      </c>
    </row>
    <row r="2003" spans="1:4" x14ac:dyDescent="0.2">
      <c r="A2003" s="334" t="s">
        <v>5431</v>
      </c>
      <c r="B2003" s="334" t="s">
        <v>8289</v>
      </c>
      <c r="C2003" s="334" t="s">
        <v>6602</v>
      </c>
    </row>
    <row r="2004" spans="1:4" x14ac:dyDescent="0.2">
      <c r="A2004" s="334" t="s">
        <v>5432</v>
      </c>
      <c r="B2004" s="334" t="s">
        <v>8290</v>
      </c>
      <c r="C2004" s="334" t="s">
        <v>2338</v>
      </c>
    </row>
    <row r="2005" spans="1:4" x14ac:dyDescent="0.2">
      <c r="A2005" s="334" t="s">
        <v>5433</v>
      </c>
      <c r="B2005" s="334" t="s">
        <v>8291</v>
      </c>
      <c r="C2005" s="334" t="s">
        <v>6604</v>
      </c>
    </row>
    <row r="2006" spans="1:4" x14ac:dyDescent="0.2">
      <c r="A2006" s="334" t="s">
        <v>1993</v>
      </c>
      <c r="B2006" s="334" t="s">
        <v>8292</v>
      </c>
      <c r="C2006" s="334" t="s">
        <v>16</v>
      </c>
    </row>
    <row r="2007" spans="1:4" x14ac:dyDescent="0.2">
      <c r="A2007" s="334" t="s">
        <v>1994</v>
      </c>
      <c r="B2007" s="334" t="s">
        <v>8293</v>
      </c>
      <c r="C2007" s="334" t="s">
        <v>16</v>
      </c>
    </row>
    <row r="2008" spans="1:4" x14ac:dyDescent="0.2">
      <c r="A2008" s="334" t="s">
        <v>1995</v>
      </c>
      <c r="B2008" s="334" t="s">
        <v>2995</v>
      </c>
      <c r="C2008" s="334" t="s">
        <v>2338</v>
      </c>
    </row>
    <row r="2009" spans="1:4" x14ac:dyDescent="0.2">
      <c r="A2009" s="334" t="s">
        <v>1996</v>
      </c>
      <c r="B2009" s="334" t="s">
        <v>8294</v>
      </c>
      <c r="C2009" s="334" t="s">
        <v>2338</v>
      </c>
    </row>
    <row r="2010" spans="1:4" x14ac:dyDescent="0.2">
      <c r="A2010" s="334" t="s">
        <v>1997</v>
      </c>
      <c r="B2010" s="334" t="s">
        <v>8005</v>
      </c>
      <c r="C2010" s="334" t="s">
        <v>6604</v>
      </c>
    </row>
    <row r="2011" spans="1:4" x14ac:dyDescent="0.2">
      <c r="A2011" s="334" t="s">
        <v>1998</v>
      </c>
      <c r="B2011" s="334" t="s">
        <v>5434</v>
      </c>
      <c r="C2011" s="334" t="s">
        <v>25</v>
      </c>
    </row>
    <row r="2012" spans="1:4" x14ac:dyDescent="0.2">
      <c r="A2012" s="334" t="s">
        <v>1999</v>
      </c>
      <c r="B2012" s="334" t="s">
        <v>8295</v>
      </c>
      <c r="C2012" s="334" t="s">
        <v>25</v>
      </c>
    </row>
    <row r="2013" spans="1:4" x14ac:dyDescent="0.2">
      <c r="A2013" s="334" t="s">
        <v>2000</v>
      </c>
      <c r="B2013" s="334" t="s">
        <v>8296</v>
      </c>
      <c r="C2013" s="334" t="s">
        <v>25</v>
      </c>
    </row>
    <row r="2014" spans="1:4" x14ac:dyDescent="0.2">
      <c r="A2014" s="347" t="s">
        <v>2001</v>
      </c>
      <c r="B2014" s="347" t="s">
        <v>8297</v>
      </c>
      <c r="C2014" s="347" t="s">
        <v>25</v>
      </c>
      <c r="D2014" s="348" t="s">
        <v>10271</v>
      </c>
    </row>
    <row r="2015" spans="1:4" x14ac:dyDescent="0.2">
      <c r="A2015" s="334" t="s">
        <v>2002</v>
      </c>
      <c r="B2015" s="334" t="s">
        <v>8298</v>
      </c>
      <c r="C2015" s="334" t="s">
        <v>16</v>
      </c>
    </row>
    <row r="2016" spans="1:4" x14ac:dyDescent="0.2">
      <c r="A2016" s="334" t="s">
        <v>2003</v>
      </c>
      <c r="B2016" s="334" t="s">
        <v>8299</v>
      </c>
      <c r="C2016" s="334" t="s">
        <v>2557</v>
      </c>
    </row>
    <row r="2017" spans="1:4" x14ac:dyDescent="0.2">
      <c r="A2017" s="347" t="s">
        <v>2004</v>
      </c>
      <c r="B2017" s="347" t="s">
        <v>8300</v>
      </c>
      <c r="C2017" s="347" t="s">
        <v>25</v>
      </c>
      <c r="D2017" s="348" t="s">
        <v>10271</v>
      </c>
    </row>
    <row r="2018" spans="1:4" x14ac:dyDescent="0.2">
      <c r="A2018" s="334" t="s">
        <v>2005</v>
      </c>
      <c r="B2018" s="334" t="s">
        <v>8301</v>
      </c>
      <c r="C2018" s="334" t="s">
        <v>2338</v>
      </c>
    </row>
    <row r="2019" spans="1:4" x14ac:dyDescent="0.2">
      <c r="A2019" s="347" t="s">
        <v>296</v>
      </c>
      <c r="B2019" s="347" t="s">
        <v>2726</v>
      </c>
      <c r="C2019" s="347" t="s">
        <v>16</v>
      </c>
      <c r="D2019" s="348" t="s">
        <v>10271</v>
      </c>
    </row>
    <row r="2020" spans="1:4" x14ac:dyDescent="0.2">
      <c r="A2020" s="347" t="s">
        <v>2006</v>
      </c>
      <c r="B2020" s="347" t="s">
        <v>8302</v>
      </c>
      <c r="C2020" s="347" t="s">
        <v>25</v>
      </c>
      <c r="D2020" s="348" t="s">
        <v>10271</v>
      </c>
    </row>
    <row r="2021" spans="1:4" x14ac:dyDescent="0.2">
      <c r="A2021" s="334" t="s">
        <v>506</v>
      </c>
      <c r="B2021" s="334" t="s">
        <v>8303</v>
      </c>
      <c r="C2021" s="334" t="s">
        <v>16</v>
      </c>
    </row>
    <row r="2022" spans="1:4" x14ac:dyDescent="0.2">
      <c r="A2022" s="347" t="s">
        <v>195</v>
      </c>
      <c r="B2022" s="347" t="s">
        <v>2897</v>
      </c>
      <c r="C2022" s="347" t="s">
        <v>2338</v>
      </c>
      <c r="D2022" s="348" t="s">
        <v>10271</v>
      </c>
    </row>
    <row r="2023" spans="1:4" x14ac:dyDescent="0.2">
      <c r="A2023" s="347" t="s">
        <v>207</v>
      </c>
      <c r="B2023" s="347" t="s">
        <v>2885</v>
      </c>
      <c r="C2023" s="347" t="s">
        <v>2338</v>
      </c>
      <c r="D2023" s="348" t="s">
        <v>10271</v>
      </c>
    </row>
    <row r="2024" spans="1:4" x14ac:dyDescent="0.2">
      <c r="A2024" s="334" t="s">
        <v>2007</v>
      </c>
      <c r="B2024" s="334" t="s">
        <v>8304</v>
      </c>
      <c r="C2024" s="334" t="s">
        <v>2338</v>
      </c>
    </row>
    <row r="2025" spans="1:4" x14ac:dyDescent="0.2">
      <c r="A2025" s="334" t="s">
        <v>2008</v>
      </c>
      <c r="B2025" s="334" t="s">
        <v>8305</v>
      </c>
      <c r="C2025" s="334" t="s">
        <v>2338</v>
      </c>
    </row>
    <row r="2026" spans="1:4" x14ac:dyDescent="0.2">
      <c r="A2026" s="347" t="s">
        <v>2009</v>
      </c>
      <c r="B2026" s="347" t="s">
        <v>8306</v>
      </c>
      <c r="C2026" s="347" t="s">
        <v>16</v>
      </c>
      <c r="D2026" s="348" t="s">
        <v>10271</v>
      </c>
    </row>
    <row r="2027" spans="1:4" x14ac:dyDescent="0.2">
      <c r="A2027" s="334" t="s">
        <v>2010</v>
      </c>
      <c r="B2027" s="334" t="s">
        <v>8307</v>
      </c>
      <c r="C2027" s="334" t="s">
        <v>16</v>
      </c>
    </row>
    <row r="2028" spans="1:4" x14ac:dyDescent="0.2">
      <c r="A2028" s="347" t="s">
        <v>233</v>
      </c>
      <c r="B2028" s="347" t="s">
        <v>2548</v>
      </c>
      <c r="C2028" s="347" t="s">
        <v>52</v>
      </c>
      <c r="D2028" s="348" t="s">
        <v>10271</v>
      </c>
    </row>
    <row r="2029" spans="1:4" x14ac:dyDescent="0.2">
      <c r="A2029" s="347" t="s">
        <v>253</v>
      </c>
      <c r="B2029" s="347" t="s">
        <v>8308</v>
      </c>
      <c r="C2029" s="347" t="s">
        <v>25</v>
      </c>
      <c r="D2029" s="348" t="s">
        <v>10271</v>
      </c>
    </row>
    <row r="2030" spans="1:4" x14ac:dyDescent="0.2">
      <c r="A2030" s="334" t="s">
        <v>2011</v>
      </c>
      <c r="B2030" s="334" t="s">
        <v>8309</v>
      </c>
      <c r="C2030" s="334" t="s">
        <v>25</v>
      </c>
    </row>
    <row r="2031" spans="1:4" x14ac:dyDescent="0.2">
      <c r="A2031" s="347" t="s">
        <v>3223</v>
      </c>
      <c r="B2031" s="347" t="s">
        <v>2597</v>
      </c>
      <c r="C2031" s="347" t="s">
        <v>25</v>
      </c>
      <c r="D2031" s="348" t="s">
        <v>10271</v>
      </c>
    </row>
    <row r="2032" spans="1:4" x14ac:dyDescent="0.2">
      <c r="A2032" s="334" t="s">
        <v>2012</v>
      </c>
      <c r="B2032" s="334" t="s">
        <v>8310</v>
      </c>
      <c r="C2032" s="334" t="s">
        <v>16</v>
      </c>
    </row>
    <row r="2033" spans="1:4" x14ac:dyDescent="0.2">
      <c r="A2033" s="334" t="s">
        <v>2013</v>
      </c>
      <c r="B2033" s="334" t="s">
        <v>8311</v>
      </c>
      <c r="C2033" s="334" t="s">
        <v>16</v>
      </c>
    </row>
    <row r="2034" spans="1:4" x14ac:dyDescent="0.2">
      <c r="A2034" s="334" t="s">
        <v>2014</v>
      </c>
      <c r="B2034" s="334" t="s">
        <v>8312</v>
      </c>
      <c r="C2034" s="334" t="s">
        <v>16</v>
      </c>
    </row>
    <row r="2035" spans="1:4" x14ac:dyDescent="0.2">
      <c r="A2035" s="334" t="s">
        <v>2015</v>
      </c>
      <c r="B2035" s="334" t="s">
        <v>8313</v>
      </c>
      <c r="C2035" s="334" t="s">
        <v>16</v>
      </c>
    </row>
    <row r="2036" spans="1:4" x14ac:dyDescent="0.2">
      <c r="A2036" s="334" t="s">
        <v>2016</v>
      </c>
      <c r="B2036" s="334" t="s">
        <v>8314</v>
      </c>
      <c r="C2036" s="334" t="s">
        <v>16</v>
      </c>
    </row>
    <row r="2037" spans="1:4" x14ac:dyDescent="0.2">
      <c r="A2037" s="334" t="s">
        <v>2017</v>
      </c>
      <c r="B2037" s="334" t="s">
        <v>5435</v>
      </c>
      <c r="C2037" s="334" t="s">
        <v>2338</v>
      </c>
    </row>
    <row r="2038" spans="1:4" x14ac:dyDescent="0.2">
      <c r="A2038" s="334" t="s">
        <v>2018</v>
      </c>
      <c r="B2038" s="334" t="s">
        <v>8315</v>
      </c>
      <c r="C2038" s="334" t="s">
        <v>2338</v>
      </c>
    </row>
    <row r="2039" spans="1:4" x14ac:dyDescent="0.2">
      <c r="A2039" s="334" t="s">
        <v>5436</v>
      </c>
      <c r="B2039" s="334" t="s">
        <v>8316</v>
      </c>
      <c r="C2039" s="334" t="s">
        <v>2338</v>
      </c>
    </row>
    <row r="2040" spans="1:4" x14ac:dyDescent="0.2">
      <c r="A2040" s="334" t="s">
        <v>2019</v>
      </c>
      <c r="B2040" s="334" t="s">
        <v>2637</v>
      </c>
      <c r="C2040" s="334" t="s">
        <v>2338</v>
      </c>
    </row>
    <row r="2041" spans="1:4" x14ac:dyDescent="0.2">
      <c r="A2041" s="334" t="s">
        <v>2020</v>
      </c>
      <c r="B2041" s="334" t="s">
        <v>8317</v>
      </c>
      <c r="C2041" s="334" t="s">
        <v>2338</v>
      </c>
    </row>
    <row r="2042" spans="1:4" x14ac:dyDescent="0.2">
      <c r="A2042" s="334" t="s">
        <v>5437</v>
      </c>
      <c r="B2042" s="334" t="s">
        <v>8318</v>
      </c>
      <c r="C2042" s="334" t="s">
        <v>11</v>
      </c>
    </row>
    <row r="2043" spans="1:4" x14ac:dyDescent="0.2">
      <c r="A2043" s="334" t="s">
        <v>5438</v>
      </c>
      <c r="B2043" s="334" t="s">
        <v>8319</v>
      </c>
      <c r="C2043" s="334" t="s">
        <v>11</v>
      </c>
    </row>
    <row r="2044" spans="1:4" x14ac:dyDescent="0.2">
      <c r="A2044" s="334" t="s">
        <v>5439</v>
      </c>
      <c r="B2044" s="334" t="s">
        <v>5440</v>
      </c>
      <c r="C2044" s="334" t="s">
        <v>6602</v>
      </c>
    </row>
    <row r="2045" spans="1:4" x14ac:dyDescent="0.2">
      <c r="A2045" s="347" t="s">
        <v>2021</v>
      </c>
      <c r="B2045" s="347" t="s">
        <v>8320</v>
      </c>
      <c r="C2045" s="347" t="s">
        <v>16</v>
      </c>
      <c r="D2045" s="348" t="s">
        <v>10271</v>
      </c>
    </row>
    <row r="2046" spans="1:4" x14ac:dyDescent="0.2">
      <c r="A2046" s="334" t="s">
        <v>2022</v>
      </c>
      <c r="B2046" s="334" t="s">
        <v>5441</v>
      </c>
      <c r="C2046" s="334" t="s">
        <v>16</v>
      </c>
    </row>
    <row r="2047" spans="1:4" x14ac:dyDescent="0.2">
      <c r="A2047" s="334" t="s">
        <v>2023</v>
      </c>
      <c r="B2047" s="334" t="s">
        <v>5442</v>
      </c>
      <c r="C2047" s="334" t="s">
        <v>16</v>
      </c>
    </row>
    <row r="2048" spans="1:4" x14ac:dyDescent="0.2">
      <c r="A2048" s="334" t="s">
        <v>5443</v>
      </c>
      <c r="B2048" s="334" t="s">
        <v>8321</v>
      </c>
      <c r="C2048" s="334" t="s">
        <v>7969</v>
      </c>
    </row>
    <row r="2049" spans="1:4" x14ac:dyDescent="0.2">
      <c r="A2049" s="334" t="s">
        <v>2024</v>
      </c>
      <c r="B2049" s="334" t="s">
        <v>8322</v>
      </c>
      <c r="C2049" s="334" t="s">
        <v>16</v>
      </c>
    </row>
    <row r="2050" spans="1:4" x14ac:dyDescent="0.2">
      <c r="A2050" s="347" t="s">
        <v>2025</v>
      </c>
      <c r="B2050" s="347" t="s">
        <v>8323</v>
      </c>
      <c r="C2050" s="347" t="s">
        <v>16</v>
      </c>
      <c r="D2050" s="348" t="s">
        <v>10271</v>
      </c>
    </row>
    <row r="2051" spans="1:4" x14ac:dyDescent="0.2">
      <c r="A2051" s="347" t="s">
        <v>2026</v>
      </c>
      <c r="B2051" s="347" t="s">
        <v>8324</v>
      </c>
      <c r="C2051" s="347" t="s">
        <v>11</v>
      </c>
      <c r="D2051" s="348" t="s">
        <v>10271</v>
      </c>
    </row>
    <row r="2052" spans="1:4" x14ac:dyDescent="0.2">
      <c r="A2052" s="334" t="s">
        <v>2027</v>
      </c>
      <c r="B2052" s="334" t="s">
        <v>8325</v>
      </c>
      <c r="C2052" s="334" t="s">
        <v>6604</v>
      </c>
    </row>
    <row r="2053" spans="1:4" x14ac:dyDescent="0.2">
      <c r="A2053" s="334" t="s">
        <v>2028</v>
      </c>
      <c r="B2053" s="334" t="s">
        <v>5444</v>
      </c>
      <c r="C2053" s="334" t="s">
        <v>6603</v>
      </c>
    </row>
    <row r="2054" spans="1:4" x14ac:dyDescent="0.2">
      <c r="A2054" s="334" t="s">
        <v>5445</v>
      </c>
      <c r="B2054" s="334" t="s">
        <v>5446</v>
      </c>
      <c r="C2054" s="334" t="s">
        <v>2338</v>
      </c>
    </row>
    <row r="2055" spans="1:4" x14ac:dyDescent="0.2">
      <c r="A2055" s="334" t="s">
        <v>2029</v>
      </c>
      <c r="B2055" s="334" t="s">
        <v>8326</v>
      </c>
      <c r="C2055" s="334" t="s">
        <v>2338</v>
      </c>
    </row>
    <row r="2056" spans="1:4" x14ac:dyDescent="0.2">
      <c r="A2056" s="334" t="s">
        <v>5447</v>
      </c>
      <c r="B2056" s="334" t="s">
        <v>5448</v>
      </c>
      <c r="C2056" s="334" t="s">
        <v>6602</v>
      </c>
    </row>
    <row r="2057" spans="1:4" x14ac:dyDescent="0.2">
      <c r="A2057" s="334" t="s">
        <v>5449</v>
      </c>
      <c r="B2057" s="334" t="s">
        <v>8327</v>
      </c>
      <c r="C2057" s="334" t="s">
        <v>2338</v>
      </c>
    </row>
    <row r="2058" spans="1:4" x14ac:dyDescent="0.2">
      <c r="A2058" s="334" t="s">
        <v>5450</v>
      </c>
      <c r="B2058" s="334" t="s">
        <v>5451</v>
      </c>
      <c r="C2058" s="334" t="s">
        <v>6603</v>
      </c>
    </row>
    <row r="2059" spans="1:4" x14ac:dyDescent="0.2">
      <c r="A2059" s="334" t="s">
        <v>5452</v>
      </c>
      <c r="B2059" s="334" t="s">
        <v>8328</v>
      </c>
      <c r="C2059" s="334" t="s">
        <v>11</v>
      </c>
    </row>
    <row r="2060" spans="1:4" x14ac:dyDescent="0.2">
      <c r="A2060" s="334" t="s">
        <v>5453</v>
      </c>
      <c r="B2060" s="334" t="s">
        <v>8329</v>
      </c>
      <c r="C2060" s="334" t="s">
        <v>2557</v>
      </c>
    </row>
    <row r="2061" spans="1:4" x14ac:dyDescent="0.2">
      <c r="A2061" s="334" t="s">
        <v>5454</v>
      </c>
      <c r="B2061" s="334" t="s">
        <v>8330</v>
      </c>
      <c r="C2061" s="334" t="s">
        <v>2338</v>
      </c>
    </row>
    <row r="2062" spans="1:4" x14ac:dyDescent="0.2">
      <c r="A2062" s="334" t="s">
        <v>5455</v>
      </c>
      <c r="B2062" s="334" t="s">
        <v>8331</v>
      </c>
      <c r="C2062" s="334" t="s">
        <v>2338</v>
      </c>
    </row>
    <row r="2063" spans="1:4" x14ac:dyDescent="0.2">
      <c r="A2063" s="334" t="s">
        <v>5456</v>
      </c>
      <c r="B2063" s="334" t="s">
        <v>8332</v>
      </c>
      <c r="C2063" s="334" t="s">
        <v>2338</v>
      </c>
    </row>
    <row r="2064" spans="1:4" x14ac:dyDescent="0.2">
      <c r="A2064" s="347" t="s">
        <v>5457</v>
      </c>
      <c r="B2064" s="347" t="s">
        <v>8333</v>
      </c>
      <c r="C2064" s="347" t="s">
        <v>2338</v>
      </c>
      <c r="D2064" s="348" t="s">
        <v>10271</v>
      </c>
    </row>
    <row r="2065" spans="1:4" x14ac:dyDescent="0.2">
      <c r="A2065" s="334" t="s">
        <v>5458</v>
      </c>
      <c r="B2065" s="334" t="s">
        <v>8334</v>
      </c>
      <c r="C2065" s="334" t="s">
        <v>2338</v>
      </c>
    </row>
    <row r="2066" spans="1:4" x14ac:dyDescent="0.2">
      <c r="A2066" s="334" t="s">
        <v>5459</v>
      </c>
      <c r="B2066" s="334" t="s">
        <v>8335</v>
      </c>
      <c r="C2066" s="334" t="s">
        <v>2338</v>
      </c>
    </row>
    <row r="2067" spans="1:4" x14ac:dyDescent="0.2">
      <c r="A2067" s="334" t="s">
        <v>5460</v>
      </c>
      <c r="B2067" s="334" t="s">
        <v>8336</v>
      </c>
      <c r="C2067" s="334" t="s">
        <v>2338</v>
      </c>
    </row>
    <row r="2068" spans="1:4" x14ac:dyDescent="0.2">
      <c r="A2068" s="334" t="s">
        <v>5461</v>
      </c>
      <c r="B2068" s="334" t="s">
        <v>8337</v>
      </c>
      <c r="C2068" s="334" t="s">
        <v>2338</v>
      </c>
    </row>
    <row r="2069" spans="1:4" x14ac:dyDescent="0.2">
      <c r="A2069" s="334" t="s">
        <v>5462</v>
      </c>
      <c r="B2069" s="334" t="s">
        <v>5463</v>
      </c>
      <c r="C2069" s="334" t="s">
        <v>2338</v>
      </c>
    </row>
    <row r="2070" spans="1:4" x14ac:dyDescent="0.2">
      <c r="A2070" s="334" t="s">
        <v>5464</v>
      </c>
      <c r="B2070" s="334" t="s">
        <v>5465</v>
      </c>
      <c r="C2070" s="334" t="s">
        <v>2338</v>
      </c>
    </row>
    <row r="2071" spans="1:4" x14ac:dyDescent="0.2">
      <c r="A2071" s="334" t="s">
        <v>5466</v>
      </c>
      <c r="B2071" s="334" t="s">
        <v>8338</v>
      </c>
      <c r="C2071" s="334" t="s">
        <v>16</v>
      </c>
    </row>
    <row r="2072" spans="1:4" x14ac:dyDescent="0.2">
      <c r="A2072" s="334" t="s">
        <v>5467</v>
      </c>
      <c r="B2072" s="334" t="s">
        <v>8339</v>
      </c>
      <c r="C2072" s="334" t="s">
        <v>11</v>
      </c>
    </row>
    <row r="2073" spans="1:4" x14ac:dyDescent="0.2">
      <c r="A2073" s="334" t="s">
        <v>5468</v>
      </c>
      <c r="B2073" s="334" t="s">
        <v>8340</v>
      </c>
      <c r="C2073" s="334" t="s">
        <v>11</v>
      </c>
    </row>
    <row r="2074" spans="1:4" x14ac:dyDescent="0.2">
      <c r="A2074" s="334" t="s">
        <v>5469</v>
      </c>
      <c r="B2074" s="334" t="s">
        <v>8341</v>
      </c>
      <c r="C2074" s="334" t="s">
        <v>11</v>
      </c>
    </row>
    <row r="2075" spans="1:4" x14ac:dyDescent="0.2">
      <c r="A2075" s="334" t="s">
        <v>5470</v>
      </c>
      <c r="B2075" s="334" t="s">
        <v>8341</v>
      </c>
      <c r="C2075" s="334" t="s">
        <v>6602</v>
      </c>
    </row>
    <row r="2076" spans="1:4" x14ac:dyDescent="0.2">
      <c r="A2076" s="334" t="s">
        <v>8342</v>
      </c>
      <c r="B2076" s="334" t="s">
        <v>8343</v>
      </c>
      <c r="C2076" s="334" t="s">
        <v>7969</v>
      </c>
    </row>
    <row r="2077" spans="1:4" x14ac:dyDescent="0.2">
      <c r="A2077" s="334" t="s">
        <v>2030</v>
      </c>
      <c r="B2077" s="334" t="s">
        <v>8344</v>
      </c>
      <c r="C2077" s="334" t="s">
        <v>2338</v>
      </c>
    </row>
    <row r="2078" spans="1:4" x14ac:dyDescent="0.2">
      <c r="A2078" s="334" t="s">
        <v>2031</v>
      </c>
      <c r="B2078" s="334" t="s">
        <v>8345</v>
      </c>
      <c r="C2078" s="334" t="s">
        <v>16</v>
      </c>
    </row>
    <row r="2079" spans="1:4" x14ac:dyDescent="0.2">
      <c r="A2079" s="347" t="s">
        <v>255</v>
      </c>
      <c r="B2079" s="347" t="s">
        <v>8346</v>
      </c>
      <c r="C2079" s="347" t="s">
        <v>25</v>
      </c>
      <c r="D2079" s="348" t="s">
        <v>10271</v>
      </c>
    </row>
    <row r="2080" spans="1:4" x14ac:dyDescent="0.2">
      <c r="A2080" s="334" t="s">
        <v>5471</v>
      </c>
      <c r="B2080" s="334" t="s">
        <v>5472</v>
      </c>
      <c r="C2080" s="334" t="s">
        <v>16</v>
      </c>
    </row>
    <row r="2081" spans="1:3" x14ac:dyDescent="0.2">
      <c r="A2081" s="334" t="s">
        <v>5473</v>
      </c>
      <c r="B2081" s="334" t="s">
        <v>8347</v>
      </c>
      <c r="C2081" s="334" t="s">
        <v>2338</v>
      </c>
    </row>
    <row r="2082" spans="1:3" x14ac:dyDescent="0.2">
      <c r="A2082" s="334" t="s">
        <v>5474</v>
      </c>
      <c r="B2082" s="334" t="s">
        <v>8348</v>
      </c>
      <c r="C2082" s="334" t="s">
        <v>11</v>
      </c>
    </row>
    <row r="2083" spans="1:3" x14ac:dyDescent="0.2">
      <c r="A2083" s="334" t="s">
        <v>5475</v>
      </c>
      <c r="B2083" s="334" t="s">
        <v>8349</v>
      </c>
      <c r="C2083" s="334" t="s">
        <v>11</v>
      </c>
    </row>
    <row r="2084" spans="1:3" x14ac:dyDescent="0.2">
      <c r="A2084" s="334" t="s">
        <v>5476</v>
      </c>
      <c r="B2084" s="334" t="s">
        <v>8350</v>
      </c>
      <c r="C2084" s="334" t="s">
        <v>11</v>
      </c>
    </row>
    <row r="2085" spans="1:3" x14ac:dyDescent="0.2">
      <c r="A2085" s="334" t="s">
        <v>5477</v>
      </c>
      <c r="B2085" s="334" t="s">
        <v>8351</v>
      </c>
      <c r="C2085" s="334" t="s">
        <v>11</v>
      </c>
    </row>
    <row r="2086" spans="1:3" x14ac:dyDescent="0.2">
      <c r="A2086" s="334" t="s">
        <v>5478</v>
      </c>
      <c r="B2086" s="334" t="s">
        <v>8352</v>
      </c>
      <c r="C2086" s="334" t="s">
        <v>11</v>
      </c>
    </row>
    <row r="2087" spans="1:3" x14ac:dyDescent="0.2">
      <c r="A2087" s="334" t="s">
        <v>5479</v>
      </c>
      <c r="B2087" s="334" t="s">
        <v>8353</v>
      </c>
      <c r="C2087" s="334" t="s">
        <v>11</v>
      </c>
    </row>
    <row r="2088" spans="1:3" x14ac:dyDescent="0.2">
      <c r="A2088" s="334" t="s">
        <v>5480</v>
      </c>
      <c r="B2088" s="334" t="s">
        <v>8354</v>
      </c>
      <c r="C2088" s="334" t="s">
        <v>11</v>
      </c>
    </row>
    <row r="2089" spans="1:3" x14ac:dyDescent="0.2">
      <c r="A2089" s="334" t="s">
        <v>5481</v>
      </c>
      <c r="B2089" s="334" t="s">
        <v>8355</v>
      </c>
      <c r="C2089" s="334" t="s">
        <v>11</v>
      </c>
    </row>
    <row r="2090" spans="1:3" x14ac:dyDescent="0.2">
      <c r="A2090" s="334" t="s">
        <v>5482</v>
      </c>
      <c r="B2090" s="334" t="s">
        <v>8356</v>
      </c>
      <c r="C2090" s="334" t="s">
        <v>11</v>
      </c>
    </row>
    <row r="2091" spans="1:3" x14ac:dyDescent="0.2">
      <c r="A2091" s="334" t="s">
        <v>5483</v>
      </c>
      <c r="B2091" s="334" t="s">
        <v>8357</v>
      </c>
      <c r="C2091" s="334" t="s">
        <v>11</v>
      </c>
    </row>
    <row r="2092" spans="1:3" x14ac:dyDescent="0.2">
      <c r="A2092" s="334" t="s">
        <v>5484</v>
      </c>
      <c r="B2092" s="334" t="s">
        <v>8358</v>
      </c>
      <c r="C2092" s="334" t="s">
        <v>11</v>
      </c>
    </row>
    <row r="2093" spans="1:3" x14ac:dyDescent="0.2">
      <c r="A2093" s="334" t="s">
        <v>5485</v>
      </c>
      <c r="B2093" s="334" t="s">
        <v>8359</v>
      </c>
      <c r="C2093" s="334" t="s">
        <v>11</v>
      </c>
    </row>
    <row r="2094" spans="1:3" x14ac:dyDescent="0.2">
      <c r="A2094" s="334" t="s">
        <v>5486</v>
      </c>
      <c r="B2094" s="334" t="s">
        <v>8360</v>
      </c>
      <c r="C2094" s="334" t="s">
        <v>2338</v>
      </c>
    </row>
    <row r="2095" spans="1:3" x14ac:dyDescent="0.2">
      <c r="A2095" s="334" t="s">
        <v>5487</v>
      </c>
      <c r="B2095" s="334" t="s">
        <v>8360</v>
      </c>
      <c r="C2095" s="334" t="s">
        <v>2338</v>
      </c>
    </row>
    <row r="2096" spans="1:3" x14ac:dyDescent="0.2">
      <c r="A2096" s="334" t="s">
        <v>5488</v>
      </c>
      <c r="B2096" s="334" t="s">
        <v>5489</v>
      </c>
      <c r="C2096" s="334" t="s">
        <v>6602</v>
      </c>
    </row>
    <row r="2097" spans="1:4" x14ac:dyDescent="0.2">
      <c r="A2097" s="334" t="s">
        <v>5490</v>
      </c>
      <c r="B2097" s="334" t="s">
        <v>8361</v>
      </c>
      <c r="C2097" s="334" t="s">
        <v>25</v>
      </c>
    </row>
    <row r="2098" spans="1:4" x14ac:dyDescent="0.2">
      <c r="A2098" s="334" t="s">
        <v>5491</v>
      </c>
      <c r="B2098" s="334" t="s">
        <v>8362</v>
      </c>
      <c r="C2098" s="334" t="s">
        <v>2338</v>
      </c>
    </row>
    <row r="2099" spans="1:4" x14ac:dyDescent="0.2">
      <c r="A2099" s="347" t="s">
        <v>3187</v>
      </c>
      <c r="B2099" s="347" t="s">
        <v>2523</v>
      </c>
      <c r="C2099" s="347" t="s">
        <v>6604</v>
      </c>
      <c r="D2099" s="348" t="s">
        <v>10271</v>
      </c>
    </row>
    <row r="2100" spans="1:4" x14ac:dyDescent="0.2">
      <c r="A2100" s="334" t="s">
        <v>5492</v>
      </c>
      <c r="B2100" s="334" t="s">
        <v>8363</v>
      </c>
      <c r="C2100" s="334" t="s">
        <v>16</v>
      </c>
    </row>
    <row r="2101" spans="1:4" x14ac:dyDescent="0.2">
      <c r="A2101" s="334" t="s">
        <v>5493</v>
      </c>
      <c r="B2101" s="334" t="s">
        <v>8364</v>
      </c>
      <c r="C2101" s="334" t="s">
        <v>2338</v>
      </c>
    </row>
    <row r="2102" spans="1:4" x14ac:dyDescent="0.2">
      <c r="A2102" s="334" t="s">
        <v>5494</v>
      </c>
      <c r="B2102" s="334" t="s">
        <v>8365</v>
      </c>
      <c r="C2102" s="334" t="s">
        <v>2338</v>
      </c>
    </row>
    <row r="2103" spans="1:4" x14ac:dyDescent="0.2">
      <c r="A2103" s="334" t="s">
        <v>5495</v>
      </c>
      <c r="B2103" s="334" t="s">
        <v>5496</v>
      </c>
      <c r="C2103" s="334" t="s">
        <v>2338</v>
      </c>
    </row>
    <row r="2104" spans="1:4" x14ac:dyDescent="0.2">
      <c r="A2104" s="347" t="s">
        <v>2032</v>
      </c>
      <c r="B2104" s="347" t="s">
        <v>8366</v>
      </c>
      <c r="C2104" s="347" t="s">
        <v>52</v>
      </c>
      <c r="D2104" s="348" t="s">
        <v>10271</v>
      </c>
    </row>
    <row r="2105" spans="1:4" x14ac:dyDescent="0.2">
      <c r="A2105" s="347" t="s">
        <v>2033</v>
      </c>
      <c r="B2105" s="347" t="s">
        <v>8367</v>
      </c>
      <c r="C2105" s="347" t="s">
        <v>11</v>
      </c>
      <c r="D2105" s="348" t="s">
        <v>10271</v>
      </c>
    </row>
    <row r="2106" spans="1:4" x14ac:dyDescent="0.2">
      <c r="A2106" s="334" t="s">
        <v>2034</v>
      </c>
      <c r="B2106" s="334" t="s">
        <v>8368</v>
      </c>
      <c r="C2106" s="334" t="s">
        <v>16</v>
      </c>
    </row>
    <row r="2107" spans="1:4" x14ac:dyDescent="0.2">
      <c r="A2107" s="347" t="s">
        <v>2035</v>
      </c>
      <c r="B2107" s="347" t="s">
        <v>8369</v>
      </c>
      <c r="C2107" s="347" t="s">
        <v>16</v>
      </c>
      <c r="D2107" s="348" t="s">
        <v>10271</v>
      </c>
    </row>
    <row r="2108" spans="1:4" x14ac:dyDescent="0.2">
      <c r="A2108" s="347" t="s">
        <v>2036</v>
      </c>
      <c r="B2108" s="347" t="s">
        <v>8370</v>
      </c>
      <c r="C2108" s="347" t="s">
        <v>16</v>
      </c>
      <c r="D2108" s="348" t="s">
        <v>10271</v>
      </c>
    </row>
    <row r="2109" spans="1:4" x14ac:dyDescent="0.2">
      <c r="A2109" s="347" t="s">
        <v>2037</v>
      </c>
      <c r="B2109" s="347" t="s">
        <v>8371</v>
      </c>
      <c r="C2109" s="347" t="s">
        <v>16</v>
      </c>
      <c r="D2109" s="348" t="s">
        <v>10271</v>
      </c>
    </row>
    <row r="2110" spans="1:4" x14ac:dyDescent="0.2">
      <c r="A2110" s="347" t="s">
        <v>2038</v>
      </c>
      <c r="B2110" s="347" t="s">
        <v>8372</v>
      </c>
      <c r="C2110" s="347" t="s">
        <v>16</v>
      </c>
      <c r="D2110" s="348" t="s">
        <v>10271</v>
      </c>
    </row>
    <row r="2111" spans="1:4" x14ac:dyDescent="0.2">
      <c r="A2111" s="347" t="s">
        <v>2039</v>
      </c>
      <c r="B2111" s="347" t="s">
        <v>8373</v>
      </c>
      <c r="C2111" s="347" t="s">
        <v>25</v>
      </c>
      <c r="D2111" s="348" t="s">
        <v>10271</v>
      </c>
    </row>
    <row r="2112" spans="1:4" x14ac:dyDescent="0.2">
      <c r="A2112" s="334" t="s">
        <v>2040</v>
      </c>
      <c r="B2112" s="334" t="s">
        <v>8374</v>
      </c>
      <c r="C2112" s="334" t="s">
        <v>25</v>
      </c>
    </row>
    <row r="2113" spans="1:4" x14ac:dyDescent="0.2">
      <c r="A2113" s="347" t="s">
        <v>2041</v>
      </c>
      <c r="B2113" s="347" t="s">
        <v>2892</v>
      </c>
      <c r="C2113" s="347" t="s">
        <v>2338</v>
      </c>
      <c r="D2113" s="348" t="s">
        <v>10271</v>
      </c>
    </row>
    <row r="2114" spans="1:4" x14ac:dyDescent="0.2">
      <c r="A2114" s="347" t="s">
        <v>2042</v>
      </c>
      <c r="B2114" s="347" t="s">
        <v>8375</v>
      </c>
      <c r="C2114" s="347" t="s">
        <v>16</v>
      </c>
      <c r="D2114" s="348" t="s">
        <v>10271</v>
      </c>
    </row>
    <row r="2115" spans="1:4" x14ac:dyDescent="0.2">
      <c r="A2115" s="347" t="s">
        <v>2043</v>
      </c>
      <c r="B2115" s="347" t="s">
        <v>8376</v>
      </c>
      <c r="C2115" s="347" t="s">
        <v>11</v>
      </c>
      <c r="D2115" s="348" t="s">
        <v>10271</v>
      </c>
    </row>
    <row r="2116" spans="1:4" x14ac:dyDescent="0.2">
      <c r="A2116" s="334" t="s">
        <v>2044</v>
      </c>
      <c r="B2116" s="334" t="s">
        <v>8377</v>
      </c>
      <c r="C2116" s="334" t="s">
        <v>2338</v>
      </c>
    </row>
    <row r="2117" spans="1:4" x14ac:dyDescent="0.2">
      <c r="A2117" s="334" t="s">
        <v>5497</v>
      </c>
      <c r="B2117" s="334" t="s">
        <v>8378</v>
      </c>
      <c r="C2117" s="334" t="s">
        <v>16</v>
      </c>
    </row>
    <row r="2118" spans="1:4" x14ac:dyDescent="0.2">
      <c r="A2118" s="334" t="s">
        <v>5498</v>
      </c>
      <c r="B2118" s="334" t="s">
        <v>8379</v>
      </c>
      <c r="C2118" s="334" t="s">
        <v>16</v>
      </c>
    </row>
    <row r="2119" spans="1:4" x14ac:dyDescent="0.2">
      <c r="A2119" s="334" t="s">
        <v>5499</v>
      </c>
      <c r="B2119" s="334" t="s">
        <v>8380</v>
      </c>
      <c r="C2119" s="334" t="s">
        <v>11</v>
      </c>
    </row>
    <row r="2120" spans="1:4" x14ac:dyDescent="0.2">
      <c r="A2120" s="334" t="s">
        <v>5500</v>
      </c>
      <c r="B2120" s="334" t="s">
        <v>8381</v>
      </c>
      <c r="C2120" s="334" t="s">
        <v>16</v>
      </c>
    </row>
    <row r="2121" spans="1:4" x14ac:dyDescent="0.2">
      <c r="A2121" s="334" t="s">
        <v>5501</v>
      </c>
      <c r="B2121" s="334" t="s">
        <v>8382</v>
      </c>
      <c r="C2121" s="334" t="s">
        <v>16</v>
      </c>
    </row>
    <row r="2122" spans="1:4" x14ac:dyDescent="0.2">
      <c r="A2122" s="334" t="s">
        <v>5502</v>
      </c>
      <c r="B2122" s="334" t="s">
        <v>8383</v>
      </c>
      <c r="C2122" s="334" t="s">
        <v>16</v>
      </c>
    </row>
    <row r="2123" spans="1:4" x14ac:dyDescent="0.2">
      <c r="A2123" s="334" t="s">
        <v>5503</v>
      </c>
      <c r="B2123" s="334" t="s">
        <v>8384</v>
      </c>
      <c r="C2123" s="334" t="s">
        <v>16</v>
      </c>
    </row>
    <row r="2124" spans="1:4" x14ac:dyDescent="0.2">
      <c r="A2124" s="334" t="s">
        <v>5504</v>
      </c>
      <c r="B2124" s="334" t="s">
        <v>8385</v>
      </c>
      <c r="C2124" s="334" t="s">
        <v>16</v>
      </c>
    </row>
    <row r="2125" spans="1:4" x14ac:dyDescent="0.2">
      <c r="A2125" s="334" t="s">
        <v>5505</v>
      </c>
      <c r="B2125" s="334" t="s">
        <v>8386</v>
      </c>
      <c r="C2125" s="334" t="s">
        <v>16</v>
      </c>
    </row>
    <row r="2126" spans="1:4" x14ac:dyDescent="0.2">
      <c r="A2126" s="334" t="s">
        <v>5506</v>
      </c>
      <c r="B2126" s="334" t="s">
        <v>8387</v>
      </c>
      <c r="C2126" s="334" t="s">
        <v>16</v>
      </c>
    </row>
    <row r="2127" spans="1:4" x14ac:dyDescent="0.2">
      <c r="A2127" s="334" t="s">
        <v>5507</v>
      </c>
      <c r="B2127" s="334" t="s">
        <v>8388</v>
      </c>
      <c r="C2127" s="334" t="s">
        <v>16</v>
      </c>
    </row>
    <row r="2128" spans="1:4" x14ac:dyDescent="0.2">
      <c r="A2128" s="347" t="s">
        <v>490</v>
      </c>
      <c r="B2128" s="347" t="s">
        <v>2894</v>
      </c>
      <c r="C2128" s="347" t="s">
        <v>2338</v>
      </c>
      <c r="D2128" s="348" t="s">
        <v>10271</v>
      </c>
    </row>
    <row r="2129" spans="1:3" x14ac:dyDescent="0.2">
      <c r="A2129" s="334" t="s">
        <v>2045</v>
      </c>
      <c r="B2129" s="334" t="s">
        <v>8389</v>
      </c>
      <c r="C2129" s="334" t="s">
        <v>16</v>
      </c>
    </row>
    <row r="2130" spans="1:3" x14ac:dyDescent="0.2">
      <c r="A2130" s="334" t="s">
        <v>2046</v>
      </c>
      <c r="B2130" s="334" t="s">
        <v>8390</v>
      </c>
      <c r="C2130" s="334" t="s">
        <v>16</v>
      </c>
    </row>
    <row r="2131" spans="1:3" x14ac:dyDescent="0.2">
      <c r="A2131" s="334" t="s">
        <v>5508</v>
      </c>
      <c r="B2131" s="334" t="s">
        <v>8391</v>
      </c>
      <c r="C2131" s="334" t="s">
        <v>16</v>
      </c>
    </row>
    <row r="2132" spans="1:3" x14ac:dyDescent="0.2">
      <c r="A2132" s="334" t="s">
        <v>5509</v>
      </c>
      <c r="B2132" s="334" t="s">
        <v>8392</v>
      </c>
      <c r="C2132" s="334" t="s">
        <v>16</v>
      </c>
    </row>
    <row r="2133" spans="1:3" x14ac:dyDescent="0.2">
      <c r="A2133" s="334" t="s">
        <v>5510</v>
      </c>
      <c r="B2133" s="334" t="s">
        <v>8393</v>
      </c>
      <c r="C2133" s="334" t="s">
        <v>11</v>
      </c>
    </row>
    <row r="2134" spans="1:3" x14ac:dyDescent="0.2">
      <c r="A2134" s="334" t="s">
        <v>5511</v>
      </c>
      <c r="B2134" s="334" t="s">
        <v>8394</v>
      </c>
      <c r="C2134" s="334" t="s">
        <v>11</v>
      </c>
    </row>
    <row r="2135" spans="1:3" x14ac:dyDescent="0.2">
      <c r="A2135" s="334" t="s">
        <v>5512</v>
      </c>
      <c r="B2135" s="334" t="s">
        <v>8395</v>
      </c>
      <c r="C2135" s="334" t="s">
        <v>11</v>
      </c>
    </row>
    <row r="2136" spans="1:3" x14ac:dyDescent="0.2">
      <c r="A2136" s="334" t="s">
        <v>5513</v>
      </c>
      <c r="B2136" s="334" t="s">
        <v>8396</v>
      </c>
      <c r="C2136" s="334" t="s">
        <v>11</v>
      </c>
    </row>
    <row r="2137" spans="1:3" x14ac:dyDescent="0.2">
      <c r="A2137" s="334" t="s">
        <v>5514</v>
      </c>
      <c r="B2137" s="334" t="s">
        <v>8397</v>
      </c>
      <c r="C2137" s="334" t="s">
        <v>11</v>
      </c>
    </row>
    <row r="2138" spans="1:3" x14ac:dyDescent="0.2">
      <c r="A2138" s="334" t="s">
        <v>5515</v>
      </c>
      <c r="B2138" s="334" t="s">
        <v>8398</v>
      </c>
      <c r="C2138" s="334" t="s">
        <v>11</v>
      </c>
    </row>
    <row r="2139" spans="1:3" x14ac:dyDescent="0.2">
      <c r="A2139" s="334" t="s">
        <v>5516</v>
      </c>
      <c r="B2139" s="334" t="s">
        <v>8399</v>
      </c>
      <c r="C2139" s="334" t="s">
        <v>11</v>
      </c>
    </row>
    <row r="2140" spans="1:3" x14ac:dyDescent="0.2">
      <c r="A2140" s="334" t="s">
        <v>5517</v>
      </c>
      <c r="B2140" s="334" t="s">
        <v>8400</v>
      </c>
      <c r="C2140" s="334" t="s">
        <v>11</v>
      </c>
    </row>
    <row r="2141" spans="1:3" x14ac:dyDescent="0.2">
      <c r="A2141" s="334" t="s">
        <v>5518</v>
      </c>
      <c r="B2141" s="334" t="s">
        <v>8401</v>
      </c>
      <c r="C2141" s="334" t="s">
        <v>11</v>
      </c>
    </row>
    <row r="2142" spans="1:3" x14ac:dyDescent="0.2">
      <c r="A2142" s="334" t="s">
        <v>5519</v>
      </c>
      <c r="B2142" s="334" t="s">
        <v>8402</v>
      </c>
      <c r="C2142" s="334" t="s">
        <v>11</v>
      </c>
    </row>
    <row r="2143" spans="1:3" x14ac:dyDescent="0.2">
      <c r="A2143" s="334" t="s">
        <v>5520</v>
      </c>
      <c r="B2143" s="334" t="s">
        <v>8403</v>
      </c>
      <c r="C2143" s="334" t="s">
        <v>11</v>
      </c>
    </row>
    <row r="2144" spans="1:3" x14ac:dyDescent="0.2">
      <c r="A2144" s="334" t="s">
        <v>5521</v>
      </c>
      <c r="B2144" s="334" t="s">
        <v>8404</v>
      </c>
      <c r="C2144" s="334" t="s">
        <v>11</v>
      </c>
    </row>
    <row r="2145" spans="1:3" x14ac:dyDescent="0.2">
      <c r="A2145" s="334" t="s">
        <v>5522</v>
      </c>
      <c r="B2145" s="334" t="s">
        <v>8405</v>
      </c>
      <c r="C2145" s="334" t="s">
        <v>11</v>
      </c>
    </row>
    <row r="2146" spans="1:3" x14ac:dyDescent="0.2">
      <c r="A2146" s="334" t="s">
        <v>5523</v>
      </c>
      <c r="B2146" s="334" t="s">
        <v>8406</v>
      </c>
      <c r="C2146" s="334" t="s">
        <v>11</v>
      </c>
    </row>
    <row r="2147" spans="1:3" x14ac:dyDescent="0.2">
      <c r="A2147" s="334" t="s">
        <v>5524</v>
      </c>
      <c r="B2147" s="334" t="s">
        <v>8407</v>
      </c>
      <c r="C2147" s="334" t="s">
        <v>11</v>
      </c>
    </row>
    <row r="2148" spans="1:3" x14ac:dyDescent="0.2">
      <c r="A2148" s="334" t="s">
        <v>5525</v>
      </c>
      <c r="B2148" s="334" t="s">
        <v>8408</v>
      </c>
      <c r="C2148" s="334" t="s">
        <v>11</v>
      </c>
    </row>
    <row r="2149" spans="1:3" x14ac:dyDescent="0.2">
      <c r="A2149" s="334" t="s">
        <v>5526</v>
      </c>
      <c r="B2149" s="334" t="s">
        <v>8409</v>
      </c>
      <c r="C2149" s="334" t="s">
        <v>11</v>
      </c>
    </row>
    <row r="2150" spans="1:3" x14ac:dyDescent="0.2">
      <c r="A2150" s="334" t="s">
        <v>5527</v>
      </c>
      <c r="B2150" s="334" t="s">
        <v>8410</v>
      </c>
      <c r="C2150" s="334" t="s">
        <v>11</v>
      </c>
    </row>
    <row r="2151" spans="1:3" x14ac:dyDescent="0.2">
      <c r="A2151" s="334" t="s">
        <v>5528</v>
      </c>
      <c r="B2151" s="334" t="s">
        <v>8411</v>
      </c>
      <c r="C2151" s="334" t="s">
        <v>11</v>
      </c>
    </row>
    <row r="2152" spans="1:3" x14ac:dyDescent="0.2">
      <c r="A2152" s="334" t="s">
        <v>5529</v>
      </c>
      <c r="B2152" s="334" t="s">
        <v>8412</v>
      </c>
      <c r="C2152" s="334" t="s">
        <v>11</v>
      </c>
    </row>
    <row r="2153" spans="1:3" x14ac:dyDescent="0.2">
      <c r="A2153" s="334" t="s">
        <v>5530</v>
      </c>
      <c r="B2153" s="334" t="s">
        <v>8413</v>
      </c>
      <c r="C2153" s="334" t="s">
        <v>11</v>
      </c>
    </row>
    <row r="2154" spans="1:3" x14ac:dyDescent="0.2">
      <c r="A2154" s="334" t="s">
        <v>5531</v>
      </c>
      <c r="B2154" s="334" t="s">
        <v>8414</v>
      </c>
      <c r="C2154" s="334" t="s">
        <v>11</v>
      </c>
    </row>
    <row r="2155" spans="1:3" x14ac:dyDescent="0.2">
      <c r="A2155" s="334" t="s">
        <v>5532</v>
      </c>
      <c r="B2155" s="334" t="s">
        <v>8415</v>
      </c>
      <c r="C2155" s="334" t="s">
        <v>11</v>
      </c>
    </row>
    <row r="2156" spans="1:3" x14ac:dyDescent="0.2">
      <c r="A2156" s="334" t="s">
        <v>5533</v>
      </c>
      <c r="B2156" s="334" t="s">
        <v>8416</v>
      </c>
      <c r="C2156" s="334" t="s">
        <v>11</v>
      </c>
    </row>
    <row r="2157" spans="1:3" x14ac:dyDescent="0.2">
      <c r="A2157" s="334" t="s">
        <v>5534</v>
      </c>
      <c r="B2157" s="334" t="s">
        <v>8417</v>
      </c>
      <c r="C2157" s="334" t="s">
        <v>11</v>
      </c>
    </row>
    <row r="2158" spans="1:3" x14ac:dyDescent="0.2">
      <c r="A2158" s="334" t="s">
        <v>5535</v>
      </c>
      <c r="B2158" s="334" t="s">
        <v>8418</v>
      </c>
      <c r="C2158" s="334" t="s">
        <v>11</v>
      </c>
    </row>
    <row r="2159" spans="1:3" x14ac:dyDescent="0.2">
      <c r="A2159" s="334" t="s">
        <v>5536</v>
      </c>
      <c r="B2159" s="334" t="s">
        <v>8419</v>
      </c>
      <c r="C2159" s="334" t="s">
        <v>11</v>
      </c>
    </row>
    <row r="2160" spans="1:3" x14ac:dyDescent="0.2">
      <c r="A2160" s="334" t="s">
        <v>5537</v>
      </c>
      <c r="B2160" s="334" t="s">
        <v>8420</v>
      </c>
      <c r="C2160" s="334" t="s">
        <v>11</v>
      </c>
    </row>
    <row r="2161" spans="1:3" x14ac:dyDescent="0.2">
      <c r="A2161" s="334" t="s">
        <v>5538</v>
      </c>
      <c r="B2161" s="334" t="s">
        <v>8421</v>
      </c>
      <c r="C2161" s="334" t="s">
        <v>11</v>
      </c>
    </row>
    <row r="2162" spans="1:3" x14ac:dyDescent="0.2">
      <c r="A2162" s="334" t="s">
        <v>5539</v>
      </c>
      <c r="B2162" s="334" t="s">
        <v>8422</v>
      </c>
      <c r="C2162" s="334" t="s">
        <v>11</v>
      </c>
    </row>
    <row r="2163" spans="1:3" x14ac:dyDescent="0.2">
      <c r="A2163" s="334" t="s">
        <v>5540</v>
      </c>
      <c r="B2163" s="334" t="s">
        <v>8423</v>
      </c>
      <c r="C2163" s="334" t="s">
        <v>11</v>
      </c>
    </row>
    <row r="2164" spans="1:3" x14ac:dyDescent="0.2">
      <c r="A2164" s="334" t="s">
        <v>2047</v>
      </c>
      <c r="B2164" s="334" t="s">
        <v>8424</v>
      </c>
      <c r="C2164" s="334" t="s">
        <v>11</v>
      </c>
    </row>
    <row r="2165" spans="1:3" x14ac:dyDescent="0.2">
      <c r="A2165" s="334" t="s">
        <v>2048</v>
      </c>
      <c r="B2165" s="334" t="s">
        <v>8425</v>
      </c>
      <c r="C2165" s="334" t="s">
        <v>11</v>
      </c>
    </row>
    <row r="2166" spans="1:3" x14ac:dyDescent="0.2">
      <c r="A2166" s="334" t="s">
        <v>2049</v>
      </c>
      <c r="B2166" s="334" t="s">
        <v>5541</v>
      </c>
      <c r="C2166" s="334" t="s">
        <v>11</v>
      </c>
    </row>
    <row r="2167" spans="1:3" x14ac:dyDescent="0.2">
      <c r="A2167" s="334" t="s">
        <v>5542</v>
      </c>
      <c r="B2167" s="334" t="s">
        <v>8426</v>
      </c>
      <c r="C2167" s="334" t="s">
        <v>11</v>
      </c>
    </row>
    <row r="2168" spans="1:3" x14ac:dyDescent="0.2">
      <c r="A2168" s="334" t="s">
        <v>5543</v>
      </c>
      <c r="B2168" s="334" t="s">
        <v>8427</v>
      </c>
      <c r="C2168" s="334" t="s">
        <v>11</v>
      </c>
    </row>
    <row r="2169" spans="1:3" x14ac:dyDescent="0.2">
      <c r="A2169" s="334" t="s">
        <v>5544</v>
      </c>
      <c r="B2169" s="334" t="s">
        <v>8428</v>
      </c>
      <c r="C2169" s="334" t="s">
        <v>11</v>
      </c>
    </row>
    <row r="2170" spans="1:3" x14ac:dyDescent="0.2">
      <c r="A2170" s="334" t="s">
        <v>5545</v>
      </c>
      <c r="B2170" s="334" t="s">
        <v>8429</v>
      </c>
      <c r="C2170" s="334" t="s">
        <v>2338</v>
      </c>
    </row>
    <row r="2171" spans="1:3" x14ac:dyDescent="0.2">
      <c r="A2171" s="334" t="s">
        <v>5546</v>
      </c>
      <c r="B2171" s="334" t="s">
        <v>8430</v>
      </c>
      <c r="C2171" s="334" t="s">
        <v>25</v>
      </c>
    </row>
    <row r="2172" spans="1:3" x14ac:dyDescent="0.2">
      <c r="A2172" s="334" t="s">
        <v>5547</v>
      </c>
      <c r="B2172" s="334" t="s">
        <v>8431</v>
      </c>
      <c r="C2172" s="334" t="s">
        <v>11</v>
      </c>
    </row>
    <row r="2173" spans="1:3" x14ac:dyDescent="0.2">
      <c r="A2173" s="334" t="s">
        <v>5548</v>
      </c>
      <c r="B2173" s="334" t="s">
        <v>8432</v>
      </c>
      <c r="C2173" s="334" t="s">
        <v>2338</v>
      </c>
    </row>
    <row r="2174" spans="1:3" x14ac:dyDescent="0.2">
      <c r="A2174" s="334" t="s">
        <v>5549</v>
      </c>
      <c r="B2174" s="334" t="s">
        <v>8433</v>
      </c>
      <c r="C2174" s="334" t="s">
        <v>2557</v>
      </c>
    </row>
    <row r="2175" spans="1:3" x14ac:dyDescent="0.2">
      <c r="A2175" s="334" t="s">
        <v>5550</v>
      </c>
      <c r="B2175" s="334" t="s">
        <v>8434</v>
      </c>
      <c r="C2175" s="334" t="s">
        <v>16</v>
      </c>
    </row>
    <row r="2176" spans="1:3" x14ac:dyDescent="0.2">
      <c r="A2176" s="334" t="s">
        <v>5551</v>
      </c>
      <c r="B2176" s="334" t="s">
        <v>8435</v>
      </c>
      <c r="C2176" s="334" t="s">
        <v>16</v>
      </c>
    </row>
    <row r="2177" spans="1:3" x14ac:dyDescent="0.2">
      <c r="A2177" s="334" t="s">
        <v>5552</v>
      </c>
      <c r="B2177" s="334" t="s">
        <v>8436</v>
      </c>
      <c r="C2177" s="334" t="s">
        <v>16</v>
      </c>
    </row>
    <row r="2178" spans="1:3" x14ac:dyDescent="0.2">
      <c r="A2178" s="334" t="s">
        <v>5553</v>
      </c>
      <c r="B2178" s="334" t="s">
        <v>8437</v>
      </c>
      <c r="C2178" s="334" t="s">
        <v>25</v>
      </c>
    </row>
    <row r="2179" spans="1:3" x14ac:dyDescent="0.2">
      <c r="A2179" s="334" t="s">
        <v>5554</v>
      </c>
      <c r="B2179" s="334" t="s">
        <v>8438</v>
      </c>
      <c r="C2179" s="334" t="s">
        <v>2338</v>
      </c>
    </row>
    <row r="2180" spans="1:3" x14ac:dyDescent="0.2">
      <c r="A2180" s="334" t="s">
        <v>5555</v>
      </c>
      <c r="B2180" s="334" t="s">
        <v>8438</v>
      </c>
      <c r="C2180" s="334" t="s">
        <v>2338</v>
      </c>
    </row>
    <row r="2181" spans="1:3" x14ac:dyDescent="0.2">
      <c r="A2181" s="334" t="s">
        <v>5556</v>
      </c>
      <c r="B2181" s="334" t="s">
        <v>8439</v>
      </c>
      <c r="C2181" s="334" t="s">
        <v>2338</v>
      </c>
    </row>
    <row r="2182" spans="1:3" x14ac:dyDescent="0.2">
      <c r="A2182" s="334" t="s">
        <v>5557</v>
      </c>
      <c r="B2182" s="334" t="s">
        <v>2713</v>
      </c>
      <c r="C2182" s="334" t="s">
        <v>11</v>
      </c>
    </row>
    <row r="2183" spans="1:3" x14ac:dyDescent="0.2">
      <c r="A2183" s="334" t="s">
        <v>5558</v>
      </c>
      <c r="B2183" s="334" t="s">
        <v>8440</v>
      </c>
      <c r="C2183" s="334" t="s">
        <v>11</v>
      </c>
    </row>
    <row r="2184" spans="1:3" x14ac:dyDescent="0.2">
      <c r="A2184" s="334" t="s">
        <v>5559</v>
      </c>
      <c r="B2184" s="334" t="s">
        <v>8441</v>
      </c>
      <c r="C2184" s="334" t="s">
        <v>16</v>
      </c>
    </row>
    <row r="2185" spans="1:3" x14ac:dyDescent="0.2">
      <c r="A2185" s="334" t="s">
        <v>5560</v>
      </c>
      <c r="B2185" s="334" t="s">
        <v>8442</v>
      </c>
      <c r="C2185" s="334" t="s">
        <v>16</v>
      </c>
    </row>
    <row r="2186" spans="1:3" x14ac:dyDescent="0.2">
      <c r="A2186" s="334" t="s">
        <v>5561</v>
      </c>
      <c r="B2186" s="334" t="s">
        <v>8443</v>
      </c>
      <c r="C2186" s="334" t="s">
        <v>16</v>
      </c>
    </row>
    <row r="2187" spans="1:3" x14ac:dyDescent="0.2">
      <c r="A2187" s="334" t="s">
        <v>5562</v>
      </c>
      <c r="B2187" s="334" t="s">
        <v>8444</v>
      </c>
      <c r="C2187" s="334" t="s">
        <v>16</v>
      </c>
    </row>
    <row r="2188" spans="1:3" x14ac:dyDescent="0.2">
      <c r="A2188" s="334" t="s">
        <v>5563</v>
      </c>
      <c r="B2188" s="334" t="s">
        <v>8445</v>
      </c>
      <c r="C2188" s="334" t="s">
        <v>16</v>
      </c>
    </row>
    <row r="2189" spans="1:3" x14ac:dyDescent="0.2">
      <c r="A2189" s="334" t="s">
        <v>5564</v>
      </c>
      <c r="B2189" s="334" t="s">
        <v>8446</v>
      </c>
      <c r="C2189" s="334" t="s">
        <v>16</v>
      </c>
    </row>
    <row r="2190" spans="1:3" x14ac:dyDescent="0.2">
      <c r="A2190" s="334" t="s">
        <v>5565</v>
      </c>
      <c r="B2190" s="334" t="s">
        <v>8447</v>
      </c>
      <c r="C2190" s="334" t="s">
        <v>16</v>
      </c>
    </row>
    <row r="2191" spans="1:3" x14ac:dyDescent="0.2">
      <c r="A2191" s="334" t="s">
        <v>5566</v>
      </c>
      <c r="B2191" s="334" t="s">
        <v>8448</v>
      </c>
      <c r="C2191" s="334" t="s">
        <v>16</v>
      </c>
    </row>
    <row r="2192" spans="1:3" x14ac:dyDescent="0.2">
      <c r="A2192" s="334" t="s">
        <v>5567</v>
      </c>
      <c r="B2192" s="334" t="s">
        <v>8449</v>
      </c>
      <c r="C2192" s="334" t="s">
        <v>2338</v>
      </c>
    </row>
    <row r="2193" spans="1:3" x14ac:dyDescent="0.2">
      <c r="A2193" s="334" t="s">
        <v>5568</v>
      </c>
      <c r="B2193" s="334" t="s">
        <v>8450</v>
      </c>
      <c r="C2193" s="334" t="s">
        <v>25</v>
      </c>
    </row>
    <row r="2194" spans="1:3" x14ac:dyDescent="0.2">
      <c r="A2194" s="334" t="s">
        <v>5569</v>
      </c>
      <c r="B2194" s="334" t="s">
        <v>8451</v>
      </c>
      <c r="C2194" s="334" t="s">
        <v>25</v>
      </c>
    </row>
    <row r="2195" spans="1:3" x14ac:dyDescent="0.2">
      <c r="A2195" s="334" t="s">
        <v>5570</v>
      </c>
      <c r="B2195" s="334" t="s">
        <v>8452</v>
      </c>
      <c r="C2195" s="334" t="s">
        <v>16</v>
      </c>
    </row>
    <row r="2196" spans="1:3" x14ac:dyDescent="0.2">
      <c r="A2196" s="334" t="s">
        <v>5571</v>
      </c>
      <c r="B2196" s="334" t="s">
        <v>2902</v>
      </c>
      <c r="C2196" s="334" t="s">
        <v>2338</v>
      </c>
    </row>
    <row r="2197" spans="1:3" x14ac:dyDescent="0.2">
      <c r="A2197" s="334" t="s">
        <v>5572</v>
      </c>
      <c r="B2197" s="334" t="s">
        <v>8453</v>
      </c>
      <c r="C2197" s="334" t="s">
        <v>11</v>
      </c>
    </row>
    <row r="2198" spans="1:3" x14ac:dyDescent="0.2">
      <c r="A2198" s="334" t="s">
        <v>5573</v>
      </c>
      <c r="B2198" s="334" t="s">
        <v>8454</v>
      </c>
      <c r="C2198" s="334" t="s">
        <v>8455</v>
      </c>
    </row>
    <row r="2199" spans="1:3" x14ac:dyDescent="0.2">
      <c r="A2199" s="334" t="s">
        <v>2050</v>
      </c>
      <c r="B2199" s="334" t="s">
        <v>8456</v>
      </c>
      <c r="C2199" s="334" t="s">
        <v>16</v>
      </c>
    </row>
    <row r="2200" spans="1:3" x14ac:dyDescent="0.2">
      <c r="A2200" s="334" t="s">
        <v>5574</v>
      </c>
      <c r="B2200" s="334" t="s">
        <v>8457</v>
      </c>
      <c r="C2200" s="334" t="s">
        <v>11</v>
      </c>
    </row>
    <row r="2201" spans="1:3" x14ac:dyDescent="0.2">
      <c r="A2201" s="334" t="s">
        <v>5575</v>
      </c>
      <c r="B2201" s="334" t="s">
        <v>8458</v>
      </c>
      <c r="C2201" s="334" t="s">
        <v>11</v>
      </c>
    </row>
    <row r="2202" spans="1:3" x14ac:dyDescent="0.2">
      <c r="A2202" s="334" t="s">
        <v>5576</v>
      </c>
      <c r="B2202" s="334" t="s">
        <v>8459</v>
      </c>
      <c r="C2202" s="334" t="s">
        <v>11</v>
      </c>
    </row>
    <row r="2203" spans="1:3" x14ac:dyDescent="0.2">
      <c r="A2203" s="334" t="s">
        <v>5577</v>
      </c>
      <c r="B2203" s="334" t="s">
        <v>8460</v>
      </c>
      <c r="C2203" s="334" t="s">
        <v>16</v>
      </c>
    </row>
    <row r="2204" spans="1:3" x14ac:dyDescent="0.2">
      <c r="A2204" s="334" t="s">
        <v>5578</v>
      </c>
      <c r="B2204" s="334" t="s">
        <v>8461</v>
      </c>
      <c r="C2204" s="334" t="s">
        <v>11</v>
      </c>
    </row>
    <row r="2205" spans="1:3" x14ac:dyDescent="0.2">
      <c r="A2205" s="334" t="s">
        <v>5579</v>
      </c>
      <c r="B2205" s="334" t="s">
        <v>8462</v>
      </c>
      <c r="C2205" s="334" t="s">
        <v>11</v>
      </c>
    </row>
    <row r="2206" spans="1:3" x14ac:dyDescent="0.2">
      <c r="A2206" s="334" t="s">
        <v>5580</v>
      </c>
      <c r="B2206" s="334" t="s">
        <v>8463</v>
      </c>
      <c r="C2206" s="334" t="s">
        <v>11</v>
      </c>
    </row>
    <row r="2207" spans="1:3" x14ac:dyDescent="0.2">
      <c r="A2207" s="334" t="s">
        <v>5581</v>
      </c>
      <c r="B2207" s="334" t="s">
        <v>8464</v>
      </c>
      <c r="C2207" s="334" t="s">
        <v>11</v>
      </c>
    </row>
    <row r="2208" spans="1:3" x14ac:dyDescent="0.2">
      <c r="A2208" s="334" t="s">
        <v>5582</v>
      </c>
      <c r="B2208" s="334" t="s">
        <v>8465</v>
      </c>
      <c r="C2208" s="334" t="s">
        <v>16</v>
      </c>
    </row>
    <row r="2209" spans="1:3" x14ac:dyDescent="0.2">
      <c r="A2209" s="334" t="s">
        <v>5583</v>
      </c>
      <c r="B2209" s="334" t="s">
        <v>8466</v>
      </c>
      <c r="C2209" s="334" t="s">
        <v>11</v>
      </c>
    </row>
    <row r="2210" spans="1:3" x14ac:dyDescent="0.2">
      <c r="A2210" s="334" t="s">
        <v>5584</v>
      </c>
      <c r="B2210" s="334" t="s">
        <v>8467</v>
      </c>
      <c r="C2210" s="334" t="s">
        <v>11</v>
      </c>
    </row>
    <row r="2211" spans="1:3" x14ac:dyDescent="0.2">
      <c r="A2211" s="334" t="s">
        <v>5585</v>
      </c>
      <c r="B2211" s="334" t="s">
        <v>8468</v>
      </c>
      <c r="C2211" s="334" t="s">
        <v>11</v>
      </c>
    </row>
    <row r="2212" spans="1:3" x14ac:dyDescent="0.2">
      <c r="A2212" s="334" t="s">
        <v>5586</v>
      </c>
      <c r="B2212" s="334" t="s">
        <v>8469</v>
      </c>
      <c r="C2212" s="334" t="s">
        <v>2338</v>
      </c>
    </row>
    <row r="2213" spans="1:3" x14ac:dyDescent="0.2">
      <c r="A2213" s="334" t="s">
        <v>5587</v>
      </c>
      <c r="B2213" s="334" t="s">
        <v>8470</v>
      </c>
      <c r="C2213" s="334" t="s">
        <v>11</v>
      </c>
    </row>
    <row r="2214" spans="1:3" x14ac:dyDescent="0.2">
      <c r="A2214" s="334" t="s">
        <v>5588</v>
      </c>
      <c r="B2214" s="334" t="s">
        <v>8471</v>
      </c>
      <c r="C2214" s="334" t="s">
        <v>25</v>
      </c>
    </row>
    <row r="2215" spans="1:3" x14ac:dyDescent="0.2">
      <c r="A2215" s="334" t="s">
        <v>5589</v>
      </c>
      <c r="B2215" s="334" t="s">
        <v>2870</v>
      </c>
      <c r="C2215" s="334" t="s">
        <v>16</v>
      </c>
    </row>
    <row r="2216" spans="1:3" x14ac:dyDescent="0.2">
      <c r="A2216" s="334" t="s">
        <v>5590</v>
      </c>
      <c r="B2216" s="334" t="s">
        <v>8472</v>
      </c>
      <c r="C2216" s="334" t="s">
        <v>16</v>
      </c>
    </row>
    <row r="2217" spans="1:3" x14ac:dyDescent="0.2">
      <c r="A2217" s="334" t="s">
        <v>5591</v>
      </c>
      <c r="B2217" s="334" t="s">
        <v>8473</v>
      </c>
      <c r="C2217" s="334" t="s">
        <v>16</v>
      </c>
    </row>
    <row r="2218" spans="1:3" x14ac:dyDescent="0.2">
      <c r="A2218" s="334" t="s">
        <v>5592</v>
      </c>
      <c r="B2218" s="334" t="s">
        <v>8474</v>
      </c>
      <c r="C2218" s="334" t="s">
        <v>16</v>
      </c>
    </row>
    <row r="2219" spans="1:3" x14ac:dyDescent="0.2">
      <c r="A2219" s="334" t="s">
        <v>5593</v>
      </c>
      <c r="B2219" s="334" t="s">
        <v>8475</v>
      </c>
      <c r="C2219" s="334" t="s">
        <v>16</v>
      </c>
    </row>
    <row r="2220" spans="1:3" x14ac:dyDescent="0.2">
      <c r="A2220" s="334" t="s">
        <v>5594</v>
      </c>
      <c r="B2220" s="334" t="s">
        <v>8476</v>
      </c>
      <c r="C2220" s="334" t="s">
        <v>16</v>
      </c>
    </row>
    <row r="2221" spans="1:3" x14ac:dyDescent="0.2">
      <c r="A2221" s="334" t="s">
        <v>5595</v>
      </c>
      <c r="B2221" s="334" t="s">
        <v>8477</v>
      </c>
      <c r="C2221" s="334" t="s">
        <v>25</v>
      </c>
    </row>
    <row r="2222" spans="1:3" x14ac:dyDescent="0.2">
      <c r="A2222" s="334" t="s">
        <v>5596</v>
      </c>
      <c r="B2222" s="334" t="s">
        <v>8478</v>
      </c>
      <c r="C2222" s="334" t="s">
        <v>16</v>
      </c>
    </row>
    <row r="2223" spans="1:3" x14ac:dyDescent="0.2">
      <c r="A2223" s="334" t="s">
        <v>5597</v>
      </c>
      <c r="B2223" s="334" t="s">
        <v>8479</v>
      </c>
      <c r="C2223" s="334" t="s">
        <v>16</v>
      </c>
    </row>
    <row r="2224" spans="1:3" x14ac:dyDescent="0.2">
      <c r="A2224" s="334" t="s">
        <v>5598</v>
      </c>
      <c r="B2224" s="334" t="s">
        <v>8480</v>
      </c>
      <c r="C2224" s="334" t="s">
        <v>11</v>
      </c>
    </row>
    <row r="2225" spans="1:3" x14ac:dyDescent="0.2">
      <c r="A2225" s="334" t="s">
        <v>5599</v>
      </c>
      <c r="B2225" s="334" t="s">
        <v>8481</v>
      </c>
      <c r="C2225" s="334" t="s">
        <v>11</v>
      </c>
    </row>
    <row r="2226" spans="1:3" x14ac:dyDescent="0.2">
      <c r="A2226" s="334" t="s">
        <v>5600</v>
      </c>
      <c r="B2226" s="334" t="s">
        <v>8482</v>
      </c>
      <c r="C2226" s="334" t="s">
        <v>11</v>
      </c>
    </row>
    <row r="2227" spans="1:3" x14ac:dyDescent="0.2">
      <c r="A2227" s="334" t="s">
        <v>5601</v>
      </c>
      <c r="B2227" s="334" t="s">
        <v>8483</v>
      </c>
      <c r="C2227" s="334" t="s">
        <v>11</v>
      </c>
    </row>
    <row r="2228" spans="1:3" x14ac:dyDescent="0.2">
      <c r="A2228" s="334" t="s">
        <v>5602</v>
      </c>
      <c r="B2228" s="334" t="s">
        <v>8484</v>
      </c>
      <c r="C2228" s="334" t="s">
        <v>16</v>
      </c>
    </row>
    <row r="2229" spans="1:3" x14ac:dyDescent="0.2">
      <c r="A2229" s="334" t="s">
        <v>5603</v>
      </c>
      <c r="B2229" s="334" t="s">
        <v>5604</v>
      </c>
      <c r="C2229" s="334" t="s">
        <v>2338</v>
      </c>
    </row>
    <row r="2230" spans="1:3" x14ac:dyDescent="0.2">
      <c r="A2230" s="334" t="s">
        <v>8485</v>
      </c>
      <c r="B2230" s="334" t="s">
        <v>8486</v>
      </c>
      <c r="C2230" s="334" t="s">
        <v>2338</v>
      </c>
    </row>
    <row r="2231" spans="1:3" x14ac:dyDescent="0.2">
      <c r="A2231" s="334" t="s">
        <v>8487</v>
      </c>
      <c r="B2231" s="334" t="s">
        <v>8488</v>
      </c>
      <c r="C2231" s="334" t="s">
        <v>2338</v>
      </c>
    </row>
    <row r="2232" spans="1:3" x14ac:dyDescent="0.2">
      <c r="A2232" s="334" t="s">
        <v>5605</v>
      </c>
      <c r="B2232" s="334" t="s">
        <v>8489</v>
      </c>
      <c r="C2232" s="334" t="s">
        <v>11</v>
      </c>
    </row>
    <row r="2233" spans="1:3" x14ac:dyDescent="0.2">
      <c r="A2233" s="334" t="s">
        <v>5606</v>
      </c>
      <c r="B2233" s="334" t="s">
        <v>8490</v>
      </c>
      <c r="C2233" s="334" t="s">
        <v>16</v>
      </c>
    </row>
    <row r="2234" spans="1:3" x14ac:dyDescent="0.2">
      <c r="A2234" s="334" t="s">
        <v>5607</v>
      </c>
      <c r="B2234" s="334" t="s">
        <v>8491</v>
      </c>
      <c r="C2234" s="334" t="s">
        <v>2338</v>
      </c>
    </row>
    <row r="2235" spans="1:3" x14ac:dyDescent="0.2">
      <c r="A2235" s="334" t="s">
        <v>5608</v>
      </c>
      <c r="B2235" s="334" t="s">
        <v>8492</v>
      </c>
      <c r="C2235" s="334" t="s">
        <v>25</v>
      </c>
    </row>
    <row r="2236" spans="1:3" x14ac:dyDescent="0.2">
      <c r="A2236" s="334" t="s">
        <v>5609</v>
      </c>
      <c r="B2236" s="334" t="s">
        <v>8490</v>
      </c>
      <c r="C2236" s="334" t="s">
        <v>2338</v>
      </c>
    </row>
    <row r="2237" spans="1:3" x14ac:dyDescent="0.2">
      <c r="A2237" s="334" t="s">
        <v>5610</v>
      </c>
      <c r="B2237" s="334" t="s">
        <v>8493</v>
      </c>
      <c r="C2237" s="334" t="s">
        <v>11</v>
      </c>
    </row>
    <row r="2238" spans="1:3" x14ac:dyDescent="0.2">
      <c r="A2238" s="334" t="s">
        <v>5611</v>
      </c>
      <c r="B2238" s="334" t="s">
        <v>8494</v>
      </c>
      <c r="C2238" s="334" t="s">
        <v>16</v>
      </c>
    </row>
    <row r="2239" spans="1:3" x14ac:dyDescent="0.2">
      <c r="A2239" s="334" t="s">
        <v>5612</v>
      </c>
      <c r="B2239" s="334" t="s">
        <v>8495</v>
      </c>
      <c r="C2239" s="334" t="s">
        <v>11</v>
      </c>
    </row>
    <row r="2240" spans="1:3" x14ac:dyDescent="0.2">
      <c r="A2240" s="334" t="s">
        <v>5613</v>
      </c>
      <c r="B2240" s="334" t="s">
        <v>8496</v>
      </c>
      <c r="C2240" s="334" t="s">
        <v>25</v>
      </c>
    </row>
    <row r="2241" spans="1:3" x14ac:dyDescent="0.2">
      <c r="A2241" s="334" t="s">
        <v>5614</v>
      </c>
      <c r="B2241" s="334" t="s">
        <v>8497</v>
      </c>
      <c r="C2241" s="334" t="s">
        <v>25</v>
      </c>
    </row>
    <row r="2242" spans="1:3" x14ac:dyDescent="0.2">
      <c r="A2242" s="334" t="s">
        <v>5615</v>
      </c>
      <c r="B2242" s="334" t="s">
        <v>8497</v>
      </c>
      <c r="C2242" s="334" t="s">
        <v>25</v>
      </c>
    </row>
    <row r="2243" spans="1:3" x14ac:dyDescent="0.2">
      <c r="A2243" s="334" t="s">
        <v>5616</v>
      </c>
      <c r="B2243" s="334" t="s">
        <v>8498</v>
      </c>
      <c r="C2243" s="334" t="s">
        <v>16</v>
      </c>
    </row>
    <row r="2244" spans="1:3" x14ac:dyDescent="0.2">
      <c r="A2244" s="334" t="s">
        <v>5617</v>
      </c>
      <c r="B2244" s="334" t="s">
        <v>8499</v>
      </c>
      <c r="C2244" s="334" t="s">
        <v>16</v>
      </c>
    </row>
    <row r="2245" spans="1:3" x14ac:dyDescent="0.2">
      <c r="A2245" s="334" t="s">
        <v>5618</v>
      </c>
      <c r="B2245" s="334" t="s">
        <v>8500</v>
      </c>
      <c r="C2245" s="334" t="s">
        <v>2338</v>
      </c>
    </row>
    <row r="2246" spans="1:3" x14ac:dyDescent="0.2">
      <c r="A2246" s="334" t="s">
        <v>5619</v>
      </c>
      <c r="B2246" s="334" t="s">
        <v>8501</v>
      </c>
      <c r="C2246" s="334" t="s">
        <v>2338</v>
      </c>
    </row>
    <row r="2247" spans="1:3" x14ac:dyDescent="0.2">
      <c r="A2247" s="334" t="s">
        <v>5620</v>
      </c>
      <c r="B2247" s="334" t="s">
        <v>8502</v>
      </c>
      <c r="C2247" s="334" t="s">
        <v>7969</v>
      </c>
    </row>
    <row r="2248" spans="1:3" x14ac:dyDescent="0.2">
      <c r="A2248" s="334" t="s">
        <v>5621</v>
      </c>
      <c r="B2248" s="334" t="s">
        <v>2899</v>
      </c>
      <c r="C2248" s="334" t="s">
        <v>2338</v>
      </c>
    </row>
    <row r="2249" spans="1:3" x14ac:dyDescent="0.2">
      <c r="A2249" s="334" t="s">
        <v>5622</v>
      </c>
      <c r="B2249" s="334" t="s">
        <v>8503</v>
      </c>
      <c r="C2249" s="334" t="s">
        <v>2338</v>
      </c>
    </row>
    <row r="2250" spans="1:3" x14ac:dyDescent="0.2">
      <c r="A2250" s="334" t="s">
        <v>5623</v>
      </c>
      <c r="B2250" s="334" t="s">
        <v>8504</v>
      </c>
      <c r="C2250" s="334" t="s">
        <v>2338</v>
      </c>
    </row>
    <row r="2251" spans="1:3" x14ac:dyDescent="0.2">
      <c r="A2251" s="334" t="s">
        <v>5624</v>
      </c>
      <c r="B2251" s="334" t="s">
        <v>8505</v>
      </c>
      <c r="C2251" s="334" t="s">
        <v>11</v>
      </c>
    </row>
    <row r="2252" spans="1:3" x14ac:dyDescent="0.2">
      <c r="A2252" s="334" t="s">
        <v>5625</v>
      </c>
      <c r="B2252" s="334" t="s">
        <v>8506</v>
      </c>
      <c r="C2252" s="334" t="s">
        <v>2338</v>
      </c>
    </row>
    <row r="2253" spans="1:3" x14ac:dyDescent="0.2">
      <c r="A2253" s="334" t="s">
        <v>5626</v>
      </c>
      <c r="B2253" s="334" t="s">
        <v>5627</v>
      </c>
      <c r="C2253" s="334" t="s">
        <v>2338</v>
      </c>
    </row>
    <row r="2254" spans="1:3" x14ac:dyDescent="0.2">
      <c r="A2254" s="334" t="s">
        <v>5628</v>
      </c>
      <c r="B2254" s="334" t="s">
        <v>8507</v>
      </c>
      <c r="C2254" s="334" t="s">
        <v>2338</v>
      </c>
    </row>
    <row r="2255" spans="1:3" x14ac:dyDescent="0.2">
      <c r="A2255" s="334" t="s">
        <v>5629</v>
      </c>
      <c r="B2255" s="334" t="s">
        <v>8508</v>
      </c>
      <c r="C2255" s="334" t="s">
        <v>2338</v>
      </c>
    </row>
    <row r="2256" spans="1:3" x14ac:dyDescent="0.2">
      <c r="A2256" s="334" t="s">
        <v>5630</v>
      </c>
      <c r="B2256" s="334" t="s">
        <v>8509</v>
      </c>
      <c r="C2256" s="334" t="s">
        <v>16</v>
      </c>
    </row>
    <row r="2257" spans="1:4" x14ac:dyDescent="0.2">
      <c r="A2257" s="334" t="s">
        <v>5631</v>
      </c>
      <c r="B2257" s="334" t="s">
        <v>8510</v>
      </c>
      <c r="C2257" s="334" t="s">
        <v>16</v>
      </c>
    </row>
    <row r="2258" spans="1:4" x14ac:dyDescent="0.2">
      <c r="A2258" s="334" t="s">
        <v>5632</v>
      </c>
      <c r="B2258" s="334" t="s">
        <v>8511</v>
      </c>
      <c r="C2258" s="334" t="s">
        <v>16</v>
      </c>
    </row>
    <row r="2259" spans="1:4" x14ac:dyDescent="0.2">
      <c r="A2259" s="334" t="s">
        <v>5633</v>
      </c>
      <c r="B2259" s="334" t="s">
        <v>8512</v>
      </c>
      <c r="C2259" s="334" t="s">
        <v>2338</v>
      </c>
    </row>
    <row r="2260" spans="1:4" x14ac:dyDescent="0.2">
      <c r="A2260" s="334" t="s">
        <v>5634</v>
      </c>
      <c r="B2260" s="334" t="s">
        <v>8513</v>
      </c>
      <c r="C2260" s="334" t="s">
        <v>16</v>
      </c>
    </row>
    <row r="2261" spans="1:4" x14ac:dyDescent="0.2">
      <c r="A2261" s="334" t="s">
        <v>5635</v>
      </c>
      <c r="B2261" s="334" t="s">
        <v>8514</v>
      </c>
      <c r="C2261" s="334" t="s">
        <v>11</v>
      </c>
    </row>
    <row r="2262" spans="1:4" x14ac:dyDescent="0.2">
      <c r="A2262" s="334" t="s">
        <v>5636</v>
      </c>
      <c r="B2262" s="334" t="s">
        <v>8515</v>
      </c>
      <c r="C2262" s="334" t="s">
        <v>2338</v>
      </c>
    </row>
    <row r="2263" spans="1:4" x14ac:dyDescent="0.2">
      <c r="A2263" s="334" t="s">
        <v>5637</v>
      </c>
      <c r="B2263" s="334" t="s">
        <v>8516</v>
      </c>
      <c r="C2263" s="334" t="s">
        <v>2338</v>
      </c>
    </row>
    <row r="2264" spans="1:4" x14ac:dyDescent="0.2">
      <c r="A2264" s="334" t="s">
        <v>5638</v>
      </c>
      <c r="B2264" s="334" t="s">
        <v>8517</v>
      </c>
      <c r="C2264" s="334" t="s">
        <v>2338</v>
      </c>
    </row>
    <row r="2265" spans="1:4" x14ac:dyDescent="0.2">
      <c r="A2265" s="347" t="s">
        <v>3071</v>
      </c>
      <c r="B2265" s="347" t="s">
        <v>2389</v>
      </c>
      <c r="C2265" s="347" t="s">
        <v>6604</v>
      </c>
      <c r="D2265" s="348" t="s">
        <v>10271</v>
      </c>
    </row>
    <row r="2266" spans="1:4" x14ac:dyDescent="0.2">
      <c r="A2266" s="347" t="s">
        <v>3067</v>
      </c>
      <c r="B2266" s="347" t="s">
        <v>8518</v>
      </c>
      <c r="C2266" s="347" t="s">
        <v>2338</v>
      </c>
      <c r="D2266" s="348" t="s">
        <v>10271</v>
      </c>
    </row>
    <row r="2267" spans="1:4" x14ac:dyDescent="0.2">
      <c r="A2267" s="347" t="s">
        <v>3104</v>
      </c>
      <c r="B2267" s="347" t="s">
        <v>2422</v>
      </c>
      <c r="C2267" s="347" t="s">
        <v>11</v>
      </c>
      <c r="D2267" s="348" t="s">
        <v>10271</v>
      </c>
    </row>
    <row r="2268" spans="1:4" x14ac:dyDescent="0.2">
      <c r="A2268" s="334" t="s">
        <v>5639</v>
      </c>
      <c r="B2268" s="334" t="s">
        <v>6953</v>
      </c>
      <c r="C2268" s="334" t="s">
        <v>2338</v>
      </c>
    </row>
    <row r="2269" spans="1:4" x14ac:dyDescent="0.2">
      <c r="A2269" s="347" t="s">
        <v>3106</v>
      </c>
      <c r="B2269" s="347" t="s">
        <v>2423</v>
      </c>
      <c r="C2269" s="347" t="s">
        <v>11</v>
      </c>
      <c r="D2269" s="348" t="s">
        <v>10271</v>
      </c>
    </row>
    <row r="2270" spans="1:4" x14ac:dyDescent="0.2">
      <c r="A2270" s="347" t="s">
        <v>3108</v>
      </c>
      <c r="B2270" s="347" t="s">
        <v>2424</v>
      </c>
      <c r="C2270" s="347" t="s">
        <v>11</v>
      </c>
      <c r="D2270" s="348" t="s">
        <v>10271</v>
      </c>
    </row>
    <row r="2271" spans="1:4" x14ac:dyDescent="0.2">
      <c r="A2271" s="334" t="s">
        <v>5640</v>
      </c>
      <c r="B2271" s="334" t="s">
        <v>8519</v>
      </c>
      <c r="C2271" s="334" t="s">
        <v>11</v>
      </c>
    </row>
    <row r="2272" spans="1:4" x14ac:dyDescent="0.2">
      <c r="A2272" s="334" t="s">
        <v>5641</v>
      </c>
      <c r="B2272" s="334" t="s">
        <v>2427</v>
      </c>
      <c r="C2272" s="334" t="s">
        <v>2338</v>
      </c>
    </row>
    <row r="2273" spans="1:4" x14ac:dyDescent="0.2">
      <c r="A2273" s="347" t="s">
        <v>3178</v>
      </c>
      <c r="B2273" s="347" t="s">
        <v>2512</v>
      </c>
      <c r="C2273" s="347" t="s">
        <v>2338</v>
      </c>
      <c r="D2273" s="348" t="s">
        <v>10271</v>
      </c>
    </row>
    <row r="2274" spans="1:4" x14ac:dyDescent="0.2">
      <c r="A2274" s="347" t="s">
        <v>3183</v>
      </c>
      <c r="B2274" s="347" t="s">
        <v>2520</v>
      </c>
      <c r="C2274" s="347" t="s">
        <v>2338</v>
      </c>
      <c r="D2274" s="348" t="s">
        <v>10271</v>
      </c>
    </row>
    <row r="2275" spans="1:4" x14ac:dyDescent="0.2">
      <c r="A2275" s="347" t="s">
        <v>3045</v>
      </c>
      <c r="B2275" s="347" t="s">
        <v>2368</v>
      </c>
      <c r="C2275" s="347" t="s">
        <v>2338</v>
      </c>
      <c r="D2275" s="348" t="s">
        <v>10271</v>
      </c>
    </row>
    <row r="2276" spans="1:4" x14ac:dyDescent="0.2">
      <c r="A2276" s="347" t="s">
        <v>3049</v>
      </c>
      <c r="B2276" s="347" t="s">
        <v>8520</v>
      </c>
      <c r="C2276" s="347" t="s">
        <v>6604</v>
      </c>
      <c r="D2276" s="348" t="s">
        <v>10271</v>
      </c>
    </row>
    <row r="2277" spans="1:4" x14ac:dyDescent="0.2">
      <c r="A2277" s="334" t="s">
        <v>5642</v>
      </c>
      <c r="B2277" s="334" t="s">
        <v>8521</v>
      </c>
      <c r="C2277" s="334" t="s">
        <v>6604</v>
      </c>
    </row>
    <row r="2278" spans="1:4" x14ac:dyDescent="0.2">
      <c r="A2278" s="334" t="s">
        <v>5643</v>
      </c>
      <c r="B2278" s="334" t="s">
        <v>8522</v>
      </c>
      <c r="C2278" s="334" t="s">
        <v>6604</v>
      </c>
    </row>
    <row r="2279" spans="1:4" x14ac:dyDescent="0.2">
      <c r="A2279" s="347" t="s">
        <v>3167</v>
      </c>
      <c r="B2279" s="347" t="s">
        <v>2505</v>
      </c>
      <c r="C2279" s="347" t="s">
        <v>6604</v>
      </c>
      <c r="D2279" s="348" t="s">
        <v>10271</v>
      </c>
    </row>
    <row r="2280" spans="1:4" x14ac:dyDescent="0.2">
      <c r="A2280" s="347" t="s">
        <v>3169</v>
      </c>
      <c r="B2280" s="347" t="s">
        <v>2506</v>
      </c>
      <c r="C2280" s="347" t="s">
        <v>6604</v>
      </c>
      <c r="D2280" s="348" t="s">
        <v>10271</v>
      </c>
    </row>
    <row r="2281" spans="1:4" x14ac:dyDescent="0.2">
      <c r="A2281" s="347" t="s">
        <v>3171</v>
      </c>
      <c r="B2281" s="347" t="s">
        <v>2507</v>
      </c>
      <c r="C2281" s="347" t="s">
        <v>6604</v>
      </c>
      <c r="D2281" s="348" t="s">
        <v>10271</v>
      </c>
    </row>
    <row r="2282" spans="1:4" x14ac:dyDescent="0.2">
      <c r="A2282" s="347" t="s">
        <v>3173</v>
      </c>
      <c r="B2282" s="347" t="s">
        <v>2509</v>
      </c>
      <c r="C2282" s="347" t="s">
        <v>6604</v>
      </c>
      <c r="D2282" s="348" t="s">
        <v>10271</v>
      </c>
    </row>
    <row r="2283" spans="1:4" x14ac:dyDescent="0.2">
      <c r="A2283" s="334" t="s">
        <v>5644</v>
      </c>
      <c r="B2283" s="334" t="s">
        <v>2510</v>
      </c>
      <c r="C2283" s="334" t="s">
        <v>6604</v>
      </c>
    </row>
    <row r="2284" spans="1:4" x14ac:dyDescent="0.2">
      <c r="A2284" s="334" t="s">
        <v>5645</v>
      </c>
      <c r="B2284" s="334" t="s">
        <v>8523</v>
      </c>
      <c r="C2284" s="334" t="s">
        <v>2338</v>
      </c>
    </row>
    <row r="2285" spans="1:4" x14ac:dyDescent="0.2">
      <c r="A2285" s="347" t="s">
        <v>3180</v>
      </c>
      <c r="B2285" s="347" t="s">
        <v>2514</v>
      </c>
      <c r="C2285" s="347" t="s">
        <v>6604</v>
      </c>
      <c r="D2285" s="348" t="s">
        <v>10271</v>
      </c>
    </row>
    <row r="2286" spans="1:4" x14ac:dyDescent="0.2">
      <c r="A2286" s="334" t="s">
        <v>5646</v>
      </c>
      <c r="B2286" s="334" t="s">
        <v>8524</v>
      </c>
      <c r="C2286" s="334" t="s">
        <v>2338</v>
      </c>
    </row>
    <row r="2287" spans="1:4" x14ac:dyDescent="0.2">
      <c r="A2287" s="347" t="s">
        <v>3110</v>
      </c>
      <c r="B2287" s="347" t="s">
        <v>8525</v>
      </c>
      <c r="C2287" s="347" t="s">
        <v>6604</v>
      </c>
      <c r="D2287" s="348" t="s">
        <v>10271</v>
      </c>
    </row>
    <row r="2288" spans="1:4" x14ac:dyDescent="0.2">
      <c r="A2288" s="347" t="s">
        <v>3114</v>
      </c>
      <c r="B2288" s="347" t="s">
        <v>2427</v>
      </c>
      <c r="C2288" s="347" t="s">
        <v>2338</v>
      </c>
      <c r="D2288" s="348" t="s">
        <v>10271</v>
      </c>
    </row>
    <row r="2289" spans="1:4" x14ac:dyDescent="0.2">
      <c r="A2289" s="334" t="s">
        <v>5647</v>
      </c>
      <c r="B2289" s="334" t="s">
        <v>8526</v>
      </c>
      <c r="C2289" s="334" t="s">
        <v>6602</v>
      </c>
    </row>
    <row r="2290" spans="1:4" x14ac:dyDescent="0.2">
      <c r="A2290" s="334" t="s">
        <v>5648</v>
      </c>
      <c r="B2290" s="334" t="s">
        <v>8527</v>
      </c>
      <c r="C2290" s="334" t="s">
        <v>6602</v>
      </c>
    </row>
    <row r="2291" spans="1:4" x14ac:dyDescent="0.2">
      <c r="A2291" s="347" t="s">
        <v>3116</v>
      </c>
      <c r="B2291" s="347" t="s">
        <v>2428</v>
      </c>
      <c r="C2291" s="347" t="s">
        <v>6604</v>
      </c>
      <c r="D2291" s="348" t="s">
        <v>10271</v>
      </c>
    </row>
    <row r="2292" spans="1:4" x14ac:dyDescent="0.2">
      <c r="A2292" s="334" t="s">
        <v>2051</v>
      </c>
      <c r="B2292" s="334" t="s">
        <v>2520</v>
      </c>
      <c r="C2292" s="334" t="s">
        <v>2338</v>
      </c>
    </row>
    <row r="2293" spans="1:4" x14ac:dyDescent="0.2">
      <c r="A2293" s="347" t="s">
        <v>3185</v>
      </c>
      <c r="B2293" s="347" t="s">
        <v>2522</v>
      </c>
      <c r="C2293" s="347" t="s">
        <v>2338</v>
      </c>
      <c r="D2293" s="348" t="s">
        <v>10271</v>
      </c>
    </row>
    <row r="2294" spans="1:4" x14ac:dyDescent="0.2">
      <c r="A2294" s="334" t="s">
        <v>5649</v>
      </c>
      <c r="B2294" s="334" t="s">
        <v>8528</v>
      </c>
      <c r="C2294" s="334" t="s">
        <v>6602</v>
      </c>
    </row>
    <row r="2295" spans="1:4" x14ac:dyDescent="0.2">
      <c r="A2295" s="347" t="s">
        <v>3189</v>
      </c>
      <c r="B2295" s="347" t="s">
        <v>8529</v>
      </c>
      <c r="C2295" s="347" t="s">
        <v>2338</v>
      </c>
      <c r="D2295" s="348" t="s">
        <v>10271</v>
      </c>
    </row>
    <row r="2296" spans="1:4" x14ac:dyDescent="0.2">
      <c r="A2296" s="334" t="s">
        <v>5650</v>
      </c>
      <c r="B2296" s="334" t="s">
        <v>8530</v>
      </c>
      <c r="C2296" s="334" t="s">
        <v>2338</v>
      </c>
    </row>
    <row r="2297" spans="1:4" x14ac:dyDescent="0.2">
      <c r="A2297" s="334" t="s">
        <v>5651</v>
      </c>
      <c r="B2297" s="334" t="s">
        <v>8531</v>
      </c>
      <c r="C2297" s="334" t="s">
        <v>2338</v>
      </c>
    </row>
    <row r="2298" spans="1:4" x14ac:dyDescent="0.2">
      <c r="A2298" s="334" t="s">
        <v>5652</v>
      </c>
      <c r="B2298" s="334" t="s">
        <v>2527</v>
      </c>
      <c r="C2298" s="334" t="s">
        <v>2338</v>
      </c>
    </row>
    <row r="2299" spans="1:4" x14ac:dyDescent="0.2">
      <c r="A2299" s="334" t="s">
        <v>5653</v>
      </c>
      <c r="B2299" s="334" t="s">
        <v>8532</v>
      </c>
      <c r="C2299" s="334" t="s">
        <v>2338</v>
      </c>
    </row>
    <row r="2300" spans="1:4" x14ac:dyDescent="0.2">
      <c r="A2300" s="334" t="s">
        <v>5654</v>
      </c>
      <c r="B2300" s="334" t="s">
        <v>8533</v>
      </c>
      <c r="C2300" s="334" t="s">
        <v>16</v>
      </c>
    </row>
    <row r="2301" spans="1:4" x14ac:dyDescent="0.2">
      <c r="A2301" s="347" t="s">
        <v>3207</v>
      </c>
      <c r="B2301" s="347" t="s">
        <v>8534</v>
      </c>
      <c r="C2301" s="347" t="s">
        <v>52</v>
      </c>
      <c r="D2301" s="348" t="s">
        <v>10271</v>
      </c>
    </row>
    <row r="2302" spans="1:4" x14ac:dyDescent="0.2">
      <c r="A2302" s="334" t="s">
        <v>5655</v>
      </c>
      <c r="B2302" s="334" t="s">
        <v>8535</v>
      </c>
      <c r="C2302" s="334" t="s">
        <v>2338</v>
      </c>
    </row>
    <row r="2303" spans="1:4" x14ac:dyDescent="0.2">
      <c r="A2303" s="334" t="s">
        <v>5656</v>
      </c>
      <c r="B2303" s="334" t="s">
        <v>8536</v>
      </c>
      <c r="C2303" s="334" t="s">
        <v>2338</v>
      </c>
    </row>
    <row r="2304" spans="1:4" x14ac:dyDescent="0.2">
      <c r="A2304" s="334" t="s">
        <v>5657</v>
      </c>
      <c r="B2304" s="334" t="s">
        <v>8537</v>
      </c>
      <c r="C2304" s="334" t="s">
        <v>2338</v>
      </c>
    </row>
    <row r="2305" spans="1:3" x14ac:dyDescent="0.2">
      <c r="A2305" s="334" t="s">
        <v>5658</v>
      </c>
      <c r="B2305" s="334" t="s">
        <v>8538</v>
      </c>
      <c r="C2305" s="334" t="s">
        <v>11</v>
      </c>
    </row>
    <row r="2306" spans="1:3" x14ac:dyDescent="0.2">
      <c r="A2306" s="334" t="s">
        <v>5659</v>
      </c>
      <c r="B2306" s="334" t="s">
        <v>8539</v>
      </c>
      <c r="C2306" s="334" t="s">
        <v>11</v>
      </c>
    </row>
    <row r="2307" spans="1:3" x14ac:dyDescent="0.2">
      <c r="A2307" s="334" t="s">
        <v>5660</v>
      </c>
      <c r="B2307" s="334" t="s">
        <v>8540</v>
      </c>
      <c r="C2307" s="334" t="s">
        <v>2338</v>
      </c>
    </row>
    <row r="2308" spans="1:3" x14ac:dyDescent="0.2">
      <c r="A2308" s="334" t="s">
        <v>2052</v>
      </c>
      <c r="B2308" s="334" t="s">
        <v>2388</v>
      </c>
      <c r="C2308" s="334" t="s">
        <v>6602</v>
      </c>
    </row>
    <row r="2309" spans="1:3" x14ac:dyDescent="0.2">
      <c r="A2309" s="334" t="s">
        <v>5661</v>
      </c>
      <c r="B2309" s="334" t="s">
        <v>8541</v>
      </c>
      <c r="C2309" s="334" t="s">
        <v>6604</v>
      </c>
    </row>
    <row r="2310" spans="1:3" x14ac:dyDescent="0.2">
      <c r="A2310" s="334" t="s">
        <v>5662</v>
      </c>
      <c r="B2310" s="334" t="s">
        <v>8542</v>
      </c>
      <c r="C2310" s="334" t="s">
        <v>2338</v>
      </c>
    </row>
    <row r="2311" spans="1:3" x14ac:dyDescent="0.2">
      <c r="A2311" s="334" t="s">
        <v>5663</v>
      </c>
      <c r="B2311" s="334" t="s">
        <v>8543</v>
      </c>
      <c r="C2311" s="334" t="s">
        <v>2338</v>
      </c>
    </row>
    <row r="2312" spans="1:3" x14ac:dyDescent="0.2">
      <c r="A2312" s="334" t="s">
        <v>5664</v>
      </c>
      <c r="B2312" s="334" t="s">
        <v>5665</v>
      </c>
      <c r="C2312" s="334" t="s">
        <v>2338</v>
      </c>
    </row>
    <row r="2313" spans="1:3" x14ac:dyDescent="0.2">
      <c r="A2313" s="334" t="s">
        <v>2053</v>
      </c>
      <c r="B2313" s="334" t="s">
        <v>8544</v>
      </c>
      <c r="C2313" s="334" t="s">
        <v>2338</v>
      </c>
    </row>
    <row r="2314" spans="1:3" x14ac:dyDescent="0.2">
      <c r="A2314" s="334" t="s">
        <v>8545</v>
      </c>
      <c r="B2314" s="334" t="s">
        <v>8546</v>
      </c>
      <c r="C2314" s="334" t="s">
        <v>25</v>
      </c>
    </row>
    <row r="2315" spans="1:3" x14ac:dyDescent="0.2">
      <c r="A2315" s="334" t="s">
        <v>5666</v>
      </c>
      <c r="B2315" s="334" t="s">
        <v>5667</v>
      </c>
      <c r="C2315" s="334" t="s">
        <v>2338</v>
      </c>
    </row>
    <row r="2316" spans="1:3" x14ac:dyDescent="0.2">
      <c r="A2316" s="334" t="s">
        <v>5668</v>
      </c>
      <c r="B2316" s="334" t="s">
        <v>5669</v>
      </c>
      <c r="C2316" s="334" t="s">
        <v>2338</v>
      </c>
    </row>
    <row r="2317" spans="1:3" x14ac:dyDescent="0.2">
      <c r="A2317" s="334" t="s">
        <v>5670</v>
      </c>
      <c r="B2317" s="334" t="s">
        <v>5671</v>
      </c>
      <c r="C2317" s="334" t="s">
        <v>2338</v>
      </c>
    </row>
    <row r="2318" spans="1:3" x14ac:dyDescent="0.2">
      <c r="A2318" s="334" t="s">
        <v>409</v>
      </c>
      <c r="B2318" s="334" t="s">
        <v>8547</v>
      </c>
      <c r="C2318" s="334" t="s">
        <v>16</v>
      </c>
    </row>
    <row r="2319" spans="1:3" x14ac:dyDescent="0.2">
      <c r="A2319" s="334" t="s">
        <v>2054</v>
      </c>
      <c r="B2319" s="334" t="s">
        <v>5672</v>
      </c>
      <c r="C2319" s="334" t="s">
        <v>16</v>
      </c>
    </row>
    <row r="2320" spans="1:3" x14ac:dyDescent="0.2">
      <c r="A2320" s="334" t="s">
        <v>2055</v>
      </c>
      <c r="B2320" s="334" t="s">
        <v>8548</v>
      </c>
      <c r="C2320" s="334" t="s">
        <v>16</v>
      </c>
    </row>
    <row r="2321" spans="1:4" x14ac:dyDescent="0.2">
      <c r="A2321" s="334" t="s">
        <v>2056</v>
      </c>
      <c r="B2321" s="334" t="s">
        <v>2530</v>
      </c>
      <c r="C2321" s="334" t="s">
        <v>7969</v>
      </c>
    </row>
    <row r="2322" spans="1:4" x14ac:dyDescent="0.2">
      <c r="A2322" s="347" t="s">
        <v>2057</v>
      </c>
      <c r="B2322" s="347" t="s">
        <v>2854</v>
      </c>
      <c r="C2322" s="347" t="s">
        <v>16</v>
      </c>
      <c r="D2322" s="348" t="s">
        <v>10271</v>
      </c>
    </row>
    <row r="2323" spans="1:4" x14ac:dyDescent="0.2">
      <c r="A2323" s="334" t="s">
        <v>2058</v>
      </c>
      <c r="B2323" s="334" t="s">
        <v>8549</v>
      </c>
      <c r="C2323" s="334" t="s">
        <v>6604</v>
      </c>
    </row>
    <row r="2324" spans="1:4" x14ac:dyDescent="0.2">
      <c r="A2324" s="334" t="s">
        <v>5673</v>
      </c>
      <c r="B2324" s="334" t="s">
        <v>5674</v>
      </c>
      <c r="C2324" s="334" t="s">
        <v>11</v>
      </c>
    </row>
    <row r="2325" spans="1:4" x14ac:dyDescent="0.2">
      <c r="A2325" s="334" t="s">
        <v>5675</v>
      </c>
      <c r="B2325" s="334" t="s">
        <v>5676</v>
      </c>
      <c r="C2325" s="334" t="s">
        <v>52</v>
      </c>
    </row>
    <row r="2326" spans="1:4" x14ac:dyDescent="0.2">
      <c r="A2326" s="334" t="s">
        <v>5677</v>
      </c>
      <c r="B2326" s="334" t="s">
        <v>5678</v>
      </c>
      <c r="C2326" s="334" t="s">
        <v>2557</v>
      </c>
    </row>
    <row r="2327" spans="1:4" x14ac:dyDescent="0.2">
      <c r="A2327" s="334" t="s">
        <v>5679</v>
      </c>
      <c r="B2327" s="334" t="s">
        <v>5680</v>
      </c>
      <c r="C2327" s="334" t="s">
        <v>16</v>
      </c>
    </row>
    <row r="2328" spans="1:4" x14ac:dyDescent="0.2">
      <c r="A2328" s="334" t="s">
        <v>5681</v>
      </c>
      <c r="B2328" s="334" t="s">
        <v>8550</v>
      </c>
      <c r="C2328" s="334" t="s">
        <v>11</v>
      </c>
    </row>
    <row r="2329" spans="1:4" x14ac:dyDescent="0.2">
      <c r="A2329" s="334" t="s">
        <v>5682</v>
      </c>
      <c r="B2329" s="334" t="s">
        <v>8551</v>
      </c>
      <c r="C2329" s="334" t="s">
        <v>11</v>
      </c>
    </row>
    <row r="2330" spans="1:4" x14ac:dyDescent="0.2">
      <c r="A2330" s="334" t="s">
        <v>5683</v>
      </c>
      <c r="B2330" s="334" t="s">
        <v>8552</v>
      </c>
      <c r="C2330" s="334" t="s">
        <v>11</v>
      </c>
    </row>
    <row r="2331" spans="1:4" x14ac:dyDescent="0.2">
      <c r="A2331" s="334" t="s">
        <v>5684</v>
      </c>
      <c r="B2331" s="334" t="s">
        <v>8553</v>
      </c>
      <c r="C2331" s="334" t="s">
        <v>11</v>
      </c>
    </row>
    <row r="2332" spans="1:4" x14ac:dyDescent="0.2">
      <c r="A2332" s="334" t="s">
        <v>5685</v>
      </c>
      <c r="B2332" s="334" t="s">
        <v>8554</v>
      </c>
      <c r="C2332" s="334" t="s">
        <v>11</v>
      </c>
    </row>
    <row r="2333" spans="1:4" x14ac:dyDescent="0.2">
      <c r="A2333" s="334" t="s">
        <v>5686</v>
      </c>
      <c r="B2333" s="334" t="s">
        <v>8555</v>
      </c>
      <c r="C2333" s="334" t="s">
        <v>11</v>
      </c>
    </row>
    <row r="2334" spans="1:4" x14ac:dyDescent="0.2">
      <c r="A2334" s="334" t="s">
        <v>5687</v>
      </c>
      <c r="B2334" s="334" t="s">
        <v>2712</v>
      </c>
      <c r="C2334" s="334" t="s">
        <v>11</v>
      </c>
    </row>
    <row r="2335" spans="1:4" x14ac:dyDescent="0.2">
      <c r="A2335" s="334" t="s">
        <v>5688</v>
      </c>
      <c r="B2335" s="334" t="s">
        <v>8556</v>
      </c>
      <c r="C2335" s="334" t="s">
        <v>11</v>
      </c>
    </row>
    <row r="2336" spans="1:4" x14ac:dyDescent="0.2">
      <c r="A2336" s="334" t="s">
        <v>5689</v>
      </c>
      <c r="B2336" s="334" t="s">
        <v>8557</v>
      </c>
      <c r="C2336" s="334" t="s">
        <v>11</v>
      </c>
    </row>
    <row r="2337" spans="1:3" x14ac:dyDescent="0.2">
      <c r="A2337" s="334" t="s">
        <v>5690</v>
      </c>
      <c r="B2337" s="334" t="s">
        <v>8558</v>
      </c>
      <c r="C2337" s="334" t="s">
        <v>11</v>
      </c>
    </row>
    <row r="2338" spans="1:3" x14ac:dyDescent="0.2">
      <c r="A2338" s="334" t="s">
        <v>5691</v>
      </c>
      <c r="B2338" s="334" t="s">
        <v>8559</v>
      </c>
      <c r="C2338" s="334" t="s">
        <v>11</v>
      </c>
    </row>
    <row r="2339" spans="1:3" x14ac:dyDescent="0.2">
      <c r="A2339" s="334" t="s">
        <v>5692</v>
      </c>
      <c r="B2339" s="334" t="s">
        <v>8560</v>
      </c>
      <c r="C2339" s="334" t="s">
        <v>11</v>
      </c>
    </row>
    <row r="2340" spans="1:3" x14ac:dyDescent="0.2">
      <c r="A2340" s="334" t="s">
        <v>5693</v>
      </c>
      <c r="B2340" s="334" t="s">
        <v>8561</v>
      </c>
      <c r="C2340" s="334" t="s">
        <v>11</v>
      </c>
    </row>
    <row r="2341" spans="1:3" x14ac:dyDescent="0.2">
      <c r="A2341" s="334" t="s">
        <v>5694</v>
      </c>
      <c r="B2341" s="334" t="s">
        <v>8562</v>
      </c>
      <c r="C2341" s="334" t="s">
        <v>11</v>
      </c>
    </row>
    <row r="2342" spans="1:3" x14ac:dyDescent="0.2">
      <c r="A2342" s="334" t="s">
        <v>5695</v>
      </c>
      <c r="B2342" s="334" t="s">
        <v>8563</v>
      </c>
      <c r="C2342" s="334" t="s">
        <v>11</v>
      </c>
    </row>
    <row r="2343" spans="1:3" x14ac:dyDescent="0.2">
      <c r="A2343" s="334" t="s">
        <v>5696</v>
      </c>
      <c r="B2343" s="334" t="s">
        <v>8564</v>
      </c>
      <c r="C2343" s="334" t="s">
        <v>11</v>
      </c>
    </row>
    <row r="2344" spans="1:3" x14ac:dyDescent="0.2">
      <c r="A2344" s="334" t="s">
        <v>5697</v>
      </c>
      <c r="B2344" s="334" t="s">
        <v>8565</v>
      </c>
      <c r="C2344" s="334" t="s">
        <v>11</v>
      </c>
    </row>
    <row r="2345" spans="1:3" x14ac:dyDescent="0.2">
      <c r="A2345" s="334" t="s">
        <v>5698</v>
      </c>
      <c r="B2345" s="334" t="s">
        <v>8566</v>
      </c>
      <c r="C2345" s="334" t="s">
        <v>11</v>
      </c>
    </row>
    <row r="2346" spans="1:3" x14ac:dyDescent="0.2">
      <c r="A2346" s="334" t="s">
        <v>5699</v>
      </c>
      <c r="B2346" s="334" t="s">
        <v>8567</v>
      </c>
      <c r="C2346" s="334" t="s">
        <v>11</v>
      </c>
    </row>
    <row r="2347" spans="1:3" x14ac:dyDescent="0.2">
      <c r="A2347" s="334" t="s">
        <v>5700</v>
      </c>
      <c r="B2347" s="334" t="s">
        <v>8568</v>
      </c>
      <c r="C2347" s="334" t="s">
        <v>11</v>
      </c>
    </row>
    <row r="2348" spans="1:3" x14ac:dyDescent="0.2">
      <c r="A2348" s="334" t="s">
        <v>5701</v>
      </c>
      <c r="B2348" s="334" t="s">
        <v>8569</v>
      </c>
      <c r="C2348" s="334" t="s">
        <v>16</v>
      </c>
    </row>
    <row r="2349" spans="1:3" x14ac:dyDescent="0.2">
      <c r="A2349" s="334" t="s">
        <v>5702</v>
      </c>
      <c r="B2349" s="334" t="s">
        <v>8570</v>
      </c>
      <c r="C2349" s="334" t="s">
        <v>16</v>
      </c>
    </row>
    <row r="2350" spans="1:3" x14ac:dyDescent="0.2">
      <c r="A2350" s="334" t="s">
        <v>5703</v>
      </c>
      <c r="B2350" s="334" t="s">
        <v>8571</v>
      </c>
      <c r="C2350" s="334" t="s">
        <v>16</v>
      </c>
    </row>
    <row r="2351" spans="1:3" x14ac:dyDescent="0.2">
      <c r="A2351" s="334" t="s">
        <v>5704</v>
      </c>
      <c r="B2351" s="334" t="s">
        <v>8484</v>
      </c>
      <c r="C2351" s="334" t="s">
        <v>16</v>
      </c>
    </row>
    <row r="2352" spans="1:3" x14ac:dyDescent="0.2">
      <c r="A2352" s="334" t="s">
        <v>5705</v>
      </c>
      <c r="B2352" s="334" t="s">
        <v>8572</v>
      </c>
      <c r="C2352" s="334" t="s">
        <v>16</v>
      </c>
    </row>
    <row r="2353" spans="1:4" x14ac:dyDescent="0.2">
      <c r="A2353" s="334" t="s">
        <v>5706</v>
      </c>
      <c r="B2353" s="334" t="s">
        <v>8573</v>
      </c>
      <c r="C2353" s="334" t="s">
        <v>16</v>
      </c>
    </row>
    <row r="2354" spans="1:4" x14ac:dyDescent="0.2">
      <c r="A2354" s="334" t="s">
        <v>5707</v>
      </c>
      <c r="B2354" s="334" t="s">
        <v>8574</v>
      </c>
      <c r="C2354" s="334" t="s">
        <v>16</v>
      </c>
    </row>
    <row r="2355" spans="1:4" x14ac:dyDescent="0.2">
      <c r="A2355" s="334" t="s">
        <v>5708</v>
      </c>
      <c r="B2355" s="334" t="s">
        <v>8575</v>
      </c>
      <c r="C2355" s="334" t="s">
        <v>16</v>
      </c>
    </row>
    <row r="2356" spans="1:4" x14ac:dyDescent="0.2">
      <c r="A2356" s="334" t="s">
        <v>2059</v>
      </c>
      <c r="B2356" s="334" t="s">
        <v>8576</v>
      </c>
      <c r="C2356" s="334" t="s">
        <v>16</v>
      </c>
    </row>
    <row r="2357" spans="1:4" x14ac:dyDescent="0.2">
      <c r="A2357" s="334" t="s">
        <v>2060</v>
      </c>
      <c r="B2357" s="334" t="s">
        <v>8577</v>
      </c>
      <c r="C2357" s="334" t="s">
        <v>6602</v>
      </c>
    </row>
    <row r="2358" spans="1:4" x14ac:dyDescent="0.2">
      <c r="A2358" s="334" t="s">
        <v>2061</v>
      </c>
      <c r="B2358" s="334" t="s">
        <v>8578</v>
      </c>
      <c r="C2358" s="334" t="s">
        <v>2338</v>
      </c>
    </row>
    <row r="2359" spans="1:4" x14ac:dyDescent="0.2">
      <c r="A2359" s="334" t="s">
        <v>2062</v>
      </c>
      <c r="B2359" s="334" t="s">
        <v>8579</v>
      </c>
      <c r="C2359" s="334" t="s">
        <v>16</v>
      </c>
    </row>
    <row r="2360" spans="1:4" x14ac:dyDescent="0.2">
      <c r="A2360" s="347" t="s">
        <v>2063</v>
      </c>
      <c r="B2360" s="347" t="s">
        <v>8580</v>
      </c>
      <c r="C2360" s="347" t="s">
        <v>25</v>
      </c>
      <c r="D2360" s="348" t="s">
        <v>10271</v>
      </c>
    </row>
    <row r="2361" spans="1:4" x14ac:dyDescent="0.2">
      <c r="A2361" s="334" t="s">
        <v>2064</v>
      </c>
      <c r="B2361" s="334" t="s">
        <v>8581</v>
      </c>
      <c r="C2361" s="334" t="s">
        <v>16</v>
      </c>
    </row>
    <row r="2362" spans="1:4" x14ac:dyDescent="0.2">
      <c r="A2362" s="347" t="s">
        <v>2065</v>
      </c>
      <c r="B2362" s="347" t="s">
        <v>2483</v>
      </c>
      <c r="C2362" s="347" t="s">
        <v>6604</v>
      </c>
      <c r="D2362" s="348" t="s">
        <v>10271</v>
      </c>
    </row>
    <row r="2363" spans="1:4" x14ac:dyDescent="0.2">
      <c r="A2363" s="347" t="s">
        <v>2066</v>
      </c>
      <c r="B2363" s="347" t="s">
        <v>8582</v>
      </c>
      <c r="C2363" s="347" t="s">
        <v>25</v>
      </c>
      <c r="D2363" s="348" t="s">
        <v>10271</v>
      </c>
    </row>
    <row r="2364" spans="1:4" x14ac:dyDescent="0.2">
      <c r="A2364" s="334" t="s">
        <v>2067</v>
      </c>
      <c r="B2364" s="334" t="s">
        <v>8583</v>
      </c>
      <c r="C2364" s="334" t="s">
        <v>16</v>
      </c>
    </row>
    <row r="2365" spans="1:4" x14ac:dyDescent="0.2">
      <c r="A2365" s="347" t="s">
        <v>2068</v>
      </c>
      <c r="B2365" s="347" t="s">
        <v>2908</v>
      </c>
      <c r="C2365" s="347" t="s">
        <v>2338</v>
      </c>
      <c r="D2365" s="348" t="s">
        <v>10271</v>
      </c>
    </row>
    <row r="2366" spans="1:4" x14ac:dyDescent="0.2">
      <c r="A2366" s="347" t="s">
        <v>3165</v>
      </c>
      <c r="B2366" s="347" t="s">
        <v>2502</v>
      </c>
      <c r="C2366" s="347" t="s">
        <v>6604</v>
      </c>
      <c r="D2366" s="348" t="s">
        <v>10271</v>
      </c>
    </row>
    <row r="2367" spans="1:4" x14ac:dyDescent="0.2">
      <c r="A2367" s="334" t="s">
        <v>5709</v>
      </c>
      <c r="B2367" s="334" t="s">
        <v>8584</v>
      </c>
      <c r="C2367" s="334" t="s">
        <v>2338</v>
      </c>
    </row>
    <row r="2368" spans="1:4" x14ac:dyDescent="0.2">
      <c r="A2368" s="334" t="s">
        <v>5710</v>
      </c>
      <c r="B2368" s="334" t="s">
        <v>8585</v>
      </c>
      <c r="C2368" s="334" t="s">
        <v>2338</v>
      </c>
    </row>
    <row r="2369" spans="1:4" x14ac:dyDescent="0.2">
      <c r="A2369" s="334" t="s">
        <v>5711</v>
      </c>
      <c r="B2369" s="334" t="s">
        <v>8586</v>
      </c>
      <c r="C2369" s="334" t="s">
        <v>2338</v>
      </c>
    </row>
    <row r="2370" spans="1:4" x14ac:dyDescent="0.2">
      <c r="A2370" s="334" t="s">
        <v>5712</v>
      </c>
      <c r="B2370" s="334" t="s">
        <v>8587</v>
      </c>
      <c r="C2370" s="334" t="s">
        <v>2338</v>
      </c>
    </row>
    <row r="2371" spans="1:4" x14ac:dyDescent="0.2">
      <c r="A2371" s="334" t="s">
        <v>5713</v>
      </c>
      <c r="B2371" s="334" t="s">
        <v>8588</v>
      </c>
      <c r="C2371" s="334" t="s">
        <v>2338</v>
      </c>
    </row>
    <row r="2372" spans="1:4" x14ac:dyDescent="0.2">
      <c r="A2372" s="334" t="s">
        <v>5714</v>
      </c>
      <c r="B2372" s="334" t="s">
        <v>8589</v>
      </c>
      <c r="C2372" s="334" t="s">
        <v>2338</v>
      </c>
    </row>
    <row r="2373" spans="1:4" x14ac:dyDescent="0.2">
      <c r="A2373" s="334" t="s">
        <v>2069</v>
      </c>
      <c r="B2373" s="334" t="s">
        <v>8590</v>
      </c>
      <c r="C2373" s="334" t="s">
        <v>16</v>
      </c>
    </row>
    <row r="2374" spans="1:4" x14ac:dyDescent="0.2">
      <c r="A2374" s="347" t="s">
        <v>2070</v>
      </c>
      <c r="B2374" s="347" t="s">
        <v>8591</v>
      </c>
      <c r="C2374" s="347" t="s">
        <v>16</v>
      </c>
      <c r="D2374" s="348" t="s">
        <v>10271</v>
      </c>
    </row>
    <row r="2375" spans="1:4" x14ac:dyDescent="0.2">
      <c r="A2375" s="334" t="s">
        <v>2071</v>
      </c>
      <c r="B2375" s="334" t="s">
        <v>8592</v>
      </c>
      <c r="C2375" s="334" t="s">
        <v>16</v>
      </c>
    </row>
    <row r="2376" spans="1:4" x14ac:dyDescent="0.2">
      <c r="A2376" s="334" t="s">
        <v>2072</v>
      </c>
      <c r="B2376" s="334" t="s">
        <v>2340</v>
      </c>
      <c r="C2376" s="334" t="s">
        <v>16</v>
      </c>
    </row>
    <row r="2377" spans="1:4" x14ac:dyDescent="0.2">
      <c r="A2377" s="347" t="s">
        <v>518</v>
      </c>
      <c r="B2377" s="347" t="s">
        <v>3000</v>
      </c>
      <c r="C2377" s="347" t="s">
        <v>16</v>
      </c>
      <c r="D2377" s="348" t="s">
        <v>10271</v>
      </c>
    </row>
    <row r="2378" spans="1:4" x14ac:dyDescent="0.2">
      <c r="A2378" s="347" t="s">
        <v>215</v>
      </c>
      <c r="B2378" s="347" t="s">
        <v>2999</v>
      </c>
      <c r="C2378" s="347" t="s">
        <v>16</v>
      </c>
      <c r="D2378" s="348" t="s">
        <v>10271</v>
      </c>
    </row>
    <row r="2379" spans="1:4" x14ac:dyDescent="0.2">
      <c r="A2379" s="334" t="s">
        <v>2073</v>
      </c>
      <c r="B2379" s="334" t="s">
        <v>8593</v>
      </c>
      <c r="C2379" s="334" t="s">
        <v>16</v>
      </c>
    </row>
    <row r="2380" spans="1:4" x14ac:dyDescent="0.2">
      <c r="A2380" s="334" t="s">
        <v>2074</v>
      </c>
      <c r="B2380" s="334" t="s">
        <v>8594</v>
      </c>
      <c r="C2380" s="334" t="s">
        <v>16</v>
      </c>
    </row>
    <row r="2381" spans="1:4" x14ac:dyDescent="0.2">
      <c r="A2381" s="347" t="s">
        <v>2075</v>
      </c>
      <c r="B2381" s="347" t="s">
        <v>8595</v>
      </c>
      <c r="C2381" s="347" t="s">
        <v>11</v>
      </c>
      <c r="D2381" s="348" t="s">
        <v>10271</v>
      </c>
    </row>
    <row r="2382" spans="1:4" x14ac:dyDescent="0.2">
      <c r="A2382" s="347" t="s">
        <v>2076</v>
      </c>
      <c r="B2382" s="347" t="s">
        <v>8596</v>
      </c>
      <c r="C2382" s="347" t="s">
        <v>11</v>
      </c>
      <c r="D2382" s="348" t="s">
        <v>10271</v>
      </c>
    </row>
    <row r="2383" spans="1:4" x14ac:dyDescent="0.2">
      <c r="A2383" s="334" t="s">
        <v>2077</v>
      </c>
      <c r="B2383" s="334" t="s">
        <v>8597</v>
      </c>
      <c r="C2383" s="334" t="s">
        <v>2338</v>
      </c>
    </row>
    <row r="2384" spans="1:4" x14ac:dyDescent="0.2">
      <c r="A2384" s="334" t="s">
        <v>5715</v>
      </c>
      <c r="B2384" s="334" t="s">
        <v>8598</v>
      </c>
      <c r="C2384" s="334" t="s">
        <v>16</v>
      </c>
    </row>
    <row r="2385" spans="1:3" x14ac:dyDescent="0.2">
      <c r="A2385" s="334" t="s">
        <v>5716</v>
      </c>
      <c r="B2385" s="334" t="s">
        <v>8599</v>
      </c>
      <c r="C2385" s="334" t="s">
        <v>11</v>
      </c>
    </row>
    <row r="2386" spans="1:3" x14ac:dyDescent="0.2">
      <c r="A2386" s="334" t="s">
        <v>5717</v>
      </c>
      <c r="B2386" s="334" t="s">
        <v>8600</v>
      </c>
      <c r="C2386" s="334" t="s">
        <v>2338</v>
      </c>
    </row>
    <row r="2387" spans="1:3" x14ac:dyDescent="0.2">
      <c r="A2387" s="334" t="s">
        <v>5718</v>
      </c>
      <c r="B2387" s="334" t="s">
        <v>8601</v>
      </c>
      <c r="C2387" s="334" t="s">
        <v>2338</v>
      </c>
    </row>
    <row r="2388" spans="1:3" x14ac:dyDescent="0.2">
      <c r="A2388" s="334" t="s">
        <v>5719</v>
      </c>
      <c r="B2388" s="334" t="s">
        <v>8602</v>
      </c>
      <c r="C2388" s="334" t="s">
        <v>2338</v>
      </c>
    </row>
    <row r="2389" spans="1:3" x14ac:dyDescent="0.2">
      <c r="A2389" s="334" t="s">
        <v>5720</v>
      </c>
      <c r="B2389" s="334" t="s">
        <v>8603</v>
      </c>
      <c r="C2389" s="334" t="s">
        <v>16</v>
      </c>
    </row>
    <row r="2390" spans="1:3" x14ac:dyDescent="0.2">
      <c r="A2390" s="334" t="s">
        <v>5721</v>
      </c>
      <c r="B2390" s="334" t="s">
        <v>8604</v>
      </c>
      <c r="C2390" s="334" t="s">
        <v>7423</v>
      </c>
    </row>
    <row r="2391" spans="1:3" x14ac:dyDescent="0.2">
      <c r="A2391" s="334" t="s">
        <v>5722</v>
      </c>
      <c r="B2391" s="334" t="s">
        <v>8605</v>
      </c>
      <c r="C2391" s="334" t="s">
        <v>16</v>
      </c>
    </row>
    <row r="2392" spans="1:3" x14ac:dyDescent="0.2">
      <c r="A2392" s="334" t="s">
        <v>5723</v>
      </c>
      <c r="B2392" s="334" t="s">
        <v>8606</v>
      </c>
      <c r="C2392" s="334" t="s">
        <v>2338</v>
      </c>
    </row>
    <row r="2393" spans="1:3" x14ac:dyDescent="0.2">
      <c r="A2393" s="334" t="s">
        <v>5724</v>
      </c>
      <c r="B2393" s="334" t="s">
        <v>8607</v>
      </c>
      <c r="C2393" s="334" t="s">
        <v>2338</v>
      </c>
    </row>
    <row r="2394" spans="1:3" x14ac:dyDescent="0.2">
      <c r="A2394" s="334" t="s">
        <v>5725</v>
      </c>
      <c r="B2394" s="334" t="s">
        <v>8608</v>
      </c>
      <c r="C2394" s="334" t="s">
        <v>2338</v>
      </c>
    </row>
    <row r="2395" spans="1:3" x14ac:dyDescent="0.2">
      <c r="A2395" s="334" t="s">
        <v>5726</v>
      </c>
      <c r="B2395" s="334" t="s">
        <v>8609</v>
      </c>
      <c r="C2395" s="334" t="s">
        <v>16</v>
      </c>
    </row>
    <row r="2396" spans="1:3" x14ac:dyDescent="0.2">
      <c r="A2396" s="334" t="s">
        <v>5727</v>
      </c>
      <c r="B2396" s="334" t="s">
        <v>8610</v>
      </c>
      <c r="C2396" s="334" t="s">
        <v>2338</v>
      </c>
    </row>
    <row r="2397" spans="1:3" x14ac:dyDescent="0.2">
      <c r="A2397" s="334" t="s">
        <v>5728</v>
      </c>
      <c r="B2397" s="334" t="s">
        <v>8611</v>
      </c>
      <c r="C2397" s="334" t="s">
        <v>2338</v>
      </c>
    </row>
    <row r="2398" spans="1:3" x14ac:dyDescent="0.2">
      <c r="A2398" s="334" t="s">
        <v>5729</v>
      </c>
      <c r="B2398" s="334" t="s">
        <v>8612</v>
      </c>
      <c r="C2398" s="334" t="s">
        <v>2338</v>
      </c>
    </row>
    <row r="2399" spans="1:3" x14ac:dyDescent="0.2">
      <c r="A2399" s="334" t="s">
        <v>5730</v>
      </c>
      <c r="B2399" s="334" t="s">
        <v>8613</v>
      </c>
      <c r="C2399" s="334" t="s">
        <v>2338</v>
      </c>
    </row>
    <row r="2400" spans="1:3" x14ac:dyDescent="0.2">
      <c r="A2400" s="334" t="s">
        <v>5731</v>
      </c>
      <c r="B2400" s="334" t="s">
        <v>8614</v>
      </c>
      <c r="C2400" s="334" t="s">
        <v>11</v>
      </c>
    </row>
    <row r="2401" spans="1:4" x14ac:dyDescent="0.2">
      <c r="A2401" s="334" t="s">
        <v>5732</v>
      </c>
      <c r="B2401" s="334" t="s">
        <v>8615</v>
      </c>
      <c r="C2401" s="334" t="s">
        <v>2557</v>
      </c>
    </row>
    <row r="2402" spans="1:4" x14ac:dyDescent="0.2">
      <c r="A2402" s="334" t="s">
        <v>5733</v>
      </c>
      <c r="B2402" s="334" t="s">
        <v>8616</v>
      </c>
      <c r="C2402" s="334" t="s">
        <v>11</v>
      </c>
    </row>
    <row r="2403" spans="1:4" x14ac:dyDescent="0.2">
      <c r="A2403" s="334" t="s">
        <v>5734</v>
      </c>
      <c r="B2403" s="334" t="s">
        <v>8617</v>
      </c>
      <c r="C2403" s="334" t="s">
        <v>16</v>
      </c>
    </row>
    <row r="2404" spans="1:4" x14ac:dyDescent="0.2">
      <c r="A2404" s="334" t="s">
        <v>5735</v>
      </c>
      <c r="B2404" s="334" t="s">
        <v>8618</v>
      </c>
      <c r="C2404" s="334" t="s">
        <v>52</v>
      </c>
    </row>
    <row r="2405" spans="1:4" x14ac:dyDescent="0.2">
      <c r="A2405" s="334" t="s">
        <v>5736</v>
      </c>
      <c r="B2405" s="334" t="s">
        <v>8619</v>
      </c>
      <c r="C2405" s="334" t="s">
        <v>25</v>
      </c>
    </row>
    <row r="2406" spans="1:4" x14ac:dyDescent="0.2">
      <c r="A2406" s="334" t="s">
        <v>2078</v>
      </c>
      <c r="B2406" s="334" t="s">
        <v>8620</v>
      </c>
      <c r="C2406" s="334" t="s">
        <v>2338</v>
      </c>
    </row>
    <row r="2407" spans="1:4" x14ac:dyDescent="0.2">
      <c r="A2407" s="334" t="s">
        <v>2079</v>
      </c>
      <c r="B2407" s="334" t="s">
        <v>8621</v>
      </c>
      <c r="C2407" s="334" t="s">
        <v>2338</v>
      </c>
    </row>
    <row r="2408" spans="1:4" x14ac:dyDescent="0.2">
      <c r="A2408" s="347" t="s">
        <v>2080</v>
      </c>
      <c r="B2408" s="347" t="s">
        <v>2419</v>
      </c>
      <c r="C2408" s="347" t="s">
        <v>2338</v>
      </c>
      <c r="D2408" s="348" t="s">
        <v>10271</v>
      </c>
    </row>
    <row r="2409" spans="1:4" x14ac:dyDescent="0.2">
      <c r="A2409" s="334" t="s">
        <v>2081</v>
      </c>
      <c r="B2409" s="334" t="s">
        <v>5737</v>
      </c>
      <c r="C2409" s="334" t="s">
        <v>11</v>
      </c>
    </row>
    <row r="2410" spans="1:4" x14ac:dyDescent="0.2">
      <c r="A2410" s="347" t="s">
        <v>2082</v>
      </c>
      <c r="B2410" s="347" t="s">
        <v>8622</v>
      </c>
      <c r="C2410" s="347" t="s">
        <v>16</v>
      </c>
      <c r="D2410" s="348" t="s">
        <v>10271</v>
      </c>
    </row>
    <row r="2411" spans="1:4" x14ac:dyDescent="0.2">
      <c r="A2411" s="334" t="s">
        <v>2083</v>
      </c>
      <c r="B2411" s="334" t="s">
        <v>8623</v>
      </c>
      <c r="C2411" s="334" t="s">
        <v>2338</v>
      </c>
    </row>
    <row r="2412" spans="1:4" x14ac:dyDescent="0.2">
      <c r="A2412" s="334" t="s">
        <v>2084</v>
      </c>
      <c r="B2412" s="334" t="s">
        <v>8624</v>
      </c>
      <c r="C2412" s="334" t="s">
        <v>2338</v>
      </c>
    </row>
    <row r="2413" spans="1:4" x14ac:dyDescent="0.2">
      <c r="A2413" s="347" t="s">
        <v>2085</v>
      </c>
      <c r="B2413" s="347" t="s">
        <v>2363</v>
      </c>
      <c r="C2413" s="347" t="s">
        <v>2338</v>
      </c>
      <c r="D2413" s="348" t="s">
        <v>10271</v>
      </c>
    </row>
    <row r="2414" spans="1:4" x14ac:dyDescent="0.2">
      <c r="A2414" s="334" t="s">
        <v>2086</v>
      </c>
      <c r="B2414" s="334" t="s">
        <v>8625</v>
      </c>
      <c r="C2414" s="334" t="s">
        <v>16</v>
      </c>
    </row>
    <row r="2415" spans="1:4" x14ac:dyDescent="0.2">
      <c r="A2415" s="347" t="s">
        <v>2087</v>
      </c>
      <c r="B2415" s="347" t="s">
        <v>8625</v>
      </c>
      <c r="C2415" s="347" t="s">
        <v>16</v>
      </c>
      <c r="D2415" s="348" t="s">
        <v>10271</v>
      </c>
    </row>
    <row r="2416" spans="1:4" x14ac:dyDescent="0.2">
      <c r="A2416" s="347" t="s">
        <v>2088</v>
      </c>
      <c r="B2416" s="347" t="s">
        <v>8626</v>
      </c>
      <c r="C2416" s="347" t="s">
        <v>16</v>
      </c>
      <c r="D2416" s="348" t="s">
        <v>10271</v>
      </c>
    </row>
    <row r="2417" spans="1:4" x14ac:dyDescent="0.2">
      <c r="A2417" s="347" t="s">
        <v>2089</v>
      </c>
      <c r="B2417" s="347" t="s">
        <v>8627</v>
      </c>
      <c r="C2417" s="347" t="s">
        <v>16</v>
      </c>
      <c r="D2417" s="348" t="s">
        <v>10271</v>
      </c>
    </row>
    <row r="2418" spans="1:4" x14ac:dyDescent="0.2">
      <c r="A2418" s="347" t="s">
        <v>2090</v>
      </c>
      <c r="B2418" s="347" t="s">
        <v>2359</v>
      </c>
      <c r="C2418" s="347" t="s">
        <v>2338</v>
      </c>
      <c r="D2418" s="348" t="s">
        <v>10271</v>
      </c>
    </row>
    <row r="2419" spans="1:4" x14ac:dyDescent="0.2">
      <c r="A2419" s="347" t="s">
        <v>227</v>
      </c>
      <c r="B2419" s="347" t="s">
        <v>2535</v>
      </c>
      <c r="C2419" s="347" t="s">
        <v>6604</v>
      </c>
      <c r="D2419" s="348" t="s">
        <v>10271</v>
      </c>
    </row>
    <row r="2420" spans="1:4" x14ac:dyDescent="0.2">
      <c r="A2420" s="334" t="s">
        <v>2091</v>
      </c>
      <c r="B2420" s="334" t="s">
        <v>8628</v>
      </c>
      <c r="C2420" s="334" t="s">
        <v>16</v>
      </c>
    </row>
    <row r="2421" spans="1:4" x14ac:dyDescent="0.2">
      <c r="A2421" s="334" t="s">
        <v>2092</v>
      </c>
      <c r="B2421" s="334" t="s">
        <v>8629</v>
      </c>
      <c r="C2421" s="334" t="s">
        <v>11</v>
      </c>
    </row>
    <row r="2422" spans="1:4" x14ac:dyDescent="0.2">
      <c r="A2422" s="347" t="s">
        <v>229</v>
      </c>
      <c r="B2422" s="347" t="s">
        <v>2544</v>
      </c>
      <c r="C2422" s="347" t="s">
        <v>52</v>
      </c>
      <c r="D2422" s="348" t="s">
        <v>10271</v>
      </c>
    </row>
    <row r="2423" spans="1:4" x14ac:dyDescent="0.2">
      <c r="A2423" s="334" t="s">
        <v>5738</v>
      </c>
      <c r="B2423" s="334" t="s">
        <v>8630</v>
      </c>
      <c r="C2423" s="334" t="s">
        <v>2338</v>
      </c>
    </row>
    <row r="2424" spans="1:4" x14ac:dyDescent="0.2">
      <c r="A2424" s="334" t="s">
        <v>5739</v>
      </c>
      <c r="B2424" s="334" t="s">
        <v>5740</v>
      </c>
      <c r="C2424" s="334" t="s">
        <v>2338</v>
      </c>
    </row>
    <row r="2425" spans="1:4" x14ac:dyDescent="0.2">
      <c r="A2425" s="347" t="s">
        <v>360</v>
      </c>
      <c r="B2425" s="347" t="s">
        <v>8631</v>
      </c>
      <c r="C2425" s="347" t="s">
        <v>16</v>
      </c>
      <c r="D2425" s="348" t="s">
        <v>10271</v>
      </c>
    </row>
    <row r="2426" spans="1:4" x14ac:dyDescent="0.2">
      <c r="A2426" s="334" t="s">
        <v>2093</v>
      </c>
      <c r="B2426" s="334" t="s">
        <v>8632</v>
      </c>
      <c r="C2426" s="334" t="s">
        <v>16</v>
      </c>
    </row>
    <row r="2427" spans="1:4" x14ac:dyDescent="0.2">
      <c r="A2427" s="334" t="s">
        <v>5741</v>
      </c>
      <c r="B2427" s="334" t="s">
        <v>8633</v>
      </c>
      <c r="C2427" s="334" t="s">
        <v>16</v>
      </c>
    </row>
    <row r="2428" spans="1:4" x14ac:dyDescent="0.2">
      <c r="A2428" s="334" t="s">
        <v>5742</v>
      </c>
      <c r="B2428" s="334" t="s">
        <v>8633</v>
      </c>
      <c r="C2428" s="334" t="s">
        <v>16</v>
      </c>
    </row>
    <row r="2429" spans="1:4" x14ac:dyDescent="0.2">
      <c r="A2429" s="334" t="s">
        <v>5743</v>
      </c>
      <c r="B2429" s="334" t="s">
        <v>8633</v>
      </c>
      <c r="C2429" s="334" t="s">
        <v>25</v>
      </c>
    </row>
    <row r="2430" spans="1:4" x14ac:dyDescent="0.2">
      <c r="A2430" s="334" t="s">
        <v>5744</v>
      </c>
      <c r="B2430" s="334" t="s">
        <v>8633</v>
      </c>
      <c r="C2430" s="334" t="s">
        <v>25</v>
      </c>
    </row>
    <row r="2431" spans="1:4" x14ac:dyDescent="0.2">
      <c r="A2431" s="334" t="s">
        <v>5745</v>
      </c>
      <c r="B2431" s="334" t="s">
        <v>8633</v>
      </c>
      <c r="C2431" s="334" t="s">
        <v>11</v>
      </c>
    </row>
    <row r="2432" spans="1:4" x14ac:dyDescent="0.2">
      <c r="A2432" s="334" t="s">
        <v>5746</v>
      </c>
      <c r="B2432" s="334" t="s">
        <v>8634</v>
      </c>
      <c r="C2432" s="334" t="s">
        <v>16</v>
      </c>
    </row>
    <row r="2433" spans="1:3" x14ac:dyDescent="0.2">
      <c r="A2433" s="334" t="s">
        <v>5747</v>
      </c>
      <c r="B2433" s="334" t="s">
        <v>8635</v>
      </c>
      <c r="C2433" s="334" t="s">
        <v>16</v>
      </c>
    </row>
    <row r="2434" spans="1:3" x14ac:dyDescent="0.2">
      <c r="A2434" s="334" t="s">
        <v>5748</v>
      </c>
      <c r="B2434" s="334" t="s">
        <v>8634</v>
      </c>
      <c r="C2434" s="334" t="s">
        <v>25</v>
      </c>
    </row>
    <row r="2435" spans="1:3" x14ac:dyDescent="0.2">
      <c r="A2435" s="334" t="s">
        <v>5749</v>
      </c>
      <c r="B2435" s="334" t="s">
        <v>8634</v>
      </c>
      <c r="C2435" s="334" t="s">
        <v>25</v>
      </c>
    </row>
    <row r="2436" spans="1:3" x14ac:dyDescent="0.2">
      <c r="A2436" s="334" t="s">
        <v>5750</v>
      </c>
      <c r="B2436" s="334" t="s">
        <v>8634</v>
      </c>
      <c r="C2436" s="334" t="s">
        <v>25</v>
      </c>
    </row>
    <row r="2437" spans="1:3" x14ac:dyDescent="0.2">
      <c r="A2437" s="334" t="s">
        <v>5751</v>
      </c>
      <c r="B2437" s="334" t="s">
        <v>8636</v>
      </c>
      <c r="C2437" s="334" t="s">
        <v>16</v>
      </c>
    </row>
    <row r="2438" spans="1:3" x14ac:dyDescent="0.2">
      <c r="A2438" s="334" t="s">
        <v>5752</v>
      </c>
      <c r="B2438" s="334" t="s">
        <v>8637</v>
      </c>
      <c r="C2438" s="334" t="s">
        <v>16</v>
      </c>
    </row>
    <row r="2439" spans="1:3" x14ac:dyDescent="0.2">
      <c r="A2439" s="334" t="s">
        <v>5753</v>
      </c>
      <c r="B2439" s="334" t="s">
        <v>8638</v>
      </c>
      <c r="C2439" s="334" t="s">
        <v>16</v>
      </c>
    </row>
    <row r="2440" spans="1:3" x14ac:dyDescent="0.2">
      <c r="A2440" s="334" t="s">
        <v>5754</v>
      </c>
      <c r="B2440" s="334" t="s">
        <v>8639</v>
      </c>
      <c r="C2440" s="334" t="s">
        <v>11</v>
      </c>
    </row>
    <row r="2441" spans="1:3" x14ac:dyDescent="0.2">
      <c r="A2441" s="334" t="s">
        <v>5755</v>
      </c>
      <c r="B2441" s="334" t="s">
        <v>8640</v>
      </c>
      <c r="C2441" s="334" t="s">
        <v>16</v>
      </c>
    </row>
    <row r="2442" spans="1:3" x14ac:dyDescent="0.2">
      <c r="A2442" s="334" t="s">
        <v>5756</v>
      </c>
      <c r="B2442" s="334" t="s">
        <v>8641</v>
      </c>
      <c r="C2442" s="334" t="s">
        <v>16</v>
      </c>
    </row>
    <row r="2443" spans="1:3" x14ac:dyDescent="0.2">
      <c r="A2443" s="334" t="s">
        <v>5757</v>
      </c>
      <c r="B2443" s="334" t="s">
        <v>8642</v>
      </c>
      <c r="C2443" s="334" t="s">
        <v>25</v>
      </c>
    </row>
    <row r="2444" spans="1:3" x14ac:dyDescent="0.2">
      <c r="A2444" s="334" t="s">
        <v>2094</v>
      </c>
      <c r="B2444" s="334" t="s">
        <v>8643</v>
      </c>
      <c r="C2444" s="334" t="s">
        <v>6604</v>
      </c>
    </row>
    <row r="2445" spans="1:3" x14ac:dyDescent="0.2">
      <c r="A2445" s="334" t="s">
        <v>5758</v>
      </c>
      <c r="B2445" s="334" t="s">
        <v>8644</v>
      </c>
      <c r="C2445" s="334" t="s">
        <v>16</v>
      </c>
    </row>
    <row r="2446" spans="1:3" x14ac:dyDescent="0.2">
      <c r="A2446" s="334" t="s">
        <v>5759</v>
      </c>
      <c r="B2446" s="334" t="s">
        <v>8645</v>
      </c>
      <c r="C2446" s="334" t="s">
        <v>16</v>
      </c>
    </row>
    <row r="2447" spans="1:3" x14ac:dyDescent="0.2">
      <c r="A2447" s="334" t="s">
        <v>5760</v>
      </c>
      <c r="B2447" s="334" t="s">
        <v>8646</v>
      </c>
      <c r="C2447" s="334" t="s">
        <v>16</v>
      </c>
    </row>
    <row r="2448" spans="1:3" x14ac:dyDescent="0.2">
      <c r="A2448" s="334" t="s">
        <v>5761</v>
      </c>
      <c r="B2448" s="334" t="s">
        <v>8647</v>
      </c>
      <c r="C2448" s="334" t="s">
        <v>16</v>
      </c>
    </row>
    <row r="2449" spans="1:3" x14ac:dyDescent="0.2">
      <c r="A2449" s="334" t="s">
        <v>5762</v>
      </c>
      <c r="B2449" s="334" t="s">
        <v>8648</v>
      </c>
      <c r="C2449" s="334" t="s">
        <v>16</v>
      </c>
    </row>
    <row r="2450" spans="1:3" x14ac:dyDescent="0.2">
      <c r="A2450" s="334" t="s">
        <v>5763</v>
      </c>
      <c r="B2450" s="334" t="s">
        <v>8649</v>
      </c>
      <c r="C2450" s="334" t="s">
        <v>16</v>
      </c>
    </row>
    <row r="2451" spans="1:3" x14ac:dyDescent="0.2">
      <c r="A2451" s="334" t="s">
        <v>5764</v>
      </c>
      <c r="B2451" s="334" t="s">
        <v>8650</v>
      </c>
      <c r="C2451" s="334" t="s">
        <v>16</v>
      </c>
    </row>
    <row r="2452" spans="1:3" x14ac:dyDescent="0.2">
      <c r="A2452" s="334" t="s">
        <v>5765</v>
      </c>
      <c r="B2452" s="334" t="s">
        <v>8651</v>
      </c>
      <c r="C2452" s="334" t="s">
        <v>11</v>
      </c>
    </row>
    <row r="2453" spans="1:3" x14ac:dyDescent="0.2">
      <c r="A2453" s="334" t="s">
        <v>5766</v>
      </c>
      <c r="B2453" s="334" t="s">
        <v>8652</v>
      </c>
      <c r="C2453" s="334" t="s">
        <v>11</v>
      </c>
    </row>
    <row r="2454" spans="1:3" x14ac:dyDescent="0.2">
      <c r="A2454" s="334" t="s">
        <v>5767</v>
      </c>
      <c r="B2454" s="334" t="s">
        <v>8653</v>
      </c>
      <c r="C2454" s="334" t="s">
        <v>11</v>
      </c>
    </row>
    <row r="2455" spans="1:3" x14ac:dyDescent="0.2">
      <c r="A2455" s="334" t="s">
        <v>5768</v>
      </c>
      <c r="B2455" s="334" t="s">
        <v>8654</v>
      </c>
      <c r="C2455" s="334" t="s">
        <v>2338</v>
      </c>
    </row>
    <row r="2456" spans="1:3" x14ac:dyDescent="0.2">
      <c r="A2456" s="334" t="s">
        <v>5769</v>
      </c>
      <c r="B2456" s="334" t="s">
        <v>8655</v>
      </c>
      <c r="C2456" s="334" t="s">
        <v>2338</v>
      </c>
    </row>
    <row r="2457" spans="1:3" x14ac:dyDescent="0.2">
      <c r="A2457" s="334" t="s">
        <v>5770</v>
      </c>
      <c r="B2457" s="334" t="s">
        <v>8656</v>
      </c>
      <c r="C2457" s="334" t="s">
        <v>16</v>
      </c>
    </row>
    <row r="2458" spans="1:3" x14ac:dyDescent="0.2">
      <c r="A2458" s="334" t="s">
        <v>5771</v>
      </c>
      <c r="B2458" s="334" t="s">
        <v>8657</v>
      </c>
      <c r="C2458" s="334" t="s">
        <v>11</v>
      </c>
    </row>
    <row r="2459" spans="1:3" x14ac:dyDescent="0.2">
      <c r="A2459" s="334" t="s">
        <v>5772</v>
      </c>
      <c r="B2459" s="334" t="s">
        <v>8658</v>
      </c>
      <c r="C2459" s="334" t="s">
        <v>2338</v>
      </c>
    </row>
    <row r="2460" spans="1:3" x14ac:dyDescent="0.2">
      <c r="A2460" s="334" t="s">
        <v>5773</v>
      </c>
      <c r="B2460" s="334" t="s">
        <v>2995</v>
      </c>
      <c r="C2460" s="334" t="s">
        <v>2338</v>
      </c>
    </row>
    <row r="2461" spans="1:3" x14ac:dyDescent="0.2">
      <c r="A2461" s="334" t="s">
        <v>5774</v>
      </c>
      <c r="B2461" s="334" t="s">
        <v>8659</v>
      </c>
      <c r="C2461" s="334" t="s">
        <v>2338</v>
      </c>
    </row>
    <row r="2462" spans="1:3" x14ac:dyDescent="0.2">
      <c r="A2462" s="334" t="s">
        <v>5775</v>
      </c>
      <c r="B2462" s="334" t="s">
        <v>8660</v>
      </c>
      <c r="C2462" s="334" t="s">
        <v>2338</v>
      </c>
    </row>
    <row r="2463" spans="1:3" x14ac:dyDescent="0.2">
      <c r="A2463" s="334" t="s">
        <v>5776</v>
      </c>
      <c r="B2463" s="334" t="s">
        <v>8661</v>
      </c>
      <c r="C2463" s="334" t="s">
        <v>2338</v>
      </c>
    </row>
    <row r="2464" spans="1:3" x14ac:dyDescent="0.2">
      <c r="A2464" s="334" t="s">
        <v>5777</v>
      </c>
      <c r="B2464" s="334" t="s">
        <v>8655</v>
      </c>
      <c r="C2464" s="334" t="s">
        <v>2338</v>
      </c>
    </row>
    <row r="2465" spans="1:3" x14ac:dyDescent="0.2">
      <c r="A2465" s="334" t="s">
        <v>5778</v>
      </c>
      <c r="B2465" s="334" t="s">
        <v>8662</v>
      </c>
      <c r="C2465" s="334" t="s">
        <v>2338</v>
      </c>
    </row>
    <row r="2466" spans="1:3" x14ac:dyDescent="0.2">
      <c r="A2466" s="334" t="s">
        <v>5779</v>
      </c>
      <c r="B2466" s="334" t="s">
        <v>8663</v>
      </c>
      <c r="C2466" s="334" t="s">
        <v>2338</v>
      </c>
    </row>
    <row r="2467" spans="1:3" x14ac:dyDescent="0.2">
      <c r="A2467" s="334" t="s">
        <v>5780</v>
      </c>
      <c r="B2467" s="334" t="s">
        <v>8664</v>
      </c>
      <c r="C2467" s="334" t="s">
        <v>2338</v>
      </c>
    </row>
    <row r="2468" spans="1:3" x14ac:dyDescent="0.2">
      <c r="A2468" s="334" t="s">
        <v>5781</v>
      </c>
      <c r="B2468" s="334" t="s">
        <v>8665</v>
      </c>
      <c r="C2468" s="334" t="s">
        <v>11</v>
      </c>
    </row>
    <row r="2469" spans="1:3" x14ac:dyDescent="0.2">
      <c r="A2469" s="334" t="s">
        <v>2095</v>
      </c>
      <c r="B2469" s="334" t="s">
        <v>8666</v>
      </c>
      <c r="C2469" s="334" t="s">
        <v>2338</v>
      </c>
    </row>
    <row r="2470" spans="1:3" x14ac:dyDescent="0.2">
      <c r="A2470" s="334" t="s">
        <v>5782</v>
      </c>
      <c r="B2470" s="334" t="s">
        <v>8667</v>
      </c>
      <c r="C2470" s="334" t="s">
        <v>2338</v>
      </c>
    </row>
    <row r="2471" spans="1:3" x14ac:dyDescent="0.2">
      <c r="A2471" s="334" t="s">
        <v>5783</v>
      </c>
      <c r="B2471" s="334" t="s">
        <v>8668</v>
      </c>
      <c r="C2471" s="334" t="s">
        <v>2338</v>
      </c>
    </row>
    <row r="2472" spans="1:3" x14ac:dyDescent="0.2">
      <c r="A2472" s="334" t="s">
        <v>8669</v>
      </c>
      <c r="B2472" s="334" t="s">
        <v>8670</v>
      </c>
      <c r="C2472" s="334" t="s">
        <v>2557</v>
      </c>
    </row>
    <row r="2473" spans="1:3" x14ac:dyDescent="0.2">
      <c r="A2473" s="334" t="s">
        <v>5784</v>
      </c>
      <c r="B2473" s="334" t="s">
        <v>8080</v>
      </c>
      <c r="C2473" s="334" t="s">
        <v>16</v>
      </c>
    </row>
    <row r="2474" spans="1:3" x14ac:dyDescent="0.2">
      <c r="A2474" s="334" t="s">
        <v>5785</v>
      </c>
      <c r="B2474" s="334" t="s">
        <v>8671</v>
      </c>
      <c r="C2474" s="334" t="s">
        <v>16</v>
      </c>
    </row>
    <row r="2475" spans="1:3" x14ac:dyDescent="0.2">
      <c r="A2475" s="334" t="s">
        <v>5786</v>
      </c>
      <c r="B2475" s="334" t="s">
        <v>8672</v>
      </c>
      <c r="C2475" s="334" t="s">
        <v>16</v>
      </c>
    </row>
    <row r="2476" spans="1:3" x14ac:dyDescent="0.2">
      <c r="A2476" s="334" t="s">
        <v>5787</v>
      </c>
      <c r="B2476" s="334" t="s">
        <v>8372</v>
      </c>
      <c r="C2476" s="334" t="s">
        <v>16</v>
      </c>
    </row>
    <row r="2477" spans="1:3" x14ac:dyDescent="0.2">
      <c r="A2477" s="334" t="s">
        <v>5788</v>
      </c>
      <c r="B2477" s="334" t="s">
        <v>8673</v>
      </c>
      <c r="C2477" s="334" t="s">
        <v>16</v>
      </c>
    </row>
    <row r="2478" spans="1:3" x14ac:dyDescent="0.2">
      <c r="A2478" s="334" t="s">
        <v>5789</v>
      </c>
      <c r="B2478" s="334" t="s">
        <v>2999</v>
      </c>
      <c r="C2478" s="334" t="s">
        <v>16</v>
      </c>
    </row>
    <row r="2479" spans="1:3" x14ac:dyDescent="0.2">
      <c r="A2479" s="334" t="s">
        <v>5790</v>
      </c>
      <c r="B2479" s="334" t="s">
        <v>8674</v>
      </c>
      <c r="C2479" s="334" t="s">
        <v>11</v>
      </c>
    </row>
    <row r="2480" spans="1:3" x14ac:dyDescent="0.2">
      <c r="A2480" s="334" t="s">
        <v>5791</v>
      </c>
      <c r="B2480" s="334" t="s">
        <v>8675</v>
      </c>
      <c r="C2480" s="334" t="s">
        <v>11</v>
      </c>
    </row>
    <row r="2481" spans="1:3" x14ac:dyDescent="0.2">
      <c r="A2481" s="334" t="s">
        <v>5792</v>
      </c>
      <c r="B2481" s="334" t="s">
        <v>8676</v>
      </c>
      <c r="C2481" s="334" t="s">
        <v>16</v>
      </c>
    </row>
    <row r="2482" spans="1:3" x14ac:dyDescent="0.2">
      <c r="A2482" s="334" t="s">
        <v>5793</v>
      </c>
      <c r="B2482" s="334" t="s">
        <v>8677</v>
      </c>
      <c r="C2482" s="334" t="s">
        <v>16</v>
      </c>
    </row>
    <row r="2483" spans="1:3" x14ac:dyDescent="0.2">
      <c r="A2483" s="334" t="s">
        <v>5794</v>
      </c>
      <c r="B2483" s="334" t="s">
        <v>8678</v>
      </c>
      <c r="C2483" s="334" t="s">
        <v>25</v>
      </c>
    </row>
    <row r="2484" spans="1:3" x14ac:dyDescent="0.2">
      <c r="A2484" s="334" t="s">
        <v>5795</v>
      </c>
      <c r="B2484" s="334" t="s">
        <v>8679</v>
      </c>
      <c r="C2484" s="334" t="s">
        <v>11</v>
      </c>
    </row>
    <row r="2485" spans="1:3" x14ac:dyDescent="0.2">
      <c r="A2485" s="334" t="s">
        <v>5796</v>
      </c>
      <c r="B2485" s="334" t="s">
        <v>8680</v>
      </c>
      <c r="C2485" s="334" t="s">
        <v>11</v>
      </c>
    </row>
    <row r="2486" spans="1:3" x14ac:dyDescent="0.2">
      <c r="A2486" s="334" t="s">
        <v>5797</v>
      </c>
      <c r="B2486" s="334" t="s">
        <v>8681</v>
      </c>
      <c r="C2486" s="334" t="s">
        <v>11</v>
      </c>
    </row>
    <row r="2487" spans="1:3" x14ac:dyDescent="0.2">
      <c r="A2487" s="334" t="s">
        <v>5798</v>
      </c>
      <c r="B2487" s="334" t="s">
        <v>8682</v>
      </c>
      <c r="C2487" s="334" t="s">
        <v>11</v>
      </c>
    </row>
    <row r="2488" spans="1:3" x14ac:dyDescent="0.2">
      <c r="A2488" s="334" t="s">
        <v>5799</v>
      </c>
      <c r="B2488" s="334" t="s">
        <v>8683</v>
      </c>
      <c r="C2488" s="334" t="s">
        <v>11</v>
      </c>
    </row>
    <row r="2489" spans="1:3" x14ac:dyDescent="0.2">
      <c r="A2489" s="334" t="s">
        <v>5800</v>
      </c>
      <c r="B2489" s="334" t="s">
        <v>8684</v>
      </c>
      <c r="C2489" s="334" t="s">
        <v>11</v>
      </c>
    </row>
    <row r="2490" spans="1:3" x14ac:dyDescent="0.2">
      <c r="A2490" s="334" t="s">
        <v>5801</v>
      </c>
      <c r="B2490" s="334" t="s">
        <v>8685</v>
      </c>
      <c r="C2490" s="334" t="s">
        <v>11</v>
      </c>
    </row>
    <row r="2491" spans="1:3" x14ac:dyDescent="0.2">
      <c r="A2491" s="334" t="s">
        <v>5802</v>
      </c>
      <c r="B2491" s="334" t="s">
        <v>8686</v>
      </c>
      <c r="C2491" s="334" t="s">
        <v>11</v>
      </c>
    </row>
    <row r="2492" spans="1:3" x14ac:dyDescent="0.2">
      <c r="A2492" s="334" t="s">
        <v>5803</v>
      </c>
      <c r="B2492" s="334" t="s">
        <v>8687</v>
      </c>
      <c r="C2492" s="334" t="s">
        <v>11</v>
      </c>
    </row>
    <row r="2493" spans="1:3" x14ac:dyDescent="0.2">
      <c r="A2493" s="334" t="s">
        <v>5804</v>
      </c>
      <c r="B2493" s="334" t="s">
        <v>8688</v>
      </c>
      <c r="C2493" s="334" t="s">
        <v>11</v>
      </c>
    </row>
    <row r="2494" spans="1:3" x14ac:dyDescent="0.2">
      <c r="A2494" s="334" t="s">
        <v>5805</v>
      </c>
      <c r="B2494" s="334" t="s">
        <v>8689</v>
      </c>
      <c r="C2494" s="334" t="s">
        <v>11</v>
      </c>
    </row>
    <row r="2495" spans="1:3" x14ac:dyDescent="0.2">
      <c r="A2495" s="334" t="s">
        <v>5806</v>
      </c>
      <c r="B2495" s="334" t="s">
        <v>8366</v>
      </c>
      <c r="C2495" s="334" t="s">
        <v>52</v>
      </c>
    </row>
    <row r="2496" spans="1:3" x14ac:dyDescent="0.2">
      <c r="A2496" s="334" t="s">
        <v>5807</v>
      </c>
      <c r="B2496" s="334" t="s">
        <v>8690</v>
      </c>
      <c r="C2496" s="334" t="s">
        <v>11</v>
      </c>
    </row>
    <row r="2497" spans="1:4" x14ac:dyDescent="0.2">
      <c r="A2497" s="334" t="s">
        <v>2096</v>
      </c>
      <c r="B2497" s="334" t="s">
        <v>8691</v>
      </c>
      <c r="C2497" s="334" t="s">
        <v>2338</v>
      </c>
    </row>
    <row r="2498" spans="1:4" x14ac:dyDescent="0.2">
      <c r="A2498" s="334" t="s">
        <v>2097</v>
      </c>
      <c r="B2498" s="334" t="s">
        <v>8692</v>
      </c>
      <c r="C2498" s="334" t="s">
        <v>16</v>
      </c>
    </row>
    <row r="2499" spans="1:4" x14ac:dyDescent="0.2">
      <c r="A2499" s="334" t="s">
        <v>5808</v>
      </c>
      <c r="B2499" s="334" t="s">
        <v>8693</v>
      </c>
      <c r="C2499" s="334" t="s">
        <v>2338</v>
      </c>
    </row>
    <row r="2500" spans="1:4" x14ac:dyDescent="0.2">
      <c r="A2500" s="334" t="s">
        <v>5809</v>
      </c>
      <c r="B2500" s="334" t="s">
        <v>8694</v>
      </c>
      <c r="C2500" s="334" t="s">
        <v>16</v>
      </c>
    </row>
    <row r="2501" spans="1:4" x14ac:dyDescent="0.2">
      <c r="A2501" s="347" t="s">
        <v>3246</v>
      </c>
      <c r="B2501" s="347" t="s">
        <v>2658</v>
      </c>
      <c r="C2501" s="347" t="s">
        <v>16</v>
      </c>
      <c r="D2501" s="348" t="s">
        <v>10271</v>
      </c>
    </row>
    <row r="2502" spans="1:4" x14ac:dyDescent="0.2">
      <c r="A2502" s="334" t="s">
        <v>5810</v>
      </c>
      <c r="B2502" s="334" t="s">
        <v>8695</v>
      </c>
      <c r="C2502" s="334" t="s">
        <v>16</v>
      </c>
    </row>
    <row r="2503" spans="1:4" x14ac:dyDescent="0.2">
      <c r="A2503" s="334" t="s">
        <v>5811</v>
      </c>
      <c r="B2503" s="334" t="s">
        <v>8696</v>
      </c>
      <c r="C2503" s="334" t="s">
        <v>2338</v>
      </c>
    </row>
    <row r="2504" spans="1:4" x14ac:dyDescent="0.2">
      <c r="A2504" s="334" t="s">
        <v>5812</v>
      </c>
      <c r="B2504" s="334" t="s">
        <v>8697</v>
      </c>
      <c r="C2504" s="334" t="s">
        <v>2338</v>
      </c>
    </row>
    <row r="2505" spans="1:4" x14ac:dyDescent="0.2">
      <c r="A2505" s="334" t="s">
        <v>5813</v>
      </c>
      <c r="B2505" s="334" t="s">
        <v>8698</v>
      </c>
      <c r="C2505" s="334" t="s">
        <v>2338</v>
      </c>
    </row>
    <row r="2506" spans="1:4" x14ac:dyDescent="0.2">
      <c r="A2506" s="334" t="s">
        <v>5814</v>
      </c>
      <c r="B2506" s="334" t="s">
        <v>8699</v>
      </c>
      <c r="C2506" s="334" t="s">
        <v>16</v>
      </c>
    </row>
    <row r="2507" spans="1:4" x14ac:dyDescent="0.2">
      <c r="A2507" s="334" t="s">
        <v>5815</v>
      </c>
      <c r="B2507" s="334" t="s">
        <v>8700</v>
      </c>
      <c r="C2507" s="334" t="s">
        <v>16</v>
      </c>
    </row>
    <row r="2508" spans="1:4" x14ac:dyDescent="0.2">
      <c r="A2508" s="334" t="s">
        <v>5816</v>
      </c>
      <c r="B2508" s="334" t="s">
        <v>8701</v>
      </c>
      <c r="C2508" s="334" t="s">
        <v>16</v>
      </c>
    </row>
    <row r="2509" spans="1:4" x14ac:dyDescent="0.2">
      <c r="A2509" s="334" t="s">
        <v>5817</v>
      </c>
      <c r="B2509" s="334" t="s">
        <v>8702</v>
      </c>
      <c r="C2509" s="334" t="s">
        <v>16</v>
      </c>
    </row>
    <row r="2510" spans="1:4" x14ac:dyDescent="0.2">
      <c r="A2510" s="334" t="s">
        <v>5818</v>
      </c>
      <c r="B2510" s="334" t="s">
        <v>8703</v>
      </c>
      <c r="C2510" s="334" t="s">
        <v>11</v>
      </c>
    </row>
    <row r="2511" spans="1:4" x14ac:dyDescent="0.2">
      <c r="A2511" s="334" t="s">
        <v>5819</v>
      </c>
      <c r="B2511" s="334" t="s">
        <v>8704</v>
      </c>
      <c r="C2511" s="334" t="s">
        <v>11</v>
      </c>
    </row>
    <row r="2512" spans="1:4" x14ac:dyDescent="0.2">
      <c r="A2512" s="334" t="s">
        <v>5820</v>
      </c>
      <c r="B2512" s="334" t="s">
        <v>8705</v>
      </c>
      <c r="C2512" s="334" t="s">
        <v>11</v>
      </c>
    </row>
    <row r="2513" spans="1:3" x14ac:dyDescent="0.2">
      <c r="A2513" s="334" t="s">
        <v>5821</v>
      </c>
      <c r="B2513" s="334" t="s">
        <v>8706</v>
      </c>
      <c r="C2513" s="334" t="s">
        <v>11</v>
      </c>
    </row>
    <row r="2514" spans="1:3" x14ac:dyDescent="0.2">
      <c r="A2514" s="334" t="s">
        <v>5822</v>
      </c>
      <c r="B2514" s="334" t="s">
        <v>8707</v>
      </c>
      <c r="C2514" s="334" t="s">
        <v>7969</v>
      </c>
    </row>
    <row r="2515" spans="1:3" x14ac:dyDescent="0.2">
      <c r="A2515" s="334" t="s">
        <v>5823</v>
      </c>
      <c r="B2515" s="334" t="s">
        <v>8708</v>
      </c>
      <c r="C2515" s="334" t="s">
        <v>16</v>
      </c>
    </row>
    <row r="2516" spans="1:3" x14ac:dyDescent="0.2">
      <c r="A2516" s="334" t="s">
        <v>5824</v>
      </c>
      <c r="B2516" s="334" t="s">
        <v>8709</v>
      </c>
      <c r="C2516" s="334" t="s">
        <v>11</v>
      </c>
    </row>
    <row r="2517" spans="1:3" x14ac:dyDescent="0.2">
      <c r="A2517" s="334" t="s">
        <v>5825</v>
      </c>
      <c r="B2517" s="334" t="s">
        <v>8710</v>
      </c>
      <c r="C2517" s="334" t="s">
        <v>2338</v>
      </c>
    </row>
    <row r="2518" spans="1:3" x14ac:dyDescent="0.2">
      <c r="A2518" s="334" t="s">
        <v>5826</v>
      </c>
      <c r="B2518" s="334" t="s">
        <v>8711</v>
      </c>
      <c r="C2518" s="334" t="s">
        <v>16</v>
      </c>
    </row>
    <row r="2519" spans="1:3" x14ac:dyDescent="0.2">
      <c r="A2519" s="334" t="s">
        <v>5827</v>
      </c>
      <c r="B2519" s="334" t="s">
        <v>5828</v>
      </c>
      <c r="C2519" s="334" t="s">
        <v>2338</v>
      </c>
    </row>
    <row r="2520" spans="1:3" x14ac:dyDescent="0.2">
      <c r="A2520" s="334" t="s">
        <v>2098</v>
      </c>
      <c r="B2520" s="334" t="s">
        <v>5829</v>
      </c>
      <c r="C2520" s="334" t="s">
        <v>2338</v>
      </c>
    </row>
    <row r="2521" spans="1:3" x14ac:dyDescent="0.2">
      <c r="A2521" s="334" t="s">
        <v>2099</v>
      </c>
      <c r="B2521" s="334" t="s">
        <v>8712</v>
      </c>
      <c r="C2521" s="334" t="s">
        <v>11</v>
      </c>
    </row>
    <row r="2522" spans="1:3" x14ac:dyDescent="0.2">
      <c r="A2522" s="334" t="s">
        <v>8713</v>
      </c>
      <c r="B2522" s="334" t="s">
        <v>8714</v>
      </c>
      <c r="C2522" s="334" t="s">
        <v>11</v>
      </c>
    </row>
    <row r="2523" spans="1:3" x14ac:dyDescent="0.2">
      <c r="A2523" s="334" t="s">
        <v>8715</v>
      </c>
      <c r="B2523" s="334" t="s">
        <v>8716</v>
      </c>
      <c r="C2523" s="334" t="s">
        <v>11</v>
      </c>
    </row>
    <row r="2524" spans="1:3" x14ac:dyDescent="0.2">
      <c r="A2524" s="334" t="s">
        <v>8717</v>
      </c>
      <c r="B2524" s="334" t="s">
        <v>8718</v>
      </c>
      <c r="C2524" s="334" t="s">
        <v>11</v>
      </c>
    </row>
    <row r="2525" spans="1:3" x14ac:dyDescent="0.2">
      <c r="A2525" s="334" t="s">
        <v>8719</v>
      </c>
      <c r="B2525" s="334" t="s">
        <v>8720</v>
      </c>
      <c r="C2525" s="334" t="s">
        <v>11</v>
      </c>
    </row>
    <row r="2526" spans="1:3" x14ac:dyDescent="0.2">
      <c r="A2526" s="334" t="s">
        <v>8721</v>
      </c>
      <c r="B2526" s="334" t="s">
        <v>8722</v>
      </c>
      <c r="C2526" s="334" t="s">
        <v>11</v>
      </c>
    </row>
    <row r="2527" spans="1:3" x14ac:dyDescent="0.2">
      <c r="A2527" s="334" t="s">
        <v>8723</v>
      </c>
      <c r="B2527" s="334" t="s">
        <v>8724</v>
      </c>
      <c r="C2527" s="334" t="s">
        <v>11</v>
      </c>
    </row>
    <row r="2528" spans="1:3" x14ac:dyDescent="0.2">
      <c r="A2528" s="334" t="s">
        <v>8725</v>
      </c>
      <c r="B2528" s="334" t="s">
        <v>8726</v>
      </c>
      <c r="C2528" s="334" t="s">
        <v>11</v>
      </c>
    </row>
    <row r="2529" spans="1:3" x14ac:dyDescent="0.2">
      <c r="A2529" s="334" t="s">
        <v>8727</v>
      </c>
      <c r="B2529" s="334" t="s">
        <v>8728</v>
      </c>
      <c r="C2529" s="334" t="s">
        <v>11</v>
      </c>
    </row>
    <row r="2530" spans="1:3" x14ac:dyDescent="0.2">
      <c r="A2530" s="334" t="s">
        <v>8729</v>
      </c>
      <c r="B2530" s="334" t="s">
        <v>8730</v>
      </c>
      <c r="C2530" s="334" t="s">
        <v>11</v>
      </c>
    </row>
    <row r="2531" spans="1:3" x14ac:dyDescent="0.2">
      <c r="A2531" s="334" t="s">
        <v>8731</v>
      </c>
      <c r="B2531" s="334" t="s">
        <v>8732</v>
      </c>
      <c r="C2531" s="334" t="s">
        <v>11</v>
      </c>
    </row>
    <row r="2532" spans="1:3" x14ac:dyDescent="0.2">
      <c r="A2532" s="334" t="s">
        <v>8733</v>
      </c>
      <c r="B2532" s="334" t="s">
        <v>8734</v>
      </c>
      <c r="C2532" s="334" t="s">
        <v>11</v>
      </c>
    </row>
    <row r="2533" spans="1:3" x14ac:dyDescent="0.2">
      <c r="A2533" s="334" t="s">
        <v>8735</v>
      </c>
      <c r="B2533" s="334" t="s">
        <v>8736</v>
      </c>
      <c r="C2533" s="334" t="s">
        <v>11</v>
      </c>
    </row>
    <row r="2534" spans="1:3" x14ac:dyDescent="0.2">
      <c r="A2534" s="334" t="s">
        <v>8737</v>
      </c>
      <c r="B2534" s="334" t="s">
        <v>8738</v>
      </c>
      <c r="C2534" s="334" t="s">
        <v>11</v>
      </c>
    </row>
    <row r="2535" spans="1:3" x14ac:dyDescent="0.2">
      <c r="A2535" s="334" t="s">
        <v>8739</v>
      </c>
      <c r="B2535" s="334" t="s">
        <v>8740</v>
      </c>
      <c r="C2535" s="334" t="s">
        <v>11</v>
      </c>
    </row>
    <row r="2536" spans="1:3" x14ac:dyDescent="0.2">
      <c r="A2536" s="334" t="s">
        <v>8741</v>
      </c>
      <c r="B2536" s="334" t="s">
        <v>8742</v>
      </c>
      <c r="C2536" s="334" t="s">
        <v>11</v>
      </c>
    </row>
    <row r="2537" spans="1:3" x14ac:dyDescent="0.2">
      <c r="A2537" s="334" t="s">
        <v>8743</v>
      </c>
      <c r="B2537" s="334" t="s">
        <v>8744</v>
      </c>
      <c r="C2537" s="334" t="s">
        <v>11</v>
      </c>
    </row>
    <row r="2538" spans="1:3" x14ac:dyDescent="0.2">
      <c r="A2538" s="334" t="s">
        <v>8745</v>
      </c>
      <c r="B2538" s="334" t="s">
        <v>8746</v>
      </c>
      <c r="C2538" s="334" t="s">
        <v>11</v>
      </c>
    </row>
    <row r="2539" spans="1:3" x14ac:dyDescent="0.2">
      <c r="A2539" s="334" t="s">
        <v>8747</v>
      </c>
      <c r="B2539" s="334" t="s">
        <v>8748</v>
      </c>
      <c r="C2539" s="334" t="s">
        <v>11</v>
      </c>
    </row>
    <row r="2540" spans="1:3" x14ac:dyDescent="0.2">
      <c r="A2540" s="334" t="s">
        <v>8749</v>
      </c>
      <c r="B2540" s="334" t="s">
        <v>8750</v>
      </c>
      <c r="C2540" s="334" t="s">
        <v>11</v>
      </c>
    </row>
    <row r="2541" spans="1:3" x14ac:dyDescent="0.2">
      <c r="A2541" s="334" t="s">
        <v>8751</v>
      </c>
      <c r="B2541" s="334" t="s">
        <v>8752</v>
      </c>
      <c r="C2541" s="334" t="s">
        <v>16</v>
      </c>
    </row>
    <row r="2542" spans="1:3" x14ac:dyDescent="0.2">
      <c r="A2542" s="334" t="s">
        <v>5830</v>
      </c>
      <c r="B2542" s="334" t="s">
        <v>5831</v>
      </c>
      <c r="C2542" s="334" t="s">
        <v>2338</v>
      </c>
    </row>
    <row r="2543" spans="1:3" x14ac:dyDescent="0.2">
      <c r="A2543" s="334" t="s">
        <v>5832</v>
      </c>
      <c r="B2543" s="334" t="s">
        <v>5833</v>
      </c>
      <c r="C2543" s="334" t="s">
        <v>2338</v>
      </c>
    </row>
    <row r="2544" spans="1:3" x14ac:dyDescent="0.2">
      <c r="A2544" s="334" t="s">
        <v>8753</v>
      </c>
      <c r="B2544" s="334" t="s">
        <v>8754</v>
      </c>
      <c r="C2544" s="334" t="s">
        <v>2338</v>
      </c>
    </row>
    <row r="2545" spans="1:4" x14ac:dyDescent="0.2">
      <c r="A2545" s="334" t="s">
        <v>8755</v>
      </c>
      <c r="B2545" s="334" t="s">
        <v>8756</v>
      </c>
      <c r="C2545" s="334" t="s">
        <v>25</v>
      </c>
    </row>
    <row r="2546" spans="1:4" x14ac:dyDescent="0.2">
      <c r="A2546" s="334" t="s">
        <v>5834</v>
      </c>
      <c r="B2546" s="334" t="s">
        <v>5835</v>
      </c>
      <c r="C2546" s="334" t="s">
        <v>2338</v>
      </c>
    </row>
    <row r="2547" spans="1:4" x14ac:dyDescent="0.2">
      <c r="A2547" s="334" t="s">
        <v>2100</v>
      </c>
      <c r="B2547" s="334" t="s">
        <v>5836</v>
      </c>
      <c r="C2547" s="334" t="s">
        <v>2338</v>
      </c>
    </row>
    <row r="2548" spans="1:4" x14ac:dyDescent="0.2">
      <c r="A2548" s="347" t="s">
        <v>2101</v>
      </c>
      <c r="B2548" s="347" t="s">
        <v>2390</v>
      </c>
      <c r="C2548" s="347" t="s">
        <v>6604</v>
      </c>
      <c r="D2548" s="348" t="s">
        <v>10271</v>
      </c>
    </row>
    <row r="2549" spans="1:4" x14ac:dyDescent="0.2">
      <c r="A2549" s="334" t="s">
        <v>2102</v>
      </c>
      <c r="B2549" s="334" t="s">
        <v>8757</v>
      </c>
      <c r="C2549" s="334" t="s">
        <v>2338</v>
      </c>
    </row>
    <row r="2550" spans="1:4" x14ac:dyDescent="0.2">
      <c r="A2550" s="334" t="s">
        <v>2103</v>
      </c>
      <c r="B2550" s="334" t="s">
        <v>5837</v>
      </c>
      <c r="C2550" s="334" t="s">
        <v>2338</v>
      </c>
    </row>
    <row r="2551" spans="1:4" x14ac:dyDescent="0.2">
      <c r="A2551" s="334" t="s">
        <v>2104</v>
      </c>
      <c r="B2551" s="334" t="s">
        <v>8758</v>
      </c>
      <c r="C2551" s="334" t="s">
        <v>16</v>
      </c>
    </row>
    <row r="2552" spans="1:4" x14ac:dyDescent="0.2">
      <c r="A2552" s="334" t="s">
        <v>365</v>
      </c>
      <c r="B2552" s="334" t="s">
        <v>8759</v>
      </c>
      <c r="C2552" s="334" t="s">
        <v>25</v>
      </c>
    </row>
    <row r="2553" spans="1:4" x14ac:dyDescent="0.2">
      <c r="A2553" s="334" t="s">
        <v>295</v>
      </c>
      <c r="B2553" s="334" t="s">
        <v>8760</v>
      </c>
      <c r="C2553" s="334" t="s">
        <v>16</v>
      </c>
    </row>
    <row r="2554" spans="1:4" x14ac:dyDescent="0.2">
      <c r="A2554" s="334" t="s">
        <v>2105</v>
      </c>
      <c r="B2554" s="334" t="s">
        <v>8761</v>
      </c>
      <c r="C2554" s="334" t="s">
        <v>16</v>
      </c>
    </row>
    <row r="2555" spans="1:4" x14ac:dyDescent="0.2">
      <c r="A2555" s="334" t="s">
        <v>5838</v>
      </c>
      <c r="B2555" s="334" t="s">
        <v>5839</v>
      </c>
      <c r="C2555" s="334" t="s">
        <v>2338</v>
      </c>
    </row>
    <row r="2556" spans="1:4" x14ac:dyDescent="0.2">
      <c r="A2556" s="334" t="s">
        <v>281</v>
      </c>
      <c r="B2556" s="334" t="s">
        <v>8762</v>
      </c>
      <c r="C2556" s="334" t="s">
        <v>16</v>
      </c>
    </row>
    <row r="2557" spans="1:4" x14ac:dyDescent="0.2">
      <c r="A2557" s="334" t="s">
        <v>280</v>
      </c>
      <c r="B2557" s="334" t="s">
        <v>8763</v>
      </c>
      <c r="C2557" s="334" t="s">
        <v>16</v>
      </c>
    </row>
    <row r="2558" spans="1:4" x14ac:dyDescent="0.2">
      <c r="A2558" s="347" t="s">
        <v>155</v>
      </c>
      <c r="B2558" s="347" t="s">
        <v>8764</v>
      </c>
      <c r="C2558" s="347" t="s">
        <v>16</v>
      </c>
      <c r="D2558" s="348" t="s">
        <v>10271</v>
      </c>
    </row>
    <row r="2559" spans="1:4" x14ac:dyDescent="0.2">
      <c r="A2559" s="334" t="s">
        <v>2106</v>
      </c>
      <c r="B2559" s="334" t="s">
        <v>8765</v>
      </c>
      <c r="C2559" s="334" t="s">
        <v>25</v>
      </c>
    </row>
    <row r="2560" spans="1:4" x14ac:dyDescent="0.2">
      <c r="A2560" s="334" t="s">
        <v>2107</v>
      </c>
      <c r="B2560" s="334" t="s">
        <v>8766</v>
      </c>
      <c r="C2560" s="334" t="s">
        <v>16</v>
      </c>
    </row>
    <row r="2561" spans="1:3" x14ac:dyDescent="0.2">
      <c r="A2561" s="334" t="s">
        <v>2108</v>
      </c>
      <c r="B2561" s="334" t="s">
        <v>8767</v>
      </c>
      <c r="C2561" s="334" t="s">
        <v>2338</v>
      </c>
    </row>
    <row r="2562" spans="1:3" x14ac:dyDescent="0.2">
      <c r="A2562" s="334" t="s">
        <v>2109</v>
      </c>
      <c r="B2562" s="334" t="s">
        <v>8768</v>
      </c>
      <c r="C2562" s="334" t="s">
        <v>16</v>
      </c>
    </row>
    <row r="2563" spans="1:3" x14ac:dyDescent="0.2">
      <c r="A2563" s="334" t="s">
        <v>2110</v>
      </c>
      <c r="B2563" s="334" t="s">
        <v>8769</v>
      </c>
      <c r="C2563" s="334" t="s">
        <v>16</v>
      </c>
    </row>
    <row r="2564" spans="1:3" x14ac:dyDescent="0.2">
      <c r="A2564" s="334" t="s">
        <v>2111</v>
      </c>
      <c r="B2564" s="334" t="s">
        <v>8770</v>
      </c>
      <c r="C2564" s="334" t="s">
        <v>25</v>
      </c>
    </row>
    <row r="2565" spans="1:3" x14ac:dyDescent="0.2">
      <c r="A2565" s="334" t="s">
        <v>2112</v>
      </c>
      <c r="B2565" s="334" t="s">
        <v>8771</v>
      </c>
      <c r="C2565" s="334" t="s">
        <v>25</v>
      </c>
    </row>
    <row r="2566" spans="1:3" x14ac:dyDescent="0.2">
      <c r="A2566" s="334" t="s">
        <v>2113</v>
      </c>
      <c r="B2566" s="334" t="s">
        <v>8772</v>
      </c>
      <c r="C2566" s="334" t="s">
        <v>16</v>
      </c>
    </row>
    <row r="2567" spans="1:3" x14ac:dyDescent="0.2">
      <c r="A2567" s="334" t="s">
        <v>5840</v>
      </c>
      <c r="B2567" s="334" t="s">
        <v>8773</v>
      </c>
      <c r="C2567" s="334" t="s">
        <v>2338</v>
      </c>
    </row>
    <row r="2568" spans="1:3" x14ac:dyDescent="0.2">
      <c r="A2568" s="334" t="s">
        <v>5841</v>
      </c>
      <c r="B2568" s="334" t="s">
        <v>5842</v>
      </c>
      <c r="C2568" s="334" t="s">
        <v>2338</v>
      </c>
    </row>
    <row r="2569" spans="1:3" x14ac:dyDescent="0.2">
      <c r="A2569" s="334" t="s">
        <v>5843</v>
      </c>
      <c r="B2569" s="334" t="s">
        <v>8774</v>
      </c>
      <c r="C2569" s="334" t="s">
        <v>2338</v>
      </c>
    </row>
    <row r="2570" spans="1:3" x14ac:dyDescent="0.2">
      <c r="A2570" s="334" t="s">
        <v>5844</v>
      </c>
      <c r="B2570" s="334" t="s">
        <v>8775</v>
      </c>
      <c r="C2570" s="334" t="s">
        <v>2338</v>
      </c>
    </row>
    <row r="2571" spans="1:3" x14ac:dyDescent="0.2">
      <c r="A2571" s="334" t="s">
        <v>5845</v>
      </c>
      <c r="B2571" s="334" t="s">
        <v>8776</v>
      </c>
      <c r="C2571" s="334" t="s">
        <v>2338</v>
      </c>
    </row>
    <row r="2572" spans="1:3" x14ac:dyDescent="0.2">
      <c r="A2572" s="334" t="s">
        <v>5846</v>
      </c>
      <c r="B2572" s="334" t="s">
        <v>8777</v>
      </c>
      <c r="C2572" s="334" t="s">
        <v>2338</v>
      </c>
    </row>
    <row r="2573" spans="1:3" x14ac:dyDescent="0.2">
      <c r="A2573" s="334" t="s">
        <v>5847</v>
      </c>
      <c r="B2573" s="334" t="s">
        <v>8778</v>
      </c>
      <c r="C2573" s="334" t="s">
        <v>2338</v>
      </c>
    </row>
    <row r="2574" spans="1:3" x14ac:dyDescent="0.2">
      <c r="A2574" s="334" t="s">
        <v>5848</v>
      </c>
      <c r="B2574" s="334" t="s">
        <v>8779</v>
      </c>
      <c r="C2574" s="334" t="s">
        <v>2338</v>
      </c>
    </row>
    <row r="2575" spans="1:3" x14ac:dyDescent="0.2">
      <c r="A2575" s="334" t="s">
        <v>5849</v>
      </c>
      <c r="B2575" s="334" t="s">
        <v>5850</v>
      </c>
      <c r="C2575" s="334" t="s">
        <v>2338</v>
      </c>
    </row>
    <row r="2576" spans="1:3" x14ac:dyDescent="0.2">
      <c r="A2576" s="334" t="s">
        <v>2114</v>
      </c>
      <c r="B2576" s="334" t="s">
        <v>8780</v>
      </c>
      <c r="C2576" s="334" t="s">
        <v>16</v>
      </c>
    </row>
    <row r="2577" spans="1:4" x14ac:dyDescent="0.2">
      <c r="A2577" s="334" t="s">
        <v>2115</v>
      </c>
      <c r="B2577" s="334" t="s">
        <v>8781</v>
      </c>
      <c r="C2577" s="334" t="s">
        <v>16</v>
      </c>
    </row>
    <row r="2578" spans="1:4" x14ac:dyDescent="0.2">
      <c r="A2578" s="334" t="s">
        <v>2116</v>
      </c>
      <c r="B2578" s="334" t="s">
        <v>8782</v>
      </c>
      <c r="C2578" s="334" t="s">
        <v>2338</v>
      </c>
    </row>
    <row r="2579" spans="1:4" x14ac:dyDescent="0.2">
      <c r="A2579" s="334" t="s">
        <v>2117</v>
      </c>
      <c r="B2579" s="334" t="s">
        <v>8783</v>
      </c>
      <c r="C2579" s="334" t="s">
        <v>16</v>
      </c>
    </row>
    <row r="2580" spans="1:4" x14ac:dyDescent="0.2">
      <c r="A2580" s="334" t="s">
        <v>2118</v>
      </c>
      <c r="B2580" s="334" t="s">
        <v>8784</v>
      </c>
      <c r="C2580" s="334" t="s">
        <v>16</v>
      </c>
    </row>
    <row r="2581" spans="1:4" x14ac:dyDescent="0.2">
      <c r="A2581" s="334" t="s">
        <v>2119</v>
      </c>
      <c r="B2581" s="334" t="s">
        <v>8785</v>
      </c>
      <c r="C2581" s="334" t="s">
        <v>16</v>
      </c>
    </row>
    <row r="2582" spans="1:4" x14ac:dyDescent="0.2">
      <c r="A2582" s="347" t="s">
        <v>2120</v>
      </c>
      <c r="B2582" s="347" t="s">
        <v>5851</v>
      </c>
      <c r="C2582" s="347" t="s">
        <v>2338</v>
      </c>
      <c r="D2582" s="348" t="s">
        <v>10271</v>
      </c>
    </row>
    <row r="2583" spans="1:4" x14ac:dyDescent="0.2">
      <c r="A2583" s="334" t="s">
        <v>5852</v>
      </c>
      <c r="B2583" s="334" t="s">
        <v>8786</v>
      </c>
      <c r="C2583" s="334" t="s">
        <v>2338</v>
      </c>
    </row>
    <row r="2584" spans="1:4" x14ac:dyDescent="0.2">
      <c r="A2584" s="334" t="s">
        <v>5853</v>
      </c>
      <c r="B2584" s="334" t="s">
        <v>8787</v>
      </c>
      <c r="C2584" s="334" t="s">
        <v>2338</v>
      </c>
    </row>
    <row r="2585" spans="1:4" x14ac:dyDescent="0.2">
      <c r="A2585" s="347" t="s">
        <v>298</v>
      </c>
      <c r="B2585" s="347" t="s">
        <v>8788</v>
      </c>
      <c r="C2585" s="347" t="s">
        <v>11</v>
      </c>
      <c r="D2585" s="348" t="s">
        <v>10271</v>
      </c>
    </row>
    <row r="2586" spans="1:4" x14ac:dyDescent="0.2">
      <c r="A2586" s="347" t="s">
        <v>158</v>
      </c>
      <c r="B2586" s="347" t="s">
        <v>8789</v>
      </c>
      <c r="C2586" s="347" t="s">
        <v>11</v>
      </c>
      <c r="D2586" s="348" t="s">
        <v>10271</v>
      </c>
    </row>
    <row r="2587" spans="1:4" x14ac:dyDescent="0.2">
      <c r="A2587" s="347" t="s">
        <v>299</v>
      </c>
      <c r="B2587" s="347" t="s">
        <v>8790</v>
      </c>
      <c r="C2587" s="347" t="s">
        <v>11</v>
      </c>
      <c r="D2587" s="348" t="s">
        <v>10271</v>
      </c>
    </row>
    <row r="2588" spans="1:4" x14ac:dyDescent="0.2">
      <c r="A2588" s="347" t="s">
        <v>300</v>
      </c>
      <c r="B2588" s="347" t="s">
        <v>8791</v>
      </c>
      <c r="C2588" s="347" t="s">
        <v>11</v>
      </c>
      <c r="D2588" s="348" t="s">
        <v>10271</v>
      </c>
    </row>
    <row r="2589" spans="1:4" x14ac:dyDescent="0.2">
      <c r="A2589" s="347" t="s">
        <v>301</v>
      </c>
      <c r="B2589" s="347" t="s">
        <v>8792</v>
      </c>
      <c r="C2589" s="347" t="s">
        <v>11</v>
      </c>
      <c r="D2589" s="348" t="s">
        <v>10271</v>
      </c>
    </row>
    <row r="2590" spans="1:4" x14ac:dyDescent="0.2">
      <c r="A2590" s="347" t="s">
        <v>302</v>
      </c>
      <c r="B2590" s="347" t="s">
        <v>8793</v>
      </c>
      <c r="C2590" s="347" t="s">
        <v>11</v>
      </c>
      <c r="D2590" s="348" t="s">
        <v>10271</v>
      </c>
    </row>
    <row r="2591" spans="1:4" x14ac:dyDescent="0.2">
      <c r="A2591" s="347" t="s">
        <v>303</v>
      </c>
      <c r="B2591" s="347" t="s">
        <v>8794</v>
      </c>
      <c r="C2591" s="347" t="s">
        <v>11</v>
      </c>
      <c r="D2591" s="348" t="s">
        <v>10271</v>
      </c>
    </row>
    <row r="2592" spans="1:4" x14ac:dyDescent="0.2">
      <c r="A2592" s="334" t="s">
        <v>304</v>
      </c>
      <c r="B2592" s="334" t="s">
        <v>8795</v>
      </c>
      <c r="C2592" s="334" t="s">
        <v>11</v>
      </c>
    </row>
    <row r="2593" spans="1:3" x14ac:dyDescent="0.2">
      <c r="A2593" s="334" t="s">
        <v>305</v>
      </c>
      <c r="B2593" s="334" t="s">
        <v>8796</v>
      </c>
      <c r="C2593" s="334" t="s">
        <v>11</v>
      </c>
    </row>
    <row r="2594" spans="1:3" x14ac:dyDescent="0.2">
      <c r="A2594" s="334" t="s">
        <v>306</v>
      </c>
      <c r="B2594" s="334" t="s">
        <v>8797</v>
      </c>
      <c r="C2594" s="334" t="s">
        <v>11</v>
      </c>
    </row>
    <row r="2595" spans="1:3" x14ac:dyDescent="0.2">
      <c r="A2595" s="334" t="s">
        <v>307</v>
      </c>
      <c r="B2595" s="334" t="s">
        <v>8798</v>
      </c>
      <c r="C2595" s="334" t="s">
        <v>11</v>
      </c>
    </row>
    <row r="2596" spans="1:3" x14ac:dyDescent="0.2">
      <c r="A2596" s="334" t="s">
        <v>308</v>
      </c>
      <c r="B2596" s="334" t="s">
        <v>8799</v>
      </c>
      <c r="C2596" s="334" t="s">
        <v>11</v>
      </c>
    </row>
    <row r="2597" spans="1:3" x14ac:dyDescent="0.2">
      <c r="A2597" s="334" t="s">
        <v>309</v>
      </c>
      <c r="B2597" s="334" t="s">
        <v>8800</v>
      </c>
      <c r="C2597" s="334" t="s">
        <v>11</v>
      </c>
    </row>
    <row r="2598" spans="1:3" x14ac:dyDescent="0.2">
      <c r="A2598" s="334" t="s">
        <v>310</v>
      </c>
      <c r="B2598" s="334" t="s">
        <v>8801</v>
      </c>
      <c r="C2598" s="334" t="s">
        <v>11</v>
      </c>
    </row>
    <row r="2599" spans="1:3" x14ac:dyDescent="0.2">
      <c r="A2599" s="334" t="s">
        <v>311</v>
      </c>
      <c r="B2599" s="334" t="s">
        <v>8802</v>
      </c>
      <c r="C2599" s="334" t="s">
        <v>11</v>
      </c>
    </row>
    <row r="2600" spans="1:3" x14ac:dyDescent="0.2">
      <c r="A2600" s="334" t="s">
        <v>312</v>
      </c>
      <c r="B2600" s="334" t="s">
        <v>8803</v>
      </c>
      <c r="C2600" s="334" t="s">
        <v>11</v>
      </c>
    </row>
    <row r="2601" spans="1:3" x14ac:dyDescent="0.2">
      <c r="A2601" s="334" t="s">
        <v>313</v>
      </c>
      <c r="B2601" s="334" t="s">
        <v>8804</v>
      </c>
      <c r="C2601" s="334" t="s">
        <v>11</v>
      </c>
    </row>
    <row r="2602" spans="1:3" x14ac:dyDescent="0.2">
      <c r="A2602" s="334" t="s">
        <v>314</v>
      </c>
      <c r="B2602" s="334" t="s">
        <v>8805</v>
      </c>
      <c r="C2602" s="334" t="s">
        <v>11</v>
      </c>
    </row>
    <row r="2603" spans="1:3" x14ac:dyDescent="0.2">
      <c r="A2603" s="334" t="s">
        <v>315</v>
      </c>
      <c r="B2603" s="334" t="s">
        <v>8806</v>
      </c>
      <c r="C2603" s="334" t="s">
        <v>11</v>
      </c>
    </row>
    <row r="2604" spans="1:3" x14ac:dyDescent="0.2">
      <c r="A2604" s="334" t="s">
        <v>316</v>
      </c>
      <c r="B2604" s="334" t="s">
        <v>8807</v>
      </c>
      <c r="C2604" s="334" t="s">
        <v>11</v>
      </c>
    </row>
    <row r="2605" spans="1:3" x14ac:dyDescent="0.2">
      <c r="A2605" s="334" t="s">
        <v>185</v>
      </c>
      <c r="B2605" s="334" t="s">
        <v>8808</v>
      </c>
      <c r="C2605" s="334" t="s">
        <v>11</v>
      </c>
    </row>
    <row r="2606" spans="1:3" x14ac:dyDescent="0.2">
      <c r="A2606" s="334" t="s">
        <v>317</v>
      </c>
      <c r="B2606" s="334" t="s">
        <v>8809</v>
      </c>
      <c r="C2606" s="334" t="s">
        <v>11</v>
      </c>
    </row>
    <row r="2607" spans="1:3" x14ac:dyDescent="0.2">
      <c r="A2607" s="334" t="s">
        <v>318</v>
      </c>
      <c r="B2607" s="334" t="s">
        <v>8810</v>
      </c>
      <c r="C2607" s="334" t="s">
        <v>11</v>
      </c>
    </row>
    <row r="2608" spans="1:3" x14ac:dyDescent="0.2">
      <c r="A2608" s="334" t="s">
        <v>319</v>
      </c>
      <c r="B2608" s="334" t="s">
        <v>8811</v>
      </c>
      <c r="C2608" s="334" t="s">
        <v>11</v>
      </c>
    </row>
    <row r="2609" spans="1:3" x14ac:dyDescent="0.2">
      <c r="A2609" s="334" t="s">
        <v>320</v>
      </c>
      <c r="B2609" s="334" t="s">
        <v>8812</v>
      </c>
      <c r="C2609" s="334" t="s">
        <v>11</v>
      </c>
    </row>
    <row r="2610" spans="1:3" x14ac:dyDescent="0.2">
      <c r="A2610" s="334" t="s">
        <v>321</v>
      </c>
      <c r="B2610" s="334" t="s">
        <v>8813</v>
      </c>
      <c r="C2610" s="334" t="s">
        <v>11</v>
      </c>
    </row>
    <row r="2611" spans="1:3" x14ac:dyDescent="0.2">
      <c r="A2611" s="334" t="s">
        <v>322</v>
      </c>
      <c r="B2611" s="334" t="s">
        <v>8814</v>
      </c>
      <c r="C2611" s="334" t="s">
        <v>11</v>
      </c>
    </row>
    <row r="2612" spans="1:3" x14ac:dyDescent="0.2">
      <c r="A2612" s="334" t="s">
        <v>323</v>
      </c>
      <c r="B2612" s="334" t="s">
        <v>8815</v>
      </c>
      <c r="C2612" s="334" t="s">
        <v>11</v>
      </c>
    </row>
    <row r="2613" spans="1:3" x14ac:dyDescent="0.2">
      <c r="A2613" s="334" t="s">
        <v>324</v>
      </c>
      <c r="B2613" s="334" t="s">
        <v>8816</v>
      </c>
      <c r="C2613" s="334" t="s">
        <v>11</v>
      </c>
    </row>
    <row r="2614" spans="1:3" x14ac:dyDescent="0.2">
      <c r="A2614" s="334" t="s">
        <v>325</v>
      </c>
      <c r="B2614" s="334" t="s">
        <v>8817</v>
      </c>
      <c r="C2614" s="334" t="s">
        <v>11</v>
      </c>
    </row>
    <row r="2615" spans="1:3" x14ac:dyDescent="0.2">
      <c r="A2615" s="334" t="s">
        <v>326</v>
      </c>
      <c r="B2615" s="334" t="s">
        <v>8818</v>
      </c>
      <c r="C2615" s="334" t="s">
        <v>11</v>
      </c>
    </row>
    <row r="2616" spans="1:3" x14ac:dyDescent="0.2">
      <c r="A2616" s="334" t="s">
        <v>327</v>
      </c>
      <c r="B2616" s="334" t="s">
        <v>8819</v>
      </c>
      <c r="C2616" s="334" t="s">
        <v>11</v>
      </c>
    </row>
    <row r="2617" spans="1:3" x14ac:dyDescent="0.2">
      <c r="A2617" s="334" t="s">
        <v>328</v>
      </c>
      <c r="B2617" s="334" t="s">
        <v>8820</v>
      </c>
      <c r="C2617" s="334" t="s">
        <v>11</v>
      </c>
    </row>
    <row r="2618" spans="1:3" x14ac:dyDescent="0.2">
      <c r="A2618" s="334" t="s">
        <v>329</v>
      </c>
      <c r="B2618" s="334" t="s">
        <v>8821</v>
      </c>
      <c r="C2618" s="334" t="s">
        <v>11</v>
      </c>
    </row>
    <row r="2619" spans="1:3" x14ac:dyDescent="0.2">
      <c r="A2619" s="334" t="s">
        <v>156</v>
      </c>
      <c r="B2619" s="334" t="s">
        <v>8822</v>
      </c>
      <c r="C2619" s="334" t="s">
        <v>11</v>
      </c>
    </row>
    <row r="2620" spans="1:3" x14ac:dyDescent="0.2">
      <c r="A2620" s="334" t="s">
        <v>330</v>
      </c>
      <c r="B2620" s="334" t="s">
        <v>2376</v>
      </c>
      <c r="C2620" s="334" t="s">
        <v>11</v>
      </c>
    </row>
    <row r="2621" spans="1:3" x14ac:dyDescent="0.2">
      <c r="A2621" s="334" t="s">
        <v>331</v>
      </c>
      <c r="B2621" s="334" t="s">
        <v>8823</v>
      </c>
      <c r="C2621" s="334" t="s">
        <v>11</v>
      </c>
    </row>
    <row r="2622" spans="1:3" x14ac:dyDescent="0.2">
      <c r="A2622" s="334" t="s">
        <v>332</v>
      </c>
      <c r="B2622" s="334" t="s">
        <v>8824</v>
      </c>
      <c r="C2622" s="334" t="s">
        <v>11</v>
      </c>
    </row>
    <row r="2623" spans="1:3" x14ac:dyDescent="0.2">
      <c r="A2623" s="334" t="s">
        <v>333</v>
      </c>
      <c r="B2623" s="334" t="s">
        <v>8825</v>
      </c>
      <c r="C2623" s="334" t="s">
        <v>11</v>
      </c>
    </row>
    <row r="2624" spans="1:3" x14ac:dyDescent="0.2">
      <c r="A2624" s="334" t="s">
        <v>334</v>
      </c>
      <c r="B2624" s="334" t="s">
        <v>8826</v>
      </c>
      <c r="C2624" s="334" t="s">
        <v>11</v>
      </c>
    </row>
    <row r="2625" spans="1:3" x14ac:dyDescent="0.2">
      <c r="A2625" s="334" t="s">
        <v>2122</v>
      </c>
      <c r="B2625" s="334" t="s">
        <v>8827</v>
      </c>
      <c r="C2625" s="334" t="s">
        <v>11</v>
      </c>
    </row>
    <row r="2626" spans="1:3" x14ac:dyDescent="0.2">
      <c r="A2626" s="334" t="s">
        <v>5854</v>
      </c>
      <c r="B2626" s="334" t="s">
        <v>8828</v>
      </c>
      <c r="C2626" s="334" t="s">
        <v>2338</v>
      </c>
    </row>
    <row r="2627" spans="1:3" x14ac:dyDescent="0.2">
      <c r="A2627" s="334" t="s">
        <v>433</v>
      </c>
      <c r="B2627" s="334" t="s">
        <v>8829</v>
      </c>
      <c r="C2627" s="334" t="s">
        <v>16</v>
      </c>
    </row>
    <row r="2628" spans="1:3" x14ac:dyDescent="0.2">
      <c r="A2628" s="334" t="s">
        <v>434</v>
      </c>
      <c r="B2628" s="334" t="s">
        <v>8830</v>
      </c>
      <c r="C2628" s="334" t="s">
        <v>16</v>
      </c>
    </row>
    <row r="2629" spans="1:3" x14ac:dyDescent="0.2">
      <c r="A2629" s="334" t="s">
        <v>435</v>
      </c>
      <c r="B2629" s="334" t="s">
        <v>8831</v>
      </c>
      <c r="C2629" s="334" t="s">
        <v>16</v>
      </c>
    </row>
    <row r="2630" spans="1:3" x14ac:dyDescent="0.2">
      <c r="A2630" s="334" t="s">
        <v>436</v>
      </c>
      <c r="B2630" s="334" t="s">
        <v>8832</v>
      </c>
      <c r="C2630" s="334" t="s">
        <v>11</v>
      </c>
    </row>
    <row r="2631" spans="1:3" x14ac:dyDescent="0.2">
      <c r="A2631" s="334" t="s">
        <v>437</v>
      </c>
      <c r="B2631" s="334" t="s">
        <v>8833</v>
      </c>
      <c r="C2631" s="334" t="s">
        <v>11</v>
      </c>
    </row>
    <row r="2632" spans="1:3" x14ac:dyDescent="0.2">
      <c r="A2632" s="334" t="s">
        <v>438</v>
      </c>
      <c r="B2632" s="334" t="s">
        <v>8834</v>
      </c>
      <c r="C2632" s="334" t="s">
        <v>11</v>
      </c>
    </row>
    <row r="2633" spans="1:3" x14ac:dyDescent="0.2">
      <c r="A2633" s="334" t="s">
        <v>439</v>
      </c>
      <c r="B2633" s="334" t="s">
        <v>8835</v>
      </c>
      <c r="C2633" s="334" t="s">
        <v>11</v>
      </c>
    </row>
    <row r="2634" spans="1:3" x14ac:dyDescent="0.2">
      <c r="A2634" s="334" t="s">
        <v>440</v>
      </c>
      <c r="B2634" s="334" t="s">
        <v>8836</v>
      </c>
      <c r="C2634" s="334" t="s">
        <v>11</v>
      </c>
    </row>
    <row r="2635" spans="1:3" x14ac:dyDescent="0.2">
      <c r="A2635" s="334" t="s">
        <v>441</v>
      </c>
      <c r="B2635" s="334" t="s">
        <v>8837</v>
      </c>
      <c r="C2635" s="334" t="s">
        <v>11</v>
      </c>
    </row>
    <row r="2636" spans="1:3" x14ac:dyDescent="0.2">
      <c r="A2636" s="334" t="s">
        <v>442</v>
      </c>
      <c r="B2636" s="334" t="s">
        <v>8838</v>
      </c>
      <c r="C2636" s="334" t="s">
        <v>11</v>
      </c>
    </row>
    <row r="2637" spans="1:3" x14ac:dyDescent="0.2">
      <c r="A2637" s="334" t="s">
        <v>443</v>
      </c>
      <c r="B2637" s="334" t="s">
        <v>8839</v>
      </c>
      <c r="C2637" s="334" t="s">
        <v>11</v>
      </c>
    </row>
    <row r="2638" spans="1:3" x14ac:dyDescent="0.2">
      <c r="A2638" s="334" t="s">
        <v>444</v>
      </c>
      <c r="B2638" s="334" t="s">
        <v>8840</v>
      </c>
      <c r="C2638" s="334" t="s">
        <v>11</v>
      </c>
    </row>
    <row r="2639" spans="1:3" x14ac:dyDescent="0.2">
      <c r="A2639" s="334" t="s">
        <v>445</v>
      </c>
      <c r="B2639" s="334" t="s">
        <v>8841</v>
      </c>
      <c r="C2639" s="334" t="s">
        <v>11</v>
      </c>
    </row>
    <row r="2640" spans="1:3" x14ac:dyDescent="0.2">
      <c r="A2640" s="334" t="s">
        <v>446</v>
      </c>
      <c r="B2640" s="334" t="s">
        <v>8842</v>
      </c>
      <c r="C2640" s="334" t="s">
        <v>11</v>
      </c>
    </row>
    <row r="2641" spans="1:3" x14ac:dyDescent="0.2">
      <c r="A2641" s="334" t="s">
        <v>447</v>
      </c>
      <c r="B2641" s="334" t="s">
        <v>8843</v>
      </c>
      <c r="C2641" s="334" t="s">
        <v>16</v>
      </c>
    </row>
    <row r="2642" spans="1:3" x14ac:dyDescent="0.2">
      <c r="A2642" s="334" t="s">
        <v>2123</v>
      </c>
      <c r="B2642" s="334" t="s">
        <v>8844</v>
      </c>
      <c r="C2642" s="334" t="s">
        <v>11</v>
      </c>
    </row>
    <row r="2643" spans="1:3" x14ac:dyDescent="0.2">
      <c r="A2643" s="334" t="s">
        <v>2124</v>
      </c>
      <c r="B2643" s="334" t="s">
        <v>8845</v>
      </c>
      <c r="C2643" s="334" t="s">
        <v>25</v>
      </c>
    </row>
    <row r="2644" spans="1:3" x14ac:dyDescent="0.2">
      <c r="A2644" s="334" t="s">
        <v>2125</v>
      </c>
      <c r="B2644" s="334" t="s">
        <v>8846</v>
      </c>
      <c r="C2644" s="334" t="s">
        <v>25</v>
      </c>
    </row>
    <row r="2645" spans="1:3" x14ac:dyDescent="0.2">
      <c r="A2645" s="334" t="s">
        <v>2126</v>
      </c>
      <c r="B2645" s="334" t="s">
        <v>8847</v>
      </c>
      <c r="C2645" s="334" t="s">
        <v>25</v>
      </c>
    </row>
    <row r="2646" spans="1:3" x14ac:dyDescent="0.2">
      <c r="A2646" s="334" t="s">
        <v>2127</v>
      </c>
      <c r="B2646" s="334" t="s">
        <v>8848</v>
      </c>
      <c r="C2646" s="334" t="s">
        <v>16</v>
      </c>
    </row>
    <row r="2647" spans="1:3" x14ac:dyDescent="0.2">
      <c r="A2647" s="334" t="s">
        <v>2128</v>
      </c>
      <c r="B2647" s="334" t="s">
        <v>7182</v>
      </c>
      <c r="C2647" s="334" t="s">
        <v>16</v>
      </c>
    </row>
    <row r="2648" spans="1:3" x14ac:dyDescent="0.2">
      <c r="A2648" s="334" t="s">
        <v>2129</v>
      </c>
      <c r="B2648" s="334" t="s">
        <v>8849</v>
      </c>
      <c r="C2648" s="334" t="s">
        <v>16</v>
      </c>
    </row>
    <row r="2649" spans="1:3" x14ac:dyDescent="0.2">
      <c r="A2649" s="334" t="s">
        <v>2130</v>
      </c>
      <c r="B2649" s="334" t="s">
        <v>8850</v>
      </c>
      <c r="C2649" s="334" t="s">
        <v>16</v>
      </c>
    </row>
    <row r="2650" spans="1:3" x14ac:dyDescent="0.2">
      <c r="A2650" s="334" t="s">
        <v>2131</v>
      </c>
      <c r="B2650" s="334" t="s">
        <v>8851</v>
      </c>
      <c r="C2650" s="334" t="s">
        <v>16</v>
      </c>
    </row>
    <row r="2651" spans="1:3" x14ac:dyDescent="0.2">
      <c r="A2651" s="334" t="s">
        <v>2132</v>
      </c>
      <c r="B2651" s="334" t="s">
        <v>8852</v>
      </c>
      <c r="C2651" s="334" t="s">
        <v>16</v>
      </c>
    </row>
    <row r="2652" spans="1:3" x14ac:dyDescent="0.2">
      <c r="A2652" s="334" t="s">
        <v>2133</v>
      </c>
      <c r="B2652" s="334" t="s">
        <v>8853</v>
      </c>
      <c r="C2652" s="334" t="s">
        <v>25</v>
      </c>
    </row>
    <row r="2653" spans="1:3" x14ac:dyDescent="0.2">
      <c r="A2653" s="334" t="s">
        <v>2134</v>
      </c>
      <c r="B2653" s="334" t="s">
        <v>8854</v>
      </c>
      <c r="C2653" s="334" t="s">
        <v>16</v>
      </c>
    </row>
    <row r="2654" spans="1:3" x14ac:dyDescent="0.2">
      <c r="A2654" s="334" t="s">
        <v>2135</v>
      </c>
      <c r="B2654" s="334" t="s">
        <v>8855</v>
      </c>
      <c r="C2654" s="334" t="s">
        <v>16</v>
      </c>
    </row>
    <row r="2655" spans="1:3" x14ac:dyDescent="0.2">
      <c r="A2655" s="334" t="s">
        <v>2136</v>
      </c>
      <c r="B2655" s="334" t="s">
        <v>8856</v>
      </c>
      <c r="C2655" s="334" t="s">
        <v>16</v>
      </c>
    </row>
    <row r="2656" spans="1:3" x14ac:dyDescent="0.2">
      <c r="A2656" s="334" t="s">
        <v>2137</v>
      </c>
      <c r="B2656" s="334" t="s">
        <v>8857</v>
      </c>
      <c r="C2656" s="334" t="s">
        <v>2338</v>
      </c>
    </row>
    <row r="2657" spans="1:4" x14ac:dyDescent="0.2">
      <c r="A2657" s="334" t="s">
        <v>2138</v>
      </c>
      <c r="B2657" s="334" t="s">
        <v>8858</v>
      </c>
      <c r="C2657" s="334" t="s">
        <v>16</v>
      </c>
    </row>
    <row r="2658" spans="1:4" x14ac:dyDescent="0.2">
      <c r="A2658" s="334" t="s">
        <v>5855</v>
      </c>
      <c r="B2658" s="334" t="s">
        <v>8859</v>
      </c>
      <c r="C2658" s="334" t="s">
        <v>11</v>
      </c>
    </row>
    <row r="2659" spans="1:4" x14ac:dyDescent="0.2">
      <c r="A2659" s="334" t="s">
        <v>5856</v>
      </c>
      <c r="B2659" s="334" t="s">
        <v>8860</v>
      </c>
      <c r="C2659" s="334" t="s">
        <v>11</v>
      </c>
    </row>
    <row r="2660" spans="1:4" x14ac:dyDescent="0.2">
      <c r="A2660" s="334" t="s">
        <v>5857</v>
      </c>
      <c r="B2660" s="334" t="s">
        <v>8861</v>
      </c>
      <c r="C2660" s="334" t="s">
        <v>11</v>
      </c>
    </row>
    <row r="2661" spans="1:4" x14ac:dyDescent="0.2">
      <c r="A2661" s="334" t="s">
        <v>5858</v>
      </c>
      <c r="B2661" s="334" t="s">
        <v>8862</v>
      </c>
      <c r="C2661" s="334" t="s">
        <v>11</v>
      </c>
    </row>
    <row r="2662" spans="1:4" x14ac:dyDescent="0.2">
      <c r="A2662" s="334" t="s">
        <v>5859</v>
      </c>
      <c r="B2662" s="334" t="s">
        <v>8863</v>
      </c>
      <c r="C2662" s="334" t="s">
        <v>11</v>
      </c>
    </row>
    <row r="2663" spans="1:4" x14ac:dyDescent="0.2">
      <c r="A2663" s="334" t="s">
        <v>5860</v>
      </c>
      <c r="B2663" s="334" t="s">
        <v>8864</v>
      </c>
      <c r="C2663" s="334" t="s">
        <v>11</v>
      </c>
    </row>
    <row r="2664" spans="1:4" x14ac:dyDescent="0.2">
      <c r="A2664" s="334" t="s">
        <v>2139</v>
      </c>
      <c r="B2664" s="334" t="s">
        <v>8865</v>
      </c>
      <c r="C2664" s="334" t="s">
        <v>11</v>
      </c>
    </row>
    <row r="2665" spans="1:4" x14ac:dyDescent="0.2">
      <c r="A2665" s="334" t="s">
        <v>5861</v>
      </c>
      <c r="B2665" s="334" t="s">
        <v>8866</v>
      </c>
      <c r="C2665" s="334" t="s">
        <v>11</v>
      </c>
    </row>
    <row r="2666" spans="1:4" x14ac:dyDescent="0.2">
      <c r="A2666" s="334" t="s">
        <v>2140</v>
      </c>
      <c r="B2666" s="334" t="s">
        <v>8867</v>
      </c>
      <c r="C2666" s="334" t="s">
        <v>11</v>
      </c>
    </row>
    <row r="2667" spans="1:4" x14ac:dyDescent="0.2">
      <c r="A2667" s="334" t="s">
        <v>2141</v>
      </c>
      <c r="B2667" s="334" t="s">
        <v>8868</v>
      </c>
      <c r="C2667" s="334" t="s">
        <v>11</v>
      </c>
    </row>
    <row r="2668" spans="1:4" x14ac:dyDescent="0.2">
      <c r="A2668" s="334" t="s">
        <v>2142</v>
      </c>
      <c r="B2668" s="334" t="s">
        <v>5862</v>
      </c>
      <c r="C2668" s="334" t="s">
        <v>2338</v>
      </c>
    </row>
    <row r="2669" spans="1:4" x14ac:dyDescent="0.2">
      <c r="A2669" s="347" t="s">
        <v>335</v>
      </c>
      <c r="B2669" s="347" t="s">
        <v>8869</v>
      </c>
      <c r="C2669" s="347" t="s">
        <v>25</v>
      </c>
      <c r="D2669" s="348" t="s">
        <v>10271</v>
      </c>
    </row>
    <row r="2670" spans="1:4" x14ac:dyDescent="0.2">
      <c r="A2670" s="334" t="s">
        <v>2143</v>
      </c>
      <c r="B2670" s="334" t="s">
        <v>8870</v>
      </c>
      <c r="C2670" s="334" t="s">
        <v>11</v>
      </c>
    </row>
    <row r="2671" spans="1:4" x14ac:dyDescent="0.2">
      <c r="A2671" s="334" t="s">
        <v>2144</v>
      </c>
      <c r="B2671" s="334" t="s">
        <v>8871</v>
      </c>
      <c r="C2671" s="334" t="s">
        <v>11</v>
      </c>
    </row>
    <row r="2672" spans="1:4" x14ac:dyDescent="0.2">
      <c r="A2672" s="334" t="s">
        <v>337</v>
      </c>
      <c r="B2672" s="334" t="s">
        <v>8872</v>
      </c>
      <c r="C2672" s="334" t="s">
        <v>11</v>
      </c>
    </row>
    <row r="2673" spans="1:4" x14ac:dyDescent="0.2">
      <c r="A2673" s="334" t="s">
        <v>338</v>
      </c>
      <c r="B2673" s="334" t="s">
        <v>8873</v>
      </c>
      <c r="C2673" s="334" t="s">
        <v>11</v>
      </c>
    </row>
    <row r="2674" spans="1:4" x14ac:dyDescent="0.2">
      <c r="A2674" s="347" t="s">
        <v>336</v>
      </c>
      <c r="B2674" s="347" t="s">
        <v>8874</v>
      </c>
      <c r="C2674" s="347" t="s">
        <v>25</v>
      </c>
      <c r="D2674" s="348" t="s">
        <v>10271</v>
      </c>
    </row>
    <row r="2675" spans="1:4" x14ac:dyDescent="0.2">
      <c r="A2675" s="334" t="s">
        <v>339</v>
      </c>
      <c r="B2675" s="334" t="s">
        <v>8875</v>
      </c>
      <c r="C2675" s="334" t="s">
        <v>11</v>
      </c>
    </row>
    <row r="2676" spans="1:4" x14ac:dyDescent="0.2">
      <c r="A2676" s="334" t="s">
        <v>340</v>
      </c>
      <c r="B2676" s="334" t="s">
        <v>8876</v>
      </c>
      <c r="C2676" s="334" t="s">
        <v>11</v>
      </c>
    </row>
    <row r="2677" spans="1:4" x14ac:dyDescent="0.2">
      <c r="A2677" s="334" t="s">
        <v>498</v>
      </c>
      <c r="B2677" s="334" t="s">
        <v>8877</v>
      </c>
      <c r="C2677" s="334" t="s">
        <v>11</v>
      </c>
    </row>
    <row r="2678" spans="1:4" x14ac:dyDescent="0.2">
      <c r="A2678" s="347" t="s">
        <v>494</v>
      </c>
      <c r="B2678" s="347" t="s">
        <v>2902</v>
      </c>
      <c r="C2678" s="347" t="s">
        <v>2338</v>
      </c>
      <c r="D2678" s="348" t="s">
        <v>10271</v>
      </c>
    </row>
    <row r="2679" spans="1:4" x14ac:dyDescent="0.2">
      <c r="A2679" s="334" t="s">
        <v>398</v>
      </c>
      <c r="B2679" s="334" t="s">
        <v>8878</v>
      </c>
      <c r="C2679" s="334" t="s">
        <v>11</v>
      </c>
    </row>
    <row r="2680" spans="1:4" x14ac:dyDescent="0.2">
      <c r="A2680" s="334" t="s">
        <v>399</v>
      </c>
      <c r="B2680" s="334" t="s">
        <v>8879</v>
      </c>
      <c r="C2680" s="334" t="s">
        <v>11</v>
      </c>
    </row>
    <row r="2681" spans="1:4" x14ac:dyDescent="0.2">
      <c r="A2681" s="334" t="s">
        <v>179</v>
      </c>
      <c r="B2681" s="334" t="s">
        <v>8880</v>
      </c>
      <c r="C2681" s="334" t="s">
        <v>25</v>
      </c>
    </row>
    <row r="2682" spans="1:4" x14ac:dyDescent="0.2">
      <c r="A2682" s="347" t="s">
        <v>214</v>
      </c>
      <c r="B2682" s="347" t="s">
        <v>2995</v>
      </c>
      <c r="C2682" s="347" t="s">
        <v>16</v>
      </c>
      <c r="D2682" s="348" t="s">
        <v>10271</v>
      </c>
    </row>
    <row r="2683" spans="1:4" x14ac:dyDescent="0.2">
      <c r="A2683" s="347" t="s">
        <v>345</v>
      </c>
      <c r="B2683" s="347" t="s">
        <v>8881</v>
      </c>
      <c r="C2683" s="347" t="s">
        <v>2338</v>
      </c>
      <c r="D2683" s="348" t="s">
        <v>10271</v>
      </c>
    </row>
    <row r="2684" spans="1:4" x14ac:dyDescent="0.2">
      <c r="A2684" s="347" t="s">
        <v>499</v>
      </c>
      <c r="B2684" s="347" t="s">
        <v>8882</v>
      </c>
      <c r="C2684" s="347" t="s">
        <v>2338</v>
      </c>
      <c r="D2684" s="348" t="s">
        <v>10271</v>
      </c>
    </row>
    <row r="2685" spans="1:4" x14ac:dyDescent="0.2">
      <c r="A2685" s="334" t="s">
        <v>5863</v>
      </c>
      <c r="B2685" s="334" t="s">
        <v>5864</v>
      </c>
      <c r="C2685" s="334" t="s">
        <v>2338</v>
      </c>
    </row>
    <row r="2686" spans="1:4" x14ac:dyDescent="0.2">
      <c r="A2686" s="347" t="s">
        <v>171</v>
      </c>
      <c r="B2686" s="347" t="s">
        <v>2871</v>
      </c>
      <c r="C2686" s="347" t="s">
        <v>25</v>
      </c>
      <c r="D2686" s="348" t="s">
        <v>10271</v>
      </c>
    </row>
    <row r="2687" spans="1:4" x14ac:dyDescent="0.2">
      <c r="A2687" s="347" t="s">
        <v>500</v>
      </c>
      <c r="B2687" s="347" t="s">
        <v>2913</v>
      </c>
      <c r="C2687" s="347" t="s">
        <v>2338</v>
      </c>
      <c r="D2687" s="348" t="s">
        <v>10271</v>
      </c>
    </row>
    <row r="2688" spans="1:4" x14ac:dyDescent="0.2">
      <c r="A2688" s="334" t="s">
        <v>501</v>
      </c>
      <c r="B2688" s="334" t="s">
        <v>8883</v>
      </c>
      <c r="C2688" s="334" t="s">
        <v>11</v>
      </c>
    </row>
    <row r="2689" spans="1:3" x14ac:dyDescent="0.2">
      <c r="A2689" s="334" t="s">
        <v>5865</v>
      </c>
      <c r="B2689" s="334" t="s">
        <v>8884</v>
      </c>
      <c r="C2689" s="334" t="s">
        <v>2338</v>
      </c>
    </row>
    <row r="2690" spans="1:3" x14ac:dyDescent="0.2">
      <c r="A2690" s="334" t="s">
        <v>2145</v>
      </c>
      <c r="B2690" s="334" t="s">
        <v>8885</v>
      </c>
      <c r="C2690" s="334" t="s">
        <v>11</v>
      </c>
    </row>
    <row r="2691" spans="1:3" x14ac:dyDescent="0.2">
      <c r="A2691" s="334" t="s">
        <v>2146</v>
      </c>
      <c r="B2691" s="334" t="s">
        <v>8886</v>
      </c>
      <c r="C2691" s="334" t="s">
        <v>11</v>
      </c>
    </row>
    <row r="2692" spans="1:3" x14ac:dyDescent="0.2">
      <c r="A2692" s="334" t="s">
        <v>2147</v>
      </c>
      <c r="B2692" s="334" t="s">
        <v>8887</v>
      </c>
      <c r="C2692" s="334" t="s">
        <v>11</v>
      </c>
    </row>
    <row r="2693" spans="1:3" x14ac:dyDescent="0.2">
      <c r="A2693" s="334" t="s">
        <v>2148</v>
      </c>
      <c r="B2693" s="334" t="s">
        <v>8888</v>
      </c>
      <c r="C2693" s="334" t="s">
        <v>11</v>
      </c>
    </row>
    <row r="2694" spans="1:3" x14ac:dyDescent="0.2">
      <c r="A2694" s="334" t="s">
        <v>2149</v>
      </c>
      <c r="B2694" s="334" t="s">
        <v>8889</v>
      </c>
      <c r="C2694" s="334" t="s">
        <v>11</v>
      </c>
    </row>
    <row r="2695" spans="1:3" x14ac:dyDescent="0.2">
      <c r="A2695" s="334" t="s">
        <v>2150</v>
      </c>
      <c r="B2695" s="334" t="s">
        <v>8890</v>
      </c>
      <c r="C2695" s="334" t="s">
        <v>11</v>
      </c>
    </row>
    <row r="2696" spans="1:3" x14ac:dyDescent="0.2">
      <c r="A2696" s="334" t="s">
        <v>2151</v>
      </c>
      <c r="B2696" s="334" t="s">
        <v>8891</v>
      </c>
      <c r="C2696" s="334" t="s">
        <v>11</v>
      </c>
    </row>
    <row r="2697" spans="1:3" x14ac:dyDescent="0.2">
      <c r="A2697" s="334" t="s">
        <v>2152</v>
      </c>
      <c r="B2697" s="334" t="s">
        <v>8892</v>
      </c>
      <c r="C2697" s="334" t="s">
        <v>7423</v>
      </c>
    </row>
    <row r="2698" spans="1:3" x14ac:dyDescent="0.2">
      <c r="A2698" s="334" t="s">
        <v>2153</v>
      </c>
      <c r="B2698" s="334" t="s">
        <v>8893</v>
      </c>
      <c r="C2698" s="334" t="s">
        <v>11</v>
      </c>
    </row>
    <row r="2699" spans="1:3" x14ac:dyDescent="0.2">
      <c r="A2699" s="334" t="s">
        <v>5866</v>
      </c>
      <c r="B2699" s="334" t="s">
        <v>2604</v>
      </c>
      <c r="C2699" s="334" t="s">
        <v>11</v>
      </c>
    </row>
    <row r="2700" spans="1:3" x14ac:dyDescent="0.2">
      <c r="A2700" s="334" t="s">
        <v>5867</v>
      </c>
      <c r="B2700" s="334" t="s">
        <v>8894</v>
      </c>
      <c r="C2700" s="334" t="s">
        <v>11</v>
      </c>
    </row>
    <row r="2701" spans="1:3" x14ac:dyDescent="0.2">
      <c r="A2701" s="334" t="s">
        <v>5868</v>
      </c>
      <c r="B2701" s="334" t="s">
        <v>8895</v>
      </c>
      <c r="C2701" s="334" t="s">
        <v>11</v>
      </c>
    </row>
    <row r="2702" spans="1:3" x14ac:dyDescent="0.2">
      <c r="A2702" s="334" t="s">
        <v>5869</v>
      </c>
      <c r="B2702" s="334" t="s">
        <v>8896</v>
      </c>
      <c r="C2702" s="334" t="s">
        <v>11</v>
      </c>
    </row>
    <row r="2703" spans="1:3" x14ac:dyDescent="0.2">
      <c r="A2703" s="334" t="s">
        <v>5870</v>
      </c>
      <c r="B2703" s="334" t="s">
        <v>8897</v>
      </c>
      <c r="C2703" s="334" t="s">
        <v>11</v>
      </c>
    </row>
    <row r="2704" spans="1:3" x14ac:dyDescent="0.2">
      <c r="A2704" s="334" t="s">
        <v>5871</v>
      </c>
      <c r="B2704" s="334" t="s">
        <v>8898</v>
      </c>
      <c r="C2704" s="334" t="s">
        <v>11</v>
      </c>
    </row>
    <row r="2705" spans="1:3" x14ac:dyDescent="0.2">
      <c r="A2705" s="334" t="s">
        <v>5872</v>
      </c>
      <c r="B2705" s="334" t="s">
        <v>8899</v>
      </c>
      <c r="C2705" s="334" t="s">
        <v>11</v>
      </c>
    </row>
    <row r="2706" spans="1:3" x14ac:dyDescent="0.2">
      <c r="A2706" s="334" t="s">
        <v>5873</v>
      </c>
      <c r="B2706" s="334" t="s">
        <v>8900</v>
      </c>
      <c r="C2706" s="334" t="s">
        <v>11</v>
      </c>
    </row>
    <row r="2707" spans="1:3" x14ac:dyDescent="0.2">
      <c r="A2707" s="334" t="s">
        <v>5874</v>
      </c>
      <c r="B2707" s="334" t="s">
        <v>8901</v>
      </c>
      <c r="C2707" s="334" t="s">
        <v>11</v>
      </c>
    </row>
    <row r="2708" spans="1:3" x14ac:dyDescent="0.2">
      <c r="A2708" s="334" t="s">
        <v>5875</v>
      </c>
      <c r="B2708" s="334" t="s">
        <v>8902</v>
      </c>
      <c r="C2708" s="334" t="s">
        <v>11</v>
      </c>
    </row>
    <row r="2709" spans="1:3" x14ac:dyDescent="0.2">
      <c r="A2709" s="334" t="s">
        <v>5876</v>
      </c>
      <c r="B2709" s="334" t="s">
        <v>5877</v>
      </c>
      <c r="C2709" s="334" t="s">
        <v>2338</v>
      </c>
    </row>
    <row r="2710" spans="1:3" x14ac:dyDescent="0.2">
      <c r="A2710" s="334" t="s">
        <v>5878</v>
      </c>
      <c r="B2710" s="334" t="s">
        <v>5879</v>
      </c>
      <c r="C2710" s="334" t="s">
        <v>2338</v>
      </c>
    </row>
    <row r="2711" spans="1:3" x14ac:dyDescent="0.2">
      <c r="A2711" s="334" t="s">
        <v>5880</v>
      </c>
      <c r="B2711" s="334" t="s">
        <v>5881</v>
      </c>
      <c r="C2711" s="334" t="s">
        <v>2338</v>
      </c>
    </row>
    <row r="2712" spans="1:3" x14ac:dyDescent="0.2">
      <c r="A2712" s="334" t="s">
        <v>5882</v>
      </c>
      <c r="B2712" s="334" t="s">
        <v>5883</v>
      </c>
      <c r="C2712" s="334" t="s">
        <v>2338</v>
      </c>
    </row>
    <row r="2713" spans="1:3" x14ac:dyDescent="0.2">
      <c r="A2713" s="334" t="s">
        <v>5884</v>
      </c>
      <c r="B2713" s="334" t="s">
        <v>5885</v>
      </c>
      <c r="C2713" s="334" t="s">
        <v>2338</v>
      </c>
    </row>
    <row r="2714" spans="1:3" x14ac:dyDescent="0.2">
      <c r="A2714" s="334" t="s">
        <v>5886</v>
      </c>
      <c r="B2714" s="334" t="s">
        <v>7184</v>
      </c>
      <c r="C2714" s="334" t="s">
        <v>11</v>
      </c>
    </row>
    <row r="2715" spans="1:3" x14ac:dyDescent="0.2">
      <c r="A2715" s="334" t="s">
        <v>5887</v>
      </c>
      <c r="B2715" s="334" t="s">
        <v>7185</v>
      </c>
      <c r="C2715" s="334" t="s">
        <v>11</v>
      </c>
    </row>
    <row r="2716" spans="1:3" x14ac:dyDescent="0.2">
      <c r="A2716" s="334" t="s">
        <v>5888</v>
      </c>
      <c r="B2716" s="334" t="s">
        <v>7186</v>
      </c>
      <c r="C2716" s="334" t="s">
        <v>11</v>
      </c>
    </row>
    <row r="2717" spans="1:3" x14ac:dyDescent="0.2">
      <c r="A2717" s="334" t="s">
        <v>5889</v>
      </c>
      <c r="B2717" s="334" t="s">
        <v>7187</v>
      </c>
      <c r="C2717" s="334" t="s">
        <v>11</v>
      </c>
    </row>
    <row r="2718" spans="1:3" x14ac:dyDescent="0.2">
      <c r="A2718" s="334" t="s">
        <v>5890</v>
      </c>
      <c r="B2718" s="334" t="s">
        <v>7188</v>
      </c>
      <c r="C2718" s="334" t="s">
        <v>11</v>
      </c>
    </row>
    <row r="2719" spans="1:3" x14ac:dyDescent="0.2">
      <c r="A2719" s="334" t="s">
        <v>5891</v>
      </c>
      <c r="B2719" s="334" t="s">
        <v>7189</v>
      </c>
      <c r="C2719" s="334" t="s">
        <v>11</v>
      </c>
    </row>
    <row r="2720" spans="1:3" x14ac:dyDescent="0.2">
      <c r="A2720" s="334" t="s">
        <v>2154</v>
      </c>
      <c r="B2720" s="334" t="s">
        <v>8903</v>
      </c>
      <c r="C2720" s="334" t="s">
        <v>11</v>
      </c>
    </row>
    <row r="2721" spans="1:3" x14ac:dyDescent="0.2">
      <c r="A2721" s="334" t="s">
        <v>2155</v>
      </c>
      <c r="B2721" s="334" t="s">
        <v>8904</v>
      </c>
      <c r="C2721" s="334" t="s">
        <v>11</v>
      </c>
    </row>
    <row r="2722" spans="1:3" x14ac:dyDescent="0.2">
      <c r="A2722" s="334" t="s">
        <v>2156</v>
      </c>
      <c r="B2722" s="334" t="s">
        <v>8905</v>
      </c>
      <c r="C2722" s="334" t="s">
        <v>11</v>
      </c>
    </row>
    <row r="2723" spans="1:3" x14ac:dyDescent="0.2">
      <c r="A2723" s="334" t="s">
        <v>2157</v>
      </c>
      <c r="B2723" s="334" t="s">
        <v>8906</v>
      </c>
      <c r="C2723" s="334" t="s">
        <v>11</v>
      </c>
    </row>
    <row r="2724" spans="1:3" x14ac:dyDescent="0.2">
      <c r="A2724" s="334" t="s">
        <v>2158</v>
      </c>
      <c r="B2724" s="334" t="s">
        <v>8907</v>
      </c>
      <c r="C2724" s="334" t="s">
        <v>11</v>
      </c>
    </row>
    <row r="2725" spans="1:3" x14ac:dyDescent="0.2">
      <c r="A2725" s="334" t="s">
        <v>2159</v>
      </c>
      <c r="B2725" s="334" t="s">
        <v>8908</v>
      </c>
      <c r="C2725" s="334" t="s">
        <v>11</v>
      </c>
    </row>
    <row r="2726" spans="1:3" x14ac:dyDescent="0.2">
      <c r="A2726" s="334" t="s">
        <v>2160</v>
      </c>
      <c r="B2726" s="334" t="s">
        <v>8909</v>
      </c>
      <c r="C2726" s="334" t="s">
        <v>11</v>
      </c>
    </row>
    <row r="2727" spans="1:3" x14ac:dyDescent="0.2">
      <c r="A2727" s="334" t="s">
        <v>2161</v>
      </c>
      <c r="B2727" s="334" t="s">
        <v>8910</v>
      </c>
      <c r="C2727" s="334" t="s">
        <v>11</v>
      </c>
    </row>
    <row r="2728" spans="1:3" x14ac:dyDescent="0.2">
      <c r="A2728" s="334" t="s">
        <v>2162</v>
      </c>
      <c r="B2728" s="334" t="s">
        <v>8911</v>
      </c>
      <c r="C2728" s="334" t="s">
        <v>11</v>
      </c>
    </row>
    <row r="2729" spans="1:3" x14ac:dyDescent="0.2">
      <c r="A2729" s="334" t="s">
        <v>2163</v>
      </c>
      <c r="B2729" s="334" t="s">
        <v>8912</v>
      </c>
      <c r="C2729" s="334" t="s">
        <v>11</v>
      </c>
    </row>
    <row r="2730" spans="1:3" x14ac:dyDescent="0.2">
      <c r="A2730" s="334" t="s">
        <v>2164</v>
      </c>
      <c r="B2730" s="334" t="s">
        <v>8913</v>
      </c>
      <c r="C2730" s="334" t="s">
        <v>11</v>
      </c>
    </row>
    <row r="2731" spans="1:3" x14ac:dyDescent="0.2">
      <c r="A2731" s="334" t="s">
        <v>5892</v>
      </c>
      <c r="B2731" s="334" t="s">
        <v>8914</v>
      </c>
      <c r="C2731" s="334" t="s">
        <v>11</v>
      </c>
    </row>
    <row r="2732" spans="1:3" x14ac:dyDescent="0.2">
      <c r="A2732" s="334" t="s">
        <v>5893</v>
      </c>
      <c r="B2732" s="334" t="s">
        <v>8915</v>
      </c>
      <c r="C2732" s="334" t="s">
        <v>11</v>
      </c>
    </row>
    <row r="2733" spans="1:3" x14ac:dyDescent="0.2">
      <c r="A2733" s="334" t="s">
        <v>5894</v>
      </c>
      <c r="B2733" s="334" t="s">
        <v>8916</v>
      </c>
      <c r="C2733" s="334" t="s">
        <v>11</v>
      </c>
    </row>
    <row r="2734" spans="1:3" x14ac:dyDescent="0.2">
      <c r="A2734" s="334" t="s">
        <v>5895</v>
      </c>
      <c r="B2734" s="334" t="s">
        <v>8917</v>
      </c>
      <c r="C2734" s="334" t="s">
        <v>11</v>
      </c>
    </row>
    <row r="2735" spans="1:3" x14ac:dyDescent="0.2">
      <c r="A2735" s="334" t="s">
        <v>5896</v>
      </c>
      <c r="B2735" s="334" t="s">
        <v>8918</v>
      </c>
      <c r="C2735" s="334" t="s">
        <v>11</v>
      </c>
    </row>
    <row r="2736" spans="1:3" x14ac:dyDescent="0.2">
      <c r="A2736" s="334" t="s">
        <v>5897</v>
      </c>
      <c r="B2736" s="334" t="s">
        <v>8919</v>
      </c>
      <c r="C2736" s="334" t="s">
        <v>11</v>
      </c>
    </row>
    <row r="2737" spans="1:3" x14ac:dyDescent="0.2">
      <c r="A2737" s="334" t="s">
        <v>5898</v>
      </c>
      <c r="B2737" s="334" t="s">
        <v>8920</v>
      </c>
      <c r="C2737" s="334" t="s">
        <v>11</v>
      </c>
    </row>
    <row r="2738" spans="1:3" x14ac:dyDescent="0.2">
      <c r="A2738" s="334" t="s">
        <v>5899</v>
      </c>
      <c r="B2738" s="334" t="s">
        <v>8921</v>
      </c>
      <c r="C2738" s="334" t="s">
        <v>11</v>
      </c>
    </row>
    <row r="2739" spans="1:3" x14ac:dyDescent="0.2">
      <c r="A2739" s="334" t="s">
        <v>5900</v>
      </c>
      <c r="B2739" s="334" t="s">
        <v>8922</v>
      </c>
      <c r="C2739" s="334" t="s">
        <v>11</v>
      </c>
    </row>
    <row r="2740" spans="1:3" x14ac:dyDescent="0.2">
      <c r="A2740" s="334" t="s">
        <v>5901</v>
      </c>
      <c r="B2740" s="334" t="s">
        <v>8923</v>
      </c>
      <c r="C2740" s="334" t="s">
        <v>11</v>
      </c>
    </row>
    <row r="2741" spans="1:3" x14ac:dyDescent="0.2">
      <c r="A2741" s="334" t="s">
        <v>5902</v>
      </c>
      <c r="B2741" s="334" t="s">
        <v>8924</v>
      </c>
      <c r="C2741" s="334" t="s">
        <v>11</v>
      </c>
    </row>
    <row r="2742" spans="1:3" x14ac:dyDescent="0.2">
      <c r="A2742" s="334" t="s">
        <v>5903</v>
      </c>
      <c r="B2742" s="334" t="s">
        <v>8925</v>
      </c>
      <c r="C2742" s="334" t="s">
        <v>11</v>
      </c>
    </row>
    <row r="2743" spans="1:3" x14ac:dyDescent="0.2">
      <c r="A2743" s="334" t="s">
        <v>5904</v>
      </c>
      <c r="B2743" s="334" t="s">
        <v>8926</v>
      </c>
      <c r="C2743" s="334" t="s">
        <v>11</v>
      </c>
    </row>
    <row r="2744" spans="1:3" x14ac:dyDescent="0.2">
      <c r="A2744" s="334" t="s">
        <v>5905</v>
      </c>
      <c r="B2744" s="334" t="s">
        <v>8927</v>
      </c>
      <c r="C2744" s="334" t="s">
        <v>11</v>
      </c>
    </row>
    <row r="2745" spans="1:3" x14ac:dyDescent="0.2">
      <c r="A2745" s="334" t="s">
        <v>5906</v>
      </c>
      <c r="B2745" s="334" t="s">
        <v>8928</v>
      </c>
      <c r="C2745" s="334" t="s">
        <v>11</v>
      </c>
    </row>
    <row r="2746" spans="1:3" x14ac:dyDescent="0.2">
      <c r="A2746" s="334" t="s">
        <v>5907</v>
      </c>
      <c r="B2746" s="334" t="s">
        <v>8929</v>
      </c>
      <c r="C2746" s="334" t="s">
        <v>11</v>
      </c>
    </row>
    <row r="2747" spans="1:3" x14ac:dyDescent="0.2">
      <c r="A2747" s="334" t="s">
        <v>5908</v>
      </c>
      <c r="B2747" s="334" t="s">
        <v>8930</v>
      </c>
      <c r="C2747" s="334" t="s">
        <v>11</v>
      </c>
    </row>
    <row r="2748" spans="1:3" x14ac:dyDescent="0.2">
      <c r="A2748" s="334" t="s">
        <v>5909</v>
      </c>
      <c r="B2748" s="334" t="s">
        <v>8931</v>
      </c>
      <c r="C2748" s="334" t="s">
        <v>11</v>
      </c>
    </row>
    <row r="2749" spans="1:3" x14ac:dyDescent="0.2">
      <c r="A2749" s="334" t="s">
        <v>5910</v>
      </c>
      <c r="B2749" s="334" t="s">
        <v>8932</v>
      </c>
      <c r="C2749" s="334" t="s">
        <v>11</v>
      </c>
    </row>
    <row r="2750" spans="1:3" x14ac:dyDescent="0.2">
      <c r="A2750" s="334" t="s">
        <v>5911</v>
      </c>
      <c r="B2750" s="334" t="s">
        <v>8933</v>
      </c>
      <c r="C2750" s="334" t="s">
        <v>11</v>
      </c>
    </row>
    <row r="2751" spans="1:3" x14ac:dyDescent="0.2">
      <c r="A2751" s="334" t="s">
        <v>5912</v>
      </c>
      <c r="B2751" s="334" t="s">
        <v>8934</v>
      </c>
      <c r="C2751" s="334" t="s">
        <v>11</v>
      </c>
    </row>
    <row r="2752" spans="1:3" x14ac:dyDescent="0.2">
      <c r="A2752" s="334" t="s">
        <v>5913</v>
      </c>
      <c r="B2752" s="334" t="s">
        <v>8935</v>
      </c>
      <c r="C2752" s="334" t="s">
        <v>11</v>
      </c>
    </row>
    <row r="2753" spans="1:4" x14ac:dyDescent="0.2">
      <c r="A2753" s="334" t="s">
        <v>5914</v>
      </c>
      <c r="B2753" s="334" t="s">
        <v>8936</v>
      </c>
      <c r="C2753" s="334" t="s">
        <v>11</v>
      </c>
    </row>
    <row r="2754" spans="1:4" x14ac:dyDescent="0.2">
      <c r="A2754" s="334" t="s">
        <v>5915</v>
      </c>
      <c r="B2754" s="334" t="s">
        <v>8937</v>
      </c>
      <c r="C2754" s="334" t="s">
        <v>11</v>
      </c>
    </row>
    <row r="2755" spans="1:4" x14ac:dyDescent="0.2">
      <c r="A2755" s="334" t="s">
        <v>5916</v>
      </c>
      <c r="B2755" s="334" t="s">
        <v>8938</v>
      </c>
      <c r="C2755" s="334" t="s">
        <v>11</v>
      </c>
    </row>
    <row r="2756" spans="1:4" x14ac:dyDescent="0.2">
      <c r="A2756" s="334" t="s">
        <v>5917</v>
      </c>
      <c r="B2756" s="334" t="s">
        <v>8939</v>
      </c>
      <c r="C2756" s="334" t="s">
        <v>16</v>
      </c>
    </row>
    <row r="2757" spans="1:4" x14ac:dyDescent="0.2">
      <c r="A2757" s="334" t="s">
        <v>5918</v>
      </c>
      <c r="B2757" s="334" t="s">
        <v>8940</v>
      </c>
      <c r="C2757" s="334" t="s">
        <v>16</v>
      </c>
    </row>
    <row r="2758" spans="1:4" x14ac:dyDescent="0.2">
      <c r="A2758" s="334" t="s">
        <v>5919</v>
      </c>
      <c r="B2758" s="334" t="s">
        <v>8941</v>
      </c>
      <c r="C2758" s="334" t="s">
        <v>16</v>
      </c>
    </row>
    <row r="2759" spans="1:4" x14ac:dyDescent="0.2">
      <c r="A2759" s="334" t="s">
        <v>5920</v>
      </c>
      <c r="B2759" s="334" t="s">
        <v>8942</v>
      </c>
      <c r="C2759" s="334" t="s">
        <v>16</v>
      </c>
    </row>
    <row r="2760" spans="1:4" x14ac:dyDescent="0.2">
      <c r="A2760" s="334" t="s">
        <v>5921</v>
      </c>
      <c r="B2760" s="334" t="s">
        <v>8943</v>
      </c>
      <c r="C2760" s="334" t="s">
        <v>25</v>
      </c>
    </row>
    <row r="2761" spans="1:4" x14ac:dyDescent="0.2">
      <c r="A2761" s="334" t="s">
        <v>5922</v>
      </c>
      <c r="B2761" s="334" t="s">
        <v>8944</v>
      </c>
      <c r="C2761" s="334" t="s">
        <v>11</v>
      </c>
    </row>
    <row r="2762" spans="1:4" x14ac:dyDescent="0.2">
      <c r="A2762" s="347" t="s">
        <v>3373</v>
      </c>
      <c r="B2762" s="347" t="s">
        <v>8945</v>
      </c>
      <c r="C2762" s="347" t="s">
        <v>16</v>
      </c>
      <c r="D2762" s="348" t="s">
        <v>10271</v>
      </c>
    </row>
    <row r="2763" spans="1:4" x14ac:dyDescent="0.2">
      <c r="A2763" s="334" t="s">
        <v>5923</v>
      </c>
      <c r="B2763" s="334" t="s">
        <v>8946</v>
      </c>
      <c r="C2763" s="334" t="s">
        <v>25</v>
      </c>
    </row>
    <row r="2764" spans="1:4" x14ac:dyDescent="0.2">
      <c r="A2764" s="334" t="s">
        <v>5924</v>
      </c>
      <c r="B2764" s="334" t="s">
        <v>8947</v>
      </c>
      <c r="C2764" s="334" t="s">
        <v>11</v>
      </c>
    </row>
    <row r="2765" spans="1:4" x14ac:dyDescent="0.2">
      <c r="A2765" s="334" t="s">
        <v>5925</v>
      </c>
      <c r="B2765" s="334" t="s">
        <v>8948</v>
      </c>
      <c r="C2765" s="334" t="s">
        <v>2338</v>
      </c>
    </row>
    <row r="2766" spans="1:4" x14ac:dyDescent="0.2">
      <c r="A2766" s="334" t="s">
        <v>5926</v>
      </c>
      <c r="B2766" s="334" t="s">
        <v>8949</v>
      </c>
      <c r="C2766" s="334" t="s">
        <v>6602</v>
      </c>
    </row>
    <row r="2767" spans="1:4" x14ac:dyDescent="0.2">
      <c r="A2767" s="334" t="s">
        <v>5927</v>
      </c>
      <c r="B2767" s="334" t="s">
        <v>5928</v>
      </c>
      <c r="C2767" s="334" t="s">
        <v>52</v>
      </c>
    </row>
    <row r="2768" spans="1:4" x14ac:dyDescent="0.2">
      <c r="A2768" s="347" t="s">
        <v>251</v>
      </c>
      <c r="B2768" s="347" t="s">
        <v>2598</v>
      </c>
      <c r="C2768" s="347" t="s">
        <v>25</v>
      </c>
      <c r="D2768" s="348" t="s">
        <v>10271</v>
      </c>
    </row>
    <row r="2769" spans="1:4" x14ac:dyDescent="0.2">
      <c r="A2769" s="347" t="s">
        <v>252</v>
      </c>
      <c r="B2769" s="347" t="s">
        <v>2599</v>
      </c>
      <c r="C2769" s="347" t="s">
        <v>25</v>
      </c>
      <c r="D2769" s="348" t="s">
        <v>10271</v>
      </c>
    </row>
    <row r="2770" spans="1:4" x14ac:dyDescent="0.2">
      <c r="A2770" s="334" t="s">
        <v>5929</v>
      </c>
      <c r="B2770" s="334" t="s">
        <v>5930</v>
      </c>
      <c r="C2770" s="334" t="s">
        <v>11</v>
      </c>
    </row>
    <row r="2771" spans="1:4" x14ac:dyDescent="0.2">
      <c r="A2771" s="334" t="s">
        <v>5931</v>
      </c>
      <c r="B2771" s="334" t="s">
        <v>8950</v>
      </c>
      <c r="C2771" s="334" t="s">
        <v>6604</v>
      </c>
    </row>
    <row r="2772" spans="1:4" x14ac:dyDescent="0.2">
      <c r="A2772" s="334" t="s">
        <v>5932</v>
      </c>
      <c r="B2772" s="334" t="s">
        <v>6859</v>
      </c>
      <c r="C2772" s="334" t="s">
        <v>6602</v>
      </c>
    </row>
    <row r="2773" spans="1:4" x14ac:dyDescent="0.2">
      <c r="A2773" s="334" t="s">
        <v>5933</v>
      </c>
      <c r="B2773" s="334" t="s">
        <v>8951</v>
      </c>
      <c r="C2773" s="334" t="s">
        <v>11</v>
      </c>
    </row>
    <row r="2774" spans="1:4" x14ac:dyDescent="0.2">
      <c r="A2774" s="334" t="s">
        <v>5934</v>
      </c>
      <c r="B2774" s="334" t="s">
        <v>8952</v>
      </c>
      <c r="C2774" s="334" t="s">
        <v>2338</v>
      </c>
    </row>
    <row r="2775" spans="1:4" x14ac:dyDescent="0.2">
      <c r="A2775" s="334" t="s">
        <v>5935</v>
      </c>
      <c r="B2775" s="334" t="s">
        <v>8953</v>
      </c>
      <c r="C2775" s="334" t="s">
        <v>2338</v>
      </c>
    </row>
    <row r="2776" spans="1:4" x14ac:dyDescent="0.2">
      <c r="A2776" s="334" t="s">
        <v>5936</v>
      </c>
      <c r="B2776" s="334" t="s">
        <v>8954</v>
      </c>
      <c r="C2776" s="334" t="s">
        <v>2338</v>
      </c>
    </row>
    <row r="2777" spans="1:4" x14ac:dyDescent="0.2">
      <c r="A2777" s="334" t="s">
        <v>5937</v>
      </c>
      <c r="B2777" s="334" t="s">
        <v>8955</v>
      </c>
      <c r="C2777" s="334" t="s">
        <v>2338</v>
      </c>
    </row>
    <row r="2778" spans="1:4" x14ac:dyDescent="0.2">
      <c r="A2778" s="334" t="s">
        <v>2165</v>
      </c>
      <c r="B2778" s="334" t="s">
        <v>8099</v>
      </c>
      <c r="C2778" s="334" t="s">
        <v>16</v>
      </c>
    </row>
    <row r="2779" spans="1:4" x14ac:dyDescent="0.2">
      <c r="A2779" s="334" t="s">
        <v>5938</v>
      </c>
      <c r="B2779" s="334" t="s">
        <v>8956</v>
      </c>
      <c r="C2779" s="334" t="s">
        <v>2338</v>
      </c>
    </row>
    <row r="2780" spans="1:4" x14ac:dyDescent="0.2">
      <c r="A2780" s="334" t="s">
        <v>5939</v>
      </c>
      <c r="B2780" s="334" t="s">
        <v>8957</v>
      </c>
      <c r="C2780" s="334" t="s">
        <v>11</v>
      </c>
    </row>
    <row r="2781" spans="1:4" x14ac:dyDescent="0.2">
      <c r="A2781" s="334" t="s">
        <v>5940</v>
      </c>
      <c r="B2781" s="334" t="s">
        <v>8958</v>
      </c>
      <c r="C2781" s="334" t="s">
        <v>2338</v>
      </c>
    </row>
    <row r="2782" spans="1:4" x14ac:dyDescent="0.2">
      <c r="A2782" s="334" t="s">
        <v>5941</v>
      </c>
      <c r="B2782" s="334" t="s">
        <v>8959</v>
      </c>
      <c r="C2782" s="334" t="s">
        <v>16</v>
      </c>
    </row>
    <row r="2783" spans="1:4" x14ac:dyDescent="0.2">
      <c r="A2783" s="334" t="s">
        <v>5942</v>
      </c>
      <c r="B2783" s="334" t="s">
        <v>8960</v>
      </c>
      <c r="C2783" s="334" t="s">
        <v>2338</v>
      </c>
    </row>
    <row r="2784" spans="1:4" x14ac:dyDescent="0.2">
      <c r="A2784" s="334" t="s">
        <v>5943</v>
      </c>
      <c r="B2784" s="334" t="s">
        <v>8961</v>
      </c>
      <c r="C2784" s="334" t="s">
        <v>2338</v>
      </c>
    </row>
    <row r="2785" spans="1:3" x14ac:dyDescent="0.2">
      <c r="A2785" s="334" t="s">
        <v>5944</v>
      </c>
      <c r="B2785" s="334" t="s">
        <v>8962</v>
      </c>
      <c r="C2785" s="334" t="s">
        <v>2338</v>
      </c>
    </row>
    <row r="2786" spans="1:3" x14ac:dyDescent="0.2">
      <c r="A2786" s="334" t="s">
        <v>5945</v>
      </c>
      <c r="B2786" s="334" t="s">
        <v>8963</v>
      </c>
      <c r="C2786" s="334" t="s">
        <v>2338</v>
      </c>
    </row>
    <row r="2787" spans="1:3" x14ac:dyDescent="0.2">
      <c r="A2787" s="334" t="s">
        <v>5946</v>
      </c>
      <c r="B2787" s="334" t="s">
        <v>8964</v>
      </c>
      <c r="C2787" s="334" t="s">
        <v>11</v>
      </c>
    </row>
    <row r="2788" spans="1:3" x14ac:dyDescent="0.2">
      <c r="A2788" s="334" t="s">
        <v>5947</v>
      </c>
      <c r="B2788" s="334" t="s">
        <v>8965</v>
      </c>
      <c r="C2788" s="334" t="s">
        <v>11</v>
      </c>
    </row>
    <row r="2789" spans="1:3" x14ac:dyDescent="0.2">
      <c r="A2789" s="334" t="s">
        <v>5948</v>
      </c>
      <c r="B2789" s="334" t="s">
        <v>8966</v>
      </c>
      <c r="C2789" s="334" t="s">
        <v>11</v>
      </c>
    </row>
    <row r="2790" spans="1:3" x14ac:dyDescent="0.2">
      <c r="A2790" s="334" t="s">
        <v>2166</v>
      </c>
      <c r="B2790" s="334" t="s">
        <v>8967</v>
      </c>
      <c r="C2790" s="334" t="s">
        <v>16</v>
      </c>
    </row>
    <row r="2791" spans="1:3" x14ac:dyDescent="0.2">
      <c r="A2791" s="334" t="s">
        <v>2167</v>
      </c>
      <c r="B2791" s="334" t="s">
        <v>8857</v>
      </c>
      <c r="C2791" s="334" t="s">
        <v>2338</v>
      </c>
    </row>
    <row r="2792" spans="1:3" x14ac:dyDescent="0.2">
      <c r="A2792" s="334" t="s">
        <v>2168</v>
      </c>
      <c r="B2792" s="334" t="s">
        <v>2380</v>
      </c>
      <c r="C2792" s="334" t="s">
        <v>16</v>
      </c>
    </row>
    <row r="2793" spans="1:3" x14ac:dyDescent="0.2">
      <c r="A2793" s="334" t="s">
        <v>2169</v>
      </c>
      <c r="B2793" s="334" t="s">
        <v>8968</v>
      </c>
      <c r="C2793" s="334" t="s">
        <v>16</v>
      </c>
    </row>
    <row r="2794" spans="1:3" x14ac:dyDescent="0.2">
      <c r="A2794" s="334" t="s">
        <v>5949</v>
      </c>
      <c r="B2794" s="334" t="s">
        <v>8969</v>
      </c>
      <c r="C2794" s="334" t="s">
        <v>25</v>
      </c>
    </row>
    <row r="2795" spans="1:3" x14ac:dyDescent="0.2">
      <c r="A2795" s="334" t="s">
        <v>5950</v>
      </c>
      <c r="B2795" s="334" t="s">
        <v>8970</v>
      </c>
      <c r="C2795" s="334" t="s">
        <v>11</v>
      </c>
    </row>
    <row r="2796" spans="1:3" x14ac:dyDescent="0.2">
      <c r="A2796" s="334" t="s">
        <v>5951</v>
      </c>
      <c r="B2796" s="334" t="s">
        <v>5952</v>
      </c>
      <c r="C2796" s="334" t="s">
        <v>16</v>
      </c>
    </row>
    <row r="2797" spans="1:3" x14ac:dyDescent="0.2">
      <c r="A2797" s="334" t="s">
        <v>5953</v>
      </c>
      <c r="B2797" s="334" t="s">
        <v>8971</v>
      </c>
      <c r="C2797" s="334" t="s">
        <v>16</v>
      </c>
    </row>
    <row r="2798" spans="1:3" x14ac:dyDescent="0.2">
      <c r="A2798" s="334" t="s">
        <v>5954</v>
      </c>
      <c r="B2798" s="334" t="s">
        <v>8972</v>
      </c>
      <c r="C2798" s="334" t="s">
        <v>16</v>
      </c>
    </row>
    <row r="2799" spans="1:3" x14ac:dyDescent="0.2">
      <c r="A2799" s="334" t="s">
        <v>5955</v>
      </c>
      <c r="B2799" s="334" t="s">
        <v>8973</v>
      </c>
      <c r="C2799" s="334" t="s">
        <v>16</v>
      </c>
    </row>
    <row r="2800" spans="1:3" x14ac:dyDescent="0.2">
      <c r="A2800" s="334" t="s">
        <v>5956</v>
      </c>
      <c r="B2800" s="334" t="s">
        <v>8974</v>
      </c>
      <c r="C2800" s="334" t="s">
        <v>25</v>
      </c>
    </row>
    <row r="2801" spans="1:3" x14ac:dyDescent="0.2">
      <c r="A2801" s="334" t="s">
        <v>5957</v>
      </c>
      <c r="B2801" s="334" t="s">
        <v>8975</v>
      </c>
      <c r="C2801" s="334" t="s">
        <v>16</v>
      </c>
    </row>
    <row r="2802" spans="1:3" x14ac:dyDescent="0.2">
      <c r="A2802" s="334" t="s">
        <v>5958</v>
      </c>
      <c r="B2802" s="334" t="s">
        <v>8976</v>
      </c>
      <c r="C2802" s="334" t="s">
        <v>25</v>
      </c>
    </row>
    <row r="2803" spans="1:3" x14ac:dyDescent="0.2">
      <c r="A2803" s="334" t="s">
        <v>5959</v>
      </c>
      <c r="B2803" s="334" t="s">
        <v>8977</v>
      </c>
      <c r="C2803" s="334" t="s">
        <v>16</v>
      </c>
    </row>
    <row r="2804" spans="1:3" x14ac:dyDescent="0.2">
      <c r="A2804" s="334" t="s">
        <v>5960</v>
      </c>
      <c r="B2804" s="334" t="s">
        <v>8857</v>
      </c>
      <c r="C2804" s="334" t="s">
        <v>2338</v>
      </c>
    </row>
    <row r="2805" spans="1:3" x14ac:dyDescent="0.2">
      <c r="A2805" s="334" t="s">
        <v>5961</v>
      </c>
      <c r="B2805" s="334" t="s">
        <v>8978</v>
      </c>
      <c r="C2805" s="334" t="s">
        <v>16</v>
      </c>
    </row>
    <row r="2806" spans="1:3" x14ac:dyDescent="0.2">
      <c r="A2806" s="334" t="s">
        <v>5962</v>
      </c>
      <c r="B2806" s="334" t="s">
        <v>8969</v>
      </c>
      <c r="C2806" s="334" t="s">
        <v>25</v>
      </c>
    </row>
    <row r="2807" spans="1:3" x14ac:dyDescent="0.2">
      <c r="A2807" s="334" t="s">
        <v>5963</v>
      </c>
      <c r="B2807" s="334" t="s">
        <v>8979</v>
      </c>
      <c r="C2807" s="334" t="s">
        <v>16</v>
      </c>
    </row>
    <row r="2808" spans="1:3" x14ac:dyDescent="0.2">
      <c r="A2808" s="334" t="s">
        <v>5964</v>
      </c>
      <c r="B2808" s="334" t="s">
        <v>8971</v>
      </c>
      <c r="C2808" s="334" t="s">
        <v>16</v>
      </c>
    </row>
    <row r="2809" spans="1:3" x14ac:dyDescent="0.2">
      <c r="A2809" s="334" t="s">
        <v>5965</v>
      </c>
      <c r="B2809" s="334" t="s">
        <v>8973</v>
      </c>
      <c r="C2809" s="334" t="s">
        <v>16</v>
      </c>
    </row>
    <row r="2810" spans="1:3" x14ac:dyDescent="0.2">
      <c r="A2810" s="334" t="s">
        <v>5966</v>
      </c>
      <c r="B2810" s="334" t="s">
        <v>8976</v>
      </c>
      <c r="C2810" s="334" t="s">
        <v>25</v>
      </c>
    </row>
    <row r="2811" spans="1:3" x14ac:dyDescent="0.2">
      <c r="A2811" s="334" t="s">
        <v>5967</v>
      </c>
      <c r="B2811" s="334" t="s">
        <v>8980</v>
      </c>
      <c r="C2811" s="334" t="s">
        <v>16</v>
      </c>
    </row>
    <row r="2812" spans="1:3" x14ac:dyDescent="0.2">
      <c r="A2812" s="334" t="s">
        <v>5968</v>
      </c>
      <c r="B2812" s="334" t="s">
        <v>8857</v>
      </c>
      <c r="C2812" s="334" t="s">
        <v>2338</v>
      </c>
    </row>
    <row r="2813" spans="1:3" x14ac:dyDescent="0.2">
      <c r="A2813" s="334" t="s">
        <v>5969</v>
      </c>
      <c r="B2813" s="334" t="s">
        <v>8978</v>
      </c>
      <c r="C2813" s="334" t="s">
        <v>16</v>
      </c>
    </row>
    <row r="2814" spans="1:3" x14ac:dyDescent="0.2">
      <c r="A2814" s="334" t="s">
        <v>5970</v>
      </c>
      <c r="B2814" s="334" t="s">
        <v>8969</v>
      </c>
      <c r="C2814" s="334" t="s">
        <v>25</v>
      </c>
    </row>
    <row r="2815" spans="1:3" x14ac:dyDescent="0.2">
      <c r="A2815" s="334" t="s">
        <v>5971</v>
      </c>
      <c r="B2815" s="334" t="s">
        <v>8969</v>
      </c>
      <c r="C2815" s="334" t="s">
        <v>25</v>
      </c>
    </row>
    <row r="2816" spans="1:3" x14ac:dyDescent="0.2">
      <c r="A2816" s="334" t="s">
        <v>5972</v>
      </c>
      <c r="B2816" s="334" t="s">
        <v>8981</v>
      </c>
      <c r="C2816" s="334" t="s">
        <v>16</v>
      </c>
    </row>
    <row r="2817" spans="1:3" x14ac:dyDescent="0.2">
      <c r="A2817" s="334" t="s">
        <v>5973</v>
      </c>
      <c r="B2817" s="334" t="s">
        <v>8857</v>
      </c>
      <c r="C2817" s="334" t="s">
        <v>2338</v>
      </c>
    </row>
    <row r="2818" spans="1:3" x14ac:dyDescent="0.2">
      <c r="A2818" s="334" t="s">
        <v>5974</v>
      </c>
      <c r="B2818" s="334" t="s">
        <v>8978</v>
      </c>
      <c r="C2818" s="334" t="s">
        <v>16</v>
      </c>
    </row>
    <row r="2819" spans="1:3" x14ac:dyDescent="0.2">
      <c r="A2819" s="334" t="s">
        <v>5975</v>
      </c>
      <c r="B2819" s="334" t="s">
        <v>8982</v>
      </c>
      <c r="C2819" s="334" t="s">
        <v>16</v>
      </c>
    </row>
    <row r="2820" spans="1:3" x14ac:dyDescent="0.2">
      <c r="A2820" s="334" t="s">
        <v>5976</v>
      </c>
      <c r="B2820" s="334" t="s">
        <v>8969</v>
      </c>
      <c r="C2820" s="334" t="s">
        <v>25</v>
      </c>
    </row>
    <row r="2821" spans="1:3" x14ac:dyDescent="0.2">
      <c r="A2821" s="334" t="s">
        <v>5977</v>
      </c>
      <c r="B2821" s="334" t="s">
        <v>8983</v>
      </c>
      <c r="C2821" s="334" t="s">
        <v>16</v>
      </c>
    </row>
    <row r="2822" spans="1:3" x14ac:dyDescent="0.2">
      <c r="A2822" s="334" t="s">
        <v>5978</v>
      </c>
      <c r="B2822" s="334" t="s">
        <v>8857</v>
      </c>
      <c r="C2822" s="334" t="s">
        <v>2338</v>
      </c>
    </row>
    <row r="2823" spans="1:3" x14ac:dyDescent="0.2">
      <c r="A2823" s="334" t="s">
        <v>5979</v>
      </c>
      <c r="B2823" s="334" t="s">
        <v>8984</v>
      </c>
      <c r="C2823" s="334" t="s">
        <v>16</v>
      </c>
    </row>
    <row r="2824" spans="1:3" x14ac:dyDescent="0.2">
      <c r="A2824" s="334" t="s">
        <v>5980</v>
      </c>
      <c r="B2824" s="334" t="s">
        <v>8985</v>
      </c>
      <c r="C2824" s="334" t="s">
        <v>2338</v>
      </c>
    </row>
    <row r="2825" spans="1:3" x14ac:dyDescent="0.2">
      <c r="A2825" s="334" t="s">
        <v>5981</v>
      </c>
      <c r="B2825" s="334" t="s">
        <v>8986</v>
      </c>
      <c r="C2825" s="334" t="s">
        <v>2338</v>
      </c>
    </row>
    <row r="2826" spans="1:3" x14ac:dyDescent="0.2">
      <c r="A2826" s="334" t="s">
        <v>5982</v>
      </c>
      <c r="B2826" s="334" t="s">
        <v>8987</v>
      </c>
      <c r="C2826" s="334" t="s">
        <v>2338</v>
      </c>
    </row>
    <row r="2827" spans="1:3" x14ac:dyDescent="0.2">
      <c r="A2827" s="334" t="s">
        <v>5983</v>
      </c>
      <c r="B2827" s="334" t="s">
        <v>8988</v>
      </c>
      <c r="C2827" s="334" t="s">
        <v>2338</v>
      </c>
    </row>
    <row r="2828" spans="1:3" x14ac:dyDescent="0.2">
      <c r="A2828" s="334" t="s">
        <v>5984</v>
      </c>
      <c r="B2828" s="334" t="s">
        <v>8989</v>
      </c>
      <c r="C2828" s="334" t="s">
        <v>2338</v>
      </c>
    </row>
    <row r="2829" spans="1:3" x14ac:dyDescent="0.2">
      <c r="A2829" s="334" t="s">
        <v>5985</v>
      </c>
      <c r="B2829" s="334" t="s">
        <v>8990</v>
      </c>
      <c r="C2829" s="334" t="s">
        <v>2338</v>
      </c>
    </row>
    <row r="2830" spans="1:3" x14ac:dyDescent="0.2">
      <c r="A2830" s="334" t="s">
        <v>5986</v>
      </c>
      <c r="B2830" s="334" t="s">
        <v>2934</v>
      </c>
      <c r="C2830" s="334" t="s">
        <v>11</v>
      </c>
    </row>
    <row r="2831" spans="1:3" x14ac:dyDescent="0.2">
      <c r="A2831" s="334" t="s">
        <v>5987</v>
      </c>
      <c r="B2831" s="334" t="s">
        <v>8991</v>
      </c>
      <c r="C2831" s="334" t="s">
        <v>2338</v>
      </c>
    </row>
    <row r="2832" spans="1:3" x14ac:dyDescent="0.2">
      <c r="A2832" s="334" t="s">
        <v>5988</v>
      </c>
      <c r="B2832" s="334" t="s">
        <v>8992</v>
      </c>
      <c r="C2832" s="334" t="s">
        <v>2338</v>
      </c>
    </row>
    <row r="2833" spans="1:4" x14ac:dyDescent="0.2">
      <c r="A2833" s="334" t="s">
        <v>5989</v>
      </c>
      <c r="B2833" s="334" t="s">
        <v>8993</v>
      </c>
      <c r="C2833" s="334" t="s">
        <v>2338</v>
      </c>
    </row>
    <row r="2834" spans="1:4" x14ac:dyDescent="0.2">
      <c r="A2834" s="334" t="s">
        <v>5990</v>
      </c>
      <c r="B2834" s="334" t="s">
        <v>8994</v>
      </c>
      <c r="C2834" s="334" t="s">
        <v>2338</v>
      </c>
    </row>
    <row r="2835" spans="1:4" x14ac:dyDescent="0.2">
      <c r="A2835" s="334" t="s">
        <v>5991</v>
      </c>
      <c r="B2835" s="334" t="s">
        <v>8995</v>
      </c>
      <c r="C2835" s="334" t="s">
        <v>2338</v>
      </c>
    </row>
    <row r="2836" spans="1:4" x14ac:dyDescent="0.2">
      <c r="A2836" s="334" t="s">
        <v>5992</v>
      </c>
      <c r="B2836" s="334" t="s">
        <v>8996</v>
      </c>
      <c r="C2836" s="334" t="s">
        <v>2338</v>
      </c>
    </row>
    <row r="2837" spans="1:4" x14ac:dyDescent="0.2">
      <c r="A2837" s="334" t="s">
        <v>5993</v>
      </c>
      <c r="B2837" s="334" t="s">
        <v>8997</v>
      </c>
      <c r="C2837" s="334" t="s">
        <v>2338</v>
      </c>
    </row>
    <row r="2838" spans="1:4" x14ac:dyDescent="0.2">
      <c r="A2838" s="334" t="s">
        <v>5994</v>
      </c>
      <c r="B2838" s="334" t="s">
        <v>8998</v>
      </c>
      <c r="C2838" s="334" t="s">
        <v>2338</v>
      </c>
    </row>
    <row r="2839" spans="1:4" x14ac:dyDescent="0.2">
      <c r="A2839" s="347" t="s">
        <v>3413</v>
      </c>
      <c r="B2839" s="347" t="s">
        <v>2914</v>
      </c>
      <c r="C2839" s="347" t="s">
        <v>2338</v>
      </c>
      <c r="D2839" s="348" t="s">
        <v>10271</v>
      </c>
    </row>
    <row r="2840" spans="1:4" x14ac:dyDescent="0.2">
      <c r="A2840" s="334" t="s">
        <v>5995</v>
      </c>
      <c r="B2840" s="334" t="s">
        <v>8999</v>
      </c>
      <c r="C2840" s="334" t="s">
        <v>2338</v>
      </c>
    </row>
    <row r="2841" spans="1:4" x14ac:dyDescent="0.2">
      <c r="A2841" s="334" t="s">
        <v>9000</v>
      </c>
      <c r="B2841" s="334" t="s">
        <v>9001</v>
      </c>
      <c r="C2841" s="334" t="s">
        <v>11</v>
      </c>
    </row>
    <row r="2842" spans="1:4" x14ac:dyDescent="0.2">
      <c r="A2842" s="334" t="s">
        <v>2170</v>
      </c>
      <c r="B2842" s="334" t="s">
        <v>8978</v>
      </c>
      <c r="C2842" s="334" t="s">
        <v>16</v>
      </c>
    </row>
    <row r="2843" spans="1:4" x14ac:dyDescent="0.2">
      <c r="A2843" s="334" t="s">
        <v>2171</v>
      </c>
      <c r="B2843" s="334" t="s">
        <v>8978</v>
      </c>
      <c r="C2843" s="334" t="s">
        <v>16</v>
      </c>
    </row>
    <row r="2844" spans="1:4" x14ac:dyDescent="0.2">
      <c r="A2844" s="334" t="s">
        <v>5996</v>
      </c>
      <c r="B2844" s="334" t="s">
        <v>9002</v>
      </c>
      <c r="C2844" s="334" t="s">
        <v>16</v>
      </c>
    </row>
    <row r="2845" spans="1:4" x14ac:dyDescent="0.2">
      <c r="A2845" s="334" t="s">
        <v>5997</v>
      </c>
      <c r="B2845" s="334" t="s">
        <v>9003</v>
      </c>
      <c r="C2845" s="334" t="s">
        <v>11</v>
      </c>
    </row>
    <row r="2846" spans="1:4" x14ac:dyDescent="0.2">
      <c r="A2846" s="334" t="s">
        <v>5998</v>
      </c>
      <c r="B2846" s="334" t="s">
        <v>5999</v>
      </c>
      <c r="C2846" s="334" t="s">
        <v>52</v>
      </c>
    </row>
    <row r="2847" spans="1:4" x14ac:dyDescent="0.2">
      <c r="A2847" s="334" t="s">
        <v>6000</v>
      </c>
      <c r="B2847" s="334" t="s">
        <v>6001</v>
      </c>
      <c r="C2847" s="334" t="s">
        <v>2338</v>
      </c>
    </row>
    <row r="2848" spans="1:4" x14ac:dyDescent="0.2">
      <c r="A2848" s="334" t="s">
        <v>6002</v>
      </c>
      <c r="B2848" s="334" t="s">
        <v>6003</v>
      </c>
      <c r="C2848" s="334" t="s">
        <v>2338</v>
      </c>
    </row>
    <row r="2849" spans="1:3" x14ac:dyDescent="0.2">
      <c r="A2849" s="334" t="s">
        <v>6004</v>
      </c>
      <c r="B2849" s="334" t="s">
        <v>9004</v>
      </c>
      <c r="C2849" s="334" t="s">
        <v>2338</v>
      </c>
    </row>
    <row r="2850" spans="1:3" x14ac:dyDescent="0.2">
      <c r="A2850" s="334" t="s">
        <v>6005</v>
      </c>
      <c r="B2850" s="334" t="s">
        <v>9005</v>
      </c>
      <c r="C2850" s="334" t="s">
        <v>2338</v>
      </c>
    </row>
    <row r="2851" spans="1:3" x14ac:dyDescent="0.2">
      <c r="A2851" s="334" t="s">
        <v>6006</v>
      </c>
      <c r="B2851" s="334" t="s">
        <v>9006</v>
      </c>
      <c r="C2851" s="334" t="s">
        <v>2338</v>
      </c>
    </row>
    <row r="2852" spans="1:3" x14ac:dyDescent="0.2">
      <c r="A2852" s="334" t="s">
        <v>6007</v>
      </c>
      <c r="B2852" s="334" t="s">
        <v>9007</v>
      </c>
      <c r="C2852" s="334" t="s">
        <v>2338</v>
      </c>
    </row>
    <row r="2853" spans="1:3" x14ac:dyDescent="0.2">
      <c r="A2853" s="334" t="s">
        <v>6008</v>
      </c>
      <c r="B2853" s="334" t="s">
        <v>9006</v>
      </c>
      <c r="C2853" s="334" t="s">
        <v>2338</v>
      </c>
    </row>
    <row r="2854" spans="1:3" x14ac:dyDescent="0.2">
      <c r="A2854" s="334" t="s">
        <v>6009</v>
      </c>
      <c r="B2854" s="334" t="s">
        <v>9008</v>
      </c>
      <c r="C2854" s="334" t="s">
        <v>2338</v>
      </c>
    </row>
    <row r="2855" spans="1:3" x14ac:dyDescent="0.2">
      <c r="A2855" s="334" t="s">
        <v>6010</v>
      </c>
      <c r="B2855" s="334" t="s">
        <v>9006</v>
      </c>
      <c r="C2855" s="334" t="s">
        <v>2338</v>
      </c>
    </row>
    <row r="2856" spans="1:3" x14ac:dyDescent="0.2">
      <c r="A2856" s="334" t="s">
        <v>6011</v>
      </c>
      <c r="B2856" s="334" t="s">
        <v>9009</v>
      </c>
      <c r="C2856" s="334" t="s">
        <v>2338</v>
      </c>
    </row>
    <row r="2857" spans="1:3" x14ac:dyDescent="0.2">
      <c r="A2857" s="334" t="s">
        <v>6012</v>
      </c>
      <c r="B2857" s="334" t="s">
        <v>9010</v>
      </c>
      <c r="C2857" s="334" t="s">
        <v>2338</v>
      </c>
    </row>
    <row r="2858" spans="1:3" x14ac:dyDescent="0.2">
      <c r="A2858" s="334" t="s">
        <v>6013</v>
      </c>
      <c r="B2858" s="334" t="s">
        <v>9010</v>
      </c>
      <c r="C2858" s="334" t="s">
        <v>2338</v>
      </c>
    </row>
    <row r="2859" spans="1:3" x14ac:dyDescent="0.2">
      <c r="A2859" s="334" t="s">
        <v>6014</v>
      </c>
      <c r="B2859" s="334" t="s">
        <v>9006</v>
      </c>
      <c r="C2859" s="334" t="s">
        <v>2338</v>
      </c>
    </row>
    <row r="2860" spans="1:3" x14ac:dyDescent="0.2">
      <c r="A2860" s="334" t="s">
        <v>6015</v>
      </c>
      <c r="B2860" s="334" t="s">
        <v>9011</v>
      </c>
      <c r="C2860" s="334" t="s">
        <v>2338</v>
      </c>
    </row>
    <row r="2861" spans="1:3" x14ac:dyDescent="0.2">
      <c r="A2861" s="334" t="s">
        <v>6016</v>
      </c>
      <c r="B2861" s="334" t="s">
        <v>9012</v>
      </c>
      <c r="C2861" s="334" t="s">
        <v>2338</v>
      </c>
    </row>
    <row r="2862" spans="1:3" x14ac:dyDescent="0.2">
      <c r="A2862" s="334" t="s">
        <v>6017</v>
      </c>
      <c r="B2862" s="334" t="s">
        <v>9012</v>
      </c>
      <c r="C2862" s="334" t="s">
        <v>2338</v>
      </c>
    </row>
    <row r="2863" spans="1:3" x14ac:dyDescent="0.2">
      <c r="A2863" s="334" t="s">
        <v>6018</v>
      </c>
      <c r="B2863" s="334" t="s">
        <v>9013</v>
      </c>
      <c r="C2863" s="334" t="s">
        <v>16</v>
      </c>
    </row>
    <row r="2864" spans="1:3" x14ac:dyDescent="0.2">
      <c r="A2864" s="334" t="s">
        <v>6019</v>
      </c>
      <c r="B2864" s="334" t="s">
        <v>9012</v>
      </c>
      <c r="C2864" s="334" t="s">
        <v>2338</v>
      </c>
    </row>
    <row r="2865" spans="1:3" x14ac:dyDescent="0.2">
      <c r="A2865" s="334" t="s">
        <v>6020</v>
      </c>
      <c r="B2865" s="334" t="s">
        <v>8678</v>
      </c>
      <c r="C2865" s="334" t="s">
        <v>16</v>
      </c>
    </row>
    <row r="2866" spans="1:3" x14ac:dyDescent="0.2">
      <c r="A2866" s="334" t="s">
        <v>6021</v>
      </c>
      <c r="B2866" s="334" t="s">
        <v>9014</v>
      </c>
      <c r="C2866" s="334" t="s">
        <v>2338</v>
      </c>
    </row>
    <row r="2867" spans="1:3" x14ac:dyDescent="0.2">
      <c r="A2867" s="334" t="s">
        <v>6022</v>
      </c>
      <c r="B2867" s="334" t="s">
        <v>9015</v>
      </c>
      <c r="C2867" s="334" t="s">
        <v>2338</v>
      </c>
    </row>
    <row r="2868" spans="1:3" x14ac:dyDescent="0.2">
      <c r="A2868" s="334" t="s">
        <v>6023</v>
      </c>
      <c r="B2868" s="334" t="s">
        <v>9015</v>
      </c>
      <c r="C2868" s="334" t="s">
        <v>2338</v>
      </c>
    </row>
    <row r="2869" spans="1:3" x14ac:dyDescent="0.2">
      <c r="A2869" s="334" t="s">
        <v>6024</v>
      </c>
      <c r="B2869" s="334" t="s">
        <v>9015</v>
      </c>
      <c r="C2869" s="334" t="s">
        <v>2338</v>
      </c>
    </row>
    <row r="2870" spans="1:3" x14ac:dyDescent="0.2">
      <c r="A2870" s="334" t="s">
        <v>6025</v>
      </c>
      <c r="B2870" s="334" t="s">
        <v>9015</v>
      </c>
      <c r="C2870" s="334" t="s">
        <v>2338</v>
      </c>
    </row>
    <row r="2871" spans="1:3" x14ac:dyDescent="0.2">
      <c r="A2871" s="334" t="s">
        <v>6026</v>
      </c>
      <c r="B2871" s="334" t="s">
        <v>9015</v>
      </c>
      <c r="C2871" s="334" t="s">
        <v>2338</v>
      </c>
    </row>
    <row r="2872" spans="1:3" x14ac:dyDescent="0.2">
      <c r="A2872" s="334" t="s">
        <v>6027</v>
      </c>
      <c r="B2872" s="334" t="s">
        <v>9015</v>
      </c>
      <c r="C2872" s="334" t="s">
        <v>2338</v>
      </c>
    </row>
    <row r="2873" spans="1:3" x14ac:dyDescent="0.2">
      <c r="A2873" s="334" t="s">
        <v>6028</v>
      </c>
      <c r="B2873" s="334" t="s">
        <v>9016</v>
      </c>
      <c r="C2873" s="334" t="s">
        <v>2338</v>
      </c>
    </row>
    <row r="2874" spans="1:3" x14ac:dyDescent="0.2">
      <c r="A2874" s="334" t="s">
        <v>6029</v>
      </c>
      <c r="B2874" s="334" t="s">
        <v>9017</v>
      </c>
      <c r="C2874" s="334" t="s">
        <v>2338</v>
      </c>
    </row>
    <row r="2875" spans="1:3" x14ac:dyDescent="0.2">
      <c r="A2875" s="334" t="s">
        <v>6030</v>
      </c>
      <c r="B2875" s="334" t="s">
        <v>9015</v>
      </c>
      <c r="C2875" s="334" t="s">
        <v>2338</v>
      </c>
    </row>
    <row r="2876" spans="1:3" x14ac:dyDescent="0.2">
      <c r="A2876" s="334" t="s">
        <v>6031</v>
      </c>
      <c r="B2876" s="334" t="s">
        <v>9018</v>
      </c>
      <c r="C2876" s="334" t="s">
        <v>2338</v>
      </c>
    </row>
    <row r="2877" spans="1:3" x14ac:dyDescent="0.2">
      <c r="A2877" s="334" t="s">
        <v>6032</v>
      </c>
      <c r="B2877" s="334" t="s">
        <v>9019</v>
      </c>
      <c r="C2877" s="334" t="s">
        <v>2338</v>
      </c>
    </row>
    <row r="2878" spans="1:3" x14ac:dyDescent="0.2">
      <c r="A2878" s="334" t="s">
        <v>6033</v>
      </c>
      <c r="B2878" s="334" t="s">
        <v>9020</v>
      </c>
      <c r="C2878" s="334" t="s">
        <v>2338</v>
      </c>
    </row>
    <row r="2879" spans="1:3" x14ac:dyDescent="0.2">
      <c r="A2879" s="334" t="s">
        <v>6034</v>
      </c>
      <c r="B2879" s="334" t="s">
        <v>9021</v>
      </c>
      <c r="C2879" s="334" t="s">
        <v>2338</v>
      </c>
    </row>
    <row r="2880" spans="1:3" x14ac:dyDescent="0.2">
      <c r="A2880" s="334" t="s">
        <v>6035</v>
      </c>
      <c r="B2880" s="334" t="s">
        <v>9022</v>
      </c>
      <c r="C2880" s="334" t="s">
        <v>2338</v>
      </c>
    </row>
    <row r="2881" spans="1:3" x14ac:dyDescent="0.2">
      <c r="A2881" s="334" t="s">
        <v>6036</v>
      </c>
      <c r="B2881" s="334" t="s">
        <v>9023</v>
      </c>
      <c r="C2881" s="334" t="s">
        <v>11</v>
      </c>
    </row>
    <row r="2882" spans="1:3" x14ac:dyDescent="0.2">
      <c r="A2882" s="334" t="s">
        <v>6037</v>
      </c>
      <c r="B2882" s="334" t="s">
        <v>9015</v>
      </c>
      <c r="C2882" s="334" t="s">
        <v>2338</v>
      </c>
    </row>
    <row r="2883" spans="1:3" x14ac:dyDescent="0.2">
      <c r="A2883" s="334" t="s">
        <v>6038</v>
      </c>
      <c r="B2883" s="334" t="s">
        <v>9024</v>
      </c>
      <c r="C2883" s="334" t="s">
        <v>11</v>
      </c>
    </row>
    <row r="2884" spans="1:3" x14ac:dyDescent="0.2">
      <c r="A2884" s="334" t="s">
        <v>6039</v>
      </c>
      <c r="B2884" s="334" t="s">
        <v>9025</v>
      </c>
      <c r="C2884" s="334" t="s">
        <v>11</v>
      </c>
    </row>
    <row r="2885" spans="1:3" x14ac:dyDescent="0.2">
      <c r="A2885" s="334" t="s">
        <v>6040</v>
      </c>
      <c r="B2885" s="334" t="s">
        <v>9015</v>
      </c>
      <c r="C2885" s="334" t="s">
        <v>2338</v>
      </c>
    </row>
    <row r="2886" spans="1:3" x14ac:dyDescent="0.2">
      <c r="A2886" s="334" t="s">
        <v>6041</v>
      </c>
      <c r="B2886" s="334" t="s">
        <v>9026</v>
      </c>
      <c r="C2886" s="334" t="s">
        <v>2338</v>
      </c>
    </row>
    <row r="2887" spans="1:3" x14ac:dyDescent="0.2">
      <c r="A2887" s="334" t="s">
        <v>6042</v>
      </c>
      <c r="B2887" s="334" t="s">
        <v>9027</v>
      </c>
      <c r="C2887" s="334" t="s">
        <v>2338</v>
      </c>
    </row>
    <row r="2888" spans="1:3" x14ac:dyDescent="0.2">
      <c r="A2888" s="334" t="s">
        <v>6043</v>
      </c>
      <c r="B2888" s="334" t="s">
        <v>9028</v>
      </c>
      <c r="C2888" s="334" t="s">
        <v>2338</v>
      </c>
    </row>
    <row r="2889" spans="1:3" x14ac:dyDescent="0.2">
      <c r="A2889" s="334" t="s">
        <v>6044</v>
      </c>
      <c r="B2889" s="334" t="s">
        <v>9029</v>
      </c>
      <c r="C2889" s="334" t="s">
        <v>2338</v>
      </c>
    </row>
    <row r="2890" spans="1:3" x14ac:dyDescent="0.2">
      <c r="A2890" s="334" t="s">
        <v>6045</v>
      </c>
      <c r="B2890" s="334" t="s">
        <v>9030</v>
      </c>
      <c r="C2890" s="334" t="s">
        <v>2338</v>
      </c>
    </row>
    <row r="2891" spans="1:3" x14ac:dyDescent="0.2">
      <c r="A2891" s="334" t="s">
        <v>6046</v>
      </c>
      <c r="B2891" s="334" t="s">
        <v>9031</v>
      </c>
      <c r="C2891" s="334" t="s">
        <v>2338</v>
      </c>
    </row>
    <row r="2892" spans="1:3" x14ac:dyDescent="0.2">
      <c r="A2892" s="334" t="s">
        <v>6047</v>
      </c>
      <c r="B2892" s="334" t="s">
        <v>9032</v>
      </c>
      <c r="C2892" s="334" t="s">
        <v>11</v>
      </c>
    </row>
    <row r="2893" spans="1:3" x14ac:dyDescent="0.2">
      <c r="A2893" s="334" t="s">
        <v>6048</v>
      </c>
      <c r="B2893" s="334" t="s">
        <v>9033</v>
      </c>
      <c r="C2893" s="334" t="s">
        <v>11</v>
      </c>
    </row>
    <row r="2894" spans="1:3" x14ac:dyDescent="0.2">
      <c r="A2894" s="334" t="s">
        <v>6049</v>
      </c>
      <c r="B2894" s="334" t="s">
        <v>9034</v>
      </c>
      <c r="C2894" s="334" t="s">
        <v>11</v>
      </c>
    </row>
    <row r="2895" spans="1:3" x14ac:dyDescent="0.2">
      <c r="A2895" s="334" t="s">
        <v>6050</v>
      </c>
      <c r="B2895" s="334" t="s">
        <v>9035</v>
      </c>
      <c r="C2895" s="334" t="s">
        <v>11</v>
      </c>
    </row>
    <row r="2896" spans="1:3" x14ac:dyDescent="0.2">
      <c r="A2896" s="334" t="s">
        <v>6051</v>
      </c>
      <c r="B2896" s="334" t="s">
        <v>9036</v>
      </c>
      <c r="C2896" s="334" t="s">
        <v>11</v>
      </c>
    </row>
    <row r="2897" spans="1:3" x14ac:dyDescent="0.2">
      <c r="A2897" s="334" t="s">
        <v>6052</v>
      </c>
      <c r="B2897" s="334" t="s">
        <v>9037</v>
      </c>
      <c r="C2897" s="334" t="s">
        <v>11</v>
      </c>
    </row>
    <row r="2898" spans="1:3" x14ac:dyDescent="0.2">
      <c r="A2898" s="334" t="s">
        <v>6053</v>
      </c>
      <c r="B2898" s="334" t="s">
        <v>9038</v>
      </c>
      <c r="C2898" s="334" t="s">
        <v>11</v>
      </c>
    </row>
    <row r="2899" spans="1:3" x14ac:dyDescent="0.2">
      <c r="A2899" s="334" t="s">
        <v>6054</v>
      </c>
      <c r="B2899" s="334" t="s">
        <v>9039</v>
      </c>
      <c r="C2899" s="334" t="s">
        <v>11</v>
      </c>
    </row>
    <row r="2900" spans="1:3" x14ac:dyDescent="0.2">
      <c r="A2900" s="334" t="s">
        <v>6055</v>
      </c>
      <c r="B2900" s="334" t="s">
        <v>9040</v>
      </c>
      <c r="C2900" s="334" t="s">
        <v>11</v>
      </c>
    </row>
    <row r="2901" spans="1:3" x14ac:dyDescent="0.2">
      <c r="A2901" s="334" t="s">
        <v>6056</v>
      </c>
      <c r="B2901" s="334" t="s">
        <v>9041</v>
      </c>
      <c r="C2901" s="334" t="s">
        <v>11</v>
      </c>
    </row>
    <row r="2902" spans="1:3" x14ac:dyDescent="0.2">
      <c r="A2902" s="334" t="s">
        <v>6057</v>
      </c>
      <c r="B2902" s="334" t="s">
        <v>9042</v>
      </c>
      <c r="C2902" s="334" t="s">
        <v>16</v>
      </c>
    </row>
    <row r="2903" spans="1:3" x14ac:dyDescent="0.2">
      <c r="A2903" s="334" t="s">
        <v>6058</v>
      </c>
      <c r="B2903" s="334" t="s">
        <v>9043</v>
      </c>
      <c r="C2903" s="334" t="s">
        <v>16</v>
      </c>
    </row>
    <row r="2904" spans="1:3" x14ac:dyDescent="0.2">
      <c r="A2904" s="334" t="s">
        <v>6059</v>
      </c>
      <c r="B2904" s="334" t="s">
        <v>9044</v>
      </c>
      <c r="C2904" s="334" t="s">
        <v>16</v>
      </c>
    </row>
    <row r="2905" spans="1:3" x14ac:dyDescent="0.2">
      <c r="A2905" s="334" t="s">
        <v>6060</v>
      </c>
      <c r="B2905" s="334" t="s">
        <v>9045</v>
      </c>
      <c r="C2905" s="334" t="s">
        <v>16</v>
      </c>
    </row>
    <row r="2906" spans="1:3" x14ac:dyDescent="0.2">
      <c r="A2906" s="334" t="s">
        <v>6061</v>
      </c>
      <c r="B2906" s="334" t="s">
        <v>9046</v>
      </c>
      <c r="C2906" s="334" t="s">
        <v>16</v>
      </c>
    </row>
    <row r="2907" spans="1:3" x14ac:dyDescent="0.2">
      <c r="A2907" s="334" t="s">
        <v>6062</v>
      </c>
      <c r="B2907" s="334" t="s">
        <v>9047</v>
      </c>
      <c r="C2907" s="334" t="s">
        <v>16</v>
      </c>
    </row>
    <row r="2908" spans="1:3" x14ac:dyDescent="0.2">
      <c r="A2908" s="334" t="s">
        <v>6063</v>
      </c>
      <c r="B2908" s="334" t="s">
        <v>9048</v>
      </c>
      <c r="C2908" s="334" t="s">
        <v>16</v>
      </c>
    </row>
    <row r="2909" spans="1:3" x14ac:dyDescent="0.2">
      <c r="A2909" s="334" t="s">
        <v>6064</v>
      </c>
      <c r="B2909" s="334" t="s">
        <v>9049</v>
      </c>
      <c r="C2909" s="334" t="s">
        <v>16</v>
      </c>
    </row>
    <row r="2910" spans="1:3" x14ac:dyDescent="0.2">
      <c r="A2910" s="334" t="s">
        <v>6065</v>
      </c>
      <c r="B2910" s="334" t="s">
        <v>9050</v>
      </c>
      <c r="C2910" s="334" t="s">
        <v>25</v>
      </c>
    </row>
    <row r="2911" spans="1:3" x14ac:dyDescent="0.2">
      <c r="A2911" s="334" t="s">
        <v>6066</v>
      </c>
      <c r="B2911" s="334" t="s">
        <v>9051</v>
      </c>
      <c r="C2911" s="334" t="s">
        <v>25</v>
      </c>
    </row>
    <row r="2912" spans="1:3" x14ac:dyDescent="0.2">
      <c r="A2912" s="334" t="s">
        <v>6067</v>
      </c>
      <c r="B2912" s="334" t="s">
        <v>9052</v>
      </c>
      <c r="C2912" s="334" t="s">
        <v>16</v>
      </c>
    </row>
    <row r="2913" spans="1:4" x14ac:dyDescent="0.2">
      <c r="A2913" s="334" t="s">
        <v>6068</v>
      </c>
      <c r="B2913" s="334" t="s">
        <v>9053</v>
      </c>
      <c r="C2913" s="334" t="s">
        <v>16</v>
      </c>
    </row>
    <row r="2914" spans="1:4" x14ac:dyDescent="0.2">
      <c r="A2914" s="334" t="s">
        <v>6069</v>
      </c>
      <c r="B2914" s="334" t="s">
        <v>9054</v>
      </c>
      <c r="C2914" s="334" t="s">
        <v>16</v>
      </c>
    </row>
    <row r="2915" spans="1:4" x14ac:dyDescent="0.2">
      <c r="A2915" s="347" t="s">
        <v>6070</v>
      </c>
      <c r="B2915" s="347" t="s">
        <v>9055</v>
      </c>
      <c r="C2915" s="347" t="s">
        <v>16</v>
      </c>
      <c r="D2915" s="348" t="s">
        <v>10271</v>
      </c>
    </row>
    <row r="2916" spans="1:4" x14ac:dyDescent="0.2">
      <c r="A2916" s="334" t="s">
        <v>6071</v>
      </c>
      <c r="B2916" s="334" t="s">
        <v>9056</v>
      </c>
      <c r="C2916" s="334" t="s">
        <v>11</v>
      </c>
    </row>
    <row r="2917" spans="1:4" x14ac:dyDescent="0.2">
      <c r="A2917" s="334" t="s">
        <v>6072</v>
      </c>
      <c r="B2917" s="334" t="s">
        <v>9057</v>
      </c>
      <c r="C2917" s="334" t="s">
        <v>11</v>
      </c>
    </row>
    <row r="2918" spans="1:4" x14ac:dyDescent="0.2">
      <c r="A2918" s="334" t="s">
        <v>6073</v>
      </c>
      <c r="B2918" s="334" t="s">
        <v>9058</v>
      </c>
      <c r="C2918" s="334" t="s">
        <v>11</v>
      </c>
    </row>
    <row r="2919" spans="1:4" x14ac:dyDescent="0.2">
      <c r="A2919" s="334" t="s">
        <v>6074</v>
      </c>
      <c r="B2919" s="334" t="s">
        <v>9059</v>
      </c>
      <c r="C2919" s="334" t="s">
        <v>11</v>
      </c>
    </row>
    <row r="2920" spans="1:4" x14ac:dyDescent="0.2">
      <c r="A2920" s="334" t="s">
        <v>6075</v>
      </c>
      <c r="B2920" s="334" t="s">
        <v>9060</v>
      </c>
      <c r="C2920" s="334" t="s">
        <v>11</v>
      </c>
    </row>
    <row r="2921" spans="1:4" x14ac:dyDescent="0.2">
      <c r="A2921" s="334" t="s">
        <v>6076</v>
      </c>
      <c r="B2921" s="334" t="s">
        <v>9061</v>
      </c>
      <c r="C2921" s="334" t="s">
        <v>11</v>
      </c>
    </row>
    <row r="2922" spans="1:4" x14ac:dyDescent="0.2">
      <c r="A2922" s="334" t="s">
        <v>6077</v>
      </c>
      <c r="B2922" s="334" t="s">
        <v>9062</v>
      </c>
      <c r="C2922" s="334" t="s">
        <v>11</v>
      </c>
    </row>
    <row r="2923" spans="1:4" x14ac:dyDescent="0.2">
      <c r="A2923" s="334" t="s">
        <v>6078</v>
      </c>
      <c r="B2923" s="334" t="s">
        <v>9063</v>
      </c>
      <c r="C2923" s="334" t="s">
        <v>11</v>
      </c>
    </row>
    <row r="2924" spans="1:4" x14ac:dyDescent="0.2">
      <c r="A2924" s="334" t="s">
        <v>6079</v>
      </c>
      <c r="B2924" s="334" t="s">
        <v>9064</v>
      </c>
      <c r="C2924" s="334" t="s">
        <v>11</v>
      </c>
    </row>
    <row r="2925" spans="1:4" x14ac:dyDescent="0.2">
      <c r="A2925" s="334" t="s">
        <v>6080</v>
      </c>
      <c r="B2925" s="334" t="s">
        <v>9065</v>
      </c>
      <c r="C2925" s="334" t="s">
        <v>11</v>
      </c>
    </row>
    <row r="2926" spans="1:4" x14ac:dyDescent="0.2">
      <c r="A2926" s="334" t="s">
        <v>6081</v>
      </c>
      <c r="B2926" s="334" t="s">
        <v>9066</v>
      </c>
      <c r="C2926" s="334" t="s">
        <v>11</v>
      </c>
    </row>
    <row r="2927" spans="1:4" x14ac:dyDescent="0.2">
      <c r="A2927" s="334" t="s">
        <v>6082</v>
      </c>
      <c r="B2927" s="334" t="s">
        <v>9067</v>
      </c>
      <c r="C2927" s="334" t="s">
        <v>11</v>
      </c>
    </row>
    <row r="2928" spans="1:4" x14ac:dyDescent="0.2">
      <c r="A2928" s="334" t="s">
        <v>6083</v>
      </c>
      <c r="B2928" s="334" t="s">
        <v>9068</v>
      </c>
      <c r="C2928" s="334" t="s">
        <v>11</v>
      </c>
    </row>
    <row r="2929" spans="1:4" x14ac:dyDescent="0.2">
      <c r="A2929" s="334" t="s">
        <v>6084</v>
      </c>
      <c r="B2929" s="334" t="s">
        <v>6085</v>
      </c>
      <c r="C2929" s="334" t="s">
        <v>2338</v>
      </c>
    </row>
    <row r="2930" spans="1:4" x14ac:dyDescent="0.2">
      <c r="A2930" s="334" t="s">
        <v>6086</v>
      </c>
      <c r="B2930" s="334" t="s">
        <v>6087</v>
      </c>
      <c r="C2930" s="334" t="s">
        <v>25</v>
      </c>
    </row>
    <row r="2931" spans="1:4" x14ac:dyDescent="0.2">
      <c r="A2931" s="334" t="s">
        <v>6088</v>
      </c>
      <c r="B2931" s="334" t="s">
        <v>6797</v>
      </c>
      <c r="C2931" s="334" t="s">
        <v>6602</v>
      </c>
    </row>
    <row r="2932" spans="1:4" x14ac:dyDescent="0.2">
      <c r="A2932" s="334" t="s">
        <v>6089</v>
      </c>
      <c r="B2932" s="334" t="s">
        <v>6090</v>
      </c>
      <c r="C2932" s="334" t="s">
        <v>2338</v>
      </c>
    </row>
    <row r="2933" spans="1:4" x14ac:dyDescent="0.2">
      <c r="A2933" s="334" t="s">
        <v>6091</v>
      </c>
      <c r="B2933" s="334" t="s">
        <v>9069</v>
      </c>
      <c r="C2933" s="334" t="s">
        <v>16</v>
      </c>
    </row>
    <row r="2934" spans="1:4" x14ac:dyDescent="0.2">
      <c r="A2934" s="334" t="s">
        <v>6092</v>
      </c>
      <c r="B2934" s="334" t="s">
        <v>6093</v>
      </c>
      <c r="C2934" s="334" t="s">
        <v>2338</v>
      </c>
    </row>
    <row r="2935" spans="1:4" x14ac:dyDescent="0.2">
      <c r="A2935" s="334" t="s">
        <v>6094</v>
      </c>
      <c r="B2935" s="334" t="s">
        <v>6095</v>
      </c>
      <c r="C2935" s="334" t="s">
        <v>2338</v>
      </c>
    </row>
    <row r="2936" spans="1:4" x14ac:dyDescent="0.2">
      <c r="A2936" s="347" t="s">
        <v>2172</v>
      </c>
      <c r="B2936" s="347" t="s">
        <v>9070</v>
      </c>
      <c r="C2936" s="347" t="s">
        <v>11</v>
      </c>
      <c r="D2936" s="348" t="s">
        <v>10271</v>
      </c>
    </row>
    <row r="2937" spans="1:4" x14ac:dyDescent="0.2">
      <c r="A2937" s="347" t="s">
        <v>2173</v>
      </c>
      <c r="B2937" s="347" t="s">
        <v>9071</v>
      </c>
      <c r="C2937" s="347" t="s">
        <v>11</v>
      </c>
      <c r="D2937" s="348" t="s">
        <v>10271</v>
      </c>
    </row>
    <row r="2938" spans="1:4" x14ac:dyDescent="0.2">
      <c r="A2938" s="334" t="s">
        <v>2174</v>
      </c>
      <c r="B2938" s="334" t="s">
        <v>9072</v>
      </c>
      <c r="C2938" s="334" t="s">
        <v>11</v>
      </c>
    </row>
    <row r="2939" spans="1:4" x14ac:dyDescent="0.2">
      <c r="A2939" s="334" t="s">
        <v>6096</v>
      </c>
      <c r="B2939" s="334" t="s">
        <v>9073</v>
      </c>
      <c r="C2939" s="334" t="s">
        <v>11</v>
      </c>
    </row>
    <row r="2940" spans="1:4" x14ac:dyDescent="0.2">
      <c r="A2940" s="334" t="s">
        <v>6097</v>
      </c>
      <c r="B2940" s="334" t="s">
        <v>9074</v>
      </c>
      <c r="C2940" s="334" t="s">
        <v>16</v>
      </c>
    </row>
    <row r="2941" spans="1:4" x14ac:dyDescent="0.2">
      <c r="A2941" s="334" t="s">
        <v>6098</v>
      </c>
      <c r="B2941" s="334" t="s">
        <v>9075</v>
      </c>
      <c r="C2941" s="334" t="s">
        <v>52</v>
      </c>
    </row>
    <row r="2942" spans="1:4" x14ac:dyDescent="0.2">
      <c r="A2942" s="334" t="s">
        <v>6099</v>
      </c>
      <c r="B2942" s="334" t="s">
        <v>8156</v>
      </c>
      <c r="C2942" s="334" t="s">
        <v>16</v>
      </c>
    </row>
    <row r="2943" spans="1:4" x14ac:dyDescent="0.2">
      <c r="A2943" s="334" t="s">
        <v>6100</v>
      </c>
      <c r="B2943" s="334" t="s">
        <v>9076</v>
      </c>
      <c r="C2943" s="334" t="s">
        <v>2338</v>
      </c>
    </row>
    <row r="2944" spans="1:4" x14ac:dyDescent="0.2">
      <c r="A2944" s="334" t="s">
        <v>6101</v>
      </c>
      <c r="B2944" s="334" t="s">
        <v>7868</v>
      </c>
      <c r="C2944" s="334" t="s">
        <v>2338</v>
      </c>
    </row>
    <row r="2945" spans="1:3" x14ac:dyDescent="0.2">
      <c r="A2945" s="334" t="s">
        <v>6102</v>
      </c>
      <c r="B2945" s="334" t="s">
        <v>9077</v>
      </c>
      <c r="C2945" s="334" t="s">
        <v>2338</v>
      </c>
    </row>
    <row r="2946" spans="1:3" x14ac:dyDescent="0.2">
      <c r="A2946" s="334" t="s">
        <v>6103</v>
      </c>
      <c r="B2946" s="334" t="s">
        <v>2582</v>
      </c>
      <c r="C2946" s="334" t="s">
        <v>52</v>
      </c>
    </row>
    <row r="2947" spans="1:3" x14ac:dyDescent="0.2">
      <c r="A2947" s="334" t="s">
        <v>6104</v>
      </c>
      <c r="B2947" s="334" t="s">
        <v>9078</v>
      </c>
      <c r="C2947" s="334" t="s">
        <v>16</v>
      </c>
    </row>
    <row r="2948" spans="1:3" x14ac:dyDescent="0.2">
      <c r="A2948" s="334" t="s">
        <v>6105</v>
      </c>
      <c r="B2948" s="334" t="s">
        <v>9079</v>
      </c>
      <c r="C2948" s="334" t="s">
        <v>2338</v>
      </c>
    </row>
    <row r="2949" spans="1:3" x14ac:dyDescent="0.2">
      <c r="A2949" s="334" t="s">
        <v>6106</v>
      </c>
      <c r="B2949" s="334" t="s">
        <v>2604</v>
      </c>
      <c r="C2949" s="334" t="s">
        <v>11</v>
      </c>
    </row>
    <row r="2950" spans="1:3" x14ac:dyDescent="0.2">
      <c r="A2950" s="334" t="s">
        <v>6107</v>
      </c>
      <c r="B2950" s="334" t="s">
        <v>9080</v>
      </c>
      <c r="C2950" s="334" t="s">
        <v>16</v>
      </c>
    </row>
    <row r="2951" spans="1:3" x14ac:dyDescent="0.2">
      <c r="A2951" s="334" t="s">
        <v>6108</v>
      </c>
      <c r="B2951" s="334" t="s">
        <v>2617</v>
      </c>
      <c r="C2951" s="334" t="s">
        <v>52</v>
      </c>
    </row>
    <row r="2952" spans="1:3" x14ac:dyDescent="0.2">
      <c r="A2952" s="334" t="s">
        <v>6109</v>
      </c>
      <c r="B2952" s="334" t="s">
        <v>9081</v>
      </c>
      <c r="C2952" s="334" t="s">
        <v>16</v>
      </c>
    </row>
    <row r="2953" spans="1:3" x14ac:dyDescent="0.2">
      <c r="A2953" s="334" t="s">
        <v>6110</v>
      </c>
      <c r="B2953" s="334" t="s">
        <v>9082</v>
      </c>
      <c r="C2953" s="334" t="s">
        <v>2338</v>
      </c>
    </row>
    <row r="2954" spans="1:3" x14ac:dyDescent="0.2">
      <c r="A2954" s="334" t="s">
        <v>6111</v>
      </c>
      <c r="B2954" s="334" t="s">
        <v>9083</v>
      </c>
      <c r="C2954" s="334" t="s">
        <v>2338</v>
      </c>
    </row>
    <row r="2955" spans="1:3" x14ac:dyDescent="0.2">
      <c r="A2955" s="334" t="s">
        <v>6112</v>
      </c>
      <c r="B2955" s="334" t="s">
        <v>9084</v>
      </c>
      <c r="C2955" s="334" t="s">
        <v>2338</v>
      </c>
    </row>
    <row r="2956" spans="1:3" x14ac:dyDescent="0.2">
      <c r="A2956" s="334" t="s">
        <v>6113</v>
      </c>
      <c r="B2956" s="334" t="s">
        <v>9085</v>
      </c>
      <c r="C2956" s="334" t="s">
        <v>2338</v>
      </c>
    </row>
    <row r="2957" spans="1:3" x14ac:dyDescent="0.2">
      <c r="A2957" s="334" t="s">
        <v>6114</v>
      </c>
      <c r="B2957" s="334" t="s">
        <v>9086</v>
      </c>
      <c r="C2957" s="334" t="s">
        <v>2338</v>
      </c>
    </row>
    <row r="2958" spans="1:3" x14ac:dyDescent="0.2">
      <c r="A2958" s="334" t="s">
        <v>6115</v>
      </c>
      <c r="B2958" s="334" t="s">
        <v>9087</v>
      </c>
      <c r="C2958" s="334" t="s">
        <v>2338</v>
      </c>
    </row>
    <row r="2959" spans="1:3" x14ac:dyDescent="0.2">
      <c r="A2959" s="334" t="s">
        <v>6116</v>
      </c>
      <c r="B2959" s="334" t="s">
        <v>9088</v>
      </c>
      <c r="C2959" s="334" t="s">
        <v>2338</v>
      </c>
    </row>
    <row r="2960" spans="1:3" x14ac:dyDescent="0.2">
      <c r="A2960" s="334" t="s">
        <v>6117</v>
      </c>
      <c r="B2960" s="334" t="s">
        <v>9089</v>
      </c>
      <c r="C2960" s="334" t="s">
        <v>2338</v>
      </c>
    </row>
    <row r="2961" spans="1:3" x14ac:dyDescent="0.2">
      <c r="A2961" s="334" t="s">
        <v>6118</v>
      </c>
      <c r="B2961" s="334" t="s">
        <v>9090</v>
      </c>
      <c r="C2961" s="334" t="s">
        <v>2338</v>
      </c>
    </row>
    <row r="2962" spans="1:3" x14ac:dyDescent="0.2">
      <c r="A2962" s="334" t="s">
        <v>6119</v>
      </c>
      <c r="B2962" s="334" t="s">
        <v>9091</v>
      </c>
      <c r="C2962" s="334" t="s">
        <v>2338</v>
      </c>
    </row>
    <row r="2963" spans="1:3" x14ac:dyDescent="0.2">
      <c r="A2963" s="334" t="s">
        <v>6120</v>
      </c>
      <c r="B2963" s="334" t="s">
        <v>9092</v>
      </c>
      <c r="C2963" s="334" t="s">
        <v>6602</v>
      </c>
    </row>
    <row r="2964" spans="1:3" x14ac:dyDescent="0.2">
      <c r="A2964" s="334" t="s">
        <v>6121</v>
      </c>
      <c r="B2964" s="334" t="s">
        <v>9093</v>
      </c>
      <c r="C2964" s="334" t="s">
        <v>2338</v>
      </c>
    </row>
    <row r="2965" spans="1:3" x14ac:dyDescent="0.2">
      <c r="A2965" s="334" t="s">
        <v>6122</v>
      </c>
      <c r="B2965" s="334" t="s">
        <v>9094</v>
      </c>
      <c r="C2965" s="334" t="s">
        <v>2338</v>
      </c>
    </row>
    <row r="2966" spans="1:3" x14ac:dyDescent="0.2">
      <c r="A2966" s="334" t="s">
        <v>6123</v>
      </c>
      <c r="B2966" s="334" t="s">
        <v>9095</v>
      </c>
      <c r="C2966" s="334" t="s">
        <v>11</v>
      </c>
    </row>
    <row r="2967" spans="1:3" x14ac:dyDescent="0.2">
      <c r="A2967" s="334" t="s">
        <v>6124</v>
      </c>
      <c r="B2967" s="334" t="s">
        <v>9096</v>
      </c>
      <c r="C2967" s="334" t="s">
        <v>11</v>
      </c>
    </row>
    <row r="2968" spans="1:3" x14ac:dyDescent="0.2">
      <c r="A2968" s="334" t="s">
        <v>6125</v>
      </c>
      <c r="B2968" s="334" t="s">
        <v>9097</v>
      </c>
      <c r="C2968" s="334" t="s">
        <v>11</v>
      </c>
    </row>
    <row r="2969" spans="1:3" x14ac:dyDescent="0.2">
      <c r="A2969" s="334" t="s">
        <v>6126</v>
      </c>
      <c r="B2969" s="334" t="s">
        <v>9098</v>
      </c>
      <c r="C2969" s="334" t="s">
        <v>11</v>
      </c>
    </row>
    <row r="2970" spans="1:3" x14ac:dyDescent="0.2">
      <c r="A2970" s="334" t="s">
        <v>6127</v>
      </c>
      <c r="B2970" s="334" t="s">
        <v>9099</v>
      </c>
      <c r="C2970" s="334" t="s">
        <v>11</v>
      </c>
    </row>
    <row r="2971" spans="1:3" x14ac:dyDescent="0.2">
      <c r="A2971" s="334" t="s">
        <v>6128</v>
      </c>
      <c r="B2971" s="334" t="s">
        <v>9100</v>
      </c>
      <c r="C2971" s="334" t="s">
        <v>2338</v>
      </c>
    </row>
    <row r="2972" spans="1:3" x14ac:dyDescent="0.2">
      <c r="A2972" s="334" t="s">
        <v>6129</v>
      </c>
      <c r="B2972" s="334" t="s">
        <v>9101</v>
      </c>
      <c r="C2972" s="334" t="s">
        <v>2338</v>
      </c>
    </row>
    <row r="2973" spans="1:3" x14ac:dyDescent="0.2">
      <c r="A2973" s="334" t="s">
        <v>6130</v>
      </c>
      <c r="B2973" s="334" t="s">
        <v>9102</v>
      </c>
      <c r="C2973" s="334" t="s">
        <v>11</v>
      </c>
    </row>
    <row r="2974" spans="1:3" x14ac:dyDescent="0.2">
      <c r="A2974" s="334" t="s">
        <v>6131</v>
      </c>
      <c r="B2974" s="334" t="s">
        <v>9103</v>
      </c>
      <c r="C2974" s="334" t="s">
        <v>11</v>
      </c>
    </row>
    <row r="2975" spans="1:3" x14ac:dyDescent="0.2">
      <c r="A2975" s="334" t="s">
        <v>6132</v>
      </c>
      <c r="B2975" s="334" t="s">
        <v>9104</v>
      </c>
      <c r="C2975" s="334" t="s">
        <v>25</v>
      </c>
    </row>
    <row r="2976" spans="1:3" x14ac:dyDescent="0.2">
      <c r="A2976" s="334" t="s">
        <v>6133</v>
      </c>
      <c r="B2976" s="334" t="s">
        <v>9105</v>
      </c>
      <c r="C2976" s="334" t="s">
        <v>6603</v>
      </c>
    </row>
    <row r="2977" spans="1:4" x14ac:dyDescent="0.2">
      <c r="A2977" s="334" t="s">
        <v>6134</v>
      </c>
      <c r="B2977" s="334" t="s">
        <v>9106</v>
      </c>
      <c r="C2977" s="334" t="s">
        <v>6603</v>
      </c>
    </row>
    <row r="2978" spans="1:4" x14ac:dyDescent="0.2">
      <c r="A2978" s="334" t="s">
        <v>6135</v>
      </c>
      <c r="B2978" s="334" t="s">
        <v>9107</v>
      </c>
      <c r="C2978" s="334" t="s">
        <v>2338</v>
      </c>
    </row>
    <row r="2979" spans="1:4" x14ac:dyDescent="0.2">
      <c r="A2979" s="347" t="s">
        <v>2175</v>
      </c>
      <c r="B2979" s="347" t="s">
        <v>9108</v>
      </c>
      <c r="C2979" s="347" t="s">
        <v>16</v>
      </c>
      <c r="D2979" s="348" t="s">
        <v>10271</v>
      </c>
    </row>
    <row r="2980" spans="1:4" x14ac:dyDescent="0.2">
      <c r="A2980" s="347" t="s">
        <v>2176</v>
      </c>
      <c r="B2980" s="347" t="s">
        <v>9109</v>
      </c>
      <c r="C2980" s="347" t="s">
        <v>16</v>
      </c>
      <c r="D2980" s="348" t="s">
        <v>10271</v>
      </c>
    </row>
    <row r="2981" spans="1:4" x14ac:dyDescent="0.2">
      <c r="A2981" s="347" t="s">
        <v>2177</v>
      </c>
      <c r="B2981" s="347" t="s">
        <v>9110</v>
      </c>
      <c r="C2981" s="347" t="s">
        <v>16</v>
      </c>
      <c r="D2981" s="348" t="s">
        <v>10271</v>
      </c>
    </row>
    <row r="2982" spans="1:4" x14ac:dyDescent="0.2">
      <c r="A2982" s="347" t="s">
        <v>2178</v>
      </c>
      <c r="B2982" s="347" t="s">
        <v>9111</v>
      </c>
      <c r="C2982" s="347" t="s">
        <v>2338</v>
      </c>
      <c r="D2982" s="348" t="s">
        <v>10271</v>
      </c>
    </row>
    <row r="2983" spans="1:4" x14ac:dyDescent="0.2">
      <c r="A2983" s="347" t="s">
        <v>258</v>
      </c>
      <c r="B2983" s="347" t="s">
        <v>9112</v>
      </c>
      <c r="C2983" s="347" t="s">
        <v>52</v>
      </c>
      <c r="D2983" s="348" t="s">
        <v>10271</v>
      </c>
    </row>
    <row r="2984" spans="1:4" x14ac:dyDescent="0.2">
      <c r="A2984" s="347" t="s">
        <v>212</v>
      </c>
      <c r="B2984" s="347" t="s">
        <v>2934</v>
      </c>
      <c r="C2984" s="347" t="s">
        <v>11</v>
      </c>
      <c r="D2984" s="348" t="s">
        <v>10271</v>
      </c>
    </row>
    <row r="2985" spans="1:4" x14ac:dyDescent="0.2">
      <c r="A2985" s="334" t="s">
        <v>2179</v>
      </c>
      <c r="B2985" s="334" t="s">
        <v>9113</v>
      </c>
      <c r="C2985" s="334" t="s">
        <v>11</v>
      </c>
    </row>
    <row r="2986" spans="1:4" x14ac:dyDescent="0.2">
      <c r="A2986" s="347" t="s">
        <v>493</v>
      </c>
      <c r="B2986" s="347" t="s">
        <v>2901</v>
      </c>
      <c r="C2986" s="347" t="s">
        <v>2338</v>
      </c>
      <c r="D2986" s="348" t="s">
        <v>10271</v>
      </c>
    </row>
    <row r="2987" spans="1:4" x14ac:dyDescent="0.2">
      <c r="A2987" s="334" t="s">
        <v>2180</v>
      </c>
      <c r="B2987" s="334" t="s">
        <v>9114</v>
      </c>
      <c r="C2987" s="334" t="s">
        <v>2338</v>
      </c>
    </row>
    <row r="2988" spans="1:4" x14ac:dyDescent="0.2">
      <c r="A2988" s="334" t="s">
        <v>2181</v>
      </c>
      <c r="B2988" s="334" t="s">
        <v>9115</v>
      </c>
      <c r="C2988" s="334" t="s">
        <v>11</v>
      </c>
    </row>
    <row r="2989" spans="1:4" x14ac:dyDescent="0.2">
      <c r="A2989" s="334" t="s">
        <v>2182</v>
      </c>
      <c r="B2989" s="334" t="s">
        <v>9116</v>
      </c>
      <c r="C2989" s="334" t="s">
        <v>2338</v>
      </c>
    </row>
    <row r="2990" spans="1:4" x14ac:dyDescent="0.2">
      <c r="A2990" s="334" t="s">
        <v>2183</v>
      </c>
      <c r="B2990" s="334" t="s">
        <v>9117</v>
      </c>
      <c r="C2990" s="334" t="s">
        <v>2338</v>
      </c>
    </row>
    <row r="2991" spans="1:4" x14ac:dyDescent="0.2">
      <c r="A2991" s="334" t="s">
        <v>2184</v>
      </c>
      <c r="B2991" s="334" t="s">
        <v>9118</v>
      </c>
      <c r="C2991" s="334" t="s">
        <v>16</v>
      </c>
    </row>
    <row r="2992" spans="1:4" x14ac:dyDescent="0.2">
      <c r="A2992" s="334" t="s">
        <v>2185</v>
      </c>
      <c r="B2992" s="334" t="s">
        <v>9119</v>
      </c>
      <c r="C2992" s="334" t="s">
        <v>2338</v>
      </c>
    </row>
    <row r="2993" spans="1:4" x14ac:dyDescent="0.2">
      <c r="A2993" s="334" t="s">
        <v>2186</v>
      </c>
      <c r="B2993" s="334" t="s">
        <v>9120</v>
      </c>
      <c r="C2993" s="334" t="s">
        <v>2557</v>
      </c>
    </row>
    <row r="2994" spans="1:4" x14ac:dyDescent="0.2">
      <c r="A2994" s="334" t="s">
        <v>208</v>
      </c>
      <c r="B2994" s="334" t="s">
        <v>9121</v>
      </c>
      <c r="C2994" s="334" t="s">
        <v>2338</v>
      </c>
    </row>
    <row r="2995" spans="1:4" x14ac:dyDescent="0.2">
      <c r="A2995" s="347" t="s">
        <v>2187</v>
      </c>
      <c r="B2995" s="347" t="s">
        <v>2366</v>
      </c>
      <c r="C2995" s="347" t="s">
        <v>2338</v>
      </c>
      <c r="D2995" s="348" t="s">
        <v>10271</v>
      </c>
    </row>
    <row r="2996" spans="1:4" x14ac:dyDescent="0.2">
      <c r="A2996" s="334" t="s">
        <v>2188</v>
      </c>
      <c r="B2996" s="334" t="s">
        <v>9122</v>
      </c>
      <c r="C2996" s="334" t="s">
        <v>2338</v>
      </c>
    </row>
    <row r="2997" spans="1:4" x14ac:dyDescent="0.2">
      <c r="A2997" s="334" t="s">
        <v>2189</v>
      </c>
      <c r="B2997" s="334" t="s">
        <v>9123</v>
      </c>
      <c r="C2997" s="334" t="s">
        <v>2338</v>
      </c>
    </row>
    <row r="2998" spans="1:4" x14ac:dyDescent="0.2">
      <c r="A2998" s="334" t="s">
        <v>2190</v>
      </c>
      <c r="B2998" s="334" t="s">
        <v>9124</v>
      </c>
      <c r="C2998" s="334" t="s">
        <v>2338</v>
      </c>
    </row>
    <row r="2999" spans="1:4" x14ac:dyDescent="0.2">
      <c r="A2999" s="334" t="s">
        <v>2191</v>
      </c>
      <c r="B2999" s="334" t="s">
        <v>9125</v>
      </c>
      <c r="C2999" s="334" t="s">
        <v>2338</v>
      </c>
    </row>
    <row r="3000" spans="1:4" x14ac:dyDescent="0.2">
      <c r="A3000" s="334" t="s">
        <v>2192</v>
      </c>
      <c r="B3000" s="334" t="s">
        <v>9126</v>
      </c>
      <c r="C3000" s="334" t="s">
        <v>2338</v>
      </c>
    </row>
    <row r="3001" spans="1:4" x14ac:dyDescent="0.2">
      <c r="A3001" s="334" t="s">
        <v>2193</v>
      </c>
      <c r="B3001" s="334" t="s">
        <v>9127</v>
      </c>
      <c r="C3001" s="334" t="s">
        <v>2338</v>
      </c>
    </row>
    <row r="3002" spans="1:4" x14ac:dyDescent="0.2">
      <c r="A3002" s="334" t="s">
        <v>2194</v>
      </c>
      <c r="B3002" s="334" t="s">
        <v>9128</v>
      </c>
      <c r="C3002" s="334" t="s">
        <v>2338</v>
      </c>
    </row>
    <row r="3003" spans="1:4" x14ac:dyDescent="0.2">
      <c r="A3003" s="334" t="s">
        <v>2195</v>
      </c>
      <c r="B3003" s="334" t="s">
        <v>9129</v>
      </c>
      <c r="C3003" s="334" t="s">
        <v>2338</v>
      </c>
    </row>
    <row r="3004" spans="1:4" x14ac:dyDescent="0.2">
      <c r="A3004" s="347" t="s">
        <v>2197</v>
      </c>
      <c r="B3004" s="347" t="s">
        <v>9130</v>
      </c>
      <c r="C3004" s="347" t="s">
        <v>2338</v>
      </c>
      <c r="D3004" s="348" t="s">
        <v>10271</v>
      </c>
    </row>
    <row r="3005" spans="1:4" x14ac:dyDescent="0.2">
      <c r="A3005" s="334" t="s">
        <v>2198</v>
      </c>
      <c r="B3005" s="334" t="s">
        <v>9131</v>
      </c>
      <c r="C3005" s="334" t="s">
        <v>16</v>
      </c>
    </row>
    <row r="3006" spans="1:4" x14ac:dyDescent="0.2">
      <c r="A3006" s="334" t="s">
        <v>6136</v>
      </c>
      <c r="B3006" s="334" t="s">
        <v>6137</v>
      </c>
      <c r="C3006" s="334" t="s">
        <v>2338</v>
      </c>
    </row>
    <row r="3007" spans="1:4" x14ac:dyDescent="0.2">
      <c r="A3007" s="334" t="s">
        <v>2199</v>
      </c>
      <c r="B3007" s="334" t="s">
        <v>9132</v>
      </c>
      <c r="C3007" s="334" t="s">
        <v>2338</v>
      </c>
    </row>
    <row r="3008" spans="1:4" x14ac:dyDescent="0.2">
      <c r="A3008" s="334" t="s">
        <v>2200</v>
      </c>
      <c r="B3008" s="334" t="s">
        <v>9133</v>
      </c>
      <c r="C3008" s="334" t="s">
        <v>16</v>
      </c>
    </row>
    <row r="3009" spans="1:4" x14ac:dyDescent="0.2">
      <c r="A3009" s="334" t="s">
        <v>6138</v>
      </c>
      <c r="B3009" s="334" t="s">
        <v>9134</v>
      </c>
      <c r="C3009" s="334" t="s">
        <v>25</v>
      </c>
    </row>
    <row r="3010" spans="1:4" x14ac:dyDescent="0.2">
      <c r="A3010" s="334" t="s">
        <v>6139</v>
      </c>
      <c r="B3010" s="334" t="s">
        <v>9135</v>
      </c>
      <c r="C3010" s="334" t="s">
        <v>2338</v>
      </c>
    </row>
    <row r="3011" spans="1:4" x14ac:dyDescent="0.2">
      <c r="A3011" s="347" t="s">
        <v>209</v>
      </c>
      <c r="B3011" s="347" t="s">
        <v>7892</v>
      </c>
      <c r="C3011" s="347" t="s">
        <v>2338</v>
      </c>
      <c r="D3011" s="348" t="s">
        <v>10271</v>
      </c>
    </row>
    <row r="3012" spans="1:4" x14ac:dyDescent="0.2">
      <c r="A3012" s="347" t="s">
        <v>491</v>
      </c>
      <c r="B3012" s="347" t="s">
        <v>7892</v>
      </c>
      <c r="C3012" s="347" t="s">
        <v>2338</v>
      </c>
      <c r="D3012" s="348" t="s">
        <v>10271</v>
      </c>
    </row>
    <row r="3013" spans="1:4" x14ac:dyDescent="0.2">
      <c r="A3013" s="347" t="s">
        <v>210</v>
      </c>
      <c r="B3013" s="347" t="s">
        <v>2899</v>
      </c>
      <c r="C3013" s="347" t="s">
        <v>2338</v>
      </c>
      <c r="D3013" s="348" t="s">
        <v>10271</v>
      </c>
    </row>
    <row r="3014" spans="1:4" x14ac:dyDescent="0.2">
      <c r="A3014" s="334" t="s">
        <v>2201</v>
      </c>
      <c r="B3014" s="334" t="s">
        <v>9136</v>
      </c>
      <c r="C3014" s="334" t="s">
        <v>2338</v>
      </c>
    </row>
    <row r="3015" spans="1:4" x14ac:dyDescent="0.2">
      <c r="A3015" s="334" t="s">
        <v>6140</v>
      </c>
      <c r="B3015" s="334" t="s">
        <v>9137</v>
      </c>
      <c r="C3015" s="334" t="s">
        <v>16</v>
      </c>
    </row>
    <row r="3016" spans="1:4" x14ac:dyDescent="0.2">
      <c r="A3016" s="334" t="s">
        <v>6141</v>
      </c>
      <c r="B3016" s="334" t="s">
        <v>6142</v>
      </c>
      <c r="C3016" s="334" t="s">
        <v>2338</v>
      </c>
    </row>
    <row r="3017" spans="1:4" x14ac:dyDescent="0.2">
      <c r="A3017" s="334" t="s">
        <v>6143</v>
      </c>
      <c r="B3017" s="334" t="s">
        <v>6144</v>
      </c>
      <c r="C3017" s="334" t="s">
        <v>2338</v>
      </c>
    </row>
    <row r="3018" spans="1:4" x14ac:dyDescent="0.2">
      <c r="A3018" s="334" t="s">
        <v>6145</v>
      </c>
      <c r="B3018" s="334" t="s">
        <v>6146</v>
      </c>
      <c r="C3018" s="334" t="s">
        <v>2338</v>
      </c>
    </row>
    <row r="3019" spans="1:4" x14ac:dyDescent="0.2">
      <c r="A3019" s="334" t="s">
        <v>6147</v>
      </c>
      <c r="B3019" s="334" t="s">
        <v>9138</v>
      </c>
      <c r="C3019" s="334" t="s">
        <v>2338</v>
      </c>
    </row>
    <row r="3020" spans="1:4" x14ac:dyDescent="0.2">
      <c r="A3020" s="334" t="s">
        <v>6148</v>
      </c>
      <c r="B3020" s="334" t="s">
        <v>9139</v>
      </c>
      <c r="C3020" s="334" t="s">
        <v>11</v>
      </c>
    </row>
    <row r="3021" spans="1:4" x14ac:dyDescent="0.2">
      <c r="A3021" s="334" t="s">
        <v>6149</v>
      </c>
      <c r="B3021" s="334" t="s">
        <v>6150</v>
      </c>
      <c r="C3021" s="334" t="s">
        <v>2338</v>
      </c>
    </row>
    <row r="3022" spans="1:4" x14ac:dyDescent="0.2">
      <c r="A3022" s="334" t="s">
        <v>2202</v>
      </c>
      <c r="B3022" s="334" t="s">
        <v>5440</v>
      </c>
      <c r="C3022" s="334" t="s">
        <v>6602</v>
      </c>
    </row>
    <row r="3023" spans="1:4" x14ac:dyDescent="0.2">
      <c r="A3023" s="334" t="s">
        <v>6151</v>
      </c>
      <c r="B3023" s="334" t="s">
        <v>6152</v>
      </c>
      <c r="C3023" s="334" t="s">
        <v>2338</v>
      </c>
    </row>
    <row r="3024" spans="1:4" x14ac:dyDescent="0.2">
      <c r="A3024" s="334" t="s">
        <v>2203</v>
      </c>
      <c r="B3024" s="334" t="s">
        <v>9140</v>
      </c>
      <c r="C3024" s="334" t="s">
        <v>16</v>
      </c>
    </row>
    <row r="3025" spans="1:3" x14ac:dyDescent="0.2">
      <c r="A3025" s="334" t="s">
        <v>2204</v>
      </c>
      <c r="B3025" s="334" t="s">
        <v>9141</v>
      </c>
      <c r="C3025" s="334" t="s">
        <v>2338</v>
      </c>
    </row>
    <row r="3026" spans="1:3" x14ac:dyDescent="0.2">
      <c r="A3026" s="334" t="s">
        <v>2205</v>
      </c>
      <c r="B3026" s="334" t="s">
        <v>9142</v>
      </c>
      <c r="C3026" s="334" t="s">
        <v>16</v>
      </c>
    </row>
    <row r="3027" spans="1:3" x14ac:dyDescent="0.2">
      <c r="A3027" s="334" t="s">
        <v>2206</v>
      </c>
      <c r="B3027" s="334" t="s">
        <v>9143</v>
      </c>
      <c r="C3027" s="334" t="s">
        <v>2338</v>
      </c>
    </row>
    <row r="3028" spans="1:3" x14ac:dyDescent="0.2">
      <c r="A3028" s="334" t="s">
        <v>6153</v>
      </c>
      <c r="B3028" s="334" t="s">
        <v>9144</v>
      </c>
      <c r="C3028" s="334" t="s">
        <v>2338</v>
      </c>
    </row>
    <row r="3029" spans="1:3" x14ac:dyDescent="0.2">
      <c r="A3029" s="334" t="s">
        <v>6154</v>
      </c>
      <c r="B3029" s="334" t="s">
        <v>9145</v>
      </c>
      <c r="C3029" s="334" t="s">
        <v>11</v>
      </c>
    </row>
    <row r="3030" spans="1:3" x14ac:dyDescent="0.2">
      <c r="A3030" s="334" t="s">
        <v>6155</v>
      </c>
      <c r="B3030" s="334" t="s">
        <v>9146</v>
      </c>
      <c r="C3030" s="334" t="s">
        <v>11</v>
      </c>
    </row>
    <row r="3031" spans="1:3" x14ac:dyDescent="0.2">
      <c r="A3031" s="334" t="s">
        <v>6156</v>
      </c>
      <c r="B3031" s="334" t="s">
        <v>9147</v>
      </c>
      <c r="C3031" s="334" t="s">
        <v>11</v>
      </c>
    </row>
    <row r="3032" spans="1:3" x14ac:dyDescent="0.2">
      <c r="A3032" s="334" t="s">
        <v>6157</v>
      </c>
      <c r="B3032" s="334" t="s">
        <v>9148</v>
      </c>
      <c r="C3032" s="334" t="s">
        <v>11</v>
      </c>
    </row>
    <row r="3033" spans="1:3" x14ac:dyDescent="0.2">
      <c r="A3033" s="334" t="s">
        <v>6158</v>
      </c>
      <c r="B3033" s="334" t="s">
        <v>9149</v>
      </c>
      <c r="C3033" s="334" t="s">
        <v>11</v>
      </c>
    </row>
    <row r="3034" spans="1:3" x14ac:dyDescent="0.2">
      <c r="A3034" s="334" t="s">
        <v>6159</v>
      </c>
      <c r="B3034" s="334" t="s">
        <v>9150</v>
      </c>
      <c r="C3034" s="334" t="s">
        <v>11</v>
      </c>
    </row>
    <row r="3035" spans="1:3" x14ac:dyDescent="0.2">
      <c r="A3035" s="334" t="s">
        <v>6160</v>
      </c>
      <c r="B3035" s="334" t="s">
        <v>9151</v>
      </c>
      <c r="C3035" s="334" t="s">
        <v>11</v>
      </c>
    </row>
    <row r="3036" spans="1:3" x14ac:dyDescent="0.2">
      <c r="A3036" s="334" t="s">
        <v>6161</v>
      </c>
      <c r="B3036" s="334" t="s">
        <v>9152</v>
      </c>
      <c r="C3036" s="334" t="s">
        <v>11</v>
      </c>
    </row>
    <row r="3037" spans="1:3" x14ac:dyDescent="0.2">
      <c r="A3037" s="334" t="s">
        <v>6162</v>
      </c>
      <c r="B3037" s="334" t="s">
        <v>9153</v>
      </c>
      <c r="C3037" s="334" t="s">
        <v>11</v>
      </c>
    </row>
    <row r="3038" spans="1:3" x14ac:dyDescent="0.2">
      <c r="A3038" s="334" t="s">
        <v>6163</v>
      </c>
      <c r="B3038" s="334" t="s">
        <v>9154</v>
      </c>
      <c r="C3038" s="334" t="s">
        <v>11</v>
      </c>
    </row>
    <row r="3039" spans="1:3" x14ac:dyDescent="0.2">
      <c r="A3039" s="334" t="s">
        <v>6164</v>
      </c>
      <c r="B3039" s="334" t="s">
        <v>9155</v>
      </c>
      <c r="C3039" s="334" t="s">
        <v>11</v>
      </c>
    </row>
    <row r="3040" spans="1:3" x14ac:dyDescent="0.2">
      <c r="A3040" s="334" t="s">
        <v>6165</v>
      </c>
      <c r="B3040" s="334" t="s">
        <v>9156</v>
      </c>
      <c r="C3040" s="334" t="s">
        <v>11</v>
      </c>
    </row>
    <row r="3041" spans="1:3" x14ac:dyDescent="0.2">
      <c r="A3041" s="334" t="s">
        <v>6166</v>
      </c>
      <c r="B3041" s="334" t="s">
        <v>9157</v>
      </c>
      <c r="C3041" s="334" t="s">
        <v>11</v>
      </c>
    </row>
    <row r="3042" spans="1:3" x14ac:dyDescent="0.2">
      <c r="A3042" s="334" t="s">
        <v>6167</v>
      </c>
      <c r="B3042" s="334" t="s">
        <v>9158</v>
      </c>
      <c r="C3042" s="334" t="s">
        <v>11</v>
      </c>
    </row>
    <row r="3043" spans="1:3" x14ac:dyDescent="0.2">
      <c r="A3043" s="334" t="s">
        <v>6168</v>
      </c>
      <c r="B3043" s="334" t="s">
        <v>9159</v>
      </c>
      <c r="C3043" s="334" t="s">
        <v>11</v>
      </c>
    </row>
    <row r="3044" spans="1:3" x14ac:dyDescent="0.2">
      <c r="A3044" s="334" t="s">
        <v>6169</v>
      </c>
      <c r="B3044" s="334" t="s">
        <v>9160</v>
      </c>
      <c r="C3044" s="334" t="s">
        <v>11</v>
      </c>
    </row>
    <row r="3045" spans="1:3" x14ac:dyDescent="0.2">
      <c r="A3045" s="334" t="s">
        <v>6170</v>
      </c>
      <c r="B3045" s="334" t="s">
        <v>9161</v>
      </c>
      <c r="C3045" s="334" t="s">
        <v>11</v>
      </c>
    </row>
    <row r="3046" spans="1:3" x14ac:dyDescent="0.2">
      <c r="A3046" s="334" t="s">
        <v>6171</v>
      </c>
      <c r="B3046" s="334" t="s">
        <v>9162</v>
      </c>
      <c r="C3046" s="334" t="s">
        <v>11</v>
      </c>
    </row>
    <row r="3047" spans="1:3" x14ac:dyDescent="0.2">
      <c r="A3047" s="334" t="s">
        <v>6172</v>
      </c>
      <c r="B3047" s="334" t="s">
        <v>6173</v>
      </c>
      <c r="C3047" s="334" t="s">
        <v>11</v>
      </c>
    </row>
    <row r="3048" spans="1:3" x14ac:dyDescent="0.2">
      <c r="A3048" s="334" t="s">
        <v>6174</v>
      </c>
      <c r="B3048" s="334" t="s">
        <v>9163</v>
      </c>
      <c r="C3048" s="334" t="s">
        <v>11</v>
      </c>
    </row>
    <row r="3049" spans="1:3" x14ac:dyDescent="0.2">
      <c r="A3049" s="334" t="s">
        <v>6175</v>
      </c>
      <c r="B3049" s="334" t="s">
        <v>9164</v>
      </c>
      <c r="C3049" s="334" t="s">
        <v>11</v>
      </c>
    </row>
    <row r="3050" spans="1:3" x14ac:dyDescent="0.2">
      <c r="A3050" s="334" t="s">
        <v>6176</v>
      </c>
      <c r="B3050" s="334" t="s">
        <v>9165</v>
      </c>
      <c r="C3050" s="334" t="s">
        <v>11</v>
      </c>
    </row>
    <row r="3051" spans="1:3" x14ac:dyDescent="0.2">
      <c r="A3051" s="334" t="s">
        <v>6177</v>
      </c>
      <c r="B3051" s="334" t="s">
        <v>9166</v>
      </c>
      <c r="C3051" s="334" t="s">
        <v>11</v>
      </c>
    </row>
    <row r="3052" spans="1:3" x14ac:dyDescent="0.2">
      <c r="A3052" s="334" t="s">
        <v>6178</v>
      </c>
      <c r="B3052" s="334" t="s">
        <v>9167</v>
      </c>
      <c r="C3052" s="334" t="s">
        <v>11</v>
      </c>
    </row>
    <row r="3053" spans="1:3" x14ac:dyDescent="0.2">
      <c r="A3053" s="334" t="s">
        <v>6179</v>
      </c>
      <c r="B3053" s="334" t="s">
        <v>9168</v>
      </c>
      <c r="C3053" s="334" t="s">
        <v>11</v>
      </c>
    </row>
    <row r="3054" spans="1:3" x14ac:dyDescent="0.2">
      <c r="A3054" s="334" t="s">
        <v>6180</v>
      </c>
      <c r="B3054" s="334" t="s">
        <v>9169</v>
      </c>
      <c r="C3054" s="334" t="s">
        <v>11</v>
      </c>
    </row>
    <row r="3055" spans="1:3" x14ac:dyDescent="0.2">
      <c r="A3055" s="334" t="s">
        <v>6181</v>
      </c>
      <c r="B3055" s="334" t="s">
        <v>9170</v>
      </c>
      <c r="C3055" s="334" t="s">
        <v>11</v>
      </c>
    </row>
    <row r="3056" spans="1:3" x14ac:dyDescent="0.2">
      <c r="A3056" s="334" t="s">
        <v>6182</v>
      </c>
      <c r="B3056" s="334" t="s">
        <v>9171</v>
      </c>
      <c r="C3056" s="334" t="s">
        <v>11</v>
      </c>
    </row>
    <row r="3057" spans="1:3" x14ac:dyDescent="0.2">
      <c r="A3057" s="334" t="s">
        <v>6183</v>
      </c>
      <c r="B3057" s="334" t="s">
        <v>9172</v>
      </c>
      <c r="C3057" s="334" t="s">
        <v>11</v>
      </c>
    </row>
    <row r="3058" spans="1:3" x14ac:dyDescent="0.2">
      <c r="A3058" s="334" t="s">
        <v>6184</v>
      </c>
      <c r="B3058" s="334" t="s">
        <v>9173</v>
      </c>
      <c r="C3058" s="334" t="s">
        <v>11</v>
      </c>
    </row>
    <row r="3059" spans="1:3" x14ac:dyDescent="0.2">
      <c r="A3059" s="334" t="s">
        <v>2207</v>
      </c>
      <c r="B3059" s="334" t="s">
        <v>9174</v>
      </c>
      <c r="C3059" s="334" t="s">
        <v>11</v>
      </c>
    </row>
    <row r="3060" spans="1:3" x14ac:dyDescent="0.2">
      <c r="A3060" s="334" t="s">
        <v>6185</v>
      </c>
      <c r="B3060" s="334" t="s">
        <v>9175</v>
      </c>
      <c r="C3060" s="334" t="s">
        <v>11</v>
      </c>
    </row>
    <row r="3061" spans="1:3" x14ac:dyDescent="0.2">
      <c r="A3061" s="334" t="s">
        <v>2208</v>
      </c>
      <c r="B3061" s="334" t="s">
        <v>9176</v>
      </c>
      <c r="C3061" s="334" t="s">
        <v>11</v>
      </c>
    </row>
    <row r="3062" spans="1:3" x14ac:dyDescent="0.2">
      <c r="A3062" s="334" t="s">
        <v>6186</v>
      </c>
      <c r="B3062" s="334" t="s">
        <v>9177</v>
      </c>
      <c r="C3062" s="334" t="s">
        <v>11</v>
      </c>
    </row>
    <row r="3063" spans="1:3" x14ac:dyDescent="0.2">
      <c r="A3063" s="334" t="s">
        <v>6187</v>
      </c>
      <c r="B3063" s="334" t="s">
        <v>9178</v>
      </c>
      <c r="C3063" s="334" t="s">
        <v>11</v>
      </c>
    </row>
    <row r="3064" spans="1:3" x14ac:dyDescent="0.2">
      <c r="A3064" s="334" t="s">
        <v>6188</v>
      </c>
      <c r="B3064" s="334" t="s">
        <v>9179</v>
      </c>
      <c r="C3064" s="334" t="s">
        <v>11</v>
      </c>
    </row>
    <row r="3065" spans="1:3" x14ac:dyDescent="0.2">
      <c r="A3065" s="334" t="s">
        <v>6189</v>
      </c>
      <c r="B3065" s="334" t="s">
        <v>9180</v>
      </c>
      <c r="C3065" s="334" t="s">
        <v>11</v>
      </c>
    </row>
    <row r="3066" spans="1:3" x14ac:dyDescent="0.2">
      <c r="A3066" s="334" t="s">
        <v>6190</v>
      </c>
      <c r="B3066" s="334" t="s">
        <v>9181</v>
      </c>
      <c r="C3066" s="334" t="s">
        <v>11</v>
      </c>
    </row>
    <row r="3067" spans="1:3" x14ac:dyDescent="0.2">
      <c r="A3067" s="334" t="s">
        <v>6191</v>
      </c>
      <c r="B3067" s="334" t="s">
        <v>9182</v>
      </c>
      <c r="C3067" s="334" t="s">
        <v>11</v>
      </c>
    </row>
    <row r="3068" spans="1:3" x14ac:dyDescent="0.2">
      <c r="A3068" s="334" t="s">
        <v>6192</v>
      </c>
      <c r="B3068" s="334" t="s">
        <v>9183</v>
      </c>
      <c r="C3068" s="334" t="s">
        <v>11</v>
      </c>
    </row>
    <row r="3069" spans="1:3" x14ac:dyDescent="0.2">
      <c r="A3069" s="334" t="s">
        <v>6193</v>
      </c>
      <c r="B3069" s="334" t="s">
        <v>9184</v>
      </c>
      <c r="C3069" s="334" t="s">
        <v>11</v>
      </c>
    </row>
    <row r="3070" spans="1:3" x14ac:dyDescent="0.2">
      <c r="A3070" s="334" t="s">
        <v>6194</v>
      </c>
      <c r="B3070" s="334" t="s">
        <v>9185</v>
      </c>
      <c r="C3070" s="334" t="s">
        <v>11</v>
      </c>
    </row>
    <row r="3071" spans="1:3" x14ac:dyDescent="0.2">
      <c r="A3071" s="334" t="s">
        <v>6195</v>
      </c>
      <c r="B3071" s="334" t="s">
        <v>9186</v>
      </c>
      <c r="C3071" s="334" t="s">
        <v>11</v>
      </c>
    </row>
    <row r="3072" spans="1:3" x14ac:dyDescent="0.2">
      <c r="A3072" s="334" t="s">
        <v>6196</v>
      </c>
      <c r="B3072" s="334" t="s">
        <v>9187</v>
      </c>
      <c r="C3072" s="334" t="s">
        <v>25</v>
      </c>
    </row>
    <row r="3073" spans="1:3" x14ac:dyDescent="0.2">
      <c r="A3073" s="334" t="s">
        <v>2209</v>
      </c>
      <c r="B3073" s="334" t="s">
        <v>9188</v>
      </c>
      <c r="C3073" s="334" t="s">
        <v>2338</v>
      </c>
    </row>
    <row r="3074" spans="1:3" x14ac:dyDescent="0.2">
      <c r="A3074" s="334" t="s">
        <v>6197</v>
      </c>
      <c r="B3074" s="334" t="s">
        <v>9189</v>
      </c>
      <c r="C3074" s="334" t="s">
        <v>2338</v>
      </c>
    </row>
    <row r="3075" spans="1:3" x14ac:dyDescent="0.2">
      <c r="A3075" s="334" t="s">
        <v>6198</v>
      </c>
      <c r="B3075" s="334" t="s">
        <v>9190</v>
      </c>
      <c r="C3075" s="334" t="s">
        <v>2338</v>
      </c>
    </row>
    <row r="3076" spans="1:3" x14ac:dyDescent="0.2">
      <c r="A3076" s="334" t="s">
        <v>6199</v>
      </c>
      <c r="B3076" s="334" t="s">
        <v>9191</v>
      </c>
      <c r="C3076" s="334" t="s">
        <v>11</v>
      </c>
    </row>
    <row r="3077" spans="1:3" x14ac:dyDescent="0.2">
      <c r="A3077" s="334" t="s">
        <v>6200</v>
      </c>
      <c r="B3077" s="334" t="s">
        <v>9192</v>
      </c>
      <c r="C3077" s="334" t="s">
        <v>2338</v>
      </c>
    </row>
    <row r="3078" spans="1:3" x14ac:dyDescent="0.2">
      <c r="A3078" s="334" t="s">
        <v>6201</v>
      </c>
      <c r="B3078" s="334" t="s">
        <v>9193</v>
      </c>
      <c r="C3078" s="334" t="s">
        <v>11</v>
      </c>
    </row>
    <row r="3079" spans="1:3" x14ac:dyDescent="0.2">
      <c r="A3079" s="334" t="s">
        <v>6202</v>
      </c>
      <c r="B3079" s="334" t="s">
        <v>9194</v>
      </c>
      <c r="C3079" s="334" t="s">
        <v>52</v>
      </c>
    </row>
    <row r="3080" spans="1:3" x14ac:dyDescent="0.2">
      <c r="A3080" s="334" t="s">
        <v>6203</v>
      </c>
      <c r="B3080" s="334" t="s">
        <v>9195</v>
      </c>
      <c r="C3080" s="334" t="s">
        <v>11</v>
      </c>
    </row>
    <row r="3081" spans="1:3" x14ac:dyDescent="0.2">
      <c r="A3081" s="334" t="s">
        <v>6204</v>
      </c>
      <c r="B3081" s="334" t="s">
        <v>9196</v>
      </c>
      <c r="C3081" s="334" t="s">
        <v>2338</v>
      </c>
    </row>
    <row r="3082" spans="1:3" x14ac:dyDescent="0.2">
      <c r="A3082" s="334" t="s">
        <v>6205</v>
      </c>
      <c r="B3082" s="334" t="s">
        <v>9197</v>
      </c>
      <c r="C3082" s="334" t="s">
        <v>2338</v>
      </c>
    </row>
    <row r="3083" spans="1:3" x14ac:dyDescent="0.2">
      <c r="A3083" s="334" t="s">
        <v>6206</v>
      </c>
      <c r="B3083" s="334" t="s">
        <v>9198</v>
      </c>
      <c r="C3083" s="334" t="s">
        <v>2338</v>
      </c>
    </row>
    <row r="3084" spans="1:3" x14ac:dyDescent="0.2">
      <c r="A3084" s="334" t="s">
        <v>6207</v>
      </c>
      <c r="B3084" s="334" t="s">
        <v>9199</v>
      </c>
      <c r="C3084" s="334" t="s">
        <v>11</v>
      </c>
    </row>
    <row r="3085" spans="1:3" x14ac:dyDescent="0.2">
      <c r="A3085" s="334" t="s">
        <v>6208</v>
      </c>
      <c r="B3085" s="334" t="s">
        <v>9200</v>
      </c>
      <c r="C3085" s="334" t="s">
        <v>11</v>
      </c>
    </row>
    <row r="3086" spans="1:3" x14ac:dyDescent="0.2">
      <c r="A3086" s="334" t="s">
        <v>6209</v>
      </c>
      <c r="B3086" s="334" t="s">
        <v>9201</v>
      </c>
      <c r="C3086" s="334" t="s">
        <v>11</v>
      </c>
    </row>
    <row r="3087" spans="1:3" x14ac:dyDescent="0.2">
      <c r="A3087" s="334" t="s">
        <v>6210</v>
      </c>
      <c r="B3087" s="334" t="s">
        <v>9202</v>
      </c>
      <c r="C3087" s="334" t="s">
        <v>11</v>
      </c>
    </row>
    <row r="3088" spans="1:3" x14ac:dyDescent="0.2">
      <c r="A3088" s="334" t="s">
        <v>6211</v>
      </c>
      <c r="B3088" s="334" t="s">
        <v>9203</v>
      </c>
      <c r="C3088" s="334" t="s">
        <v>2338</v>
      </c>
    </row>
    <row r="3089" spans="1:3" x14ac:dyDescent="0.2">
      <c r="A3089" s="334" t="s">
        <v>6212</v>
      </c>
      <c r="B3089" s="334" t="s">
        <v>9204</v>
      </c>
      <c r="C3089" s="334" t="s">
        <v>11</v>
      </c>
    </row>
    <row r="3090" spans="1:3" x14ac:dyDescent="0.2">
      <c r="A3090" s="334" t="s">
        <v>6213</v>
      </c>
      <c r="B3090" s="334" t="s">
        <v>9205</v>
      </c>
      <c r="C3090" s="334" t="s">
        <v>16</v>
      </c>
    </row>
    <row r="3091" spans="1:3" x14ac:dyDescent="0.2">
      <c r="A3091" s="334" t="s">
        <v>6214</v>
      </c>
      <c r="B3091" s="334" t="s">
        <v>9206</v>
      </c>
      <c r="C3091" s="334" t="s">
        <v>16</v>
      </c>
    </row>
    <row r="3092" spans="1:3" x14ac:dyDescent="0.2">
      <c r="A3092" s="334" t="s">
        <v>6215</v>
      </c>
      <c r="B3092" s="334" t="s">
        <v>9207</v>
      </c>
      <c r="C3092" s="334" t="s">
        <v>25</v>
      </c>
    </row>
    <row r="3093" spans="1:3" x14ac:dyDescent="0.2">
      <c r="A3093" s="334" t="s">
        <v>2210</v>
      </c>
      <c r="B3093" s="334" t="s">
        <v>9208</v>
      </c>
      <c r="C3093" s="334" t="s">
        <v>2338</v>
      </c>
    </row>
    <row r="3094" spans="1:3" x14ac:dyDescent="0.2">
      <c r="A3094" s="334" t="s">
        <v>6216</v>
      </c>
      <c r="B3094" s="334" t="s">
        <v>9209</v>
      </c>
      <c r="C3094" s="334" t="s">
        <v>2338</v>
      </c>
    </row>
    <row r="3095" spans="1:3" x14ac:dyDescent="0.2">
      <c r="A3095" s="334" t="s">
        <v>6217</v>
      </c>
      <c r="B3095" s="334" t="s">
        <v>9210</v>
      </c>
      <c r="C3095" s="334" t="s">
        <v>2338</v>
      </c>
    </row>
    <row r="3096" spans="1:3" x14ac:dyDescent="0.2">
      <c r="A3096" s="334" t="s">
        <v>2211</v>
      </c>
      <c r="B3096" s="334" t="s">
        <v>9211</v>
      </c>
      <c r="C3096" s="334" t="s">
        <v>11</v>
      </c>
    </row>
    <row r="3097" spans="1:3" x14ac:dyDescent="0.2">
      <c r="A3097" s="334" t="s">
        <v>6218</v>
      </c>
      <c r="B3097" s="334" t="s">
        <v>9212</v>
      </c>
      <c r="C3097" s="334" t="s">
        <v>2338</v>
      </c>
    </row>
    <row r="3098" spans="1:3" x14ac:dyDescent="0.2">
      <c r="A3098" s="334" t="s">
        <v>2212</v>
      </c>
      <c r="B3098" s="334" t="s">
        <v>9213</v>
      </c>
      <c r="C3098" s="334" t="s">
        <v>2338</v>
      </c>
    </row>
    <row r="3099" spans="1:3" x14ac:dyDescent="0.2">
      <c r="A3099" s="334" t="s">
        <v>2213</v>
      </c>
      <c r="B3099" s="334" t="s">
        <v>9214</v>
      </c>
      <c r="C3099" s="334" t="s">
        <v>16</v>
      </c>
    </row>
    <row r="3100" spans="1:3" x14ac:dyDescent="0.2">
      <c r="A3100" s="334" t="s">
        <v>6219</v>
      </c>
      <c r="B3100" s="334" t="s">
        <v>9215</v>
      </c>
      <c r="C3100" s="334" t="s">
        <v>2338</v>
      </c>
    </row>
    <row r="3101" spans="1:3" x14ac:dyDescent="0.2">
      <c r="A3101" s="334" t="s">
        <v>2214</v>
      </c>
      <c r="B3101" s="334" t="s">
        <v>9216</v>
      </c>
      <c r="C3101" s="334" t="s">
        <v>2338</v>
      </c>
    </row>
    <row r="3102" spans="1:3" x14ac:dyDescent="0.2">
      <c r="A3102" s="334" t="s">
        <v>2215</v>
      </c>
      <c r="B3102" s="334" t="s">
        <v>9217</v>
      </c>
      <c r="C3102" s="334" t="s">
        <v>2338</v>
      </c>
    </row>
    <row r="3103" spans="1:3" x14ac:dyDescent="0.2">
      <c r="A3103" s="334" t="s">
        <v>2216</v>
      </c>
      <c r="B3103" s="334" t="s">
        <v>9218</v>
      </c>
      <c r="C3103" s="334" t="s">
        <v>2338</v>
      </c>
    </row>
    <row r="3104" spans="1:3" x14ac:dyDescent="0.2">
      <c r="A3104" s="334" t="s">
        <v>2217</v>
      </c>
      <c r="B3104" s="334" t="s">
        <v>9219</v>
      </c>
      <c r="C3104" s="334" t="s">
        <v>2338</v>
      </c>
    </row>
    <row r="3105" spans="1:3" x14ac:dyDescent="0.2">
      <c r="A3105" s="334" t="s">
        <v>2218</v>
      </c>
      <c r="B3105" s="334" t="s">
        <v>9220</v>
      </c>
      <c r="C3105" s="334" t="s">
        <v>25</v>
      </c>
    </row>
    <row r="3106" spans="1:3" x14ac:dyDescent="0.2">
      <c r="A3106" s="334" t="s">
        <v>2219</v>
      </c>
      <c r="B3106" s="334" t="s">
        <v>9221</v>
      </c>
      <c r="C3106" s="334" t="s">
        <v>16</v>
      </c>
    </row>
    <row r="3107" spans="1:3" x14ac:dyDescent="0.2">
      <c r="A3107" s="334" t="s">
        <v>6220</v>
      </c>
      <c r="B3107" s="334" t="s">
        <v>9222</v>
      </c>
      <c r="C3107" s="334" t="s">
        <v>2338</v>
      </c>
    </row>
    <row r="3108" spans="1:3" x14ac:dyDescent="0.2">
      <c r="A3108" s="334" t="s">
        <v>6221</v>
      </c>
      <c r="B3108" s="334" t="s">
        <v>2871</v>
      </c>
      <c r="C3108" s="334" t="s">
        <v>25</v>
      </c>
    </row>
    <row r="3109" spans="1:3" x14ac:dyDescent="0.2">
      <c r="A3109" s="334" t="s">
        <v>6222</v>
      </c>
      <c r="B3109" s="334" t="s">
        <v>9223</v>
      </c>
      <c r="C3109" s="334" t="s">
        <v>16</v>
      </c>
    </row>
    <row r="3110" spans="1:3" x14ac:dyDescent="0.2">
      <c r="A3110" s="334" t="s">
        <v>6223</v>
      </c>
      <c r="B3110" s="334" t="s">
        <v>9224</v>
      </c>
      <c r="C3110" s="334" t="s">
        <v>2338</v>
      </c>
    </row>
    <row r="3111" spans="1:3" x14ac:dyDescent="0.2">
      <c r="A3111" s="334" t="s">
        <v>6224</v>
      </c>
      <c r="B3111" s="334" t="s">
        <v>9225</v>
      </c>
      <c r="C3111" s="334" t="s">
        <v>2338</v>
      </c>
    </row>
    <row r="3112" spans="1:3" x14ac:dyDescent="0.2">
      <c r="A3112" s="334" t="s">
        <v>6225</v>
      </c>
      <c r="B3112" s="334" t="s">
        <v>8146</v>
      </c>
      <c r="C3112" s="334" t="s">
        <v>2338</v>
      </c>
    </row>
    <row r="3113" spans="1:3" x14ac:dyDescent="0.2">
      <c r="A3113" s="334" t="s">
        <v>9226</v>
      </c>
      <c r="B3113" s="334" t="s">
        <v>9227</v>
      </c>
      <c r="C3113" s="334" t="s">
        <v>2338</v>
      </c>
    </row>
    <row r="3114" spans="1:3" x14ac:dyDescent="0.2">
      <c r="A3114" s="334" t="s">
        <v>6226</v>
      </c>
      <c r="B3114" s="334" t="s">
        <v>6227</v>
      </c>
      <c r="C3114" s="334" t="s">
        <v>52</v>
      </c>
    </row>
    <row r="3115" spans="1:3" x14ac:dyDescent="0.2">
      <c r="A3115" s="334" t="s">
        <v>6228</v>
      </c>
      <c r="B3115" s="334" t="s">
        <v>9228</v>
      </c>
      <c r="C3115" s="334" t="s">
        <v>11</v>
      </c>
    </row>
    <row r="3116" spans="1:3" x14ac:dyDescent="0.2">
      <c r="A3116" s="334" t="s">
        <v>6229</v>
      </c>
      <c r="B3116" s="334" t="s">
        <v>9229</v>
      </c>
      <c r="C3116" s="334" t="s">
        <v>16</v>
      </c>
    </row>
    <row r="3117" spans="1:3" x14ac:dyDescent="0.2">
      <c r="A3117" s="334" t="s">
        <v>9230</v>
      </c>
      <c r="B3117" s="334" t="s">
        <v>9231</v>
      </c>
      <c r="C3117" s="334" t="s">
        <v>7969</v>
      </c>
    </row>
    <row r="3118" spans="1:3" x14ac:dyDescent="0.2">
      <c r="A3118" s="334" t="s">
        <v>6230</v>
      </c>
      <c r="B3118" s="334" t="s">
        <v>6914</v>
      </c>
      <c r="C3118" s="334" t="s">
        <v>11</v>
      </c>
    </row>
    <row r="3119" spans="1:3" x14ac:dyDescent="0.2">
      <c r="A3119" s="334" t="s">
        <v>6231</v>
      </c>
      <c r="B3119" s="334" t="s">
        <v>6917</v>
      </c>
      <c r="C3119" s="334" t="s">
        <v>11</v>
      </c>
    </row>
    <row r="3120" spans="1:3" x14ac:dyDescent="0.2">
      <c r="A3120" s="334" t="s">
        <v>6232</v>
      </c>
      <c r="B3120" s="334" t="s">
        <v>9232</v>
      </c>
      <c r="C3120" s="334" t="s">
        <v>16</v>
      </c>
    </row>
    <row r="3121" spans="1:3" x14ac:dyDescent="0.2">
      <c r="A3121" s="334" t="s">
        <v>6233</v>
      </c>
      <c r="B3121" s="334" t="s">
        <v>9233</v>
      </c>
      <c r="C3121" s="334" t="s">
        <v>11</v>
      </c>
    </row>
    <row r="3122" spans="1:3" x14ac:dyDescent="0.2">
      <c r="A3122" s="334" t="s">
        <v>6234</v>
      </c>
      <c r="B3122" s="334" t="s">
        <v>9234</v>
      </c>
      <c r="C3122" s="334" t="s">
        <v>11</v>
      </c>
    </row>
    <row r="3123" spans="1:3" x14ac:dyDescent="0.2">
      <c r="A3123" s="334" t="s">
        <v>6235</v>
      </c>
      <c r="B3123" s="334" t="s">
        <v>9235</v>
      </c>
      <c r="C3123" s="334" t="s">
        <v>16</v>
      </c>
    </row>
    <row r="3124" spans="1:3" x14ac:dyDescent="0.2">
      <c r="A3124" s="334" t="s">
        <v>6236</v>
      </c>
      <c r="B3124" s="334" t="s">
        <v>9236</v>
      </c>
      <c r="C3124" s="334" t="s">
        <v>16</v>
      </c>
    </row>
    <row r="3125" spans="1:3" x14ac:dyDescent="0.2">
      <c r="A3125" s="334" t="s">
        <v>6237</v>
      </c>
      <c r="B3125" s="334" t="s">
        <v>9237</v>
      </c>
      <c r="C3125" s="334" t="s">
        <v>25</v>
      </c>
    </row>
    <row r="3126" spans="1:3" x14ac:dyDescent="0.2">
      <c r="A3126" s="334" t="s">
        <v>6238</v>
      </c>
      <c r="B3126" s="334" t="s">
        <v>9238</v>
      </c>
      <c r="C3126" s="334" t="s">
        <v>25</v>
      </c>
    </row>
    <row r="3127" spans="1:3" x14ac:dyDescent="0.2">
      <c r="A3127" s="334" t="s">
        <v>6239</v>
      </c>
      <c r="B3127" s="334" t="s">
        <v>9239</v>
      </c>
      <c r="C3127" s="334" t="s">
        <v>16</v>
      </c>
    </row>
    <row r="3128" spans="1:3" x14ac:dyDescent="0.2">
      <c r="A3128" s="334" t="s">
        <v>6240</v>
      </c>
      <c r="B3128" s="334" t="s">
        <v>9240</v>
      </c>
      <c r="C3128" s="334" t="s">
        <v>25</v>
      </c>
    </row>
    <row r="3129" spans="1:3" x14ac:dyDescent="0.2">
      <c r="A3129" s="334" t="s">
        <v>6241</v>
      </c>
      <c r="B3129" s="334" t="s">
        <v>8367</v>
      </c>
      <c r="C3129" s="334" t="s">
        <v>11</v>
      </c>
    </row>
    <row r="3130" spans="1:3" x14ac:dyDescent="0.2">
      <c r="A3130" s="334" t="s">
        <v>6242</v>
      </c>
      <c r="B3130" s="334" t="s">
        <v>9241</v>
      </c>
      <c r="C3130" s="334" t="s">
        <v>2557</v>
      </c>
    </row>
    <row r="3131" spans="1:3" x14ac:dyDescent="0.2">
      <c r="A3131" s="334" t="s">
        <v>6243</v>
      </c>
      <c r="B3131" s="334" t="s">
        <v>9242</v>
      </c>
      <c r="C3131" s="334" t="s">
        <v>16</v>
      </c>
    </row>
    <row r="3132" spans="1:3" x14ac:dyDescent="0.2">
      <c r="A3132" s="334" t="s">
        <v>6244</v>
      </c>
      <c r="B3132" s="334" t="s">
        <v>2536</v>
      </c>
      <c r="C3132" s="334" t="s">
        <v>16</v>
      </c>
    </row>
    <row r="3133" spans="1:3" x14ac:dyDescent="0.2">
      <c r="A3133" s="334" t="s">
        <v>6245</v>
      </c>
      <c r="B3133" s="334" t="s">
        <v>9243</v>
      </c>
      <c r="C3133" s="334" t="s">
        <v>52</v>
      </c>
    </row>
    <row r="3134" spans="1:3" x14ac:dyDescent="0.2">
      <c r="A3134" s="334" t="s">
        <v>6246</v>
      </c>
      <c r="B3134" s="334" t="s">
        <v>9244</v>
      </c>
      <c r="C3134" s="334" t="s">
        <v>11</v>
      </c>
    </row>
    <row r="3135" spans="1:3" x14ac:dyDescent="0.2">
      <c r="A3135" s="334" t="s">
        <v>6247</v>
      </c>
      <c r="B3135" s="334" t="s">
        <v>9245</v>
      </c>
      <c r="C3135" s="334" t="s">
        <v>2338</v>
      </c>
    </row>
    <row r="3136" spans="1:3" x14ac:dyDescent="0.2">
      <c r="A3136" s="334" t="s">
        <v>6248</v>
      </c>
      <c r="B3136" s="334" t="s">
        <v>9246</v>
      </c>
      <c r="C3136" s="334" t="s">
        <v>2338</v>
      </c>
    </row>
    <row r="3137" spans="1:4" x14ac:dyDescent="0.2">
      <c r="A3137" s="334" t="s">
        <v>6249</v>
      </c>
      <c r="B3137" s="334" t="s">
        <v>9247</v>
      </c>
      <c r="C3137" s="334" t="s">
        <v>25</v>
      </c>
    </row>
    <row r="3138" spans="1:4" x14ac:dyDescent="0.2">
      <c r="A3138" s="334" t="s">
        <v>6250</v>
      </c>
      <c r="B3138" s="334" t="s">
        <v>9248</v>
      </c>
      <c r="C3138" s="334" t="s">
        <v>52</v>
      </c>
    </row>
    <row r="3139" spans="1:4" x14ac:dyDescent="0.2">
      <c r="A3139" s="334" t="s">
        <v>6251</v>
      </c>
      <c r="B3139" s="334" t="s">
        <v>9249</v>
      </c>
      <c r="C3139" s="334" t="s">
        <v>2338</v>
      </c>
    </row>
    <row r="3140" spans="1:4" x14ac:dyDescent="0.2">
      <c r="A3140" s="347" t="s">
        <v>6252</v>
      </c>
      <c r="B3140" s="347" t="s">
        <v>2541</v>
      </c>
      <c r="C3140" s="347" t="s">
        <v>2338</v>
      </c>
      <c r="D3140" s="348" t="s">
        <v>10271</v>
      </c>
    </row>
    <row r="3141" spans="1:4" x14ac:dyDescent="0.2">
      <c r="A3141" s="334" t="s">
        <v>6253</v>
      </c>
      <c r="B3141" s="334" t="s">
        <v>9250</v>
      </c>
      <c r="C3141" s="334" t="s">
        <v>16</v>
      </c>
    </row>
    <row r="3142" spans="1:4" x14ac:dyDescent="0.2">
      <c r="A3142" s="334" t="s">
        <v>6254</v>
      </c>
      <c r="B3142" s="334" t="s">
        <v>9251</v>
      </c>
      <c r="C3142" s="334" t="s">
        <v>16</v>
      </c>
    </row>
    <row r="3143" spans="1:4" x14ac:dyDescent="0.2">
      <c r="A3143" s="347" t="s">
        <v>3390</v>
      </c>
      <c r="B3143" s="347" t="s">
        <v>9252</v>
      </c>
      <c r="C3143" s="347" t="s">
        <v>2338</v>
      </c>
      <c r="D3143" s="348" t="s">
        <v>10271</v>
      </c>
    </row>
    <row r="3144" spans="1:4" x14ac:dyDescent="0.2">
      <c r="A3144" s="334" t="s">
        <v>6255</v>
      </c>
      <c r="B3144" s="334" t="s">
        <v>9253</v>
      </c>
      <c r="C3144" s="334" t="s">
        <v>11</v>
      </c>
    </row>
    <row r="3145" spans="1:4" x14ac:dyDescent="0.2">
      <c r="A3145" s="334" t="s">
        <v>6256</v>
      </c>
      <c r="B3145" s="334" t="s">
        <v>9254</v>
      </c>
      <c r="C3145" s="334" t="s">
        <v>2338</v>
      </c>
    </row>
    <row r="3146" spans="1:4" x14ac:dyDescent="0.2">
      <c r="A3146" s="334" t="s">
        <v>6257</v>
      </c>
      <c r="B3146" s="334" t="s">
        <v>9255</v>
      </c>
      <c r="C3146" s="334" t="s">
        <v>2338</v>
      </c>
    </row>
    <row r="3147" spans="1:4" x14ac:dyDescent="0.2">
      <c r="A3147" s="334" t="s">
        <v>6258</v>
      </c>
      <c r="B3147" s="334" t="s">
        <v>9256</v>
      </c>
      <c r="C3147" s="334" t="s">
        <v>2338</v>
      </c>
    </row>
    <row r="3148" spans="1:4" x14ac:dyDescent="0.2">
      <c r="A3148" s="334" t="s">
        <v>6259</v>
      </c>
      <c r="B3148" s="334" t="s">
        <v>9257</v>
      </c>
      <c r="C3148" s="334" t="s">
        <v>52</v>
      </c>
    </row>
    <row r="3149" spans="1:4" x14ac:dyDescent="0.2">
      <c r="A3149" s="334" t="s">
        <v>6260</v>
      </c>
      <c r="B3149" s="334" t="s">
        <v>2556</v>
      </c>
      <c r="C3149" s="334" t="s">
        <v>2557</v>
      </c>
    </row>
    <row r="3150" spans="1:4" x14ac:dyDescent="0.2">
      <c r="A3150" s="334" t="s">
        <v>6261</v>
      </c>
      <c r="B3150" s="334" t="s">
        <v>9258</v>
      </c>
      <c r="C3150" s="334" t="s">
        <v>16</v>
      </c>
    </row>
    <row r="3151" spans="1:4" x14ac:dyDescent="0.2">
      <c r="A3151" s="334" t="s">
        <v>6262</v>
      </c>
      <c r="B3151" s="334" t="s">
        <v>2616</v>
      </c>
      <c r="C3151" s="334" t="s">
        <v>52</v>
      </c>
    </row>
    <row r="3152" spans="1:4" x14ac:dyDescent="0.2">
      <c r="A3152" s="334" t="s">
        <v>6263</v>
      </c>
      <c r="B3152" s="334" t="s">
        <v>9259</v>
      </c>
      <c r="C3152" s="334" t="s">
        <v>16</v>
      </c>
    </row>
    <row r="3153" spans="1:3" x14ac:dyDescent="0.2">
      <c r="A3153" s="334" t="s">
        <v>6264</v>
      </c>
      <c r="B3153" s="334" t="s">
        <v>9260</v>
      </c>
      <c r="C3153" s="334" t="s">
        <v>2338</v>
      </c>
    </row>
    <row r="3154" spans="1:3" x14ac:dyDescent="0.2">
      <c r="A3154" s="334" t="s">
        <v>6265</v>
      </c>
      <c r="B3154" s="334" t="s">
        <v>9261</v>
      </c>
      <c r="C3154" s="334" t="s">
        <v>2338</v>
      </c>
    </row>
    <row r="3155" spans="1:3" x14ac:dyDescent="0.2">
      <c r="A3155" s="334" t="s">
        <v>6266</v>
      </c>
      <c r="B3155" s="334" t="s">
        <v>9262</v>
      </c>
      <c r="C3155" s="334" t="s">
        <v>16</v>
      </c>
    </row>
    <row r="3156" spans="1:3" x14ac:dyDescent="0.2">
      <c r="A3156" s="334" t="s">
        <v>6267</v>
      </c>
      <c r="B3156" s="334" t="s">
        <v>9263</v>
      </c>
      <c r="C3156" s="334" t="s">
        <v>2338</v>
      </c>
    </row>
    <row r="3157" spans="1:3" x14ac:dyDescent="0.2">
      <c r="A3157" s="334" t="s">
        <v>6268</v>
      </c>
      <c r="B3157" s="334" t="s">
        <v>9264</v>
      </c>
      <c r="C3157" s="334" t="s">
        <v>16</v>
      </c>
    </row>
    <row r="3158" spans="1:3" x14ac:dyDescent="0.2">
      <c r="A3158" s="334" t="s">
        <v>6269</v>
      </c>
      <c r="B3158" s="334" t="s">
        <v>9265</v>
      </c>
      <c r="C3158" s="334" t="s">
        <v>16</v>
      </c>
    </row>
    <row r="3159" spans="1:3" x14ac:dyDescent="0.2">
      <c r="A3159" s="334" t="s">
        <v>6270</v>
      </c>
      <c r="B3159" s="334" t="s">
        <v>9266</v>
      </c>
      <c r="C3159" s="334" t="s">
        <v>2338</v>
      </c>
    </row>
    <row r="3160" spans="1:3" x14ac:dyDescent="0.2">
      <c r="A3160" s="334" t="s">
        <v>6271</v>
      </c>
      <c r="B3160" s="334" t="s">
        <v>9267</v>
      </c>
      <c r="C3160" s="334" t="s">
        <v>2338</v>
      </c>
    </row>
    <row r="3161" spans="1:3" x14ac:dyDescent="0.2">
      <c r="A3161" s="334" t="s">
        <v>6272</v>
      </c>
      <c r="B3161" s="334" t="s">
        <v>9268</v>
      </c>
      <c r="C3161" s="334" t="s">
        <v>2338</v>
      </c>
    </row>
    <row r="3162" spans="1:3" x14ac:dyDescent="0.2">
      <c r="A3162" s="334" t="s">
        <v>6273</v>
      </c>
      <c r="B3162" s="334" t="s">
        <v>9269</v>
      </c>
      <c r="C3162" s="334" t="s">
        <v>16</v>
      </c>
    </row>
    <row r="3163" spans="1:3" x14ac:dyDescent="0.2">
      <c r="A3163" s="334" t="s">
        <v>6274</v>
      </c>
      <c r="B3163" s="334" t="s">
        <v>9270</v>
      </c>
      <c r="C3163" s="334" t="s">
        <v>11</v>
      </c>
    </row>
    <row r="3164" spans="1:3" x14ac:dyDescent="0.2">
      <c r="A3164" s="334" t="s">
        <v>6275</v>
      </c>
      <c r="B3164" s="334" t="s">
        <v>9271</v>
      </c>
      <c r="C3164" s="334" t="s">
        <v>11</v>
      </c>
    </row>
    <row r="3165" spans="1:3" x14ac:dyDescent="0.2">
      <c r="A3165" s="334" t="s">
        <v>6276</v>
      </c>
      <c r="B3165" s="334" t="s">
        <v>9272</v>
      </c>
      <c r="C3165" s="334" t="s">
        <v>11</v>
      </c>
    </row>
    <row r="3166" spans="1:3" x14ac:dyDescent="0.2">
      <c r="A3166" s="334" t="s">
        <v>6277</v>
      </c>
      <c r="B3166" s="334" t="s">
        <v>9273</v>
      </c>
      <c r="C3166" s="334" t="s">
        <v>11</v>
      </c>
    </row>
    <row r="3167" spans="1:3" x14ac:dyDescent="0.2">
      <c r="A3167" s="334" t="s">
        <v>6278</v>
      </c>
      <c r="B3167" s="334" t="s">
        <v>9274</v>
      </c>
      <c r="C3167" s="334" t="s">
        <v>25</v>
      </c>
    </row>
    <row r="3168" spans="1:3" x14ac:dyDescent="0.2">
      <c r="A3168" s="334" t="s">
        <v>6279</v>
      </c>
      <c r="B3168" s="334" t="s">
        <v>9275</v>
      </c>
      <c r="C3168" s="334" t="s">
        <v>25</v>
      </c>
    </row>
    <row r="3169" spans="1:3" x14ac:dyDescent="0.2">
      <c r="A3169" s="334" t="s">
        <v>6280</v>
      </c>
      <c r="B3169" s="334" t="s">
        <v>9276</v>
      </c>
      <c r="C3169" s="334" t="s">
        <v>25</v>
      </c>
    </row>
    <row r="3170" spans="1:3" x14ac:dyDescent="0.2">
      <c r="A3170" s="334" t="s">
        <v>6281</v>
      </c>
      <c r="B3170" s="334" t="s">
        <v>9277</v>
      </c>
      <c r="C3170" s="334" t="s">
        <v>2338</v>
      </c>
    </row>
    <row r="3171" spans="1:3" x14ac:dyDescent="0.2">
      <c r="A3171" s="334" t="s">
        <v>6282</v>
      </c>
      <c r="B3171" s="334" t="s">
        <v>9278</v>
      </c>
      <c r="C3171" s="334" t="s">
        <v>16</v>
      </c>
    </row>
    <row r="3172" spans="1:3" x14ac:dyDescent="0.2">
      <c r="A3172" s="334" t="s">
        <v>6283</v>
      </c>
      <c r="B3172" s="334" t="s">
        <v>9279</v>
      </c>
      <c r="C3172" s="334" t="s">
        <v>2338</v>
      </c>
    </row>
    <row r="3173" spans="1:3" x14ac:dyDescent="0.2">
      <c r="A3173" s="334" t="s">
        <v>6284</v>
      </c>
      <c r="B3173" s="334" t="s">
        <v>9280</v>
      </c>
      <c r="C3173" s="334" t="s">
        <v>11</v>
      </c>
    </row>
    <row r="3174" spans="1:3" x14ac:dyDescent="0.2">
      <c r="A3174" s="334" t="s">
        <v>6285</v>
      </c>
      <c r="B3174" s="334" t="s">
        <v>9281</v>
      </c>
      <c r="C3174" s="334" t="s">
        <v>11</v>
      </c>
    </row>
    <row r="3175" spans="1:3" x14ac:dyDescent="0.2">
      <c r="A3175" s="334" t="s">
        <v>6286</v>
      </c>
      <c r="B3175" s="334" t="s">
        <v>9282</v>
      </c>
      <c r="C3175" s="334" t="s">
        <v>2338</v>
      </c>
    </row>
    <row r="3176" spans="1:3" x14ac:dyDescent="0.2">
      <c r="A3176" s="334" t="s">
        <v>6287</v>
      </c>
      <c r="B3176" s="334" t="s">
        <v>9283</v>
      </c>
      <c r="C3176" s="334" t="s">
        <v>2338</v>
      </c>
    </row>
    <row r="3177" spans="1:3" x14ac:dyDescent="0.2">
      <c r="A3177" s="334" t="s">
        <v>6288</v>
      </c>
      <c r="B3177" s="334" t="s">
        <v>9284</v>
      </c>
      <c r="C3177" s="334" t="s">
        <v>16</v>
      </c>
    </row>
    <row r="3178" spans="1:3" x14ac:dyDescent="0.2">
      <c r="A3178" s="334" t="s">
        <v>6289</v>
      </c>
      <c r="B3178" s="334" t="s">
        <v>2558</v>
      </c>
      <c r="C3178" s="334" t="s">
        <v>52</v>
      </c>
    </row>
    <row r="3179" spans="1:3" x14ac:dyDescent="0.2">
      <c r="A3179" s="334" t="s">
        <v>6290</v>
      </c>
      <c r="B3179" s="334" t="s">
        <v>9285</v>
      </c>
      <c r="C3179" s="334" t="s">
        <v>52</v>
      </c>
    </row>
    <row r="3180" spans="1:3" x14ac:dyDescent="0.2">
      <c r="A3180" s="334" t="s">
        <v>6291</v>
      </c>
      <c r="B3180" s="334" t="s">
        <v>9286</v>
      </c>
      <c r="C3180" s="334" t="s">
        <v>11</v>
      </c>
    </row>
    <row r="3181" spans="1:3" x14ac:dyDescent="0.2">
      <c r="A3181" s="334" t="s">
        <v>6292</v>
      </c>
      <c r="B3181" s="334" t="s">
        <v>9287</v>
      </c>
      <c r="C3181" s="334" t="s">
        <v>11</v>
      </c>
    </row>
    <row r="3182" spans="1:3" x14ac:dyDescent="0.2">
      <c r="A3182" s="334" t="s">
        <v>6293</v>
      </c>
      <c r="B3182" s="334" t="s">
        <v>9288</v>
      </c>
      <c r="C3182" s="334" t="s">
        <v>11</v>
      </c>
    </row>
    <row r="3183" spans="1:3" x14ac:dyDescent="0.2">
      <c r="A3183" s="334" t="s">
        <v>6294</v>
      </c>
      <c r="B3183" s="334" t="s">
        <v>9289</v>
      </c>
      <c r="C3183" s="334" t="s">
        <v>11</v>
      </c>
    </row>
    <row r="3184" spans="1:3" x14ac:dyDescent="0.2">
      <c r="A3184" s="334" t="s">
        <v>6295</v>
      </c>
      <c r="B3184" s="334" t="s">
        <v>9290</v>
      </c>
      <c r="C3184" s="334" t="s">
        <v>11</v>
      </c>
    </row>
    <row r="3185" spans="1:3" x14ac:dyDescent="0.2">
      <c r="A3185" s="334" t="s">
        <v>6296</v>
      </c>
      <c r="B3185" s="334" t="s">
        <v>9291</v>
      </c>
      <c r="C3185" s="334" t="s">
        <v>16</v>
      </c>
    </row>
    <row r="3186" spans="1:3" x14ac:dyDescent="0.2">
      <c r="A3186" s="334" t="s">
        <v>6297</v>
      </c>
      <c r="B3186" s="334" t="s">
        <v>9292</v>
      </c>
      <c r="C3186" s="334" t="s">
        <v>2338</v>
      </c>
    </row>
    <row r="3187" spans="1:3" x14ac:dyDescent="0.2">
      <c r="A3187" s="334" t="s">
        <v>6298</v>
      </c>
      <c r="B3187" s="334" t="s">
        <v>9293</v>
      </c>
      <c r="C3187" s="334" t="s">
        <v>2338</v>
      </c>
    </row>
    <row r="3188" spans="1:3" x14ac:dyDescent="0.2">
      <c r="A3188" s="334" t="s">
        <v>6299</v>
      </c>
      <c r="B3188" s="334" t="s">
        <v>2726</v>
      </c>
      <c r="C3188" s="334" t="s">
        <v>16</v>
      </c>
    </row>
    <row r="3189" spans="1:3" x14ac:dyDescent="0.2">
      <c r="A3189" s="334" t="s">
        <v>6300</v>
      </c>
      <c r="B3189" s="334" t="s">
        <v>9294</v>
      </c>
      <c r="C3189" s="334" t="s">
        <v>11</v>
      </c>
    </row>
    <row r="3190" spans="1:3" x14ac:dyDescent="0.2">
      <c r="A3190" s="334" t="s">
        <v>6301</v>
      </c>
      <c r="B3190" s="334" t="s">
        <v>9295</v>
      </c>
      <c r="C3190" s="334" t="s">
        <v>16</v>
      </c>
    </row>
    <row r="3191" spans="1:3" x14ac:dyDescent="0.2">
      <c r="A3191" s="334" t="s">
        <v>6302</v>
      </c>
      <c r="B3191" s="334" t="s">
        <v>9296</v>
      </c>
      <c r="C3191" s="334" t="s">
        <v>16</v>
      </c>
    </row>
    <row r="3192" spans="1:3" x14ac:dyDescent="0.2">
      <c r="A3192" s="334" t="s">
        <v>6303</v>
      </c>
      <c r="B3192" s="334" t="s">
        <v>9297</v>
      </c>
      <c r="C3192" s="334" t="s">
        <v>2338</v>
      </c>
    </row>
    <row r="3193" spans="1:3" x14ac:dyDescent="0.2">
      <c r="A3193" s="334" t="s">
        <v>6304</v>
      </c>
      <c r="B3193" s="334" t="s">
        <v>9298</v>
      </c>
      <c r="C3193" s="334" t="s">
        <v>2338</v>
      </c>
    </row>
    <row r="3194" spans="1:3" x14ac:dyDescent="0.2">
      <c r="A3194" s="334" t="s">
        <v>6305</v>
      </c>
      <c r="B3194" s="334" t="s">
        <v>9299</v>
      </c>
      <c r="C3194" s="334" t="s">
        <v>25</v>
      </c>
    </row>
    <row r="3195" spans="1:3" x14ac:dyDescent="0.2">
      <c r="A3195" s="334" t="s">
        <v>6306</v>
      </c>
      <c r="B3195" s="334" t="s">
        <v>9300</v>
      </c>
      <c r="C3195" s="334" t="s">
        <v>25</v>
      </c>
    </row>
    <row r="3196" spans="1:3" x14ac:dyDescent="0.2">
      <c r="A3196" s="334" t="s">
        <v>6307</v>
      </c>
      <c r="B3196" s="334" t="s">
        <v>9301</v>
      </c>
      <c r="C3196" s="334" t="s">
        <v>16</v>
      </c>
    </row>
    <row r="3197" spans="1:3" x14ac:dyDescent="0.2">
      <c r="A3197" s="334" t="s">
        <v>6308</v>
      </c>
      <c r="B3197" s="334" t="s">
        <v>9302</v>
      </c>
      <c r="C3197" s="334" t="s">
        <v>25</v>
      </c>
    </row>
    <row r="3198" spans="1:3" x14ac:dyDescent="0.2">
      <c r="A3198" s="334" t="s">
        <v>6309</v>
      </c>
      <c r="B3198" s="334" t="s">
        <v>9303</v>
      </c>
      <c r="C3198" s="334" t="s">
        <v>2338</v>
      </c>
    </row>
    <row r="3199" spans="1:3" x14ac:dyDescent="0.2">
      <c r="A3199" s="334" t="s">
        <v>6310</v>
      </c>
      <c r="B3199" s="334" t="s">
        <v>9304</v>
      </c>
      <c r="C3199" s="334" t="s">
        <v>25</v>
      </c>
    </row>
    <row r="3200" spans="1:3" x14ac:dyDescent="0.2">
      <c r="A3200" s="334" t="s">
        <v>6311</v>
      </c>
      <c r="B3200" s="334" t="s">
        <v>6312</v>
      </c>
      <c r="C3200" s="334" t="s">
        <v>2338</v>
      </c>
    </row>
    <row r="3201" spans="1:3" x14ac:dyDescent="0.2">
      <c r="A3201" s="334" t="s">
        <v>6313</v>
      </c>
      <c r="B3201" s="334" t="s">
        <v>9281</v>
      </c>
      <c r="C3201" s="334" t="s">
        <v>11</v>
      </c>
    </row>
    <row r="3202" spans="1:3" x14ac:dyDescent="0.2">
      <c r="A3202" s="334" t="s">
        <v>6314</v>
      </c>
      <c r="B3202" s="334" t="s">
        <v>9305</v>
      </c>
      <c r="C3202" s="334" t="s">
        <v>11</v>
      </c>
    </row>
    <row r="3203" spans="1:3" x14ac:dyDescent="0.2">
      <c r="A3203" s="334" t="s">
        <v>6315</v>
      </c>
      <c r="B3203" s="334" t="s">
        <v>9305</v>
      </c>
      <c r="C3203" s="334" t="s">
        <v>11</v>
      </c>
    </row>
    <row r="3204" spans="1:3" x14ac:dyDescent="0.2">
      <c r="A3204" s="334" t="s">
        <v>6316</v>
      </c>
      <c r="B3204" s="334" t="s">
        <v>9306</v>
      </c>
      <c r="C3204" s="334" t="s">
        <v>11</v>
      </c>
    </row>
    <row r="3205" spans="1:3" x14ac:dyDescent="0.2">
      <c r="A3205" s="334" t="s">
        <v>6317</v>
      </c>
      <c r="B3205" s="334" t="s">
        <v>9307</v>
      </c>
      <c r="C3205" s="334" t="s">
        <v>11</v>
      </c>
    </row>
    <row r="3206" spans="1:3" x14ac:dyDescent="0.2">
      <c r="A3206" s="334" t="s">
        <v>6318</v>
      </c>
      <c r="B3206" s="334" t="s">
        <v>9308</v>
      </c>
      <c r="C3206" s="334" t="s">
        <v>16</v>
      </c>
    </row>
    <row r="3207" spans="1:3" x14ac:dyDescent="0.2">
      <c r="A3207" s="334" t="s">
        <v>6319</v>
      </c>
      <c r="B3207" s="334" t="s">
        <v>9309</v>
      </c>
      <c r="C3207" s="334" t="s">
        <v>2338</v>
      </c>
    </row>
    <row r="3208" spans="1:3" x14ac:dyDescent="0.2">
      <c r="A3208" s="334" t="s">
        <v>6320</v>
      </c>
      <c r="B3208" s="334" t="s">
        <v>9310</v>
      </c>
      <c r="C3208" s="334" t="s">
        <v>2338</v>
      </c>
    </row>
    <row r="3209" spans="1:3" x14ac:dyDescent="0.2">
      <c r="A3209" s="334" t="s">
        <v>2220</v>
      </c>
      <c r="B3209" s="334" t="s">
        <v>6321</v>
      </c>
      <c r="C3209" s="334" t="s">
        <v>2338</v>
      </c>
    </row>
    <row r="3210" spans="1:3" x14ac:dyDescent="0.2">
      <c r="A3210" s="334" t="s">
        <v>6322</v>
      </c>
      <c r="B3210" s="334" t="s">
        <v>9311</v>
      </c>
      <c r="C3210" s="334" t="s">
        <v>16</v>
      </c>
    </row>
    <row r="3211" spans="1:3" x14ac:dyDescent="0.2">
      <c r="A3211" s="334" t="s">
        <v>6323</v>
      </c>
      <c r="B3211" s="334" t="s">
        <v>9312</v>
      </c>
      <c r="C3211" s="334" t="s">
        <v>11</v>
      </c>
    </row>
    <row r="3212" spans="1:3" x14ac:dyDescent="0.2">
      <c r="A3212" s="334" t="s">
        <v>6324</v>
      </c>
      <c r="B3212" s="334" t="s">
        <v>9313</v>
      </c>
      <c r="C3212" s="334" t="s">
        <v>2338</v>
      </c>
    </row>
    <row r="3213" spans="1:3" x14ac:dyDescent="0.2">
      <c r="A3213" s="334" t="s">
        <v>6325</v>
      </c>
      <c r="B3213" s="334" t="s">
        <v>9314</v>
      </c>
      <c r="C3213" s="334" t="s">
        <v>6617</v>
      </c>
    </row>
    <row r="3214" spans="1:3" x14ac:dyDescent="0.2">
      <c r="A3214" s="334" t="s">
        <v>6326</v>
      </c>
      <c r="B3214" s="334" t="s">
        <v>9315</v>
      </c>
      <c r="C3214" s="334" t="s">
        <v>2338</v>
      </c>
    </row>
    <row r="3215" spans="1:3" x14ac:dyDescent="0.2">
      <c r="A3215" s="334" t="s">
        <v>2221</v>
      </c>
      <c r="B3215" s="334" t="s">
        <v>9316</v>
      </c>
      <c r="C3215" s="334" t="s">
        <v>16</v>
      </c>
    </row>
    <row r="3216" spans="1:3" x14ac:dyDescent="0.2">
      <c r="A3216" s="334" t="s">
        <v>6327</v>
      </c>
      <c r="B3216" s="334" t="s">
        <v>9317</v>
      </c>
      <c r="C3216" s="334" t="s">
        <v>2338</v>
      </c>
    </row>
    <row r="3217" spans="1:4" x14ac:dyDescent="0.2">
      <c r="A3217" s="334" t="s">
        <v>6328</v>
      </c>
      <c r="B3217" s="334" t="s">
        <v>2648</v>
      </c>
      <c r="C3217" s="334" t="s">
        <v>16</v>
      </c>
    </row>
    <row r="3218" spans="1:4" x14ac:dyDescent="0.2">
      <c r="A3218" s="334" t="s">
        <v>6329</v>
      </c>
      <c r="B3218" s="334" t="s">
        <v>9318</v>
      </c>
      <c r="C3218" s="334" t="s">
        <v>16</v>
      </c>
    </row>
    <row r="3219" spans="1:4" x14ac:dyDescent="0.2">
      <c r="A3219" s="334" t="s">
        <v>6330</v>
      </c>
      <c r="B3219" s="334" t="s">
        <v>9319</v>
      </c>
      <c r="C3219" s="334" t="s">
        <v>25</v>
      </c>
    </row>
    <row r="3220" spans="1:4" x14ac:dyDescent="0.2">
      <c r="A3220" s="334" t="s">
        <v>6331</v>
      </c>
      <c r="B3220" s="334" t="s">
        <v>9319</v>
      </c>
      <c r="C3220" s="334" t="s">
        <v>25</v>
      </c>
    </row>
    <row r="3221" spans="1:4" x14ac:dyDescent="0.2">
      <c r="A3221" s="334" t="s">
        <v>6332</v>
      </c>
      <c r="B3221" s="334" t="s">
        <v>9320</v>
      </c>
      <c r="C3221" s="334" t="s">
        <v>11</v>
      </c>
    </row>
    <row r="3222" spans="1:4" x14ac:dyDescent="0.2">
      <c r="A3222" s="334" t="s">
        <v>6333</v>
      </c>
      <c r="B3222" s="334" t="s">
        <v>9321</v>
      </c>
      <c r="C3222" s="334" t="s">
        <v>16</v>
      </c>
    </row>
    <row r="3223" spans="1:4" x14ac:dyDescent="0.2">
      <c r="A3223" s="334" t="s">
        <v>6334</v>
      </c>
      <c r="B3223" s="334" t="s">
        <v>9322</v>
      </c>
      <c r="C3223" s="334" t="s">
        <v>16</v>
      </c>
    </row>
    <row r="3224" spans="1:4" x14ac:dyDescent="0.2">
      <c r="A3224" s="334" t="s">
        <v>6335</v>
      </c>
      <c r="B3224" s="334" t="s">
        <v>9323</v>
      </c>
      <c r="C3224" s="334" t="s">
        <v>16</v>
      </c>
    </row>
    <row r="3225" spans="1:4" x14ac:dyDescent="0.2">
      <c r="A3225" s="334" t="s">
        <v>6336</v>
      </c>
      <c r="B3225" s="334" t="s">
        <v>9324</v>
      </c>
      <c r="C3225" s="334" t="s">
        <v>16</v>
      </c>
    </row>
    <row r="3226" spans="1:4" x14ac:dyDescent="0.2">
      <c r="A3226" s="334" t="s">
        <v>6337</v>
      </c>
      <c r="B3226" s="334" t="s">
        <v>2670</v>
      </c>
      <c r="C3226" s="334" t="s">
        <v>16</v>
      </c>
    </row>
    <row r="3227" spans="1:4" x14ac:dyDescent="0.2">
      <c r="A3227" s="334" t="s">
        <v>6338</v>
      </c>
      <c r="B3227" s="334" t="s">
        <v>9325</v>
      </c>
      <c r="C3227" s="334" t="s">
        <v>52</v>
      </c>
    </row>
    <row r="3228" spans="1:4" x14ac:dyDescent="0.2">
      <c r="A3228" s="334" t="s">
        <v>6339</v>
      </c>
      <c r="B3228" s="334" t="s">
        <v>521</v>
      </c>
      <c r="C3228" s="334" t="s">
        <v>16</v>
      </c>
    </row>
    <row r="3229" spans="1:4" x14ac:dyDescent="0.2">
      <c r="A3229" s="347" t="s">
        <v>3256</v>
      </c>
      <c r="B3229" s="347" t="s">
        <v>9326</v>
      </c>
      <c r="C3229" s="347" t="s">
        <v>16</v>
      </c>
      <c r="D3229" s="348" t="s">
        <v>10271</v>
      </c>
    </row>
    <row r="3230" spans="1:4" x14ac:dyDescent="0.2">
      <c r="A3230" s="334" t="s">
        <v>6340</v>
      </c>
      <c r="B3230" s="334" t="s">
        <v>9327</v>
      </c>
      <c r="C3230" s="334" t="s">
        <v>16</v>
      </c>
    </row>
    <row r="3231" spans="1:4" x14ac:dyDescent="0.2">
      <c r="A3231" s="334" t="s">
        <v>6341</v>
      </c>
      <c r="B3231" s="334" t="s">
        <v>9328</v>
      </c>
      <c r="C3231" s="334" t="s">
        <v>16</v>
      </c>
    </row>
    <row r="3232" spans="1:4" x14ac:dyDescent="0.2">
      <c r="A3232" s="347" t="s">
        <v>6342</v>
      </c>
      <c r="B3232" s="347" t="s">
        <v>9329</v>
      </c>
      <c r="C3232" s="347" t="s">
        <v>16</v>
      </c>
      <c r="D3232" s="348" t="s">
        <v>10271</v>
      </c>
    </row>
    <row r="3233" spans="1:3" x14ac:dyDescent="0.2">
      <c r="A3233" s="334" t="s">
        <v>6343</v>
      </c>
      <c r="B3233" s="334" t="s">
        <v>2816</v>
      </c>
      <c r="C3233" s="334" t="s">
        <v>16</v>
      </c>
    </row>
    <row r="3234" spans="1:3" x14ac:dyDescent="0.2">
      <c r="A3234" s="334" t="s">
        <v>6344</v>
      </c>
      <c r="B3234" s="334" t="s">
        <v>9330</v>
      </c>
      <c r="C3234" s="334" t="s">
        <v>16</v>
      </c>
    </row>
    <row r="3235" spans="1:3" x14ac:dyDescent="0.2">
      <c r="A3235" s="334" t="s">
        <v>6345</v>
      </c>
      <c r="B3235" s="334" t="s">
        <v>9331</v>
      </c>
      <c r="C3235" s="334" t="s">
        <v>25</v>
      </c>
    </row>
    <row r="3236" spans="1:3" x14ac:dyDescent="0.2">
      <c r="A3236" s="334" t="s">
        <v>6346</v>
      </c>
      <c r="B3236" s="334" t="s">
        <v>9332</v>
      </c>
      <c r="C3236" s="334" t="s">
        <v>25</v>
      </c>
    </row>
    <row r="3237" spans="1:3" x14ac:dyDescent="0.2">
      <c r="A3237" s="334" t="s">
        <v>6347</v>
      </c>
      <c r="B3237" s="334" t="s">
        <v>421</v>
      </c>
      <c r="C3237" s="334" t="s">
        <v>16</v>
      </c>
    </row>
    <row r="3238" spans="1:3" x14ac:dyDescent="0.2">
      <c r="A3238" s="334" t="s">
        <v>6348</v>
      </c>
      <c r="B3238" s="334" t="s">
        <v>9333</v>
      </c>
      <c r="C3238" s="334" t="s">
        <v>16</v>
      </c>
    </row>
    <row r="3239" spans="1:3" x14ac:dyDescent="0.2">
      <c r="A3239" s="334" t="s">
        <v>6349</v>
      </c>
      <c r="B3239" s="334" t="s">
        <v>9334</v>
      </c>
      <c r="C3239" s="334" t="s">
        <v>16</v>
      </c>
    </row>
    <row r="3240" spans="1:3" x14ac:dyDescent="0.2">
      <c r="A3240" s="334" t="s">
        <v>6350</v>
      </c>
      <c r="B3240" s="334" t="s">
        <v>8155</v>
      </c>
      <c r="C3240" s="334" t="s">
        <v>16</v>
      </c>
    </row>
    <row r="3241" spans="1:3" x14ac:dyDescent="0.2">
      <c r="A3241" s="334" t="s">
        <v>6351</v>
      </c>
      <c r="B3241" s="334" t="s">
        <v>8154</v>
      </c>
      <c r="C3241" s="334" t="s">
        <v>16</v>
      </c>
    </row>
    <row r="3242" spans="1:3" x14ac:dyDescent="0.2">
      <c r="A3242" s="334" t="s">
        <v>6352</v>
      </c>
      <c r="B3242" s="334" t="s">
        <v>9335</v>
      </c>
      <c r="C3242" s="334" t="s">
        <v>2338</v>
      </c>
    </row>
    <row r="3243" spans="1:3" x14ac:dyDescent="0.2">
      <c r="A3243" s="334" t="s">
        <v>6353</v>
      </c>
      <c r="B3243" s="334" t="s">
        <v>9336</v>
      </c>
      <c r="C3243" s="334" t="s">
        <v>2338</v>
      </c>
    </row>
    <row r="3244" spans="1:3" x14ac:dyDescent="0.2">
      <c r="A3244" s="334" t="s">
        <v>6354</v>
      </c>
      <c r="B3244" s="334" t="s">
        <v>9337</v>
      </c>
      <c r="C3244" s="334" t="s">
        <v>16</v>
      </c>
    </row>
    <row r="3245" spans="1:3" x14ac:dyDescent="0.2">
      <c r="A3245" s="334" t="s">
        <v>6355</v>
      </c>
      <c r="B3245" s="334" t="s">
        <v>9338</v>
      </c>
      <c r="C3245" s="334" t="s">
        <v>16</v>
      </c>
    </row>
    <row r="3246" spans="1:3" x14ac:dyDescent="0.2">
      <c r="A3246" s="334" t="s">
        <v>6356</v>
      </c>
      <c r="B3246" s="334" t="s">
        <v>6828</v>
      </c>
      <c r="C3246" s="334" t="s">
        <v>6603</v>
      </c>
    </row>
    <row r="3247" spans="1:3" x14ac:dyDescent="0.2">
      <c r="A3247" s="334" t="s">
        <v>6357</v>
      </c>
      <c r="B3247" s="334" t="s">
        <v>9339</v>
      </c>
      <c r="C3247" s="334" t="s">
        <v>2338</v>
      </c>
    </row>
    <row r="3248" spans="1:3" x14ac:dyDescent="0.2">
      <c r="A3248" s="334" t="s">
        <v>6358</v>
      </c>
      <c r="B3248" s="334" t="s">
        <v>9340</v>
      </c>
      <c r="C3248" s="334" t="s">
        <v>2338</v>
      </c>
    </row>
    <row r="3249" spans="1:3" x14ac:dyDescent="0.2">
      <c r="A3249" s="334" t="s">
        <v>6359</v>
      </c>
      <c r="B3249" s="334" t="s">
        <v>9341</v>
      </c>
      <c r="C3249" s="334" t="s">
        <v>16</v>
      </c>
    </row>
    <row r="3250" spans="1:3" x14ac:dyDescent="0.2">
      <c r="A3250" s="334" t="s">
        <v>6360</v>
      </c>
      <c r="B3250" s="334" t="s">
        <v>6361</v>
      </c>
      <c r="C3250" s="334" t="s">
        <v>52</v>
      </c>
    </row>
    <row r="3251" spans="1:3" x14ac:dyDescent="0.2">
      <c r="A3251" s="334" t="s">
        <v>6362</v>
      </c>
      <c r="B3251" s="334" t="s">
        <v>9342</v>
      </c>
      <c r="C3251" s="334" t="s">
        <v>2338</v>
      </c>
    </row>
    <row r="3252" spans="1:3" x14ac:dyDescent="0.2">
      <c r="A3252" s="334" t="s">
        <v>6363</v>
      </c>
      <c r="B3252" s="334" t="s">
        <v>9343</v>
      </c>
      <c r="C3252" s="334" t="s">
        <v>2338</v>
      </c>
    </row>
    <row r="3253" spans="1:3" x14ac:dyDescent="0.2">
      <c r="A3253" s="334" t="s">
        <v>6364</v>
      </c>
      <c r="B3253" s="334" t="s">
        <v>9344</v>
      </c>
      <c r="C3253" s="334" t="s">
        <v>16</v>
      </c>
    </row>
    <row r="3254" spans="1:3" x14ac:dyDescent="0.2">
      <c r="A3254" s="334" t="s">
        <v>6365</v>
      </c>
      <c r="B3254" s="334" t="s">
        <v>9345</v>
      </c>
      <c r="C3254" s="334" t="s">
        <v>2338</v>
      </c>
    </row>
    <row r="3255" spans="1:3" x14ac:dyDescent="0.2">
      <c r="A3255" s="334" t="s">
        <v>6366</v>
      </c>
      <c r="B3255" s="334" t="s">
        <v>9346</v>
      </c>
      <c r="C3255" s="334" t="s">
        <v>2338</v>
      </c>
    </row>
    <row r="3256" spans="1:3" x14ac:dyDescent="0.2">
      <c r="A3256" s="334" t="s">
        <v>6367</v>
      </c>
      <c r="B3256" s="334" t="s">
        <v>9347</v>
      </c>
      <c r="C3256" s="334" t="s">
        <v>2338</v>
      </c>
    </row>
    <row r="3257" spans="1:3" x14ac:dyDescent="0.2">
      <c r="A3257" s="334" t="s">
        <v>6368</v>
      </c>
      <c r="B3257" s="334" t="s">
        <v>9348</v>
      </c>
      <c r="C3257" s="334" t="s">
        <v>16</v>
      </c>
    </row>
    <row r="3258" spans="1:3" x14ac:dyDescent="0.2">
      <c r="A3258" s="334" t="s">
        <v>6369</v>
      </c>
      <c r="B3258" s="334" t="s">
        <v>6370</v>
      </c>
      <c r="C3258" s="334" t="s">
        <v>2338</v>
      </c>
    </row>
    <row r="3259" spans="1:3" x14ac:dyDescent="0.2">
      <c r="A3259" s="334" t="s">
        <v>6371</v>
      </c>
      <c r="B3259" s="334" t="s">
        <v>9349</v>
      </c>
      <c r="C3259" s="334" t="s">
        <v>2338</v>
      </c>
    </row>
    <row r="3260" spans="1:3" x14ac:dyDescent="0.2">
      <c r="A3260" s="334" t="s">
        <v>6372</v>
      </c>
      <c r="B3260" s="334" t="s">
        <v>9350</v>
      </c>
      <c r="C3260" s="334" t="s">
        <v>2338</v>
      </c>
    </row>
    <row r="3261" spans="1:3" x14ac:dyDescent="0.2">
      <c r="A3261" s="334" t="s">
        <v>6373</v>
      </c>
      <c r="B3261" s="334" t="s">
        <v>9351</v>
      </c>
      <c r="C3261" s="334" t="s">
        <v>2338</v>
      </c>
    </row>
    <row r="3262" spans="1:3" x14ac:dyDescent="0.2">
      <c r="A3262" s="334" t="s">
        <v>6374</v>
      </c>
      <c r="B3262" s="334" t="s">
        <v>9352</v>
      </c>
      <c r="C3262" s="334" t="s">
        <v>2338</v>
      </c>
    </row>
    <row r="3263" spans="1:3" x14ac:dyDescent="0.2">
      <c r="A3263" s="334" t="s">
        <v>6375</v>
      </c>
      <c r="B3263" s="334" t="s">
        <v>9353</v>
      </c>
      <c r="C3263" s="334" t="s">
        <v>2338</v>
      </c>
    </row>
    <row r="3264" spans="1:3" x14ac:dyDescent="0.2">
      <c r="A3264" s="334" t="s">
        <v>2222</v>
      </c>
      <c r="B3264" s="334" t="s">
        <v>9354</v>
      </c>
      <c r="C3264" s="334" t="s">
        <v>11</v>
      </c>
    </row>
    <row r="3265" spans="1:3" x14ac:dyDescent="0.2">
      <c r="A3265" s="334" t="s">
        <v>2223</v>
      </c>
      <c r="B3265" s="334" t="s">
        <v>9355</v>
      </c>
      <c r="C3265" s="334" t="s">
        <v>2338</v>
      </c>
    </row>
    <row r="3266" spans="1:3" x14ac:dyDescent="0.2">
      <c r="A3266" s="334" t="s">
        <v>6376</v>
      </c>
      <c r="B3266" s="334" t="s">
        <v>9356</v>
      </c>
      <c r="C3266" s="334" t="s">
        <v>11</v>
      </c>
    </row>
    <row r="3267" spans="1:3" x14ac:dyDescent="0.2">
      <c r="A3267" s="334" t="s">
        <v>6377</v>
      </c>
      <c r="B3267" s="334" t="s">
        <v>9357</v>
      </c>
      <c r="C3267" s="334" t="s">
        <v>25</v>
      </c>
    </row>
    <row r="3268" spans="1:3" x14ac:dyDescent="0.2">
      <c r="A3268" s="334" t="s">
        <v>6378</v>
      </c>
      <c r="B3268" s="334" t="s">
        <v>9358</v>
      </c>
      <c r="C3268" s="334" t="s">
        <v>11</v>
      </c>
    </row>
    <row r="3269" spans="1:3" x14ac:dyDescent="0.2">
      <c r="A3269" s="334" t="s">
        <v>6379</v>
      </c>
      <c r="B3269" s="334" t="s">
        <v>9359</v>
      </c>
      <c r="C3269" s="334" t="s">
        <v>16</v>
      </c>
    </row>
    <row r="3270" spans="1:3" x14ac:dyDescent="0.2">
      <c r="A3270" s="334" t="s">
        <v>6380</v>
      </c>
      <c r="B3270" s="334" t="s">
        <v>9360</v>
      </c>
      <c r="C3270" s="334" t="s">
        <v>25</v>
      </c>
    </row>
    <row r="3271" spans="1:3" x14ac:dyDescent="0.2">
      <c r="A3271" s="334" t="s">
        <v>6381</v>
      </c>
      <c r="B3271" s="334" t="s">
        <v>9361</v>
      </c>
      <c r="C3271" s="334" t="s">
        <v>16</v>
      </c>
    </row>
    <row r="3272" spans="1:3" x14ac:dyDescent="0.2">
      <c r="A3272" s="334" t="s">
        <v>6382</v>
      </c>
      <c r="B3272" s="334" t="s">
        <v>9362</v>
      </c>
      <c r="C3272" s="334" t="s">
        <v>11</v>
      </c>
    </row>
    <row r="3273" spans="1:3" x14ac:dyDescent="0.2">
      <c r="A3273" s="334" t="s">
        <v>6383</v>
      </c>
      <c r="B3273" s="334" t="s">
        <v>9363</v>
      </c>
      <c r="C3273" s="334" t="s">
        <v>16</v>
      </c>
    </row>
    <row r="3274" spans="1:3" x14ac:dyDescent="0.2">
      <c r="A3274" s="334" t="s">
        <v>6384</v>
      </c>
      <c r="B3274" s="334" t="s">
        <v>9364</v>
      </c>
      <c r="C3274" s="334" t="s">
        <v>16</v>
      </c>
    </row>
    <row r="3275" spans="1:3" x14ac:dyDescent="0.2">
      <c r="A3275" s="334" t="s">
        <v>6385</v>
      </c>
      <c r="B3275" s="334" t="s">
        <v>9365</v>
      </c>
      <c r="C3275" s="334" t="s">
        <v>16</v>
      </c>
    </row>
    <row r="3276" spans="1:3" x14ac:dyDescent="0.2">
      <c r="A3276" s="334" t="s">
        <v>6386</v>
      </c>
      <c r="B3276" s="334" t="s">
        <v>9366</v>
      </c>
      <c r="C3276" s="334" t="s">
        <v>11</v>
      </c>
    </row>
    <row r="3277" spans="1:3" x14ac:dyDescent="0.2">
      <c r="A3277" s="334" t="s">
        <v>6387</v>
      </c>
      <c r="B3277" s="334" t="s">
        <v>9367</v>
      </c>
      <c r="C3277" s="334" t="s">
        <v>11</v>
      </c>
    </row>
    <row r="3278" spans="1:3" x14ac:dyDescent="0.2">
      <c r="A3278" s="334" t="s">
        <v>6388</v>
      </c>
      <c r="B3278" s="334" t="s">
        <v>9368</v>
      </c>
      <c r="C3278" s="334" t="s">
        <v>11</v>
      </c>
    </row>
    <row r="3279" spans="1:3" x14ac:dyDescent="0.2">
      <c r="A3279" s="334" t="s">
        <v>6389</v>
      </c>
      <c r="B3279" s="334" t="s">
        <v>9369</v>
      </c>
      <c r="C3279" s="334" t="s">
        <v>11</v>
      </c>
    </row>
    <row r="3280" spans="1:3" x14ac:dyDescent="0.2">
      <c r="A3280" s="334" t="s">
        <v>6390</v>
      </c>
      <c r="B3280" s="334" t="s">
        <v>9370</v>
      </c>
      <c r="C3280" s="334" t="s">
        <v>16</v>
      </c>
    </row>
    <row r="3281" spans="1:4" x14ac:dyDescent="0.2">
      <c r="A3281" s="334" t="s">
        <v>6391</v>
      </c>
      <c r="B3281" s="334" t="s">
        <v>2977</v>
      </c>
      <c r="C3281" s="334" t="s">
        <v>25</v>
      </c>
    </row>
    <row r="3282" spans="1:4" x14ac:dyDescent="0.2">
      <c r="A3282" s="334" t="s">
        <v>6392</v>
      </c>
      <c r="B3282" s="334" t="s">
        <v>9371</v>
      </c>
      <c r="C3282" s="334" t="s">
        <v>52</v>
      </c>
    </row>
    <row r="3283" spans="1:4" x14ac:dyDescent="0.2">
      <c r="A3283" s="334" t="s">
        <v>6393</v>
      </c>
      <c r="B3283" s="334" t="s">
        <v>9372</v>
      </c>
      <c r="C3283" s="334" t="s">
        <v>25</v>
      </c>
    </row>
    <row r="3284" spans="1:4" x14ac:dyDescent="0.2">
      <c r="A3284" s="334" t="s">
        <v>6394</v>
      </c>
      <c r="B3284" s="334" t="s">
        <v>9373</v>
      </c>
      <c r="C3284" s="334" t="s">
        <v>11</v>
      </c>
    </row>
    <row r="3285" spans="1:4" x14ac:dyDescent="0.2">
      <c r="A3285" s="334" t="s">
        <v>6395</v>
      </c>
      <c r="B3285" s="334" t="s">
        <v>9374</v>
      </c>
      <c r="C3285" s="334" t="s">
        <v>11</v>
      </c>
    </row>
    <row r="3286" spans="1:4" x14ac:dyDescent="0.2">
      <c r="A3286" s="334" t="s">
        <v>6396</v>
      </c>
      <c r="B3286" s="334" t="s">
        <v>9375</v>
      </c>
      <c r="C3286" s="334" t="s">
        <v>11</v>
      </c>
    </row>
    <row r="3287" spans="1:4" x14ac:dyDescent="0.2">
      <c r="A3287" s="334" t="s">
        <v>6397</v>
      </c>
      <c r="B3287" s="334" t="s">
        <v>9376</v>
      </c>
      <c r="C3287" s="334" t="s">
        <v>16</v>
      </c>
    </row>
    <row r="3288" spans="1:4" x14ac:dyDescent="0.2">
      <c r="A3288" s="334" t="s">
        <v>2224</v>
      </c>
      <c r="B3288" s="334" t="s">
        <v>9377</v>
      </c>
      <c r="C3288" s="334" t="s">
        <v>2338</v>
      </c>
    </row>
    <row r="3289" spans="1:4" x14ac:dyDescent="0.2">
      <c r="A3289" s="347" t="s">
        <v>2225</v>
      </c>
      <c r="B3289" s="347" t="s">
        <v>9378</v>
      </c>
      <c r="C3289" s="347" t="s">
        <v>25</v>
      </c>
      <c r="D3289" s="348" t="s">
        <v>10271</v>
      </c>
    </row>
    <row r="3290" spans="1:4" x14ac:dyDescent="0.2">
      <c r="A3290" s="334" t="s">
        <v>2226</v>
      </c>
      <c r="B3290" s="334" t="s">
        <v>6398</v>
      </c>
      <c r="C3290" s="334" t="s">
        <v>2338</v>
      </c>
    </row>
    <row r="3291" spans="1:4" x14ac:dyDescent="0.2">
      <c r="A3291" s="334" t="s">
        <v>2228</v>
      </c>
      <c r="B3291" s="334" t="s">
        <v>9379</v>
      </c>
      <c r="C3291" s="334" t="s">
        <v>25</v>
      </c>
    </row>
    <row r="3292" spans="1:4" x14ac:dyDescent="0.2">
      <c r="A3292" s="347" t="s">
        <v>2229</v>
      </c>
      <c r="B3292" s="347" t="s">
        <v>9380</v>
      </c>
      <c r="C3292" s="347" t="s">
        <v>16</v>
      </c>
      <c r="D3292" s="348" t="s">
        <v>10271</v>
      </c>
    </row>
    <row r="3293" spans="1:4" x14ac:dyDescent="0.2">
      <c r="A3293" s="347" t="s">
        <v>2230</v>
      </c>
      <c r="B3293" s="347" t="s">
        <v>9381</v>
      </c>
      <c r="C3293" s="347" t="s">
        <v>16</v>
      </c>
      <c r="D3293" s="348" t="s">
        <v>10271</v>
      </c>
    </row>
    <row r="3294" spans="1:4" x14ac:dyDescent="0.2">
      <c r="A3294" s="334" t="s">
        <v>2231</v>
      </c>
      <c r="B3294" s="334" t="s">
        <v>9382</v>
      </c>
      <c r="C3294" s="334" t="s">
        <v>16</v>
      </c>
    </row>
    <row r="3295" spans="1:4" x14ac:dyDescent="0.2">
      <c r="A3295" s="334" t="s">
        <v>2232</v>
      </c>
      <c r="B3295" s="334" t="s">
        <v>9383</v>
      </c>
      <c r="C3295" s="334" t="s">
        <v>16</v>
      </c>
    </row>
    <row r="3296" spans="1:4" x14ac:dyDescent="0.2">
      <c r="A3296" s="334" t="s">
        <v>2233</v>
      </c>
      <c r="B3296" s="334" t="s">
        <v>9384</v>
      </c>
      <c r="C3296" s="334" t="s">
        <v>52</v>
      </c>
    </row>
    <row r="3297" spans="1:3" x14ac:dyDescent="0.2">
      <c r="A3297" s="334" t="s">
        <v>2234</v>
      </c>
      <c r="B3297" s="334" t="s">
        <v>6399</v>
      </c>
      <c r="C3297" s="334" t="s">
        <v>2338</v>
      </c>
    </row>
    <row r="3298" spans="1:3" x14ac:dyDescent="0.2">
      <c r="A3298" s="334" t="s">
        <v>2235</v>
      </c>
      <c r="B3298" s="334" t="s">
        <v>9385</v>
      </c>
      <c r="C3298" s="334" t="s">
        <v>11</v>
      </c>
    </row>
    <row r="3299" spans="1:3" x14ac:dyDescent="0.2">
      <c r="A3299" s="334" t="s">
        <v>2236</v>
      </c>
      <c r="B3299" s="334" t="s">
        <v>9386</v>
      </c>
      <c r="C3299" s="334" t="s">
        <v>16</v>
      </c>
    </row>
    <row r="3300" spans="1:3" x14ac:dyDescent="0.2">
      <c r="A3300" s="334" t="s">
        <v>2237</v>
      </c>
      <c r="B3300" s="334" t="s">
        <v>6400</v>
      </c>
      <c r="C3300" s="334" t="s">
        <v>2338</v>
      </c>
    </row>
    <row r="3301" spans="1:3" x14ac:dyDescent="0.2">
      <c r="A3301" s="334" t="s">
        <v>2238</v>
      </c>
      <c r="B3301" s="334" t="s">
        <v>9387</v>
      </c>
      <c r="C3301" s="334" t="s">
        <v>2338</v>
      </c>
    </row>
    <row r="3302" spans="1:3" x14ac:dyDescent="0.2">
      <c r="A3302" s="334" t="s">
        <v>2239</v>
      </c>
      <c r="B3302" s="334" t="s">
        <v>6401</v>
      </c>
      <c r="C3302" s="334" t="s">
        <v>6602</v>
      </c>
    </row>
    <row r="3303" spans="1:3" x14ac:dyDescent="0.2">
      <c r="A3303" s="334" t="s">
        <v>2240</v>
      </c>
      <c r="B3303" s="334" t="s">
        <v>9388</v>
      </c>
      <c r="C3303" s="334" t="s">
        <v>16</v>
      </c>
    </row>
    <row r="3304" spans="1:3" x14ac:dyDescent="0.2">
      <c r="A3304" s="334" t="s">
        <v>2241</v>
      </c>
      <c r="B3304" s="334" t="s">
        <v>9389</v>
      </c>
      <c r="C3304" s="334" t="s">
        <v>16</v>
      </c>
    </row>
    <row r="3305" spans="1:3" x14ac:dyDescent="0.2">
      <c r="A3305" s="334" t="s">
        <v>2242</v>
      </c>
      <c r="B3305" s="334" t="s">
        <v>9390</v>
      </c>
      <c r="C3305" s="334" t="s">
        <v>2338</v>
      </c>
    </row>
    <row r="3306" spans="1:3" x14ac:dyDescent="0.2">
      <c r="A3306" s="334" t="s">
        <v>2243</v>
      </c>
      <c r="B3306" s="334" t="s">
        <v>9391</v>
      </c>
      <c r="C3306" s="334" t="s">
        <v>52</v>
      </c>
    </row>
    <row r="3307" spans="1:3" x14ac:dyDescent="0.2">
      <c r="A3307" s="334" t="s">
        <v>6402</v>
      </c>
      <c r="B3307" s="334" t="s">
        <v>9392</v>
      </c>
      <c r="C3307" s="334" t="s">
        <v>16</v>
      </c>
    </row>
    <row r="3308" spans="1:3" x14ac:dyDescent="0.2">
      <c r="A3308" s="334" t="s">
        <v>6403</v>
      </c>
      <c r="B3308" s="334" t="s">
        <v>9393</v>
      </c>
      <c r="C3308" s="334" t="s">
        <v>25</v>
      </c>
    </row>
    <row r="3309" spans="1:3" x14ac:dyDescent="0.2">
      <c r="A3309" s="334" t="s">
        <v>6404</v>
      </c>
      <c r="B3309" s="334" t="s">
        <v>9394</v>
      </c>
      <c r="C3309" s="334" t="s">
        <v>25</v>
      </c>
    </row>
    <row r="3310" spans="1:3" x14ac:dyDescent="0.2">
      <c r="A3310" s="334" t="s">
        <v>6405</v>
      </c>
      <c r="B3310" s="334" t="s">
        <v>9395</v>
      </c>
      <c r="C3310" s="334" t="s">
        <v>11</v>
      </c>
    </row>
    <row r="3311" spans="1:3" x14ac:dyDescent="0.2">
      <c r="A3311" s="334" t="s">
        <v>6406</v>
      </c>
      <c r="B3311" s="334" t="s">
        <v>9396</v>
      </c>
      <c r="C3311" s="334" t="s">
        <v>2338</v>
      </c>
    </row>
    <row r="3312" spans="1:3" x14ac:dyDescent="0.2">
      <c r="A3312" s="334" t="s">
        <v>6407</v>
      </c>
      <c r="B3312" s="334" t="s">
        <v>9397</v>
      </c>
      <c r="C3312" s="334" t="s">
        <v>16</v>
      </c>
    </row>
    <row r="3313" spans="1:4" x14ac:dyDescent="0.2">
      <c r="A3313" s="334" t="s">
        <v>6408</v>
      </c>
      <c r="B3313" s="334" t="s">
        <v>9398</v>
      </c>
      <c r="C3313" s="334" t="s">
        <v>16</v>
      </c>
    </row>
    <row r="3314" spans="1:4" x14ac:dyDescent="0.2">
      <c r="A3314" s="334" t="s">
        <v>2244</v>
      </c>
      <c r="B3314" s="334" t="s">
        <v>9399</v>
      </c>
      <c r="C3314" s="334" t="s">
        <v>11</v>
      </c>
    </row>
    <row r="3315" spans="1:4" x14ac:dyDescent="0.2">
      <c r="A3315" s="334" t="s">
        <v>6409</v>
      </c>
      <c r="B3315" s="334" t="s">
        <v>9400</v>
      </c>
      <c r="C3315" s="334" t="s">
        <v>11</v>
      </c>
    </row>
    <row r="3316" spans="1:4" x14ac:dyDescent="0.2">
      <c r="A3316" s="334" t="s">
        <v>6410</v>
      </c>
      <c r="B3316" s="334" t="s">
        <v>9401</v>
      </c>
      <c r="C3316" s="334" t="s">
        <v>11</v>
      </c>
    </row>
    <row r="3317" spans="1:4" x14ac:dyDescent="0.2">
      <c r="A3317" s="334" t="s">
        <v>6411</v>
      </c>
      <c r="B3317" s="334" t="s">
        <v>9402</v>
      </c>
      <c r="C3317" s="334" t="s">
        <v>16</v>
      </c>
    </row>
    <row r="3318" spans="1:4" x14ac:dyDescent="0.2">
      <c r="A3318" s="334" t="s">
        <v>6412</v>
      </c>
      <c r="B3318" s="334" t="s">
        <v>9403</v>
      </c>
      <c r="C3318" s="334" t="s">
        <v>16</v>
      </c>
    </row>
    <row r="3319" spans="1:4" x14ac:dyDescent="0.2">
      <c r="A3319" s="334" t="s">
        <v>6413</v>
      </c>
      <c r="B3319" s="334" t="s">
        <v>9404</v>
      </c>
      <c r="C3319" s="334" t="s">
        <v>25</v>
      </c>
    </row>
    <row r="3320" spans="1:4" x14ac:dyDescent="0.2">
      <c r="A3320" s="334" t="s">
        <v>6414</v>
      </c>
      <c r="B3320" s="334" t="s">
        <v>9405</v>
      </c>
      <c r="C3320" s="334" t="s">
        <v>16</v>
      </c>
    </row>
    <row r="3321" spans="1:4" x14ac:dyDescent="0.2">
      <c r="A3321" s="334" t="s">
        <v>6415</v>
      </c>
      <c r="B3321" s="334" t="s">
        <v>9406</v>
      </c>
      <c r="C3321" s="334" t="s">
        <v>16</v>
      </c>
    </row>
    <row r="3322" spans="1:4" x14ac:dyDescent="0.2">
      <c r="A3322" s="334" t="s">
        <v>6416</v>
      </c>
      <c r="B3322" s="334" t="s">
        <v>9407</v>
      </c>
      <c r="C3322" s="334" t="s">
        <v>16</v>
      </c>
    </row>
    <row r="3323" spans="1:4" x14ac:dyDescent="0.2">
      <c r="A3323" s="334" t="s">
        <v>6417</v>
      </c>
      <c r="B3323" s="334" t="s">
        <v>9408</v>
      </c>
      <c r="C3323" s="334" t="s">
        <v>16</v>
      </c>
    </row>
    <row r="3324" spans="1:4" x14ac:dyDescent="0.2">
      <c r="A3324" s="334" t="s">
        <v>6418</v>
      </c>
      <c r="B3324" s="334" t="s">
        <v>9409</v>
      </c>
      <c r="C3324" s="334" t="s">
        <v>16</v>
      </c>
    </row>
    <row r="3325" spans="1:4" x14ac:dyDescent="0.2">
      <c r="A3325" s="334" t="s">
        <v>6419</v>
      </c>
      <c r="B3325" s="334" t="s">
        <v>9410</v>
      </c>
      <c r="C3325" s="334" t="s">
        <v>2338</v>
      </c>
    </row>
    <row r="3326" spans="1:4" x14ac:dyDescent="0.2">
      <c r="A3326" s="334" t="s">
        <v>6420</v>
      </c>
      <c r="B3326" s="334" t="s">
        <v>9411</v>
      </c>
      <c r="C3326" s="334" t="s">
        <v>16</v>
      </c>
    </row>
    <row r="3327" spans="1:4" x14ac:dyDescent="0.2">
      <c r="A3327" s="347" t="s">
        <v>3403</v>
      </c>
      <c r="B3327" s="347" t="s">
        <v>9412</v>
      </c>
      <c r="C3327" s="347" t="s">
        <v>2338</v>
      </c>
      <c r="D3327" s="348" t="s">
        <v>10271</v>
      </c>
    </row>
    <row r="3328" spans="1:4" x14ac:dyDescent="0.2">
      <c r="A3328" s="334" t="s">
        <v>9413</v>
      </c>
      <c r="B3328" s="334" t="s">
        <v>9414</v>
      </c>
      <c r="C3328" s="334" t="s">
        <v>16</v>
      </c>
    </row>
    <row r="3329" spans="1:4" x14ac:dyDescent="0.2">
      <c r="A3329" s="334" t="s">
        <v>6421</v>
      </c>
      <c r="B3329" s="334" t="s">
        <v>9415</v>
      </c>
      <c r="C3329" s="334" t="s">
        <v>7372</v>
      </c>
    </row>
    <row r="3330" spans="1:4" x14ac:dyDescent="0.2">
      <c r="A3330" s="334" t="s">
        <v>6422</v>
      </c>
      <c r="B3330" s="334" t="s">
        <v>9416</v>
      </c>
      <c r="C3330" s="334" t="s">
        <v>11</v>
      </c>
    </row>
    <row r="3331" spans="1:4" x14ac:dyDescent="0.2">
      <c r="A3331" s="334" t="s">
        <v>6423</v>
      </c>
      <c r="B3331" s="334" t="s">
        <v>9417</v>
      </c>
      <c r="C3331" s="334" t="s">
        <v>11</v>
      </c>
    </row>
    <row r="3332" spans="1:4" x14ac:dyDescent="0.2">
      <c r="A3332" s="334" t="s">
        <v>2245</v>
      </c>
      <c r="B3332" s="334" t="s">
        <v>9418</v>
      </c>
      <c r="C3332" s="334" t="s">
        <v>16</v>
      </c>
    </row>
    <row r="3333" spans="1:4" x14ac:dyDescent="0.2">
      <c r="A3333" s="334" t="s">
        <v>6424</v>
      </c>
      <c r="B3333" s="334" t="s">
        <v>9419</v>
      </c>
      <c r="C3333" s="334" t="s">
        <v>2338</v>
      </c>
    </row>
    <row r="3334" spans="1:4" x14ac:dyDescent="0.2">
      <c r="A3334" s="347" t="s">
        <v>3026</v>
      </c>
      <c r="B3334" s="347" t="s">
        <v>9420</v>
      </c>
      <c r="C3334" s="347" t="s">
        <v>2338</v>
      </c>
      <c r="D3334" s="348" t="s">
        <v>10271</v>
      </c>
    </row>
    <row r="3335" spans="1:4" x14ac:dyDescent="0.2">
      <c r="A3335" s="347" t="s">
        <v>3031</v>
      </c>
      <c r="B3335" s="347" t="s">
        <v>9421</v>
      </c>
      <c r="C3335" s="347" t="s">
        <v>2338</v>
      </c>
      <c r="D3335" s="348" t="s">
        <v>10271</v>
      </c>
    </row>
    <row r="3336" spans="1:4" x14ac:dyDescent="0.2">
      <c r="A3336" s="334" t="s">
        <v>6425</v>
      </c>
      <c r="B3336" s="334" t="s">
        <v>9422</v>
      </c>
      <c r="C3336" s="334" t="s">
        <v>2338</v>
      </c>
    </row>
    <row r="3337" spans="1:4" x14ac:dyDescent="0.2">
      <c r="A3337" s="334" t="s">
        <v>6426</v>
      </c>
      <c r="B3337" s="334" t="s">
        <v>9423</v>
      </c>
      <c r="C3337" s="334" t="s">
        <v>2338</v>
      </c>
    </row>
    <row r="3338" spans="1:4" x14ac:dyDescent="0.2">
      <c r="A3338" s="334" t="s">
        <v>6427</v>
      </c>
      <c r="B3338" s="334" t="s">
        <v>9424</v>
      </c>
      <c r="C3338" s="334" t="s">
        <v>2338</v>
      </c>
    </row>
    <row r="3339" spans="1:4" x14ac:dyDescent="0.2">
      <c r="A3339" s="334" t="s">
        <v>6428</v>
      </c>
      <c r="B3339" s="334" t="s">
        <v>9425</v>
      </c>
      <c r="C3339" s="334" t="s">
        <v>2338</v>
      </c>
    </row>
    <row r="3340" spans="1:4" x14ac:dyDescent="0.2">
      <c r="A3340" s="334" t="s">
        <v>6429</v>
      </c>
      <c r="B3340" s="334" t="s">
        <v>9426</v>
      </c>
      <c r="C3340" s="334" t="s">
        <v>2338</v>
      </c>
    </row>
    <row r="3341" spans="1:4" x14ac:dyDescent="0.2">
      <c r="A3341" s="347" t="s">
        <v>3034</v>
      </c>
      <c r="B3341" s="347" t="s">
        <v>2357</v>
      </c>
      <c r="C3341" s="347" t="s">
        <v>2338</v>
      </c>
      <c r="D3341" s="348" t="s">
        <v>10271</v>
      </c>
    </row>
    <row r="3342" spans="1:4" x14ac:dyDescent="0.2">
      <c r="A3342" s="347" t="s">
        <v>3019</v>
      </c>
      <c r="B3342" s="347" t="s">
        <v>9427</v>
      </c>
      <c r="C3342" s="347" t="s">
        <v>2338</v>
      </c>
      <c r="D3342" s="348" t="s">
        <v>10271</v>
      </c>
    </row>
    <row r="3343" spans="1:4" x14ac:dyDescent="0.2">
      <c r="A3343" s="334" t="s">
        <v>6430</v>
      </c>
      <c r="B3343" s="334" t="s">
        <v>9428</v>
      </c>
      <c r="C3343" s="334" t="s">
        <v>2338</v>
      </c>
    </row>
    <row r="3344" spans="1:4" x14ac:dyDescent="0.2">
      <c r="A3344" s="334" t="s">
        <v>6431</v>
      </c>
      <c r="B3344" s="334" t="s">
        <v>9429</v>
      </c>
      <c r="C3344" s="334" t="s">
        <v>11</v>
      </c>
    </row>
    <row r="3345" spans="1:3" x14ac:dyDescent="0.2">
      <c r="A3345" s="334" t="s">
        <v>6432</v>
      </c>
      <c r="B3345" s="334" t="s">
        <v>9430</v>
      </c>
      <c r="C3345" s="334" t="s">
        <v>11</v>
      </c>
    </row>
    <row r="3346" spans="1:3" x14ac:dyDescent="0.2">
      <c r="A3346" s="334" t="s">
        <v>6433</v>
      </c>
      <c r="B3346" s="334" t="s">
        <v>2664</v>
      </c>
      <c r="C3346" s="334" t="s">
        <v>16</v>
      </c>
    </row>
    <row r="3347" spans="1:3" x14ac:dyDescent="0.2">
      <c r="A3347" s="334" t="s">
        <v>6434</v>
      </c>
      <c r="B3347" s="334" t="s">
        <v>9431</v>
      </c>
      <c r="C3347" s="334" t="s">
        <v>11</v>
      </c>
    </row>
    <row r="3348" spans="1:3" x14ac:dyDescent="0.2">
      <c r="A3348" s="334" t="s">
        <v>6435</v>
      </c>
      <c r="B3348" s="334" t="s">
        <v>9432</v>
      </c>
      <c r="C3348" s="334" t="s">
        <v>11</v>
      </c>
    </row>
    <row r="3349" spans="1:3" x14ac:dyDescent="0.2">
      <c r="A3349" s="334" t="s">
        <v>6436</v>
      </c>
      <c r="B3349" s="334" t="s">
        <v>9433</v>
      </c>
      <c r="C3349" s="334" t="s">
        <v>11</v>
      </c>
    </row>
    <row r="3350" spans="1:3" x14ac:dyDescent="0.2">
      <c r="A3350" s="334" t="s">
        <v>6437</v>
      </c>
      <c r="B3350" s="334" t="s">
        <v>9434</v>
      </c>
      <c r="C3350" s="334" t="s">
        <v>11</v>
      </c>
    </row>
    <row r="3351" spans="1:3" x14ac:dyDescent="0.2">
      <c r="A3351" s="334" t="s">
        <v>6438</v>
      </c>
      <c r="B3351" s="334" t="s">
        <v>9435</v>
      </c>
      <c r="C3351" s="334" t="s">
        <v>11</v>
      </c>
    </row>
    <row r="3352" spans="1:3" x14ac:dyDescent="0.2">
      <c r="A3352" s="334" t="s">
        <v>6439</v>
      </c>
      <c r="B3352" s="334" t="s">
        <v>9436</v>
      </c>
      <c r="C3352" s="334" t="s">
        <v>11</v>
      </c>
    </row>
    <row r="3353" spans="1:3" x14ac:dyDescent="0.2">
      <c r="A3353" s="334" t="s">
        <v>6440</v>
      </c>
      <c r="B3353" s="334" t="s">
        <v>9437</v>
      </c>
      <c r="C3353" s="334" t="s">
        <v>11</v>
      </c>
    </row>
    <row r="3354" spans="1:3" x14ac:dyDescent="0.2">
      <c r="A3354" s="334" t="s">
        <v>6441</v>
      </c>
      <c r="B3354" s="334" t="s">
        <v>9438</v>
      </c>
      <c r="C3354" s="334" t="s">
        <v>11</v>
      </c>
    </row>
    <row r="3355" spans="1:3" x14ac:dyDescent="0.2">
      <c r="A3355" s="334" t="s">
        <v>6442</v>
      </c>
      <c r="B3355" s="334" t="s">
        <v>9439</v>
      </c>
      <c r="C3355" s="334" t="s">
        <v>11</v>
      </c>
    </row>
    <row r="3356" spans="1:3" x14ac:dyDescent="0.2">
      <c r="A3356" s="334" t="s">
        <v>6443</v>
      </c>
      <c r="B3356" s="334" t="s">
        <v>9440</v>
      </c>
      <c r="C3356" s="334" t="s">
        <v>11</v>
      </c>
    </row>
    <row r="3357" spans="1:3" x14ac:dyDescent="0.2">
      <c r="A3357" s="334" t="s">
        <v>6444</v>
      </c>
      <c r="B3357" s="334" t="s">
        <v>9437</v>
      </c>
      <c r="C3357" s="334" t="s">
        <v>11</v>
      </c>
    </row>
    <row r="3358" spans="1:3" x14ac:dyDescent="0.2">
      <c r="A3358" s="334" t="s">
        <v>6445</v>
      </c>
      <c r="B3358" s="334" t="s">
        <v>9441</v>
      </c>
      <c r="C3358" s="334" t="s">
        <v>11</v>
      </c>
    </row>
    <row r="3359" spans="1:3" x14ac:dyDescent="0.2">
      <c r="A3359" s="334" t="s">
        <v>6446</v>
      </c>
      <c r="B3359" s="334" t="s">
        <v>9442</v>
      </c>
      <c r="C3359" s="334" t="s">
        <v>11</v>
      </c>
    </row>
    <row r="3360" spans="1:3" x14ac:dyDescent="0.2">
      <c r="A3360" s="334" t="s">
        <v>6447</v>
      </c>
      <c r="B3360" s="334" t="s">
        <v>9443</v>
      </c>
      <c r="C3360" s="334" t="s">
        <v>16</v>
      </c>
    </row>
    <row r="3361" spans="1:3" x14ac:dyDescent="0.2">
      <c r="A3361" s="334" t="s">
        <v>6448</v>
      </c>
      <c r="B3361" s="334" t="s">
        <v>9444</v>
      </c>
      <c r="C3361" s="334" t="s">
        <v>11</v>
      </c>
    </row>
    <row r="3362" spans="1:3" x14ac:dyDescent="0.2">
      <c r="A3362" s="334" t="s">
        <v>6449</v>
      </c>
      <c r="B3362" s="334" t="s">
        <v>9445</v>
      </c>
      <c r="C3362" s="334" t="s">
        <v>11</v>
      </c>
    </row>
    <row r="3363" spans="1:3" x14ac:dyDescent="0.2">
      <c r="A3363" s="334" t="s">
        <v>6450</v>
      </c>
      <c r="B3363" s="334" t="s">
        <v>9446</v>
      </c>
      <c r="C3363" s="334" t="s">
        <v>11</v>
      </c>
    </row>
    <row r="3364" spans="1:3" x14ac:dyDescent="0.2">
      <c r="A3364" s="334" t="s">
        <v>6451</v>
      </c>
      <c r="B3364" s="334" t="s">
        <v>9447</v>
      </c>
      <c r="C3364" s="334" t="s">
        <v>2338</v>
      </c>
    </row>
    <row r="3365" spans="1:3" x14ac:dyDescent="0.2">
      <c r="A3365" s="334" t="s">
        <v>6452</v>
      </c>
      <c r="B3365" s="334" t="s">
        <v>9448</v>
      </c>
      <c r="C3365" s="334" t="s">
        <v>11</v>
      </c>
    </row>
    <row r="3366" spans="1:3" x14ac:dyDescent="0.2">
      <c r="A3366" s="334" t="s">
        <v>6453</v>
      </c>
      <c r="B3366" s="334" t="s">
        <v>9449</v>
      </c>
      <c r="C3366" s="334" t="s">
        <v>11</v>
      </c>
    </row>
    <row r="3367" spans="1:3" x14ac:dyDescent="0.2">
      <c r="A3367" s="334" t="s">
        <v>6454</v>
      </c>
      <c r="B3367" s="334" t="s">
        <v>9450</v>
      </c>
      <c r="C3367" s="334" t="s">
        <v>11</v>
      </c>
    </row>
    <row r="3368" spans="1:3" x14ac:dyDescent="0.2">
      <c r="A3368" s="334" t="s">
        <v>6455</v>
      </c>
      <c r="B3368" s="334" t="s">
        <v>6456</v>
      </c>
      <c r="C3368" s="334" t="s">
        <v>2338</v>
      </c>
    </row>
    <row r="3369" spans="1:3" x14ac:dyDescent="0.2">
      <c r="A3369" s="334" t="s">
        <v>6457</v>
      </c>
      <c r="B3369" s="334" t="s">
        <v>9451</v>
      </c>
      <c r="C3369" s="334" t="s">
        <v>11</v>
      </c>
    </row>
    <row r="3370" spans="1:3" x14ac:dyDescent="0.2">
      <c r="A3370" s="334" t="s">
        <v>6458</v>
      </c>
      <c r="B3370" s="334" t="s">
        <v>9452</v>
      </c>
      <c r="C3370" s="334" t="s">
        <v>11</v>
      </c>
    </row>
    <row r="3371" spans="1:3" x14ac:dyDescent="0.2">
      <c r="A3371" s="334" t="s">
        <v>6459</v>
      </c>
      <c r="B3371" s="334" t="s">
        <v>9453</v>
      </c>
      <c r="C3371" s="334" t="s">
        <v>11</v>
      </c>
    </row>
    <row r="3372" spans="1:3" x14ac:dyDescent="0.2">
      <c r="A3372" s="334" t="s">
        <v>6460</v>
      </c>
      <c r="B3372" s="334" t="s">
        <v>9454</v>
      </c>
      <c r="C3372" s="334" t="s">
        <v>11</v>
      </c>
    </row>
    <row r="3373" spans="1:3" x14ac:dyDescent="0.2">
      <c r="A3373" s="334" t="s">
        <v>6461</v>
      </c>
      <c r="B3373" s="334" t="s">
        <v>9455</v>
      </c>
      <c r="C3373" s="334" t="s">
        <v>11</v>
      </c>
    </row>
    <row r="3374" spans="1:3" x14ac:dyDescent="0.2">
      <c r="A3374" s="334" t="s">
        <v>6462</v>
      </c>
      <c r="B3374" s="334" t="s">
        <v>9456</v>
      </c>
      <c r="C3374" s="334" t="s">
        <v>11</v>
      </c>
    </row>
    <row r="3375" spans="1:3" x14ac:dyDescent="0.2">
      <c r="A3375" s="334" t="s">
        <v>6463</v>
      </c>
      <c r="B3375" s="334" t="s">
        <v>9457</v>
      </c>
      <c r="C3375" s="334" t="s">
        <v>11</v>
      </c>
    </row>
    <row r="3376" spans="1:3" x14ac:dyDescent="0.2">
      <c r="A3376" s="334" t="s">
        <v>6464</v>
      </c>
      <c r="B3376" s="334" t="s">
        <v>9458</v>
      </c>
      <c r="C3376" s="334" t="s">
        <v>11</v>
      </c>
    </row>
    <row r="3377" spans="1:3" x14ac:dyDescent="0.2">
      <c r="A3377" s="334" t="s">
        <v>6465</v>
      </c>
      <c r="B3377" s="334" t="s">
        <v>9459</v>
      </c>
      <c r="C3377" s="334" t="s">
        <v>11</v>
      </c>
    </row>
    <row r="3378" spans="1:3" x14ac:dyDescent="0.2">
      <c r="A3378" s="334" t="s">
        <v>6466</v>
      </c>
      <c r="B3378" s="334" t="s">
        <v>9460</v>
      </c>
      <c r="C3378" s="334" t="s">
        <v>11</v>
      </c>
    </row>
    <row r="3379" spans="1:3" x14ac:dyDescent="0.2">
      <c r="A3379" s="334" t="s">
        <v>6467</v>
      </c>
      <c r="B3379" s="334" t="s">
        <v>9461</v>
      </c>
      <c r="C3379" s="334" t="s">
        <v>25</v>
      </c>
    </row>
    <row r="3380" spans="1:3" x14ac:dyDescent="0.2">
      <c r="A3380" s="334" t="s">
        <v>6468</v>
      </c>
      <c r="B3380" s="334" t="s">
        <v>9462</v>
      </c>
      <c r="C3380" s="334" t="s">
        <v>25</v>
      </c>
    </row>
    <row r="3381" spans="1:3" x14ac:dyDescent="0.2">
      <c r="A3381" s="334" t="s">
        <v>6469</v>
      </c>
      <c r="B3381" s="334" t="s">
        <v>9463</v>
      </c>
      <c r="C3381" s="334" t="s">
        <v>2338</v>
      </c>
    </row>
    <row r="3382" spans="1:3" x14ac:dyDescent="0.2">
      <c r="A3382" s="334" t="s">
        <v>6470</v>
      </c>
      <c r="B3382" s="334" t="s">
        <v>9464</v>
      </c>
      <c r="C3382" s="334" t="s">
        <v>2338</v>
      </c>
    </row>
    <row r="3383" spans="1:3" x14ac:dyDescent="0.2">
      <c r="A3383" s="334" t="s">
        <v>6471</v>
      </c>
      <c r="B3383" s="334" t="s">
        <v>9465</v>
      </c>
      <c r="C3383" s="334" t="s">
        <v>2338</v>
      </c>
    </row>
    <row r="3384" spans="1:3" x14ac:dyDescent="0.2">
      <c r="A3384" s="334" t="s">
        <v>6472</v>
      </c>
      <c r="B3384" s="334" t="s">
        <v>9466</v>
      </c>
      <c r="C3384" s="334" t="s">
        <v>2338</v>
      </c>
    </row>
    <row r="3385" spans="1:3" x14ac:dyDescent="0.2">
      <c r="A3385" s="334" t="s">
        <v>2246</v>
      </c>
      <c r="B3385" s="334" t="s">
        <v>9467</v>
      </c>
      <c r="C3385" s="334" t="s">
        <v>2338</v>
      </c>
    </row>
    <row r="3386" spans="1:3" x14ac:dyDescent="0.2">
      <c r="A3386" s="334" t="s">
        <v>6473</v>
      </c>
      <c r="B3386" s="334" t="s">
        <v>9468</v>
      </c>
      <c r="C3386" s="334" t="s">
        <v>11</v>
      </c>
    </row>
    <row r="3387" spans="1:3" x14ac:dyDescent="0.2">
      <c r="A3387" s="334" t="s">
        <v>6474</v>
      </c>
      <c r="B3387" s="334" t="s">
        <v>9469</v>
      </c>
      <c r="C3387" s="334" t="s">
        <v>2338</v>
      </c>
    </row>
    <row r="3388" spans="1:3" x14ac:dyDescent="0.2">
      <c r="A3388" s="334" t="s">
        <v>6475</v>
      </c>
      <c r="B3388" s="334" t="s">
        <v>9470</v>
      </c>
      <c r="C3388" s="334" t="s">
        <v>2338</v>
      </c>
    </row>
    <row r="3389" spans="1:3" x14ac:dyDescent="0.2">
      <c r="A3389" s="334" t="s">
        <v>6476</v>
      </c>
      <c r="B3389" s="334" t="s">
        <v>9471</v>
      </c>
      <c r="C3389" s="334" t="s">
        <v>2338</v>
      </c>
    </row>
    <row r="3390" spans="1:3" x14ac:dyDescent="0.2">
      <c r="A3390" s="334" t="s">
        <v>6477</v>
      </c>
      <c r="B3390" s="334" t="s">
        <v>9472</v>
      </c>
      <c r="C3390" s="334" t="s">
        <v>52</v>
      </c>
    </row>
    <row r="3391" spans="1:3" x14ac:dyDescent="0.2">
      <c r="A3391" s="334" t="s">
        <v>6478</v>
      </c>
      <c r="B3391" s="334" t="s">
        <v>9473</v>
      </c>
      <c r="C3391" s="334" t="s">
        <v>11</v>
      </c>
    </row>
    <row r="3392" spans="1:3" x14ac:dyDescent="0.2">
      <c r="A3392" s="334" t="s">
        <v>6479</v>
      </c>
      <c r="B3392" s="334" t="s">
        <v>9474</v>
      </c>
      <c r="C3392" s="334" t="s">
        <v>11</v>
      </c>
    </row>
    <row r="3393" spans="1:3" x14ac:dyDescent="0.2">
      <c r="A3393" s="334" t="s">
        <v>6480</v>
      </c>
      <c r="B3393" s="334" t="s">
        <v>9475</v>
      </c>
      <c r="C3393" s="334" t="s">
        <v>11</v>
      </c>
    </row>
    <row r="3394" spans="1:3" x14ac:dyDescent="0.2">
      <c r="A3394" s="334" t="s">
        <v>2247</v>
      </c>
      <c r="B3394" s="334" t="s">
        <v>9476</v>
      </c>
      <c r="C3394" s="334" t="s">
        <v>11</v>
      </c>
    </row>
    <row r="3395" spans="1:3" x14ac:dyDescent="0.2">
      <c r="A3395" s="334" t="s">
        <v>6481</v>
      </c>
      <c r="B3395" s="334" t="s">
        <v>9477</v>
      </c>
      <c r="C3395" s="334" t="s">
        <v>11</v>
      </c>
    </row>
    <row r="3396" spans="1:3" x14ac:dyDescent="0.2">
      <c r="A3396" s="334" t="s">
        <v>6482</v>
      </c>
      <c r="B3396" s="334" t="s">
        <v>9478</v>
      </c>
      <c r="C3396" s="334" t="s">
        <v>11</v>
      </c>
    </row>
    <row r="3397" spans="1:3" x14ac:dyDescent="0.2">
      <c r="A3397" s="334" t="s">
        <v>6483</v>
      </c>
      <c r="B3397" s="334" t="s">
        <v>9479</v>
      </c>
      <c r="C3397" s="334" t="s">
        <v>2338</v>
      </c>
    </row>
    <row r="3398" spans="1:3" x14ac:dyDescent="0.2">
      <c r="A3398" s="334" t="s">
        <v>2248</v>
      </c>
      <c r="B3398" s="334" t="s">
        <v>9480</v>
      </c>
      <c r="C3398" s="334" t="s">
        <v>11</v>
      </c>
    </row>
    <row r="3399" spans="1:3" x14ac:dyDescent="0.2">
      <c r="A3399" s="334" t="s">
        <v>2249</v>
      </c>
      <c r="B3399" s="334" t="s">
        <v>9481</v>
      </c>
      <c r="C3399" s="334" t="s">
        <v>11</v>
      </c>
    </row>
    <row r="3400" spans="1:3" x14ac:dyDescent="0.2">
      <c r="A3400" s="334" t="s">
        <v>2250</v>
      </c>
      <c r="B3400" s="334" t="s">
        <v>9482</v>
      </c>
      <c r="C3400" s="334" t="s">
        <v>11</v>
      </c>
    </row>
    <row r="3401" spans="1:3" x14ac:dyDescent="0.2">
      <c r="A3401" s="334" t="s">
        <v>2251</v>
      </c>
      <c r="B3401" s="334" t="s">
        <v>9483</v>
      </c>
      <c r="C3401" s="334" t="s">
        <v>2338</v>
      </c>
    </row>
    <row r="3402" spans="1:3" x14ac:dyDescent="0.2">
      <c r="A3402" s="334" t="s">
        <v>2252</v>
      </c>
      <c r="B3402" s="334" t="s">
        <v>9484</v>
      </c>
      <c r="C3402" s="334" t="s">
        <v>2338</v>
      </c>
    </row>
    <row r="3403" spans="1:3" x14ac:dyDescent="0.2">
      <c r="A3403" s="334" t="s">
        <v>2253</v>
      </c>
      <c r="B3403" s="334" t="s">
        <v>9485</v>
      </c>
      <c r="C3403" s="334" t="s">
        <v>2338</v>
      </c>
    </row>
    <row r="3404" spans="1:3" x14ac:dyDescent="0.2">
      <c r="A3404" s="334" t="s">
        <v>2254</v>
      </c>
      <c r="B3404" s="334" t="s">
        <v>9486</v>
      </c>
      <c r="C3404" s="334" t="s">
        <v>2338</v>
      </c>
    </row>
    <row r="3405" spans="1:3" x14ac:dyDescent="0.2">
      <c r="A3405" s="334" t="s">
        <v>2255</v>
      </c>
      <c r="B3405" s="334" t="s">
        <v>9487</v>
      </c>
      <c r="C3405" s="334" t="s">
        <v>2338</v>
      </c>
    </row>
    <row r="3406" spans="1:3" x14ac:dyDescent="0.2">
      <c r="A3406" s="334" t="s">
        <v>6484</v>
      </c>
      <c r="B3406" s="334" t="s">
        <v>8377</v>
      </c>
      <c r="C3406" s="334" t="s">
        <v>2338</v>
      </c>
    </row>
    <row r="3407" spans="1:3" x14ac:dyDescent="0.2">
      <c r="A3407" s="334" t="s">
        <v>6485</v>
      </c>
      <c r="B3407" s="334" t="s">
        <v>9488</v>
      </c>
      <c r="C3407" s="334" t="s">
        <v>2338</v>
      </c>
    </row>
    <row r="3408" spans="1:3" x14ac:dyDescent="0.2">
      <c r="A3408" s="334" t="s">
        <v>6486</v>
      </c>
      <c r="B3408" s="334" t="s">
        <v>9489</v>
      </c>
      <c r="C3408" s="334" t="s">
        <v>2338</v>
      </c>
    </row>
    <row r="3409" spans="1:3" x14ac:dyDescent="0.2">
      <c r="A3409" s="334" t="s">
        <v>6487</v>
      </c>
      <c r="B3409" s="334" t="s">
        <v>9490</v>
      </c>
      <c r="C3409" s="334" t="s">
        <v>11</v>
      </c>
    </row>
    <row r="3410" spans="1:3" x14ac:dyDescent="0.2">
      <c r="A3410" s="334" t="s">
        <v>6488</v>
      </c>
      <c r="B3410" s="334" t="s">
        <v>9491</v>
      </c>
      <c r="C3410" s="334" t="s">
        <v>11</v>
      </c>
    </row>
    <row r="3411" spans="1:3" x14ac:dyDescent="0.2">
      <c r="A3411" s="334" t="s">
        <v>6489</v>
      </c>
      <c r="B3411" s="334" t="s">
        <v>9492</v>
      </c>
      <c r="C3411" s="334" t="s">
        <v>6602</v>
      </c>
    </row>
    <row r="3412" spans="1:3" x14ac:dyDescent="0.2">
      <c r="A3412" s="334" t="s">
        <v>6490</v>
      </c>
      <c r="B3412" s="334" t="s">
        <v>9493</v>
      </c>
      <c r="C3412" s="334" t="s">
        <v>11</v>
      </c>
    </row>
    <row r="3413" spans="1:3" x14ac:dyDescent="0.2">
      <c r="A3413" s="334" t="s">
        <v>6491</v>
      </c>
      <c r="B3413" s="334" t="s">
        <v>9494</v>
      </c>
      <c r="C3413" s="334" t="s">
        <v>11</v>
      </c>
    </row>
    <row r="3414" spans="1:3" x14ac:dyDescent="0.2">
      <c r="A3414" s="334" t="s">
        <v>6492</v>
      </c>
      <c r="B3414" s="334" t="s">
        <v>9495</v>
      </c>
      <c r="C3414" s="334" t="s">
        <v>2338</v>
      </c>
    </row>
    <row r="3415" spans="1:3" x14ac:dyDescent="0.2">
      <c r="A3415" s="334" t="s">
        <v>6493</v>
      </c>
      <c r="B3415" s="334" t="s">
        <v>9496</v>
      </c>
      <c r="C3415" s="334" t="s">
        <v>16</v>
      </c>
    </row>
    <row r="3416" spans="1:3" x14ac:dyDescent="0.2">
      <c r="A3416" s="334" t="s">
        <v>6494</v>
      </c>
      <c r="B3416" s="334" t="s">
        <v>6495</v>
      </c>
      <c r="C3416" s="334" t="s">
        <v>2338</v>
      </c>
    </row>
    <row r="3417" spans="1:3" x14ac:dyDescent="0.2">
      <c r="A3417" s="334" t="s">
        <v>6496</v>
      </c>
      <c r="B3417" s="334" t="s">
        <v>6497</v>
      </c>
      <c r="C3417" s="334" t="s">
        <v>6603</v>
      </c>
    </row>
    <row r="3418" spans="1:3" x14ac:dyDescent="0.2">
      <c r="A3418" s="334" t="s">
        <v>6498</v>
      </c>
      <c r="B3418" s="334" t="s">
        <v>6499</v>
      </c>
      <c r="C3418" s="334" t="s">
        <v>2338</v>
      </c>
    </row>
    <row r="3419" spans="1:3" x14ac:dyDescent="0.2">
      <c r="A3419" s="334" t="s">
        <v>6500</v>
      </c>
      <c r="B3419" s="334" t="s">
        <v>9497</v>
      </c>
      <c r="C3419" s="334" t="s">
        <v>11</v>
      </c>
    </row>
    <row r="3420" spans="1:3" x14ac:dyDescent="0.2">
      <c r="A3420" s="334" t="s">
        <v>6501</v>
      </c>
      <c r="B3420" s="334" t="s">
        <v>9498</v>
      </c>
      <c r="C3420" s="334" t="s">
        <v>11</v>
      </c>
    </row>
    <row r="3421" spans="1:3" x14ac:dyDescent="0.2">
      <c r="A3421" s="334" t="s">
        <v>6502</v>
      </c>
      <c r="B3421" s="334" t="s">
        <v>2686</v>
      </c>
      <c r="C3421" s="334" t="s">
        <v>25</v>
      </c>
    </row>
    <row r="3422" spans="1:3" x14ac:dyDescent="0.2">
      <c r="A3422" s="334" t="s">
        <v>6503</v>
      </c>
      <c r="B3422" s="334" t="s">
        <v>9499</v>
      </c>
      <c r="C3422" s="334" t="s">
        <v>16</v>
      </c>
    </row>
    <row r="3423" spans="1:3" x14ac:dyDescent="0.2">
      <c r="A3423" s="334" t="s">
        <v>6504</v>
      </c>
      <c r="B3423" s="334" t="s">
        <v>9500</v>
      </c>
      <c r="C3423" s="334" t="s">
        <v>11</v>
      </c>
    </row>
    <row r="3424" spans="1:3" x14ac:dyDescent="0.2">
      <c r="A3424" s="334" t="s">
        <v>6505</v>
      </c>
      <c r="B3424" s="334" t="s">
        <v>9501</v>
      </c>
      <c r="C3424" s="334" t="s">
        <v>16</v>
      </c>
    </row>
    <row r="3425" spans="1:3" x14ac:dyDescent="0.2">
      <c r="A3425" s="334" t="s">
        <v>6506</v>
      </c>
      <c r="B3425" s="334" t="s">
        <v>9502</v>
      </c>
      <c r="C3425" s="334" t="s">
        <v>11</v>
      </c>
    </row>
    <row r="3426" spans="1:3" x14ac:dyDescent="0.2">
      <c r="A3426" s="334" t="s">
        <v>6507</v>
      </c>
      <c r="B3426" s="334" t="s">
        <v>9503</v>
      </c>
      <c r="C3426" s="334" t="s">
        <v>11</v>
      </c>
    </row>
    <row r="3427" spans="1:3" x14ac:dyDescent="0.2">
      <c r="A3427" s="334" t="s">
        <v>6508</v>
      </c>
      <c r="B3427" s="334" t="s">
        <v>9504</v>
      </c>
      <c r="C3427" s="334" t="s">
        <v>25</v>
      </c>
    </row>
    <row r="3428" spans="1:3" x14ac:dyDescent="0.2">
      <c r="A3428" s="334" t="s">
        <v>6509</v>
      </c>
      <c r="B3428" s="334" t="s">
        <v>9505</v>
      </c>
      <c r="C3428" s="334" t="s">
        <v>11</v>
      </c>
    </row>
    <row r="3429" spans="1:3" x14ac:dyDescent="0.2">
      <c r="A3429" s="334" t="s">
        <v>6510</v>
      </c>
      <c r="B3429" s="334" t="s">
        <v>9506</v>
      </c>
      <c r="C3429" s="334" t="s">
        <v>11</v>
      </c>
    </row>
    <row r="3430" spans="1:3" x14ac:dyDescent="0.2">
      <c r="A3430" s="334" t="s">
        <v>6511</v>
      </c>
      <c r="B3430" s="334" t="s">
        <v>9507</v>
      </c>
      <c r="C3430" s="334" t="s">
        <v>11</v>
      </c>
    </row>
    <row r="3431" spans="1:3" x14ac:dyDescent="0.2">
      <c r="A3431" s="334" t="s">
        <v>6512</v>
      </c>
      <c r="B3431" s="334" t="s">
        <v>9508</v>
      </c>
      <c r="C3431" s="334" t="s">
        <v>11</v>
      </c>
    </row>
    <row r="3432" spans="1:3" x14ac:dyDescent="0.2">
      <c r="A3432" s="334" t="s">
        <v>6513</v>
      </c>
      <c r="B3432" s="334" t="s">
        <v>9509</v>
      </c>
      <c r="C3432" s="334" t="s">
        <v>11</v>
      </c>
    </row>
    <row r="3433" spans="1:3" x14ac:dyDescent="0.2">
      <c r="A3433" s="334" t="s">
        <v>6514</v>
      </c>
      <c r="B3433" s="334" t="s">
        <v>9510</v>
      </c>
      <c r="C3433" s="334" t="s">
        <v>16</v>
      </c>
    </row>
    <row r="3434" spans="1:3" x14ac:dyDescent="0.2">
      <c r="A3434" s="334" t="s">
        <v>6515</v>
      </c>
      <c r="B3434" s="334" t="s">
        <v>9511</v>
      </c>
      <c r="C3434" s="334" t="s">
        <v>25</v>
      </c>
    </row>
    <row r="3435" spans="1:3" x14ac:dyDescent="0.2">
      <c r="A3435" s="334" t="s">
        <v>6516</v>
      </c>
      <c r="B3435" s="334" t="s">
        <v>9512</v>
      </c>
      <c r="C3435" s="334" t="s">
        <v>16</v>
      </c>
    </row>
    <row r="3436" spans="1:3" x14ac:dyDescent="0.2">
      <c r="A3436" s="334" t="s">
        <v>6517</v>
      </c>
      <c r="B3436" s="334" t="s">
        <v>9513</v>
      </c>
      <c r="C3436" s="334" t="s">
        <v>16</v>
      </c>
    </row>
    <row r="3437" spans="1:3" x14ac:dyDescent="0.2">
      <c r="A3437" s="334" t="s">
        <v>6518</v>
      </c>
      <c r="B3437" s="334" t="s">
        <v>9514</v>
      </c>
      <c r="C3437" s="334" t="s">
        <v>16</v>
      </c>
    </row>
    <row r="3438" spans="1:3" x14ac:dyDescent="0.2">
      <c r="A3438" s="334" t="s">
        <v>6519</v>
      </c>
      <c r="B3438" s="334" t="s">
        <v>9515</v>
      </c>
      <c r="C3438" s="334" t="s">
        <v>16</v>
      </c>
    </row>
    <row r="3439" spans="1:3" x14ac:dyDescent="0.2">
      <c r="A3439" s="334" t="s">
        <v>6520</v>
      </c>
      <c r="B3439" s="334" t="s">
        <v>9516</v>
      </c>
      <c r="C3439" s="334" t="s">
        <v>16</v>
      </c>
    </row>
    <row r="3440" spans="1:3" x14ac:dyDescent="0.2">
      <c r="A3440" s="334" t="s">
        <v>6521</v>
      </c>
      <c r="B3440" s="334" t="s">
        <v>9517</v>
      </c>
      <c r="C3440" s="334" t="s">
        <v>16</v>
      </c>
    </row>
    <row r="3441" spans="1:3" x14ac:dyDescent="0.2">
      <c r="A3441" s="334" t="s">
        <v>6522</v>
      </c>
      <c r="B3441" s="334" t="s">
        <v>9518</v>
      </c>
      <c r="C3441" s="334" t="s">
        <v>16</v>
      </c>
    </row>
    <row r="3442" spans="1:3" x14ac:dyDescent="0.2">
      <c r="A3442" s="334" t="s">
        <v>6523</v>
      </c>
      <c r="B3442" s="334" t="s">
        <v>9519</v>
      </c>
      <c r="C3442" s="334" t="s">
        <v>25</v>
      </c>
    </row>
    <row r="3443" spans="1:3" x14ac:dyDescent="0.2">
      <c r="A3443" s="334" t="s">
        <v>6524</v>
      </c>
      <c r="B3443" s="334" t="s">
        <v>9520</v>
      </c>
      <c r="C3443" s="334" t="s">
        <v>16</v>
      </c>
    </row>
    <row r="3444" spans="1:3" x14ac:dyDescent="0.2">
      <c r="A3444" s="334" t="s">
        <v>6525</v>
      </c>
      <c r="B3444" s="334" t="s">
        <v>6526</v>
      </c>
      <c r="C3444" s="334" t="s">
        <v>2338</v>
      </c>
    </row>
    <row r="3445" spans="1:3" x14ac:dyDescent="0.2">
      <c r="A3445" s="334" t="s">
        <v>6527</v>
      </c>
      <c r="B3445" s="334" t="s">
        <v>9521</v>
      </c>
      <c r="C3445" s="334" t="s">
        <v>16</v>
      </c>
    </row>
    <row r="3446" spans="1:3" x14ac:dyDescent="0.2">
      <c r="A3446" s="334" t="s">
        <v>6528</v>
      </c>
      <c r="B3446" s="334" t="s">
        <v>9522</v>
      </c>
      <c r="C3446" s="334" t="s">
        <v>16</v>
      </c>
    </row>
    <row r="3447" spans="1:3" x14ac:dyDescent="0.2">
      <c r="A3447" s="334" t="s">
        <v>6529</v>
      </c>
      <c r="B3447" s="334" t="s">
        <v>9523</v>
      </c>
      <c r="C3447" s="334" t="s">
        <v>16</v>
      </c>
    </row>
    <row r="3448" spans="1:3" x14ac:dyDescent="0.2">
      <c r="A3448" s="334" t="s">
        <v>6530</v>
      </c>
      <c r="B3448" s="334" t="s">
        <v>9524</v>
      </c>
      <c r="C3448" s="334" t="s">
        <v>16</v>
      </c>
    </row>
    <row r="3449" spans="1:3" x14ac:dyDescent="0.2">
      <c r="A3449" s="334" t="s">
        <v>6531</v>
      </c>
      <c r="B3449" s="334" t="s">
        <v>9525</v>
      </c>
      <c r="C3449" s="334" t="s">
        <v>16</v>
      </c>
    </row>
    <row r="3450" spans="1:3" x14ac:dyDescent="0.2">
      <c r="A3450" s="334" t="s">
        <v>6532</v>
      </c>
      <c r="B3450" s="334" t="s">
        <v>9526</v>
      </c>
      <c r="C3450" s="334" t="s">
        <v>16</v>
      </c>
    </row>
    <row r="3451" spans="1:3" x14ac:dyDescent="0.2">
      <c r="A3451" s="334" t="s">
        <v>6533</v>
      </c>
      <c r="B3451" s="334" t="s">
        <v>9527</v>
      </c>
      <c r="C3451" s="334" t="s">
        <v>16</v>
      </c>
    </row>
    <row r="3452" spans="1:3" x14ac:dyDescent="0.2">
      <c r="A3452" s="334" t="s">
        <v>6534</v>
      </c>
      <c r="B3452" s="334" t="s">
        <v>9528</v>
      </c>
      <c r="C3452" s="334" t="s">
        <v>25</v>
      </c>
    </row>
    <row r="3453" spans="1:3" x14ac:dyDescent="0.2">
      <c r="A3453" s="334" t="s">
        <v>6535</v>
      </c>
      <c r="B3453" s="334" t="s">
        <v>9529</v>
      </c>
      <c r="C3453" s="334" t="s">
        <v>25</v>
      </c>
    </row>
    <row r="3454" spans="1:3" x14ac:dyDescent="0.2">
      <c r="A3454" s="334" t="s">
        <v>6536</v>
      </c>
      <c r="B3454" s="334" t="s">
        <v>9530</v>
      </c>
      <c r="C3454" s="334" t="s">
        <v>25</v>
      </c>
    </row>
    <row r="3455" spans="1:3" x14ac:dyDescent="0.2">
      <c r="A3455" s="334" t="s">
        <v>6537</v>
      </c>
      <c r="B3455" s="334" t="s">
        <v>9531</v>
      </c>
      <c r="C3455" s="334" t="s">
        <v>25</v>
      </c>
    </row>
    <row r="3456" spans="1:3" x14ac:dyDescent="0.2">
      <c r="A3456" s="334" t="s">
        <v>6538</v>
      </c>
      <c r="B3456" s="334" t="s">
        <v>9532</v>
      </c>
      <c r="C3456" s="334" t="s">
        <v>25</v>
      </c>
    </row>
    <row r="3457" spans="1:3" x14ac:dyDescent="0.2">
      <c r="A3457" s="334" t="s">
        <v>6539</v>
      </c>
      <c r="B3457" s="334" t="s">
        <v>9533</v>
      </c>
      <c r="C3457" s="334" t="s">
        <v>25</v>
      </c>
    </row>
    <row r="3458" spans="1:3" x14ac:dyDescent="0.2">
      <c r="A3458" s="334" t="s">
        <v>6540</v>
      </c>
      <c r="B3458" s="334" t="s">
        <v>9534</v>
      </c>
      <c r="C3458" s="334" t="s">
        <v>7673</v>
      </c>
    </row>
    <row r="3459" spans="1:3" x14ac:dyDescent="0.2">
      <c r="A3459" s="334" t="s">
        <v>6541</v>
      </c>
      <c r="B3459" s="334" t="s">
        <v>9535</v>
      </c>
      <c r="C3459" s="334" t="s">
        <v>25</v>
      </c>
    </row>
    <row r="3460" spans="1:3" x14ac:dyDescent="0.2">
      <c r="A3460" s="334" t="s">
        <v>6542</v>
      </c>
      <c r="B3460" s="334" t="s">
        <v>9536</v>
      </c>
      <c r="C3460" s="334" t="s">
        <v>25</v>
      </c>
    </row>
    <row r="3461" spans="1:3" x14ac:dyDescent="0.2">
      <c r="A3461" s="334" t="s">
        <v>6543</v>
      </c>
      <c r="B3461" s="334" t="s">
        <v>6544</v>
      </c>
      <c r="C3461" s="334" t="s">
        <v>16</v>
      </c>
    </row>
    <row r="3462" spans="1:3" x14ac:dyDescent="0.2">
      <c r="A3462" s="334" t="s">
        <v>6545</v>
      </c>
      <c r="B3462" s="334" t="s">
        <v>9537</v>
      </c>
      <c r="C3462" s="334" t="s">
        <v>25</v>
      </c>
    </row>
    <row r="3463" spans="1:3" x14ac:dyDescent="0.2">
      <c r="A3463" s="334" t="s">
        <v>6546</v>
      </c>
      <c r="B3463" s="334" t="s">
        <v>9538</v>
      </c>
      <c r="C3463" s="334" t="s">
        <v>25</v>
      </c>
    </row>
    <row r="3464" spans="1:3" x14ac:dyDescent="0.2">
      <c r="A3464" s="334" t="s">
        <v>6547</v>
      </c>
      <c r="B3464" s="334" t="s">
        <v>9539</v>
      </c>
      <c r="C3464" s="334" t="s">
        <v>16</v>
      </c>
    </row>
    <row r="3465" spans="1:3" x14ac:dyDescent="0.2">
      <c r="A3465" s="334" t="s">
        <v>6548</v>
      </c>
      <c r="B3465" s="334" t="s">
        <v>9540</v>
      </c>
      <c r="C3465" s="334" t="s">
        <v>16</v>
      </c>
    </row>
    <row r="3466" spans="1:3" x14ac:dyDescent="0.2">
      <c r="A3466" s="334" t="s">
        <v>6549</v>
      </c>
      <c r="B3466" s="334" t="s">
        <v>9541</v>
      </c>
      <c r="C3466" s="334" t="s">
        <v>16</v>
      </c>
    </row>
    <row r="3467" spans="1:3" x14ac:dyDescent="0.2">
      <c r="A3467" s="334" t="s">
        <v>6550</v>
      </c>
      <c r="B3467" s="334" t="s">
        <v>9542</v>
      </c>
      <c r="C3467" s="334" t="s">
        <v>25</v>
      </c>
    </row>
    <row r="3468" spans="1:3" x14ac:dyDescent="0.2">
      <c r="A3468" s="334" t="s">
        <v>6551</v>
      </c>
      <c r="B3468" s="334" t="s">
        <v>9543</v>
      </c>
      <c r="C3468" s="334" t="s">
        <v>25</v>
      </c>
    </row>
    <row r="3469" spans="1:3" x14ac:dyDescent="0.2">
      <c r="A3469" s="334" t="s">
        <v>6552</v>
      </c>
      <c r="B3469" s="334" t="s">
        <v>9544</v>
      </c>
      <c r="C3469" s="334" t="s">
        <v>6604</v>
      </c>
    </row>
    <row r="3470" spans="1:3" x14ac:dyDescent="0.2">
      <c r="A3470" s="334" t="s">
        <v>6553</v>
      </c>
      <c r="B3470" s="334" t="s">
        <v>6554</v>
      </c>
      <c r="C3470" s="334" t="s">
        <v>6602</v>
      </c>
    </row>
    <row r="3471" spans="1:3" x14ac:dyDescent="0.2">
      <c r="A3471" s="334" t="s">
        <v>6555</v>
      </c>
      <c r="B3471" s="334" t="s">
        <v>9545</v>
      </c>
      <c r="C3471" s="334" t="s">
        <v>2338</v>
      </c>
    </row>
    <row r="3472" spans="1:3" x14ac:dyDescent="0.2">
      <c r="A3472" s="334" t="s">
        <v>6556</v>
      </c>
      <c r="B3472" s="334" t="s">
        <v>9546</v>
      </c>
      <c r="C3472" s="334" t="s">
        <v>2338</v>
      </c>
    </row>
    <row r="3473" spans="1:4" x14ac:dyDescent="0.2">
      <c r="A3473" s="334" t="s">
        <v>6557</v>
      </c>
      <c r="B3473" s="334" t="s">
        <v>9547</v>
      </c>
      <c r="C3473" s="334" t="s">
        <v>2338</v>
      </c>
    </row>
    <row r="3474" spans="1:4" x14ac:dyDescent="0.2">
      <c r="A3474" s="334" t="s">
        <v>6558</v>
      </c>
      <c r="B3474" s="334" t="s">
        <v>9548</v>
      </c>
      <c r="C3474" s="334" t="s">
        <v>16</v>
      </c>
    </row>
    <row r="3475" spans="1:4" x14ac:dyDescent="0.2">
      <c r="A3475" s="334" t="s">
        <v>6559</v>
      </c>
      <c r="B3475" s="334" t="s">
        <v>9549</v>
      </c>
      <c r="C3475" s="334" t="s">
        <v>52</v>
      </c>
    </row>
    <row r="3476" spans="1:4" x14ac:dyDescent="0.2">
      <c r="A3476" s="334" t="s">
        <v>6560</v>
      </c>
      <c r="B3476" s="334" t="s">
        <v>2635</v>
      </c>
      <c r="C3476" s="334" t="s">
        <v>16</v>
      </c>
    </row>
    <row r="3477" spans="1:4" x14ac:dyDescent="0.2">
      <c r="A3477" s="334" t="s">
        <v>6561</v>
      </c>
      <c r="B3477" s="334" t="s">
        <v>9550</v>
      </c>
      <c r="C3477" s="334" t="s">
        <v>11</v>
      </c>
    </row>
    <row r="3478" spans="1:4" x14ac:dyDescent="0.2">
      <c r="A3478" s="334" t="s">
        <v>2256</v>
      </c>
      <c r="B3478" s="334" t="s">
        <v>9551</v>
      </c>
      <c r="C3478" s="334" t="s">
        <v>2338</v>
      </c>
    </row>
    <row r="3479" spans="1:4" x14ac:dyDescent="0.2">
      <c r="A3479" s="334" t="s">
        <v>2257</v>
      </c>
      <c r="B3479" s="334" t="s">
        <v>6562</v>
      </c>
      <c r="C3479" s="334" t="s">
        <v>16</v>
      </c>
    </row>
    <row r="3480" spans="1:4" x14ac:dyDescent="0.2">
      <c r="A3480" s="334" t="s">
        <v>2258</v>
      </c>
      <c r="B3480" s="334" t="s">
        <v>9552</v>
      </c>
      <c r="C3480" s="334" t="s">
        <v>11</v>
      </c>
    </row>
    <row r="3481" spans="1:4" x14ac:dyDescent="0.2">
      <c r="A3481" s="347" t="s">
        <v>2259</v>
      </c>
      <c r="B3481" s="347" t="s">
        <v>2814</v>
      </c>
      <c r="C3481" s="347" t="s">
        <v>16</v>
      </c>
      <c r="D3481" s="348" t="s">
        <v>10271</v>
      </c>
    </row>
    <row r="3482" spans="1:4" x14ac:dyDescent="0.2">
      <c r="A3482" s="334" t="s">
        <v>2260</v>
      </c>
      <c r="B3482" s="334" t="s">
        <v>9553</v>
      </c>
      <c r="C3482" s="334" t="s">
        <v>16</v>
      </c>
    </row>
    <row r="3483" spans="1:4" x14ac:dyDescent="0.2">
      <c r="A3483" s="334" t="s">
        <v>2261</v>
      </c>
      <c r="B3483" s="334" t="s">
        <v>9554</v>
      </c>
      <c r="C3483" s="334" t="s">
        <v>16</v>
      </c>
    </row>
    <row r="3484" spans="1:4" x14ac:dyDescent="0.2">
      <c r="A3484" s="334" t="s">
        <v>2262</v>
      </c>
      <c r="B3484" s="334" t="s">
        <v>2662</v>
      </c>
      <c r="C3484" s="334" t="s">
        <v>16</v>
      </c>
    </row>
    <row r="3485" spans="1:4" x14ac:dyDescent="0.2">
      <c r="A3485" s="334" t="s">
        <v>6563</v>
      </c>
      <c r="B3485" s="334" t="s">
        <v>6564</v>
      </c>
      <c r="C3485" s="334" t="s">
        <v>2338</v>
      </c>
    </row>
    <row r="3486" spans="1:4" x14ac:dyDescent="0.2">
      <c r="A3486" s="334" t="s">
        <v>6565</v>
      </c>
      <c r="B3486" s="334" t="s">
        <v>9555</v>
      </c>
      <c r="C3486" s="334" t="s">
        <v>6602</v>
      </c>
    </row>
    <row r="3487" spans="1:4" x14ac:dyDescent="0.2">
      <c r="A3487" s="334" t="s">
        <v>2263</v>
      </c>
      <c r="B3487" s="334" t="s">
        <v>6566</v>
      </c>
      <c r="C3487" s="334" t="s">
        <v>16</v>
      </c>
    </row>
    <row r="3488" spans="1:4" x14ac:dyDescent="0.2">
      <c r="A3488" s="334" t="s">
        <v>6567</v>
      </c>
      <c r="B3488" s="334" t="s">
        <v>9556</v>
      </c>
      <c r="C3488" s="334" t="s">
        <v>16</v>
      </c>
    </row>
    <row r="3489" spans="1:3" x14ac:dyDescent="0.2">
      <c r="A3489" s="334" t="s">
        <v>6568</v>
      </c>
      <c r="B3489" s="334" t="s">
        <v>9557</v>
      </c>
      <c r="C3489" s="334" t="s">
        <v>25</v>
      </c>
    </row>
    <row r="3490" spans="1:3" x14ac:dyDescent="0.2">
      <c r="A3490" s="334" t="s">
        <v>6569</v>
      </c>
      <c r="B3490" s="334" t="s">
        <v>9558</v>
      </c>
      <c r="C3490" s="334" t="s">
        <v>52</v>
      </c>
    </row>
    <row r="3491" spans="1:3" x14ac:dyDescent="0.2">
      <c r="A3491" s="334" t="s">
        <v>6570</v>
      </c>
      <c r="B3491" s="334" t="s">
        <v>9559</v>
      </c>
      <c r="C3491" s="334" t="s">
        <v>25</v>
      </c>
    </row>
    <row r="3492" spans="1:3" x14ac:dyDescent="0.2">
      <c r="A3492" s="334" t="s">
        <v>6571</v>
      </c>
      <c r="B3492" s="334" t="s">
        <v>8105</v>
      </c>
      <c r="C3492" s="334" t="s">
        <v>25</v>
      </c>
    </row>
    <row r="3493" spans="1:3" x14ac:dyDescent="0.2">
      <c r="A3493" s="334" t="s">
        <v>6572</v>
      </c>
      <c r="B3493" s="334" t="s">
        <v>9560</v>
      </c>
      <c r="C3493" s="334" t="s">
        <v>16</v>
      </c>
    </row>
    <row r="3494" spans="1:3" x14ac:dyDescent="0.2">
      <c r="A3494" s="334" t="s">
        <v>6573</v>
      </c>
      <c r="B3494" s="334" t="s">
        <v>9561</v>
      </c>
      <c r="C3494" s="334" t="s">
        <v>25</v>
      </c>
    </row>
    <row r="3495" spans="1:3" x14ac:dyDescent="0.2">
      <c r="A3495" s="334" t="s">
        <v>6574</v>
      </c>
      <c r="B3495" s="334" t="s">
        <v>9562</v>
      </c>
      <c r="C3495" s="334" t="s">
        <v>52</v>
      </c>
    </row>
    <row r="3496" spans="1:3" x14ac:dyDescent="0.2">
      <c r="A3496" s="334" t="s">
        <v>6575</v>
      </c>
      <c r="B3496" s="334" t="s">
        <v>9563</v>
      </c>
      <c r="C3496" s="334" t="s">
        <v>2557</v>
      </c>
    </row>
    <row r="3497" spans="1:3" x14ac:dyDescent="0.2">
      <c r="A3497" s="334" t="s">
        <v>6576</v>
      </c>
      <c r="B3497" s="334" t="s">
        <v>2633</v>
      </c>
      <c r="C3497" s="334" t="s">
        <v>52</v>
      </c>
    </row>
    <row r="3498" spans="1:3" x14ac:dyDescent="0.2">
      <c r="A3498" s="334" t="s">
        <v>6577</v>
      </c>
      <c r="B3498" s="334" t="s">
        <v>9564</v>
      </c>
      <c r="C3498" s="334" t="s">
        <v>52</v>
      </c>
    </row>
    <row r="3499" spans="1:3" x14ac:dyDescent="0.2">
      <c r="A3499" s="334" t="s">
        <v>6578</v>
      </c>
      <c r="B3499" s="334" t="s">
        <v>2647</v>
      </c>
      <c r="C3499" s="334" t="s">
        <v>52</v>
      </c>
    </row>
    <row r="3500" spans="1:3" x14ac:dyDescent="0.2">
      <c r="A3500" s="334" t="s">
        <v>6579</v>
      </c>
      <c r="B3500" s="334" t="s">
        <v>9565</v>
      </c>
      <c r="C3500" s="334" t="s">
        <v>16</v>
      </c>
    </row>
    <row r="3501" spans="1:3" x14ac:dyDescent="0.2">
      <c r="A3501" s="334" t="s">
        <v>6580</v>
      </c>
      <c r="B3501" s="334" t="s">
        <v>9566</v>
      </c>
      <c r="C3501" s="334" t="s">
        <v>11</v>
      </c>
    </row>
    <row r="3502" spans="1:3" x14ac:dyDescent="0.2">
      <c r="A3502" s="334" t="s">
        <v>6581</v>
      </c>
      <c r="B3502" s="334" t="s">
        <v>9567</v>
      </c>
      <c r="C3502" s="334" t="s">
        <v>16</v>
      </c>
    </row>
    <row r="3503" spans="1:3" x14ac:dyDescent="0.2">
      <c r="A3503" s="334" t="s">
        <v>2264</v>
      </c>
      <c r="B3503" s="334" t="s">
        <v>9568</v>
      </c>
      <c r="C3503" s="334" t="s">
        <v>11</v>
      </c>
    </row>
    <row r="3504" spans="1:3" x14ac:dyDescent="0.2">
      <c r="A3504" s="334" t="s">
        <v>2265</v>
      </c>
      <c r="B3504" s="334" t="s">
        <v>6953</v>
      </c>
      <c r="C3504" s="334" t="s">
        <v>11</v>
      </c>
    </row>
    <row r="3505" spans="1:3" x14ac:dyDescent="0.2">
      <c r="A3505" s="334" t="s">
        <v>2266</v>
      </c>
      <c r="B3505" s="334" t="s">
        <v>9569</v>
      </c>
      <c r="C3505" s="334" t="s">
        <v>11</v>
      </c>
    </row>
    <row r="3506" spans="1:3" x14ac:dyDescent="0.2">
      <c r="A3506" s="334" t="s">
        <v>2267</v>
      </c>
      <c r="B3506" s="334" t="s">
        <v>2505</v>
      </c>
      <c r="C3506" s="334" t="s">
        <v>6602</v>
      </c>
    </row>
    <row r="3507" spans="1:3" x14ac:dyDescent="0.2">
      <c r="A3507" s="334" t="s">
        <v>2268</v>
      </c>
      <c r="B3507" s="334" t="s">
        <v>2506</v>
      </c>
      <c r="C3507" s="334" t="s">
        <v>6602</v>
      </c>
    </row>
    <row r="3508" spans="1:3" x14ac:dyDescent="0.2">
      <c r="A3508" s="334" t="s">
        <v>2269</v>
      </c>
      <c r="B3508" s="334" t="s">
        <v>2507</v>
      </c>
      <c r="C3508" s="334" t="s">
        <v>6602</v>
      </c>
    </row>
    <row r="3509" spans="1:3" x14ac:dyDescent="0.2">
      <c r="A3509" s="334" t="s">
        <v>2270</v>
      </c>
      <c r="B3509" s="334" t="s">
        <v>2509</v>
      </c>
      <c r="C3509" s="334" t="s">
        <v>6602</v>
      </c>
    </row>
    <row r="3510" spans="1:3" x14ac:dyDescent="0.2">
      <c r="A3510" s="334" t="s">
        <v>2271</v>
      </c>
      <c r="B3510" s="334" t="s">
        <v>8518</v>
      </c>
      <c r="C3510" s="334" t="s">
        <v>2338</v>
      </c>
    </row>
    <row r="3511" spans="1:3" x14ac:dyDescent="0.2">
      <c r="A3511" s="334" t="s">
        <v>2272</v>
      </c>
      <c r="B3511" s="334" t="s">
        <v>9570</v>
      </c>
      <c r="C3511" s="334" t="s">
        <v>6602</v>
      </c>
    </row>
    <row r="3512" spans="1:3" x14ac:dyDescent="0.2">
      <c r="A3512" s="334" t="s">
        <v>2273</v>
      </c>
      <c r="B3512" s="334" t="s">
        <v>6582</v>
      </c>
      <c r="C3512" s="334" t="s">
        <v>2338</v>
      </c>
    </row>
    <row r="3513" spans="1:3" x14ac:dyDescent="0.2">
      <c r="A3513" s="334" t="s">
        <v>2274</v>
      </c>
      <c r="B3513" s="334" t="s">
        <v>6583</v>
      </c>
      <c r="C3513" s="334" t="s">
        <v>6602</v>
      </c>
    </row>
    <row r="3514" spans="1:3" x14ac:dyDescent="0.2">
      <c r="A3514" s="334" t="s">
        <v>2275</v>
      </c>
      <c r="B3514" s="334" t="s">
        <v>9571</v>
      </c>
      <c r="C3514" s="334" t="s">
        <v>6602</v>
      </c>
    </row>
    <row r="3515" spans="1:3" x14ac:dyDescent="0.2">
      <c r="A3515" s="334" t="s">
        <v>2276</v>
      </c>
      <c r="B3515" s="334" t="s">
        <v>9572</v>
      </c>
      <c r="C3515" s="334" t="s">
        <v>6602</v>
      </c>
    </row>
    <row r="3516" spans="1:3" x14ac:dyDescent="0.2">
      <c r="A3516" s="334" t="s">
        <v>2277</v>
      </c>
      <c r="B3516" s="334" t="s">
        <v>9573</v>
      </c>
      <c r="C3516" s="334" t="s">
        <v>6602</v>
      </c>
    </row>
    <row r="3517" spans="1:3" x14ac:dyDescent="0.2">
      <c r="A3517" s="334" t="s">
        <v>6584</v>
      </c>
      <c r="B3517" s="334" t="s">
        <v>9574</v>
      </c>
      <c r="C3517" s="334" t="s">
        <v>6602</v>
      </c>
    </row>
    <row r="3518" spans="1:3" x14ac:dyDescent="0.2">
      <c r="A3518" s="334" t="s">
        <v>6585</v>
      </c>
      <c r="B3518" s="334" t="s">
        <v>9575</v>
      </c>
      <c r="C3518" s="334" t="s">
        <v>6602</v>
      </c>
    </row>
    <row r="3519" spans="1:3" x14ac:dyDescent="0.2">
      <c r="A3519" s="334" t="s">
        <v>2278</v>
      </c>
      <c r="B3519" s="334" t="s">
        <v>9576</v>
      </c>
      <c r="C3519" s="334" t="s">
        <v>6602</v>
      </c>
    </row>
    <row r="3520" spans="1:3" x14ac:dyDescent="0.2">
      <c r="A3520" s="334" t="s">
        <v>2279</v>
      </c>
      <c r="B3520" s="334" t="s">
        <v>9577</v>
      </c>
      <c r="C3520" s="334" t="s">
        <v>2338</v>
      </c>
    </row>
    <row r="3521" spans="1:3" x14ac:dyDescent="0.2">
      <c r="A3521" s="334" t="s">
        <v>2280</v>
      </c>
      <c r="B3521" s="334" t="s">
        <v>9578</v>
      </c>
      <c r="C3521" s="334" t="s">
        <v>6602</v>
      </c>
    </row>
    <row r="3522" spans="1:3" x14ac:dyDescent="0.2">
      <c r="A3522" s="334" t="s">
        <v>6586</v>
      </c>
      <c r="B3522" s="334" t="s">
        <v>6587</v>
      </c>
      <c r="C3522" s="334" t="s">
        <v>11</v>
      </c>
    </row>
    <row r="3523" spans="1:3" x14ac:dyDescent="0.2">
      <c r="A3523" s="334" t="s">
        <v>2281</v>
      </c>
      <c r="B3523" s="334" t="s">
        <v>2387</v>
      </c>
      <c r="C3523" s="334" t="s">
        <v>2338</v>
      </c>
    </row>
    <row r="3524" spans="1:3" x14ac:dyDescent="0.2">
      <c r="A3524" s="334" t="s">
        <v>2282</v>
      </c>
      <c r="B3524" s="334" t="s">
        <v>9579</v>
      </c>
      <c r="C3524" s="334" t="s">
        <v>6602</v>
      </c>
    </row>
    <row r="3525" spans="1:3" x14ac:dyDescent="0.2">
      <c r="A3525" s="334" t="s">
        <v>2283</v>
      </c>
      <c r="B3525" s="334" t="s">
        <v>6588</v>
      </c>
      <c r="C3525" s="334" t="s">
        <v>16</v>
      </c>
    </row>
    <row r="3526" spans="1:3" x14ac:dyDescent="0.2">
      <c r="A3526" s="334" t="s">
        <v>2284</v>
      </c>
      <c r="B3526" s="334" t="s">
        <v>6589</v>
      </c>
      <c r="C3526" s="334" t="s">
        <v>2338</v>
      </c>
    </row>
    <row r="3527" spans="1:3" x14ac:dyDescent="0.2">
      <c r="A3527" s="334" t="s">
        <v>2285</v>
      </c>
      <c r="B3527" s="334" t="s">
        <v>9580</v>
      </c>
      <c r="C3527" s="334" t="s">
        <v>2338</v>
      </c>
    </row>
    <row r="3528" spans="1:3" x14ac:dyDescent="0.2">
      <c r="A3528" s="334" t="s">
        <v>244</v>
      </c>
      <c r="B3528" s="334" t="s">
        <v>9581</v>
      </c>
      <c r="C3528" s="334" t="s">
        <v>2338</v>
      </c>
    </row>
    <row r="3529" spans="1:3" x14ac:dyDescent="0.2">
      <c r="A3529" s="334" t="s">
        <v>503</v>
      </c>
      <c r="B3529" s="334" t="s">
        <v>9582</v>
      </c>
      <c r="C3529" s="334" t="s">
        <v>2338</v>
      </c>
    </row>
    <row r="3530" spans="1:3" x14ac:dyDescent="0.2">
      <c r="A3530" s="334" t="s">
        <v>2286</v>
      </c>
      <c r="B3530" s="334" t="s">
        <v>9583</v>
      </c>
      <c r="C3530" s="334" t="s">
        <v>2338</v>
      </c>
    </row>
    <row r="3531" spans="1:3" x14ac:dyDescent="0.2">
      <c r="A3531" s="334" t="s">
        <v>2287</v>
      </c>
      <c r="B3531" s="334" t="s">
        <v>9584</v>
      </c>
      <c r="C3531" s="334" t="s">
        <v>2338</v>
      </c>
    </row>
    <row r="3532" spans="1:3" x14ac:dyDescent="0.2">
      <c r="A3532" s="334" t="s">
        <v>2288</v>
      </c>
      <c r="B3532" s="334" t="s">
        <v>8210</v>
      </c>
      <c r="C3532" s="334" t="s">
        <v>2338</v>
      </c>
    </row>
    <row r="3533" spans="1:3" x14ac:dyDescent="0.2">
      <c r="A3533" s="334" t="s">
        <v>2289</v>
      </c>
      <c r="B3533" s="334" t="s">
        <v>8211</v>
      </c>
      <c r="C3533" s="334" t="s">
        <v>2338</v>
      </c>
    </row>
    <row r="3534" spans="1:3" x14ac:dyDescent="0.2">
      <c r="A3534" s="334" t="s">
        <v>2290</v>
      </c>
      <c r="B3534" s="334" t="s">
        <v>8212</v>
      </c>
      <c r="C3534" s="334" t="s">
        <v>11</v>
      </c>
    </row>
    <row r="3535" spans="1:3" x14ac:dyDescent="0.2">
      <c r="A3535" s="334" t="s">
        <v>2291</v>
      </c>
      <c r="B3535" s="334" t="s">
        <v>8213</v>
      </c>
      <c r="C3535" s="334" t="s">
        <v>11</v>
      </c>
    </row>
    <row r="3536" spans="1:3" x14ac:dyDescent="0.2">
      <c r="A3536" s="334" t="s">
        <v>2292</v>
      </c>
      <c r="B3536" s="334" t="s">
        <v>2427</v>
      </c>
      <c r="C3536" s="334" t="s">
        <v>2338</v>
      </c>
    </row>
    <row r="3537" spans="1:3" x14ac:dyDescent="0.2">
      <c r="A3537" s="334" t="s">
        <v>2293</v>
      </c>
      <c r="B3537" s="334" t="s">
        <v>6590</v>
      </c>
      <c r="C3537" s="334" t="s">
        <v>6602</v>
      </c>
    </row>
    <row r="3538" spans="1:3" x14ac:dyDescent="0.2">
      <c r="A3538" s="334" t="s">
        <v>2294</v>
      </c>
      <c r="B3538" s="334" t="s">
        <v>9585</v>
      </c>
      <c r="C3538" s="334" t="s">
        <v>6602</v>
      </c>
    </row>
    <row r="3539" spans="1:3" x14ac:dyDescent="0.2">
      <c r="A3539" s="334" t="s">
        <v>2295</v>
      </c>
      <c r="B3539" s="334" t="s">
        <v>9586</v>
      </c>
      <c r="C3539" s="334" t="s">
        <v>6602</v>
      </c>
    </row>
    <row r="3540" spans="1:3" x14ac:dyDescent="0.2">
      <c r="A3540" s="334" t="s">
        <v>2296</v>
      </c>
      <c r="B3540" s="334" t="s">
        <v>6591</v>
      </c>
      <c r="C3540" s="334" t="s">
        <v>6602</v>
      </c>
    </row>
    <row r="3541" spans="1:3" x14ac:dyDescent="0.2">
      <c r="A3541" s="334" t="s">
        <v>2297</v>
      </c>
      <c r="B3541" s="334" t="s">
        <v>8540</v>
      </c>
      <c r="C3541" s="334" t="s">
        <v>6602</v>
      </c>
    </row>
    <row r="3542" spans="1:3" x14ac:dyDescent="0.2">
      <c r="A3542" s="334" t="s">
        <v>2298</v>
      </c>
      <c r="B3542" s="334" t="s">
        <v>8214</v>
      </c>
      <c r="C3542" s="334" t="s">
        <v>2338</v>
      </c>
    </row>
    <row r="3543" spans="1:3" x14ac:dyDescent="0.2">
      <c r="A3543" s="334" t="s">
        <v>228</v>
      </c>
      <c r="B3543" s="334" t="s">
        <v>8215</v>
      </c>
      <c r="C3543" s="334" t="s">
        <v>2338</v>
      </c>
    </row>
    <row r="3544" spans="1:3" x14ac:dyDescent="0.2">
      <c r="A3544" s="334" t="s">
        <v>259</v>
      </c>
      <c r="B3544" s="334" t="s">
        <v>9587</v>
      </c>
      <c r="C3544" s="334" t="s">
        <v>2338</v>
      </c>
    </row>
    <row r="3545" spans="1:3" x14ac:dyDescent="0.2">
      <c r="A3545" s="334" t="s">
        <v>2299</v>
      </c>
      <c r="B3545" s="334" t="s">
        <v>9588</v>
      </c>
      <c r="C3545" s="334" t="s">
        <v>6602</v>
      </c>
    </row>
    <row r="3546" spans="1:3" x14ac:dyDescent="0.2">
      <c r="A3546" s="334" t="s">
        <v>2300</v>
      </c>
      <c r="B3546" s="334" t="s">
        <v>6876</v>
      </c>
      <c r="C3546" s="334" t="s">
        <v>2338</v>
      </c>
    </row>
    <row r="3547" spans="1:3" x14ac:dyDescent="0.2">
      <c r="A3547" s="334" t="s">
        <v>2301</v>
      </c>
      <c r="B3547" s="334" t="s">
        <v>9589</v>
      </c>
      <c r="C3547" s="334" t="s">
        <v>2338</v>
      </c>
    </row>
    <row r="3548" spans="1:3" x14ac:dyDescent="0.2">
      <c r="A3548" s="334" t="s">
        <v>2302</v>
      </c>
      <c r="B3548" s="334" t="s">
        <v>9590</v>
      </c>
      <c r="C3548" s="334" t="s">
        <v>2338</v>
      </c>
    </row>
    <row r="3549" spans="1:3" x14ac:dyDescent="0.2">
      <c r="A3549" s="334" t="s">
        <v>2303</v>
      </c>
      <c r="B3549" s="334" t="s">
        <v>9591</v>
      </c>
      <c r="C3549" s="334" t="s">
        <v>2338</v>
      </c>
    </row>
    <row r="3550" spans="1:3" x14ac:dyDescent="0.2">
      <c r="A3550" s="334" t="s">
        <v>6592</v>
      </c>
      <c r="B3550" s="334" t="s">
        <v>6593</v>
      </c>
      <c r="C3550" s="334" t="s">
        <v>11</v>
      </c>
    </row>
    <row r="3551" spans="1:3" x14ac:dyDescent="0.2">
      <c r="A3551" s="334" t="s">
        <v>6594</v>
      </c>
      <c r="B3551" s="334" t="s">
        <v>9592</v>
      </c>
      <c r="C3551" s="334" t="s">
        <v>11</v>
      </c>
    </row>
    <row r="3552" spans="1:3" x14ac:dyDescent="0.2">
      <c r="A3552" s="334" t="s">
        <v>6595</v>
      </c>
      <c r="B3552" s="334" t="s">
        <v>9593</v>
      </c>
      <c r="C3552" s="334" t="s">
        <v>6602</v>
      </c>
    </row>
    <row r="3553" spans="1:3" x14ac:dyDescent="0.2">
      <c r="A3553" s="334" t="s">
        <v>6596</v>
      </c>
      <c r="B3553" s="334" t="s">
        <v>9594</v>
      </c>
      <c r="C3553" s="334" t="s">
        <v>11</v>
      </c>
    </row>
    <row r="3554" spans="1:3" x14ac:dyDescent="0.2">
      <c r="A3554" s="334" t="s">
        <v>2304</v>
      </c>
      <c r="B3554" s="334" t="s">
        <v>6751</v>
      </c>
      <c r="C3554" s="334" t="s">
        <v>16</v>
      </c>
    </row>
    <row r="3555" spans="1:3" x14ac:dyDescent="0.2">
      <c r="A3555" s="334" t="s">
        <v>2305</v>
      </c>
      <c r="B3555" s="334" t="s">
        <v>2502</v>
      </c>
      <c r="C3555" s="334" t="s">
        <v>6602</v>
      </c>
    </row>
    <row r="3556" spans="1:3" x14ac:dyDescent="0.2">
      <c r="A3556" s="334" t="s">
        <v>2306</v>
      </c>
      <c r="B3556" s="334" t="s">
        <v>2464</v>
      </c>
      <c r="C3556" s="334" t="s">
        <v>6602</v>
      </c>
    </row>
    <row r="3557" spans="1:3" x14ac:dyDescent="0.2">
      <c r="A3557" s="334" t="s">
        <v>2307</v>
      </c>
      <c r="B3557" s="334" t="s">
        <v>9595</v>
      </c>
      <c r="C3557" s="334" t="s">
        <v>6602</v>
      </c>
    </row>
    <row r="3558" spans="1:3" x14ac:dyDescent="0.2">
      <c r="A3558" s="334" t="s">
        <v>2308</v>
      </c>
      <c r="B3558" s="334" t="s">
        <v>2514</v>
      </c>
      <c r="C3558" s="334" t="s">
        <v>6602</v>
      </c>
    </row>
    <row r="3559" spans="1:3" x14ac:dyDescent="0.2">
      <c r="A3559" s="334" t="s">
        <v>2309</v>
      </c>
      <c r="B3559" s="334" t="s">
        <v>8005</v>
      </c>
      <c r="C3559" s="334" t="s">
        <v>6602</v>
      </c>
    </row>
    <row r="3560" spans="1:3" x14ac:dyDescent="0.2">
      <c r="A3560" s="334" t="s">
        <v>2310</v>
      </c>
      <c r="B3560" s="334" t="s">
        <v>9596</v>
      </c>
      <c r="C3560" s="334" t="s">
        <v>11</v>
      </c>
    </row>
    <row r="3561" spans="1:3" x14ac:dyDescent="0.2">
      <c r="A3561" s="334" t="s">
        <v>2311</v>
      </c>
      <c r="B3561" s="334" t="s">
        <v>9597</v>
      </c>
      <c r="C3561" s="334" t="s">
        <v>2338</v>
      </c>
    </row>
    <row r="3562" spans="1:3" x14ac:dyDescent="0.2">
      <c r="A3562" s="334" t="s">
        <v>2312</v>
      </c>
      <c r="B3562" s="334" t="s">
        <v>9598</v>
      </c>
      <c r="C3562" s="334" t="s">
        <v>2338</v>
      </c>
    </row>
    <row r="3563" spans="1:3" x14ac:dyDescent="0.2">
      <c r="A3563" s="334" t="s">
        <v>2313</v>
      </c>
      <c r="B3563" s="334" t="s">
        <v>8524</v>
      </c>
      <c r="C3563" s="334" t="s">
        <v>2338</v>
      </c>
    </row>
    <row r="3564" spans="1:3" x14ac:dyDescent="0.2">
      <c r="A3564" s="334" t="s">
        <v>2314</v>
      </c>
      <c r="B3564" s="334" t="s">
        <v>2369</v>
      </c>
      <c r="C3564" s="334" t="s">
        <v>2338</v>
      </c>
    </row>
    <row r="3565" spans="1:3" x14ac:dyDescent="0.2">
      <c r="A3565" s="334" t="s">
        <v>2315</v>
      </c>
      <c r="B3565" s="334" t="s">
        <v>8520</v>
      </c>
      <c r="C3565" s="334" t="s">
        <v>6602</v>
      </c>
    </row>
    <row r="3566" spans="1:3" x14ac:dyDescent="0.2">
      <c r="A3566" s="334" t="s">
        <v>2316</v>
      </c>
      <c r="B3566" s="334" t="s">
        <v>9599</v>
      </c>
      <c r="C3566" s="334" t="s">
        <v>6602</v>
      </c>
    </row>
    <row r="3567" spans="1:3" x14ac:dyDescent="0.2">
      <c r="A3567" s="334" t="s">
        <v>2317</v>
      </c>
      <c r="B3567" s="334" t="s">
        <v>9600</v>
      </c>
      <c r="C3567" s="334" t="s">
        <v>2338</v>
      </c>
    </row>
    <row r="3568" spans="1:3" x14ac:dyDescent="0.2">
      <c r="A3568" s="334" t="s">
        <v>2318</v>
      </c>
      <c r="B3568" s="334" t="s">
        <v>2510</v>
      </c>
      <c r="C3568" s="334" t="s">
        <v>2338</v>
      </c>
    </row>
    <row r="3569" spans="1:3" x14ac:dyDescent="0.2">
      <c r="A3569" s="334" t="s">
        <v>2319</v>
      </c>
      <c r="B3569" s="334" t="s">
        <v>9601</v>
      </c>
      <c r="C3569" s="334" t="s">
        <v>2338</v>
      </c>
    </row>
    <row r="3570" spans="1:3" x14ac:dyDescent="0.2">
      <c r="A3570" s="334" t="s">
        <v>2320</v>
      </c>
      <c r="B3570" s="334" t="s">
        <v>9602</v>
      </c>
      <c r="C3570" s="334" t="s">
        <v>6602</v>
      </c>
    </row>
    <row r="3571" spans="1:3" x14ac:dyDescent="0.2">
      <c r="A3571" s="334" t="s">
        <v>6597</v>
      </c>
      <c r="B3571" s="334" t="s">
        <v>6598</v>
      </c>
      <c r="C3571" s="334" t="s">
        <v>11</v>
      </c>
    </row>
    <row r="3572" spans="1:3" x14ac:dyDescent="0.2">
      <c r="A3572" s="334" t="s">
        <v>6599</v>
      </c>
      <c r="B3572" s="334" t="s">
        <v>6600</v>
      </c>
      <c r="C3572" s="334" t="s">
        <v>2338</v>
      </c>
    </row>
    <row r="3573" spans="1:3" x14ac:dyDescent="0.2">
      <c r="A3573" s="334" t="s">
        <v>2321</v>
      </c>
      <c r="B3573" s="334" t="s">
        <v>9603</v>
      </c>
      <c r="C3573" s="334" t="s">
        <v>2338</v>
      </c>
    </row>
    <row r="3574" spans="1:3" x14ac:dyDescent="0.2">
      <c r="A3574" s="334" t="s">
        <v>2322</v>
      </c>
      <c r="B3574" s="334" t="s">
        <v>9604</v>
      </c>
      <c r="C3574" s="334" t="s">
        <v>2338</v>
      </c>
    </row>
    <row r="3575" spans="1:3" x14ac:dyDescent="0.2">
      <c r="A3575" s="334" t="s">
        <v>2323</v>
      </c>
      <c r="B3575" s="334" t="s">
        <v>9605</v>
      </c>
      <c r="C3575" s="334" t="s">
        <v>11</v>
      </c>
    </row>
    <row r="3576" spans="1:3" x14ac:dyDescent="0.2">
      <c r="A3576" s="334" t="s">
        <v>2324</v>
      </c>
      <c r="B3576" s="334" t="s">
        <v>9606</v>
      </c>
      <c r="C3576" s="334" t="s">
        <v>2338</v>
      </c>
    </row>
    <row r="3577" spans="1:3" x14ac:dyDescent="0.2">
      <c r="A3577" s="334" t="s">
        <v>2325</v>
      </c>
      <c r="B3577" s="334" t="s">
        <v>9607</v>
      </c>
      <c r="C3577" s="334" t="s">
        <v>2338</v>
      </c>
    </row>
    <row r="3578" spans="1:3" x14ac:dyDescent="0.2">
      <c r="A3578" s="334" t="s">
        <v>2326</v>
      </c>
      <c r="B3578" s="334" t="s">
        <v>9608</v>
      </c>
      <c r="C3578" s="334" t="s">
        <v>2338</v>
      </c>
    </row>
    <row r="3579" spans="1:3" x14ac:dyDescent="0.2">
      <c r="A3579" s="334" t="s">
        <v>2327</v>
      </c>
      <c r="B3579" s="334" t="s">
        <v>9609</v>
      </c>
      <c r="C3579" s="334" t="s">
        <v>2338</v>
      </c>
    </row>
    <row r="3580" spans="1:3" x14ac:dyDescent="0.2">
      <c r="A3580" s="334" t="s">
        <v>2328</v>
      </c>
      <c r="B3580" s="334" t="s">
        <v>9593</v>
      </c>
      <c r="C3580" s="334" t="s">
        <v>6602</v>
      </c>
    </row>
    <row r="3581" spans="1:3" x14ac:dyDescent="0.2">
      <c r="A3581" s="334" t="s">
        <v>2329</v>
      </c>
      <c r="B3581" s="334" t="s">
        <v>8527</v>
      </c>
      <c r="C3581" s="334" t="s">
        <v>11</v>
      </c>
    </row>
    <row r="3582" spans="1:3" x14ac:dyDescent="0.2">
      <c r="A3582" s="334" t="s">
        <v>2330</v>
      </c>
      <c r="B3582" s="334" t="s">
        <v>9610</v>
      </c>
      <c r="C3582" s="334" t="s">
        <v>6602</v>
      </c>
    </row>
    <row r="3583" spans="1:3" x14ac:dyDescent="0.2">
      <c r="A3583" s="334" t="s">
        <v>2331</v>
      </c>
      <c r="B3583" s="334" t="s">
        <v>9611</v>
      </c>
      <c r="C3583" s="334" t="s">
        <v>2338</v>
      </c>
    </row>
    <row r="3584" spans="1:3" x14ac:dyDescent="0.2">
      <c r="A3584" s="334" t="s">
        <v>2332</v>
      </c>
      <c r="B3584" s="334" t="s">
        <v>9091</v>
      </c>
      <c r="C3584" s="334" t="s">
        <v>2338</v>
      </c>
    </row>
    <row r="3585" spans="1:3" x14ac:dyDescent="0.2">
      <c r="A3585" s="334" t="s">
        <v>2333</v>
      </c>
      <c r="B3585" s="334" t="s">
        <v>9612</v>
      </c>
      <c r="C3585" s="334" t="s">
        <v>2338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">
    <tabColor rgb="FF92D050"/>
  </sheetPr>
  <dimension ref="A1:Y39"/>
  <sheetViews>
    <sheetView showGridLines="0" zoomScale="80" zoomScaleNormal="80" workbookViewId="0">
      <selection activeCell="B2" sqref="B2"/>
    </sheetView>
  </sheetViews>
  <sheetFormatPr defaultColWidth="9.140625" defaultRowHeight="15" x14ac:dyDescent="0.2"/>
  <cols>
    <col min="1" max="1" width="2.7109375" style="59" customWidth="1"/>
    <col min="2" max="2" width="8.7109375" style="57" customWidth="1"/>
    <col min="3" max="3" width="11.140625" style="57" customWidth="1"/>
    <col min="4" max="4" width="13.42578125" style="57" customWidth="1"/>
    <col min="5" max="5" width="44.140625" style="28" customWidth="1"/>
    <col min="6" max="6" width="7.5703125" style="57" customWidth="1"/>
    <col min="7" max="7" width="10.140625" style="58" customWidth="1"/>
    <col min="8" max="8" width="6.42578125" style="58" customWidth="1"/>
    <col min="9" max="9" width="8.7109375" style="58" customWidth="1"/>
    <col min="10" max="10" width="9.5703125" style="58" customWidth="1"/>
    <col min="11" max="11" width="10.28515625" style="58" customWidth="1"/>
    <col min="12" max="13" width="10.5703125" style="58" customWidth="1"/>
    <col min="14" max="14" width="12.85546875" style="58" customWidth="1"/>
    <col min="15" max="15" width="1.140625" style="59" customWidth="1"/>
    <col min="16" max="16" width="11.42578125" style="59" customWidth="1"/>
    <col min="17" max="17" width="5.5703125" style="59" customWidth="1"/>
    <col min="18" max="21" width="9.140625" style="59" customWidth="1"/>
    <col min="22" max="22" width="25.5703125" style="59" customWidth="1"/>
    <col min="23" max="23" width="14.5703125" style="59" bestFit="1" customWidth="1"/>
    <col min="24" max="25" width="9.140625" style="78" customWidth="1"/>
    <col min="26" max="31" width="9.140625" style="59" customWidth="1"/>
    <col min="32" max="16384" width="9.140625" style="59"/>
  </cols>
  <sheetData>
    <row r="1" spans="1:25" s="29" customFormat="1" ht="30" x14ac:dyDescent="0.2">
      <c r="B1" s="145" t="s">
        <v>140</v>
      </c>
      <c r="C1" s="146" t="s">
        <v>141</v>
      </c>
      <c r="D1" s="147"/>
      <c r="E1" s="146" t="s">
        <v>221</v>
      </c>
      <c r="F1" s="148" t="s">
        <v>17</v>
      </c>
      <c r="G1" s="146" t="s">
        <v>24</v>
      </c>
      <c r="H1" s="146" t="s">
        <v>18</v>
      </c>
      <c r="I1" s="146" t="s">
        <v>19</v>
      </c>
      <c r="J1" s="146" t="s">
        <v>20</v>
      </c>
      <c r="K1" s="146" t="s">
        <v>21</v>
      </c>
      <c r="L1" s="146" t="s">
        <v>23</v>
      </c>
      <c r="M1" s="146" t="s">
        <v>22</v>
      </c>
      <c r="N1" s="149" t="s">
        <v>1014</v>
      </c>
      <c r="X1" s="79"/>
      <c r="Y1" s="79"/>
    </row>
    <row r="2" spans="1:25" s="29" customFormat="1" ht="15" customHeight="1" collapsed="1" x14ac:dyDescent="0.2">
      <c r="B2" s="150">
        <v>1</v>
      </c>
      <c r="C2" s="151"/>
      <c r="D2" s="152"/>
      <c r="E2" s="152" t="s">
        <v>537</v>
      </c>
      <c r="F2" s="151"/>
      <c r="G2" s="153"/>
      <c r="H2" s="154"/>
      <c r="I2" s="154"/>
      <c r="J2" s="154"/>
      <c r="K2" s="154"/>
      <c r="L2" s="154"/>
      <c r="M2" s="154"/>
      <c r="N2" s="155"/>
      <c r="X2" s="79"/>
      <c r="Y2" s="79"/>
    </row>
    <row r="3" spans="1:25" s="29" customFormat="1" ht="15" customHeight="1" collapsed="1" x14ac:dyDescent="0.2">
      <c r="B3" s="150">
        <v>1</v>
      </c>
      <c r="C3" s="151"/>
      <c r="D3" s="152"/>
      <c r="E3" s="152" t="s">
        <v>1052</v>
      </c>
      <c r="F3" s="151"/>
      <c r="G3" s="153"/>
      <c r="H3" s="154"/>
      <c r="I3" s="154"/>
      <c r="J3" s="154"/>
      <c r="K3" s="154"/>
      <c r="L3" s="154"/>
      <c r="M3" s="154"/>
      <c r="N3" s="155"/>
      <c r="S3" s="375"/>
      <c r="T3" s="375"/>
      <c r="U3" s="119"/>
      <c r="X3" s="79"/>
      <c r="Y3" s="79"/>
    </row>
    <row r="4" spans="1:25" s="29" customFormat="1" ht="15" customHeight="1" x14ac:dyDescent="0.2">
      <c r="A4" s="118"/>
      <c r="B4" s="156">
        <v>2</v>
      </c>
      <c r="C4" s="157"/>
      <c r="D4" s="158"/>
      <c r="E4" s="158" t="s">
        <v>1047</v>
      </c>
      <c r="F4" s="157"/>
      <c r="G4" s="159"/>
      <c r="H4" s="158"/>
      <c r="I4" s="158"/>
      <c r="J4" s="158"/>
      <c r="K4" s="158"/>
      <c r="L4" s="158"/>
      <c r="M4" s="158"/>
      <c r="N4" s="160"/>
      <c r="S4" s="375"/>
      <c r="T4" s="375"/>
      <c r="U4" s="119"/>
      <c r="X4" s="79"/>
      <c r="Y4" s="79"/>
    </row>
    <row r="5" spans="1:25" s="29" customFormat="1" ht="15" customHeight="1" x14ac:dyDescent="0.2">
      <c r="B5" s="174">
        <v>3</v>
      </c>
      <c r="C5" s="184" t="s">
        <v>173</v>
      </c>
      <c r="D5" s="185" t="s">
        <v>1013</v>
      </c>
      <c r="E5" s="185" t="s">
        <v>1055</v>
      </c>
      <c r="F5" s="184" t="s">
        <v>16</v>
      </c>
      <c r="G5" s="63"/>
      <c r="H5" s="71"/>
      <c r="I5" s="71"/>
      <c r="J5" s="71"/>
      <c r="K5" s="71"/>
      <c r="L5" s="72"/>
      <c r="M5" s="63"/>
      <c r="N5" s="175"/>
      <c r="X5" s="100"/>
      <c r="Y5" s="100"/>
    </row>
    <row r="6" spans="1:25" s="29" customFormat="1" ht="15" customHeight="1" x14ac:dyDescent="0.2">
      <c r="A6" s="118"/>
      <c r="B6" s="156">
        <v>2</v>
      </c>
      <c r="C6" s="157"/>
      <c r="D6" s="158"/>
      <c r="E6" s="158" t="s">
        <v>1025</v>
      </c>
      <c r="F6" s="157"/>
      <c r="G6" s="159"/>
      <c r="H6" s="158"/>
      <c r="I6" s="158"/>
      <c r="J6" s="158"/>
      <c r="K6" s="158"/>
      <c r="L6" s="158"/>
      <c r="M6" s="158"/>
      <c r="N6" s="160"/>
      <c r="S6" s="375" t="s">
        <v>1015</v>
      </c>
      <c r="T6" s="375"/>
      <c r="U6" s="119" t="s">
        <v>1016</v>
      </c>
      <c r="X6" s="79"/>
      <c r="Y6" s="79"/>
    </row>
    <row r="7" spans="1:25" s="29" customFormat="1" ht="15" customHeight="1" x14ac:dyDescent="0.2">
      <c r="B7" s="161">
        <v>3</v>
      </c>
      <c r="C7" s="162"/>
      <c r="D7" s="163"/>
      <c r="E7" s="163" t="s">
        <v>535</v>
      </c>
      <c r="F7" s="162"/>
      <c r="G7" s="164"/>
      <c r="H7" s="163"/>
      <c r="I7" s="163"/>
      <c r="J7" s="163"/>
      <c r="K7" s="163"/>
      <c r="L7" s="163"/>
      <c r="M7" s="163"/>
      <c r="N7" s="165"/>
      <c r="R7" s="29" t="s">
        <v>1011</v>
      </c>
      <c r="S7" s="29" t="s">
        <v>1012</v>
      </c>
      <c r="T7" s="29" t="s">
        <v>4</v>
      </c>
      <c r="U7" s="29" t="s">
        <v>1009</v>
      </c>
      <c r="X7" s="79"/>
      <c r="Y7" s="79"/>
    </row>
    <row r="8" spans="1:25" s="29" customFormat="1" ht="15" customHeight="1" x14ac:dyDescent="0.2">
      <c r="B8" s="166">
        <v>4</v>
      </c>
      <c r="C8" s="167"/>
      <c r="D8" s="168"/>
      <c r="E8" s="168" t="s">
        <v>534</v>
      </c>
      <c r="F8" s="167"/>
      <c r="G8" s="169">
        <f>SUM(G10:G17)</f>
        <v>0</v>
      </c>
      <c r="H8" s="168"/>
      <c r="I8" s="168"/>
      <c r="J8" s="168"/>
      <c r="K8" s="168"/>
      <c r="L8" s="168"/>
      <c r="M8" s="168"/>
      <c r="N8" s="170"/>
      <c r="P8" s="29" t="s">
        <v>1017</v>
      </c>
      <c r="Q8" s="29" t="s">
        <v>1018</v>
      </c>
      <c r="R8" s="196">
        <f>SUM(R9:R17)</f>
        <v>0</v>
      </c>
      <c r="S8" s="196">
        <f t="shared" ref="S8:U8" si="0">SUM(S9:S17)</f>
        <v>0</v>
      </c>
      <c r="T8" s="196">
        <f t="shared" si="0"/>
        <v>0</v>
      </c>
      <c r="U8" s="196">
        <f t="shared" si="0"/>
        <v>0</v>
      </c>
      <c r="X8" s="79"/>
      <c r="Y8" s="79"/>
    </row>
    <row r="9" spans="1:25" s="29" customFormat="1" ht="21" customHeight="1" x14ac:dyDescent="0.2">
      <c r="B9" s="186"/>
      <c r="C9" s="187"/>
      <c r="D9" s="188"/>
      <c r="E9" s="189" t="s">
        <v>1010</v>
      </c>
      <c r="F9" s="188"/>
      <c r="G9" s="190"/>
      <c r="H9" s="190"/>
      <c r="I9" s="191"/>
      <c r="J9" s="192"/>
      <c r="K9" s="190"/>
      <c r="L9" s="193"/>
      <c r="M9" s="190"/>
      <c r="N9" s="194"/>
      <c r="P9" s="29" t="s">
        <v>1030</v>
      </c>
      <c r="Q9" s="29">
        <v>1</v>
      </c>
      <c r="R9" s="66" t="str">
        <f>IFERROR(VLOOKUP(P9,'RESUMO_ESQ.'!$A$8:$R$141,6,)*Q9,"")</f>
        <v/>
      </c>
      <c r="S9" s="66"/>
      <c r="T9" s="66"/>
      <c r="U9" s="66" t="str">
        <f>IFERROR(VLOOKUP(P9,'RESUMO_ESQ.'!$A$8:$R$141,2,)*Q9,"")</f>
        <v/>
      </c>
      <c r="X9" s="79"/>
      <c r="Y9" s="79"/>
    </row>
    <row r="10" spans="1:25" s="29" customFormat="1" ht="30" customHeight="1" x14ac:dyDescent="0.2">
      <c r="B10" s="171">
        <v>5</v>
      </c>
      <c r="C10" s="69" t="s">
        <v>173</v>
      </c>
      <c r="D10" s="173" t="s">
        <v>1013</v>
      </c>
      <c r="E10" s="62" t="str">
        <f>VLOOKUP(D10,'RESUMO_REV.'!$A$6:$B$94,2,FALSE)</f>
        <v>Camada de regularização / contrapiso e=3,0cm</v>
      </c>
      <c r="F10" s="61" t="s">
        <v>16</v>
      </c>
      <c r="G10" s="63">
        <f>H9*L9</f>
        <v>0</v>
      </c>
      <c r="H10" s="63"/>
      <c r="I10" s="64"/>
      <c r="J10" s="65"/>
      <c r="K10" s="63"/>
      <c r="L10" s="73"/>
      <c r="M10" s="63"/>
      <c r="N10" s="172"/>
      <c r="P10" s="29" t="s">
        <v>1117</v>
      </c>
      <c r="Q10" s="29">
        <v>1</v>
      </c>
      <c r="R10" s="66" t="str">
        <f>IFERROR(VLOOKUP(P10,'RESUMO_ESQ.'!$A$8:$R$141,6,)*Q10,"")</f>
        <v/>
      </c>
      <c r="S10" s="66" t="str">
        <f>IFERROR(VLOOKUP(P10,'RESUMO_ESQ.'!$A$8:$R$141,2,)*Q10,"")</f>
        <v/>
      </c>
      <c r="T10" s="66" t="str">
        <f>IFERROR(VLOOKUP(P10,'RESUMO_ESQ.'!$A$8:$R$141,2,)*Q10,"")</f>
        <v/>
      </c>
      <c r="U10" s="66"/>
      <c r="X10" s="79"/>
      <c r="Y10" s="79"/>
    </row>
    <row r="11" spans="1:25" s="29" customFormat="1" ht="15" customHeight="1" x14ac:dyDescent="0.2">
      <c r="B11" s="171">
        <v>5</v>
      </c>
      <c r="C11" s="60" t="s">
        <v>350</v>
      </c>
      <c r="D11" s="61" t="s">
        <v>85</v>
      </c>
      <c r="E11" s="62" t="str">
        <f>VLOOKUP(D11,'RESUMO_REV.'!$A$6:$B$94,2,FALSE)</f>
        <v>Chapisco interno</v>
      </c>
      <c r="F11" s="61" t="s">
        <v>16</v>
      </c>
      <c r="G11" s="63">
        <f>H9*(K9*M9-N11)</f>
        <v>0</v>
      </c>
      <c r="H11" s="63"/>
      <c r="I11" s="64"/>
      <c r="J11" s="65"/>
      <c r="K11" s="63"/>
      <c r="L11" s="63"/>
      <c r="M11" s="73"/>
      <c r="N11" s="172">
        <f>R8</f>
        <v>0</v>
      </c>
      <c r="P11" s="29" t="s">
        <v>1030</v>
      </c>
      <c r="Q11" s="29">
        <v>1</v>
      </c>
      <c r="R11" s="66" t="str">
        <f>IFERROR(VLOOKUP(P11,'RESUMO_ESQ.'!$A$8:$R$141,6,)*Q11,"")</f>
        <v/>
      </c>
      <c r="S11" s="66"/>
      <c r="T11" s="66"/>
      <c r="U11" s="66" t="str">
        <f>IFERROR(VLOOKUP(P11,'RESUMO_ESQ.'!$A$8:$R$141,2,)*Q11,"")</f>
        <v/>
      </c>
      <c r="X11" s="79"/>
      <c r="Y11" s="79"/>
    </row>
    <row r="12" spans="1:25" s="29" customFormat="1" ht="15" customHeight="1" x14ac:dyDescent="0.2">
      <c r="B12" s="171">
        <v>5</v>
      </c>
      <c r="C12" s="60" t="s">
        <v>350</v>
      </c>
      <c r="D12" s="61" t="s">
        <v>87</v>
      </c>
      <c r="E12" s="62" t="str">
        <f>VLOOKUP(D12,'RESUMO_REV.'!$A$6:$B$94,2,FALSE)</f>
        <v>Reboco interno + ponto de masssa</v>
      </c>
      <c r="F12" s="61" t="s">
        <v>16</v>
      </c>
      <c r="G12" s="63">
        <f>H9*(K9*M9-N12)</f>
        <v>0</v>
      </c>
      <c r="H12" s="63"/>
      <c r="I12" s="64"/>
      <c r="J12" s="65"/>
      <c r="K12" s="63"/>
      <c r="L12" s="72"/>
      <c r="M12" s="73"/>
      <c r="N12" s="172">
        <f>R8</f>
        <v>0</v>
      </c>
      <c r="R12" s="66"/>
      <c r="S12" s="66"/>
      <c r="T12" s="66"/>
      <c r="U12" s="66"/>
      <c r="X12" s="79"/>
      <c r="Y12" s="79"/>
    </row>
    <row r="13" spans="1:25" s="29" customFormat="1" ht="15" customHeight="1" x14ac:dyDescent="0.2">
      <c r="B13" s="171">
        <v>5</v>
      </c>
      <c r="C13" s="68"/>
      <c r="D13" s="61" t="s">
        <v>27</v>
      </c>
      <c r="E13" s="62" t="str">
        <f>VLOOKUP(D13,'RESUMO_REV.'!$A$6:$B$94,2,FALSE)</f>
        <v>REVESTIMENTO</v>
      </c>
      <c r="F13" s="61" t="s">
        <v>16</v>
      </c>
      <c r="G13" s="63">
        <f>H9*(K9*M13-N13)</f>
        <v>0</v>
      </c>
      <c r="H13" s="63"/>
      <c r="I13" s="64"/>
      <c r="J13" s="65"/>
      <c r="K13" s="63"/>
      <c r="L13" s="72"/>
      <c r="M13" s="73"/>
      <c r="N13" s="172">
        <f>R8</f>
        <v>0</v>
      </c>
      <c r="X13" s="79"/>
      <c r="Y13" s="79"/>
    </row>
    <row r="14" spans="1:25" s="29" customFormat="1" ht="15" customHeight="1" x14ac:dyDescent="0.2">
      <c r="B14" s="171">
        <v>5</v>
      </c>
      <c r="C14" s="67"/>
      <c r="D14" s="61" t="s">
        <v>125</v>
      </c>
      <c r="E14" s="62" t="str">
        <f>VLOOKUP(D14,'RESUMO_REV.'!$A$6:$B$94,2,FALSE)</f>
        <v>PISO</v>
      </c>
      <c r="F14" s="61" t="s">
        <v>16</v>
      </c>
      <c r="G14" s="63">
        <f>H9*L9</f>
        <v>0</v>
      </c>
      <c r="H14" s="63"/>
      <c r="I14" s="64"/>
      <c r="J14" s="65"/>
      <c r="K14" s="63"/>
      <c r="L14" s="73"/>
      <c r="M14" s="63"/>
      <c r="N14" s="172"/>
      <c r="R14" s="66"/>
      <c r="S14" s="66"/>
      <c r="T14" s="66"/>
      <c r="U14" s="66"/>
      <c r="X14" s="79"/>
      <c r="Y14" s="79"/>
    </row>
    <row r="15" spans="1:25" s="29" customFormat="1" ht="15" customHeight="1" x14ac:dyDescent="0.2">
      <c r="B15" s="171">
        <v>5</v>
      </c>
      <c r="C15" s="60"/>
      <c r="D15" s="61" t="s">
        <v>132</v>
      </c>
      <c r="E15" s="62" t="str">
        <f>VLOOKUP(D15,'RESUMO_REV.'!$A$6:$B$94,2,FALSE)</f>
        <v>RODAPÉ</v>
      </c>
      <c r="F15" s="61" t="s">
        <v>25</v>
      </c>
      <c r="G15" s="63">
        <f>H9*(M9-N15)</f>
        <v>0</v>
      </c>
      <c r="H15" s="63"/>
      <c r="I15" s="64"/>
      <c r="J15" s="65"/>
      <c r="K15" s="63"/>
      <c r="L15" s="72"/>
      <c r="M15" s="73"/>
      <c r="N15" s="172">
        <f>S8</f>
        <v>0</v>
      </c>
      <c r="R15" s="66"/>
      <c r="S15" s="66"/>
      <c r="T15" s="66"/>
      <c r="U15" s="66"/>
      <c r="X15" s="79"/>
      <c r="Y15" s="79"/>
    </row>
    <row r="16" spans="1:25" s="29" customFormat="1" ht="15" customHeight="1" x14ac:dyDescent="0.2">
      <c r="B16" s="171">
        <v>5</v>
      </c>
      <c r="C16" s="67"/>
      <c r="D16" s="61" t="s">
        <v>113</v>
      </c>
      <c r="E16" s="62" t="str">
        <f>VLOOKUP(D16,'RESUMO_REV.'!$A$6:$B$94,2,FALSE)</f>
        <v>SOLEIRA</v>
      </c>
      <c r="F16" s="61" t="s">
        <v>25</v>
      </c>
      <c r="G16" s="63">
        <f>H9*N16</f>
        <v>0</v>
      </c>
      <c r="H16" s="63"/>
      <c r="I16" s="64"/>
      <c r="J16" s="65"/>
      <c r="K16" s="63"/>
      <c r="L16" s="72"/>
      <c r="M16" s="63"/>
      <c r="N16" s="172">
        <f>T8</f>
        <v>0</v>
      </c>
      <c r="R16" s="66"/>
      <c r="S16" s="66"/>
      <c r="T16" s="66"/>
      <c r="U16" s="66"/>
      <c r="X16" s="79"/>
      <c r="Y16" s="79"/>
    </row>
    <row r="17" spans="2:25" s="29" customFormat="1" ht="15" customHeight="1" x14ac:dyDescent="0.2">
      <c r="B17" s="171">
        <v>5</v>
      </c>
      <c r="C17" s="60"/>
      <c r="D17" s="61" t="s">
        <v>135</v>
      </c>
      <c r="E17" s="62" t="str">
        <f>VLOOKUP(D17,'RESUMO_REV.'!$A$6:$B$94,2,FALSE)</f>
        <v>PEITORIL</v>
      </c>
      <c r="F17" s="61" t="s">
        <v>25</v>
      </c>
      <c r="G17" s="63">
        <f>H9*N17</f>
        <v>0</v>
      </c>
      <c r="H17" s="63"/>
      <c r="I17" s="64"/>
      <c r="J17" s="65"/>
      <c r="K17" s="63"/>
      <c r="L17" s="72"/>
      <c r="M17" s="72"/>
      <c r="N17" s="172">
        <f>U8</f>
        <v>0</v>
      </c>
      <c r="R17" s="66"/>
      <c r="S17" s="66"/>
      <c r="T17" s="66"/>
      <c r="U17" s="66"/>
      <c r="X17" s="79"/>
      <c r="Y17" s="79"/>
    </row>
    <row r="18" spans="2:25" s="29" customFormat="1" ht="15" customHeight="1" x14ac:dyDescent="0.2">
      <c r="B18" s="171">
        <v>5</v>
      </c>
      <c r="C18" s="67"/>
      <c r="D18" s="61" t="s">
        <v>91</v>
      </c>
      <c r="E18" s="62" t="str">
        <f>VLOOKUP(D18,'RESUMO_REV.'!$A$6:$B$94,2,FALSE)</f>
        <v>TETO</v>
      </c>
      <c r="F18" s="61" t="s">
        <v>16</v>
      </c>
      <c r="G18" s="63">
        <f>+H9*L9</f>
        <v>0</v>
      </c>
      <c r="H18" s="63"/>
      <c r="I18" s="64"/>
      <c r="J18" s="65"/>
      <c r="K18" s="63"/>
      <c r="L18" s="73"/>
      <c r="M18" s="63"/>
      <c r="N18" s="172"/>
      <c r="X18" s="79"/>
      <c r="Y18" s="79"/>
    </row>
    <row r="19" spans="2:25" s="29" customFormat="1" ht="15" customHeight="1" x14ac:dyDescent="0.2">
      <c r="B19" s="174"/>
      <c r="C19" s="70"/>
      <c r="D19" s="71"/>
      <c r="E19" s="71"/>
      <c r="F19" s="70"/>
      <c r="G19" s="63"/>
      <c r="H19" s="71"/>
      <c r="I19" s="71"/>
      <c r="J19" s="71"/>
      <c r="K19" s="71"/>
      <c r="L19" s="72"/>
      <c r="M19" s="63"/>
      <c r="N19" s="175"/>
      <c r="X19" s="100"/>
      <c r="Y19" s="100"/>
    </row>
    <row r="20" spans="2:25" s="29" customFormat="1" ht="15" customHeight="1" x14ac:dyDescent="0.2">
      <c r="B20" s="161">
        <v>3</v>
      </c>
      <c r="C20" s="162"/>
      <c r="D20" s="163"/>
      <c r="E20" s="163" t="s">
        <v>536</v>
      </c>
      <c r="F20" s="162"/>
      <c r="G20" s="164"/>
      <c r="H20" s="163"/>
      <c r="I20" s="163"/>
      <c r="J20" s="163"/>
      <c r="K20" s="163"/>
      <c r="L20" s="163"/>
      <c r="M20" s="163"/>
      <c r="N20" s="165"/>
      <c r="X20" s="79"/>
      <c r="Y20" s="79"/>
    </row>
    <row r="21" spans="2:25" s="29" customFormat="1" ht="15" customHeight="1" x14ac:dyDescent="0.2">
      <c r="B21" s="166">
        <v>4</v>
      </c>
      <c r="C21" s="167"/>
      <c r="D21" s="168"/>
      <c r="E21" s="168" t="s">
        <v>534</v>
      </c>
      <c r="F21" s="167"/>
      <c r="G21" s="169">
        <f>SUM(G23:G39)</f>
        <v>0</v>
      </c>
      <c r="H21" s="168"/>
      <c r="I21" s="168"/>
      <c r="J21" s="168"/>
      <c r="K21" s="168"/>
      <c r="L21" s="168"/>
      <c r="M21" s="168"/>
      <c r="N21" s="170"/>
      <c r="P21" s="29" t="s">
        <v>1017</v>
      </c>
      <c r="Q21" s="29" t="s">
        <v>1018</v>
      </c>
      <c r="R21" s="196">
        <f>SUM(R22:R31)</f>
        <v>0</v>
      </c>
      <c r="S21" s="196">
        <f>SUM(S22:S31)</f>
        <v>0</v>
      </c>
      <c r="T21" s="196">
        <f>SUM(T22:T31)</f>
        <v>0</v>
      </c>
      <c r="U21" s="196">
        <f>SUM(U22:U31)</f>
        <v>0</v>
      </c>
      <c r="X21" s="79"/>
      <c r="Y21" s="79"/>
    </row>
    <row r="22" spans="2:25" s="29" customFormat="1" ht="19.5" customHeight="1" x14ac:dyDescent="0.2">
      <c r="B22" s="186"/>
      <c r="C22" s="187"/>
      <c r="D22" s="188"/>
      <c r="E22" s="189" t="s">
        <v>1010</v>
      </c>
      <c r="F22" s="188"/>
      <c r="G22" s="190"/>
      <c r="H22" s="190"/>
      <c r="I22" s="191"/>
      <c r="J22" s="192"/>
      <c r="K22" s="190"/>
      <c r="L22" s="193"/>
      <c r="M22" s="190"/>
      <c r="N22" s="194"/>
      <c r="P22" s="29" t="s">
        <v>1030</v>
      </c>
      <c r="Q22" s="29">
        <v>1</v>
      </c>
      <c r="R22" s="66" t="str">
        <f>IFERROR(VLOOKUP(P22,'RESUMO_ESQ.'!$A$8:$R$141,6,)*Q22,"")</f>
        <v/>
      </c>
      <c r="S22" s="66"/>
      <c r="T22" s="66"/>
      <c r="U22" s="66" t="str">
        <f>IFERROR(VLOOKUP(P22,'RESUMO_ESQ.'!$A$8:$R$141,2,)*Q22,"")</f>
        <v/>
      </c>
      <c r="X22" s="79"/>
      <c r="Y22" s="79"/>
    </row>
    <row r="23" spans="2:25" s="29" customFormat="1" ht="30" customHeight="1" x14ac:dyDescent="0.2">
      <c r="B23" s="171">
        <v>5</v>
      </c>
      <c r="C23" s="69" t="s">
        <v>173</v>
      </c>
      <c r="D23" s="173" t="s">
        <v>1013</v>
      </c>
      <c r="E23" s="62" t="str">
        <f>VLOOKUP(D23,'RESUMO_REV.'!$A$6:$B$94,2,FALSE)</f>
        <v>Camada de regularização / contrapiso e=3,0cm</v>
      </c>
      <c r="F23" s="61" t="s">
        <v>16</v>
      </c>
      <c r="G23" s="63">
        <f>H22*L22</f>
        <v>0</v>
      </c>
      <c r="H23" s="63"/>
      <c r="I23" s="64"/>
      <c r="J23" s="65"/>
      <c r="K23" s="63"/>
      <c r="L23" s="73"/>
      <c r="M23" s="63"/>
      <c r="N23" s="172"/>
      <c r="P23" s="29" t="s">
        <v>1117</v>
      </c>
      <c r="Q23" s="29">
        <v>1</v>
      </c>
      <c r="R23" s="66" t="str">
        <f>IFERROR(VLOOKUP(P23,'RESUMO_ESQ.'!$A$8:$R$141,6,)*Q23,"")</f>
        <v/>
      </c>
      <c r="S23" s="66" t="str">
        <f>IFERROR(VLOOKUP(P23,'RESUMO_ESQ.'!$A$8:$R$141,2,)*Q23,"")</f>
        <v/>
      </c>
      <c r="T23" s="66" t="str">
        <f>IFERROR(VLOOKUP(P23,'RESUMO_ESQ.'!$A$8:$R$141,2,)*Q23,"")</f>
        <v/>
      </c>
      <c r="U23" s="66"/>
      <c r="X23" s="79"/>
      <c r="Y23" s="79"/>
    </row>
    <row r="24" spans="2:25" s="29" customFormat="1" ht="15" customHeight="1" x14ac:dyDescent="0.2">
      <c r="B24" s="171">
        <v>5</v>
      </c>
      <c r="C24" s="60" t="s">
        <v>350</v>
      </c>
      <c r="D24" s="61" t="s">
        <v>85</v>
      </c>
      <c r="E24" s="62" t="str">
        <f>VLOOKUP(D24,'RESUMO_REV.'!$A$6:$B$94,2,FALSE)</f>
        <v>Chapisco interno</v>
      </c>
      <c r="F24" s="61" t="s">
        <v>16</v>
      </c>
      <c r="G24" s="63">
        <f>H22*(K22*M22-N24)</f>
        <v>0</v>
      </c>
      <c r="H24" s="63"/>
      <c r="I24" s="64"/>
      <c r="J24" s="65"/>
      <c r="K24" s="63"/>
      <c r="L24" s="63"/>
      <c r="M24" s="73"/>
      <c r="N24" s="172">
        <f>R21</f>
        <v>0</v>
      </c>
      <c r="P24" s="29" t="s">
        <v>1030</v>
      </c>
      <c r="Q24" s="29">
        <v>1</v>
      </c>
      <c r="R24" s="66" t="str">
        <f>IFERROR(VLOOKUP(P24,'RESUMO_ESQ.'!$A$8:$R$141,6,)*Q24,"")</f>
        <v/>
      </c>
      <c r="S24" s="66"/>
      <c r="T24" s="66"/>
      <c r="U24" s="66" t="str">
        <f>IFERROR(VLOOKUP(P24,'RESUMO_ESQ.'!$A$8:$R$141,2,)*Q24,"")</f>
        <v/>
      </c>
      <c r="X24" s="79"/>
      <c r="Y24" s="79"/>
    </row>
    <row r="25" spans="2:25" s="29" customFormat="1" ht="15" customHeight="1" x14ac:dyDescent="0.2">
      <c r="B25" s="171">
        <v>5</v>
      </c>
      <c r="C25" s="60" t="s">
        <v>350</v>
      </c>
      <c r="D25" s="61" t="s">
        <v>86</v>
      </c>
      <c r="E25" s="62" t="str">
        <f>VLOOKUP(D25,'RESUMO_REV.'!$A$6:$B$94,2,FALSE)</f>
        <v>Emboço interno + ponto de masssa</v>
      </c>
      <c r="F25" s="61" t="s">
        <v>16</v>
      </c>
      <c r="G25" s="63">
        <f>H22*(K22*M22-N25)</f>
        <v>0</v>
      </c>
      <c r="H25" s="63"/>
      <c r="I25" s="64"/>
      <c r="J25" s="65"/>
      <c r="K25" s="63"/>
      <c r="L25" s="72"/>
      <c r="M25" s="73"/>
      <c r="N25" s="172">
        <f>R21</f>
        <v>0</v>
      </c>
      <c r="R25" s="66"/>
      <c r="S25" s="66"/>
      <c r="T25" s="66"/>
      <c r="U25" s="66"/>
      <c r="X25" s="79"/>
      <c r="Y25" s="79"/>
    </row>
    <row r="26" spans="2:25" s="29" customFormat="1" ht="12.75" customHeight="1" x14ac:dyDescent="0.2">
      <c r="B26" s="171">
        <v>5</v>
      </c>
      <c r="C26" s="67"/>
      <c r="D26" s="61" t="s">
        <v>523</v>
      </c>
      <c r="E26" s="62" t="str">
        <f>VLOOKUP(D26,IMPER!$A$9:$E$14,2,FALSE)</f>
        <v>IMPERMEABILIZAÇÃO DE LAJE PLANA COM MANTA ASFÁLTICA 4 MM INCLUSIVE PROTEÇÃO MECÂNICA</v>
      </c>
      <c r="F26" s="61" t="s">
        <v>16</v>
      </c>
      <c r="G26" s="63">
        <f>H22*(L22+M22*0.3)</f>
        <v>0</v>
      </c>
      <c r="H26" s="63"/>
      <c r="I26" s="64"/>
      <c r="J26" s="65"/>
      <c r="K26" s="63"/>
      <c r="L26" s="73"/>
      <c r="M26" s="63"/>
      <c r="N26" s="172"/>
      <c r="R26" s="66"/>
      <c r="S26" s="66"/>
      <c r="T26" s="66"/>
      <c r="U26" s="66"/>
      <c r="X26" s="79"/>
      <c r="Y26" s="79"/>
    </row>
    <row r="27" spans="2:25" s="29" customFormat="1" ht="15" customHeight="1" x14ac:dyDescent="0.2">
      <c r="B27" s="171">
        <v>5</v>
      </c>
      <c r="C27" s="68"/>
      <c r="D27" s="61" t="s">
        <v>27</v>
      </c>
      <c r="E27" s="62" t="str">
        <f>VLOOKUP(D27,'RESUMO_REV.'!$A$6:$B$94,2,FALSE)</f>
        <v>REVESTIMENTO</v>
      </c>
      <c r="F27" s="61" t="s">
        <v>16</v>
      </c>
      <c r="G27" s="63">
        <f>H22*(K22*M22-N27)</f>
        <v>0</v>
      </c>
      <c r="H27" s="63"/>
      <c r="I27" s="64"/>
      <c r="J27" s="65"/>
      <c r="K27" s="63"/>
      <c r="L27" s="72"/>
      <c r="M27" s="73"/>
      <c r="N27" s="172">
        <f>R21</f>
        <v>0</v>
      </c>
      <c r="R27" s="66"/>
      <c r="S27" s="66"/>
      <c r="T27" s="66"/>
      <c r="U27" s="66"/>
      <c r="X27" s="79"/>
      <c r="Y27" s="79"/>
    </row>
    <row r="28" spans="2:25" s="29" customFormat="1" ht="15" customHeight="1" x14ac:dyDescent="0.2">
      <c r="B28" s="171">
        <v>5</v>
      </c>
      <c r="C28" s="67"/>
      <c r="D28" s="61" t="s">
        <v>125</v>
      </c>
      <c r="E28" s="62" t="str">
        <f>VLOOKUP(D28,'RESUMO_REV.'!$A$6:$B$94,2,FALSE)</f>
        <v>PISO</v>
      </c>
      <c r="F28" s="61" t="s">
        <v>16</v>
      </c>
      <c r="G28" s="63">
        <f>H22*L22</f>
        <v>0</v>
      </c>
      <c r="H28" s="63"/>
      <c r="I28" s="64"/>
      <c r="J28" s="65"/>
      <c r="K28" s="63"/>
      <c r="L28" s="73"/>
      <c r="M28" s="63"/>
      <c r="N28" s="172"/>
      <c r="R28" s="66"/>
      <c r="S28" s="66"/>
      <c r="T28" s="66"/>
      <c r="U28" s="66"/>
      <c r="X28" s="79"/>
      <c r="Y28" s="79"/>
    </row>
    <row r="29" spans="2:25" s="29" customFormat="1" ht="15" customHeight="1" x14ac:dyDescent="0.2">
      <c r="B29" s="171">
        <v>5</v>
      </c>
      <c r="C29" s="60"/>
      <c r="D29" s="61" t="s">
        <v>132</v>
      </c>
      <c r="E29" s="62" t="str">
        <f>VLOOKUP(D29,'RESUMO_REV.'!$A$6:$B$94,2,FALSE)</f>
        <v>RODAPÉ</v>
      </c>
      <c r="F29" s="61" t="s">
        <v>25</v>
      </c>
      <c r="G29" s="63">
        <f>H22*(M22-N29)</f>
        <v>0</v>
      </c>
      <c r="H29" s="63"/>
      <c r="I29" s="64"/>
      <c r="J29" s="65"/>
      <c r="K29" s="63"/>
      <c r="L29" s="72"/>
      <c r="M29" s="73"/>
      <c r="N29" s="172">
        <f>S21</f>
        <v>0</v>
      </c>
      <c r="R29" s="66"/>
      <c r="S29" s="66"/>
      <c r="T29" s="66"/>
      <c r="U29" s="66"/>
      <c r="X29" s="79"/>
      <c r="Y29" s="79"/>
    </row>
    <row r="30" spans="2:25" s="29" customFormat="1" ht="15" customHeight="1" x14ac:dyDescent="0.2">
      <c r="B30" s="171">
        <v>5</v>
      </c>
      <c r="C30" s="67"/>
      <c r="D30" s="61" t="s">
        <v>113</v>
      </c>
      <c r="E30" s="62" t="str">
        <f>VLOOKUP(D30,'RESUMO_REV.'!$A$6:$B$94,2,FALSE)</f>
        <v>SOLEIRA</v>
      </c>
      <c r="F30" s="61" t="s">
        <v>25</v>
      </c>
      <c r="G30" s="63">
        <f>H22*N30</f>
        <v>0</v>
      </c>
      <c r="H30" s="63"/>
      <c r="I30" s="64"/>
      <c r="J30" s="65"/>
      <c r="K30" s="63"/>
      <c r="L30" s="72"/>
      <c r="M30" s="63"/>
      <c r="N30" s="172">
        <f>T21</f>
        <v>0</v>
      </c>
      <c r="R30" s="66"/>
      <c r="S30" s="66"/>
      <c r="T30" s="66"/>
      <c r="U30" s="66"/>
      <c r="X30" s="79"/>
      <c r="Y30" s="79"/>
    </row>
    <row r="31" spans="2:25" s="29" customFormat="1" ht="15" customHeight="1" x14ac:dyDescent="0.2">
      <c r="B31" s="171">
        <v>5</v>
      </c>
      <c r="C31" s="60"/>
      <c r="D31" s="61" t="s">
        <v>135</v>
      </c>
      <c r="E31" s="62" t="str">
        <f>VLOOKUP(D31,'RESUMO_REV.'!$A$6:$B$94,2,FALSE)</f>
        <v>PEITORIL</v>
      </c>
      <c r="F31" s="61" t="s">
        <v>25</v>
      </c>
      <c r="G31" s="63">
        <f>H22*N31</f>
        <v>0</v>
      </c>
      <c r="H31" s="63"/>
      <c r="I31" s="64"/>
      <c r="J31" s="65"/>
      <c r="K31" s="63"/>
      <c r="L31" s="72"/>
      <c r="M31" s="72"/>
      <c r="N31" s="172">
        <f>U21</f>
        <v>0</v>
      </c>
      <c r="R31" s="66"/>
      <c r="S31" s="66"/>
      <c r="T31" s="66"/>
      <c r="U31" s="66"/>
      <c r="X31" s="79"/>
      <c r="Y31" s="79"/>
    </row>
    <row r="32" spans="2:25" s="29" customFormat="1" ht="15" customHeight="1" x14ac:dyDescent="0.2">
      <c r="B32" s="171">
        <v>5</v>
      </c>
      <c r="C32" s="67"/>
      <c r="D32" s="61" t="s">
        <v>91</v>
      </c>
      <c r="E32" s="62" t="str">
        <f>VLOOKUP(D32,'RESUMO_REV.'!$A$6:$B$94,2,FALSE)</f>
        <v>TETO</v>
      </c>
      <c r="F32" s="61" t="s">
        <v>16</v>
      </c>
      <c r="G32" s="63">
        <f>+H22*L22</f>
        <v>0</v>
      </c>
      <c r="H32" s="63"/>
      <c r="I32" s="64"/>
      <c r="J32" s="65"/>
      <c r="K32" s="63"/>
      <c r="L32" s="73"/>
      <c r="M32" s="63"/>
      <c r="N32" s="172"/>
      <c r="R32" s="66"/>
      <c r="S32" s="66"/>
      <c r="T32" s="66"/>
      <c r="U32" s="66"/>
      <c r="X32" s="79"/>
      <c r="Y32" s="79"/>
    </row>
    <row r="33" spans="2:25" s="29" customFormat="1" ht="15.75" customHeight="1" x14ac:dyDescent="0.2">
      <c r="B33" s="171">
        <v>5</v>
      </c>
      <c r="C33" s="67"/>
      <c r="D33" s="61" t="s">
        <v>81</v>
      </c>
      <c r="E33" s="62" t="str">
        <f>VLOOKUP(D33,'RESUMO_LÇ.MET.'!$A$8:$B$111,2,FALSE)</f>
        <v>BANCADA</v>
      </c>
      <c r="F33" s="61" t="s">
        <v>16</v>
      </c>
      <c r="G33" s="63">
        <f>H22*L33</f>
        <v>0</v>
      </c>
      <c r="H33" s="63"/>
      <c r="I33" s="64"/>
      <c r="J33" s="65"/>
      <c r="K33" s="63"/>
      <c r="L33" s="73"/>
      <c r="M33" s="63"/>
      <c r="N33" s="172"/>
      <c r="X33" s="79"/>
      <c r="Y33" s="79"/>
    </row>
    <row r="34" spans="2:25" s="29" customFormat="1" ht="15" customHeight="1" x14ac:dyDescent="0.2">
      <c r="B34" s="171">
        <v>5</v>
      </c>
      <c r="C34" s="96"/>
      <c r="D34" s="61" t="s">
        <v>85</v>
      </c>
      <c r="E34" s="62" t="str">
        <f>VLOOKUP(D34,'RESUMO_LÇ.MET.'!$A$8:$B$111,2,FALSE)</f>
        <v>RODABANCA</v>
      </c>
      <c r="F34" s="61" t="s">
        <v>25</v>
      </c>
      <c r="G34" s="63">
        <f>H22*I34</f>
        <v>0</v>
      </c>
      <c r="H34" s="63"/>
      <c r="I34" s="73"/>
      <c r="J34" s="63"/>
      <c r="K34" s="63"/>
      <c r="L34" s="72"/>
      <c r="M34" s="63"/>
      <c r="N34" s="172"/>
      <c r="X34" s="79"/>
      <c r="Y34" s="79"/>
    </row>
    <row r="35" spans="2:25" s="29" customFormat="1" ht="15" customHeight="1" x14ac:dyDescent="0.2">
      <c r="B35" s="171">
        <v>5</v>
      </c>
      <c r="C35" s="96"/>
      <c r="D35" s="61" t="s">
        <v>1005</v>
      </c>
      <c r="E35" s="62" t="str">
        <f>VLOOKUP(D35,'RESUMO_LÇ.MET.'!$A$8:$B$111,2,FALSE)</f>
        <v>TESTEIRA</v>
      </c>
      <c r="F35" s="61" t="s">
        <v>25</v>
      </c>
      <c r="G35" s="63">
        <f>H22*I35</f>
        <v>0</v>
      </c>
      <c r="H35" s="63"/>
      <c r="I35" s="73"/>
      <c r="J35" s="63"/>
      <c r="K35" s="63"/>
      <c r="L35" s="72"/>
      <c r="M35" s="63"/>
      <c r="N35" s="172"/>
      <c r="X35" s="79"/>
      <c r="Y35" s="79"/>
    </row>
    <row r="36" spans="2:25" s="29" customFormat="1" ht="15.75" customHeight="1" x14ac:dyDescent="0.2">
      <c r="B36" s="171">
        <v>5</v>
      </c>
      <c r="C36" s="67"/>
      <c r="D36" s="61" t="s">
        <v>96</v>
      </c>
      <c r="E36" s="62" t="str">
        <f>VLOOKUP(D36,'RESUMO_LÇ.MET.'!$A$8:$B$111,2,FALSE)</f>
        <v>DIVISÓRIA</v>
      </c>
      <c r="F36" s="61" t="s">
        <v>16</v>
      </c>
      <c r="G36" s="63">
        <f>H22*I36*K36</f>
        <v>0</v>
      </c>
      <c r="H36" s="63"/>
      <c r="I36" s="73"/>
      <c r="J36" s="65"/>
      <c r="K36" s="73"/>
      <c r="L36" s="72"/>
      <c r="M36" s="63"/>
      <c r="N36" s="172"/>
      <c r="X36" s="79"/>
      <c r="Y36" s="79"/>
    </row>
    <row r="37" spans="2:25" s="29" customFormat="1" ht="15" customHeight="1" x14ac:dyDescent="0.2">
      <c r="B37" s="171">
        <v>5</v>
      </c>
      <c r="C37" s="67"/>
      <c r="D37" s="61" t="s">
        <v>30</v>
      </c>
      <c r="E37" s="62" t="str">
        <f>VLOOKUP(D37,'RESUMO_LÇ.MET.'!$A$8:$B$111,2,FALSE)</f>
        <v>LOUÇAS</v>
      </c>
      <c r="F37" s="61" t="s">
        <v>11</v>
      </c>
      <c r="G37" s="63">
        <f>H37*$H$22</f>
        <v>0</v>
      </c>
      <c r="H37" s="73"/>
      <c r="I37" s="63"/>
      <c r="J37" s="63"/>
      <c r="K37" s="63"/>
      <c r="L37" s="72"/>
      <c r="M37" s="63"/>
      <c r="N37" s="172"/>
      <c r="X37" s="79"/>
      <c r="Y37" s="79"/>
    </row>
    <row r="38" spans="2:25" s="29" customFormat="1" ht="15" customHeight="1" x14ac:dyDescent="0.2">
      <c r="B38" s="171">
        <v>5</v>
      </c>
      <c r="C38" s="67"/>
      <c r="D38" s="61" t="s">
        <v>51</v>
      </c>
      <c r="E38" s="62" t="str">
        <f>VLOOKUP(D38,'RESUMO_LÇ.MET.'!$A$8:$B$111,2,FALSE)</f>
        <v>METAIS</v>
      </c>
      <c r="F38" s="61" t="s">
        <v>11</v>
      </c>
      <c r="G38" s="63">
        <f t="shared" ref="G38:G39" si="1">H38*$H$22</f>
        <v>0</v>
      </c>
      <c r="H38" s="73"/>
      <c r="I38" s="63"/>
      <c r="J38" s="63"/>
      <c r="K38" s="63"/>
      <c r="L38" s="72"/>
      <c r="M38" s="63"/>
      <c r="N38" s="172"/>
      <c r="X38" s="79"/>
      <c r="Y38" s="79"/>
    </row>
    <row r="39" spans="2:25" s="29" customFormat="1" ht="15" customHeight="1" x14ac:dyDescent="0.2">
      <c r="B39" s="171">
        <v>5</v>
      </c>
      <c r="C39" s="67"/>
      <c r="D39" s="61" t="s">
        <v>60</v>
      </c>
      <c r="E39" s="62" t="str">
        <f>VLOOKUP(D39,'RESUMO_LÇ.MET.'!$A$8:$B$111,2,FALSE)</f>
        <v>ACESSÓRIOS</v>
      </c>
      <c r="F39" s="61" t="s">
        <v>11</v>
      </c>
      <c r="G39" s="63">
        <f t="shared" si="1"/>
        <v>0</v>
      </c>
      <c r="H39" s="73"/>
      <c r="I39" s="63"/>
      <c r="J39" s="63"/>
      <c r="K39" s="63"/>
      <c r="L39" s="72"/>
      <c r="M39" s="63"/>
      <c r="N39" s="172"/>
      <c r="X39" s="79"/>
      <c r="Y39" s="79"/>
    </row>
  </sheetData>
  <autoFilter ref="A1:N39" xr:uid="{00000000-0009-0000-0000-000003000000}"/>
  <mergeCells count="3">
    <mergeCell ref="S3:T3"/>
    <mergeCell ref="S6:T6"/>
    <mergeCell ref="S4:T4"/>
  </mergeCells>
  <pageMargins left="0.51181102362204722" right="0.51181102362204722" top="0.78740157480314965" bottom="0.78740157480314965" header="0.31496062992125984" footer="0.31496062992125984"/>
  <pageSetup scale="3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>
    <tabColor rgb="FF92D050"/>
  </sheetPr>
  <dimension ref="A1:C96"/>
  <sheetViews>
    <sheetView showGridLines="0" zoomScale="130" zoomScaleNormal="130" workbookViewId="0">
      <selection activeCell="B2" sqref="B2:B4"/>
    </sheetView>
  </sheetViews>
  <sheetFormatPr defaultColWidth="9.140625" defaultRowHeight="12.75" x14ac:dyDescent="0.2"/>
  <cols>
    <col min="1" max="1" width="18" style="15" customWidth="1"/>
    <col min="2" max="2" width="60.85546875" style="74" customWidth="1"/>
    <col min="3" max="3" width="6.85546875" style="15" customWidth="1"/>
    <col min="4" max="16384" width="9.140625" style="15"/>
  </cols>
  <sheetData>
    <row r="1" spans="1:3" s="2" customFormat="1" ht="14.25" customHeight="1" x14ac:dyDescent="0.2">
      <c r="A1" s="376"/>
      <c r="B1" s="178" t="s">
        <v>12</v>
      </c>
      <c r="C1" s="3"/>
    </row>
    <row r="2" spans="1:3" s="2" customFormat="1" ht="14.25" customHeight="1" x14ac:dyDescent="0.2">
      <c r="A2" s="377"/>
      <c r="B2" s="230" t="s">
        <v>1007</v>
      </c>
      <c r="C2" s="6"/>
    </row>
    <row r="3" spans="1:3" s="2" customFormat="1" ht="14.25" customHeight="1" x14ac:dyDescent="0.2">
      <c r="A3" s="377"/>
      <c r="B3" s="230" t="s">
        <v>533</v>
      </c>
      <c r="C3" s="6"/>
    </row>
    <row r="4" spans="1:3" s="2" customFormat="1" ht="14.25" customHeight="1" x14ac:dyDescent="0.2">
      <c r="A4" s="378"/>
      <c r="B4" s="231" t="s">
        <v>1008</v>
      </c>
    </row>
    <row r="5" spans="1:3" s="9" customFormat="1" ht="15" customHeight="1" x14ac:dyDescent="0.2">
      <c r="A5" s="379" t="s">
        <v>5</v>
      </c>
      <c r="B5" s="379"/>
    </row>
    <row r="6" spans="1:3" s="12" customFormat="1" ht="12.75" customHeight="1" x14ac:dyDescent="0.2">
      <c r="A6" s="17" t="s">
        <v>85</v>
      </c>
      <c r="B6" s="176" t="s">
        <v>1044</v>
      </c>
      <c r="C6" s="10"/>
    </row>
    <row r="7" spans="1:3" s="12" customFormat="1" x14ac:dyDescent="0.2">
      <c r="A7" s="17" t="s">
        <v>86</v>
      </c>
      <c r="B7" s="176" t="s">
        <v>1045</v>
      </c>
      <c r="C7" s="10"/>
    </row>
    <row r="8" spans="1:3" s="12" customFormat="1" ht="13.5" customHeight="1" x14ac:dyDescent="0.2">
      <c r="A8" s="17" t="s">
        <v>87</v>
      </c>
      <c r="B8" s="176" t="s">
        <v>1046</v>
      </c>
      <c r="C8" s="10"/>
    </row>
    <row r="9" spans="1:3" s="12" customFormat="1" x14ac:dyDescent="0.2">
      <c r="A9" s="17" t="s">
        <v>88</v>
      </c>
      <c r="B9" s="176" t="s">
        <v>1049</v>
      </c>
      <c r="C9" s="10"/>
    </row>
    <row r="10" spans="1:3" s="12" customFormat="1" x14ac:dyDescent="0.2">
      <c r="A10" s="17" t="s">
        <v>27</v>
      </c>
      <c r="B10" s="176" t="s">
        <v>1116</v>
      </c>
      <c r="C10" s="10"/>
    </row>
    <row r="11" spans="1:3" s="12" customFormat="1" ht="12.75" customHeight="1" x14ac:dyDescent="0.2">
      <c r="A11" s="17" t="s">
        <v>107</v>
      </c>
      <c r="B11" s="176"/>
      <c r="C11" s="10"/>
    </row>
    <row r="12" spans="1:3" s="12" customFormat="1" ht="12.75" customHeight="1" x14ac:dyDescent="0.2">
      <c r="A12" s="17" t="s">
        <v>108</v>
      </c>
      <c r="B12" s="176"/>
      <c r="C12" s="10"/>
    </row>
    <row r="13" spans="1:3" s="12" customFormat="1" ht="12.75" customHeight="1" x14ac:dyDescent="0.2">
      <c r="A13" s="17" t="s">
        <v>1056</v>
      </c>
      <c r="B13" s="176"/>
      <c r="C13" s="10"/>
    </row>
    <row r="14" spans="1:3" s="12" customFormat="1" ht="12.75" customHeight="1" x14ac:dyDescent="0.2">
      <c r="A14" s="17" t="s">
        <v>109</v>
      </c>
      <c r="B14" s="176"/>
      <c r="C14" s="10"/>
    </row>
    <row r="15" spans="1:3" s="12" customFormat="1" ht="12.75" customHeight="1" x14ac:dyDescent="0.2">
      <c r="A15" s="17" t="s">
        <v>110</v>
      </c>
      <c r="B15" s="176"/>
      <c r="C15" s="10"/>
    </row>
    <row r="16" spans="1:3" s="12" customFormat="1" ht="12.75" customHeight="1" x14ac:dyDescent="0.2">
      <c r="A16" s="17" t="s">
        <v>111</v>
      </c>
      <c r="B16" s="176"/>
      <c r="C16" s="10"/>
    </row>
    <row r="17" spans="1:3" s="12" customFormat="1" ht="12.75" customHeight="1" x14ac:dyDescent="0.2">
      <c r="A17" s="17" t="s">
        <v>1057</v>
      </c>
      <c r="B17" s="176"/>
      <c r="C17" s="10"/>
    </row>
    <row r="18" spans="1:3" s="12" customFormat="1" ht="12.75" customHeight="1" x14ac:dyDescent="0.2">
      <c r="A18" s="17" t="s">
        <v>1058</v>
      </c>
      <c r="B18" s="176"/>
      <c r="C18" s="10"/>
    </row>
    <row r="19" spans="1:3" s="12" customFormat="1" x14ac:dyDescent="0.2">
      <c r="A19" s="17" t="s">
        <v>112</v>
      </c>
      <c r="B19" s="176"/>
      <c r="C19" s="10"/>
    </row>
    <row r="20" spans="1:3" s="12" customFormat="1" ht="13.5" customHeight="1" x14ac:dyDescent="0.2">
      <c r="A20" s="17" t="s">
        <v>1059</v>
      </c>
      <c r="B20" s="177"/>
      <c r="C20" s="10"/>
    </row>
    <row r="21" spans="1:3" s="12" customFormat="1" ht="13.5" customHeight="1" x14ac:dyDescent="0.2">
      <c r="A21" s="17" t="s">
        <v>1060</v>
      </c>
      <c r="B21" s="177"/>
      <c r="C21" s="10"/>
    </row>
    <row r="22" spans="1:3" s="12" customFormat="1" ht="13.5" customHeight="1" x14ac:dyDescent="0.2">
      <c r="A22" s="17" t="s">
        <v>1061</v>
      </c>
      <c r="B22" s="177"/>
      <c r="C22" s="10"/>
    </row>
    <row r="23" spans="1:3" s="12" customFormat="1" ht="13.5" customHeight="1" x14ac:dyDescent="0.2">
      <c r="A23" s="17" t="s">
        <v>1062</v>
      </c>
      <c r="B23" s="177"/>
      <c r="C23" s="10"/>
    </row>
    <row r="24" spans="1:3" s="12" customFormat="1" ht="13.5" customHeight="1" x14ac:dyDescent="0.2">
      <c r="A24" s="17" t="s">
        <v>1063</v>
      </c>
      <c r="B24" s="177"/>
      <c r="C24" s="10"/>
    </row>
    <row r="25" spans="1:3" s="9" customFormat="1" ht="15" customHeight="1" x14ac:dyDescent="0.2">
      <c r="A25" s="379" t="s">
        <v>8</v>
      </c>
      <c r="B25" s="379"/>
    </row>
    <row r="26" spans="1:3" s="12" customFormat="1" ht="12.75" customHeight="1" x14ac:dyDescent="0.2">
      <c r="A26" s="17" t="s">
        <v>1019</v>
      </c>
      <c r="B26" s="176" t="s">
        <v>1026</v>
      </c>
      <c r="C26" s="10"/>
    </row>
    <row r="27" spans="1:3" s="12" customFormat="1" x14ac:dyDescent="0.2">
      <c r="A27" s="17" t="s">
        <v>1020</v>
      </c>
      <c r="B27" s="176" t="s">
        <v>1027</v>
      </c>
      <c r="C27" s="10"/>
    </row>
    <row r="28" spans="1:3" s="12" customFormat="1" ht="13.5" customHeight="1" x14ac:dyDescent="0.2">
      <c r="A28" s="17" t="s">
        <v>1021</v>
      </c>
      <c r="B28" s="176" t="s">
        <v>1028</v>
      </c>
      <c r="C28" s="10"/>
    </row>
    <row r="29" spans="1:3" s="12" customFormat="1" x14ac:dyDescent="0.2">
      <c r="A29" s="17" t="s">
        <v>1022</v>
      </c>
      <c r="B29" s="176" t="s">
        <v>1048</v>
      </c>
      <c r="C29" s="10"/>
    </row>
    <row r="30" spans="1:3" s="12" customFormat="1" ht="13.5" customHeight="1" x14ac:dyDescent="0.2">
      <c r="A30" s="17" t="s">
        <v>91</v>
      </c>
      <c r="B30" s="176" t="s">
        <v>1</v>
      </c>
      <c r="C30" s="10"/>
    </row>
    <row r="31" spans="1:3" s="12" customFormat="1" ht="13.5" customHeight="1" x14ac:dyDescent="0.2">
      <c r="A31" s="17" t="s">
        <v>92</v>
      </c>
      <c r="B31" s="176"/>
      <c r="C31" s="10"/>
    </row>
    <row r="32" spans="1:3" s="12" customFormat="1" ht="13.5" customHeight="1" x14ac:dyDescent="0.2">
      <c r="A32" s="17" t="s">
        <v>93</v>
      </c>
      <c r="B32" s="177"/>
      <c r="C32" s="10"/>
    </row>
    <row r="33" spans="1:3" s="12" customFormat="1" ht="13.5" customHeight="1" x14ac:dyDescent="0.2">
      <c r="A33" s="17" t="s">
        <v>94</v>
      </c>
      <c r="B33" s="176"/>
      <c r="C33" s="10"/>
    </row>
    <row r="34" spans="1:3" s="12" customFormat="1" ht="13.5" customHeight="1" x14ac:dyDescent="0.2">
      <c r="A34" s="17" t="s">
        <v>6621</v>
      </c>
      <c r="B34" s="177"/>
      <c r="C34" s="10"/>
    </row>
    <row r="35" spans="1:3" s="12" customFormat="1" ht="13.5" customHeight="1" x14ac:dyDescent="0.2">
      <c r="A35" s="17" t="s">
        <v>6622</v>
      </c>
      <c r="B35" s="176"/>
      <c r="C35" s="10"/>
    </row>
    <row r="36" spans="1:3" s="12" customFormat="1" ht="13.5" customHeight="1" x14ac:dyDescent="0.2">
      <c r="A36" s="17" t="s">
        <v>6623</v>
      </c>
      <c r="B36" s="176"/>
      <c r="C36" s="10"/>
    </row>
    <row r="37" spans="1:3" s="9" customFormat="1" ht="15" customHeight="1" x14ac:dyDescent="0.2">
      <c r="A37" s="379" t="s">
        <v>6</v>
      </c>
      <c r="B37" s="379"/>
    </row>
    <row r="38" spans="1:3" s="12" customFormat="1" ht="13.5" customHeight="1" x14ac:dyDescent="0.2">
      <c r="A38" s="17" t="s">
        <v>113</v>
      </c>
      <c r="B38" s="176" t="s">
        <v>4</v>
      </c>
      <c r="C38" s="10"/>
    </row>
    <row r="39" spans="1:3" s="12" customFormat="1" ht="13.5" customHeight="1" x14ac:dyDescent="0.2">
      <c r="A39" s="17" t="s">
        <v>114</v>
      </c>
      <c r="B39" s="176"/>
      <c r="C39" s="10"/>
    </row>
    <row r="40" spans="1:3" s="12" customFormat="1" ht="13.5" customHeight="1" x14ac:dyDescent="0.2">
      <c r="A40" s="17" t="s">
        <v>115</v>
      </c>
      <c r="B40" s="176"/>
      <c r="C40" s="10"/>
    </row>
    <row r="41" spans="1:3" s="12" customFormat="1" ht="13.5" customHeight="1" x14ac:dyDescent="0.2">
      <c r="A41" s="17" t="s">
        <v>115</v>
      </c>
      <c r="B41" s="179"/>
      <c r="C41" s="10"/>
    </row>
    <row r="42" spans="1:3" s="12" customFormat="1" ht="13.5" customHeight="1" x14ac:dyDescent="0.2">
      <c r="A42" s="17" t="s">
        <v>116</v>
      </c>
      <c r="B42" s="179"/>
      <c r="C42" s="10"/>
    </row>
    <row r="43" spans="1:3" s="12" customFormat="1" ht="13.5" customHeight="1" x14ac:dyDescent="0.2">
      <c r="A43" s="17" t="s">
        <v>117</v>
      </c>
      <c r="B43" s="179"/>
      <c r="C43" s="10"/>
    </row>
    <row r="44" spans="1:3" s="12" customFormat="1" ht="13.5" customHeight="1" x14ac:dyDescent="0.2">
      <c r="A44" s="17" t="s">
        <v>118</v>
      </c>
      <c r="B44" s="179"/>
      <c r="C44" s="10"/>
    </row>
    <row r="45" spans="1:3" s="12" customFormat="1" ht="13.5" customHeight="1" x14ac:dyDescent="0.2">
      <c r="A45" s="17" t="s">
        <v>119</v>
      </c>
      <c r="B45" s="179"/>
      <c r="C45" s="10"/>
    </row>
    <row r="46" spans="1:3" s="12" customFormat="1" ht="13.5" customHeight="1" x14ac:dyDescent="0.2">
      <c r="A46" s="17" t="s">
        <v>120</v>
      </c>
      <c r="B46" s="179"/>
      <c r="C46" s="10"/>
    </row>
    <row r="47" spans="1:3" s="12" customFormat="1" ht="13.5" customHeight="1" x14ac:dyDescent="0.2">
      <c r="A47" s="17" t="s">
        <v>121</v>
      </c>
      <c r="B47" s="179"/>
      <c r="C47" s="10"/>
    </row>
    <row r="48" spans="1:3" s="12" customFormat="1" ht="13.5" customHeight="1" x14ac:dyDescent="0.2">
      <c r="A48" s="17" t="s">
        <v>122</v>
      </c>
      <c r="B48" s="179"/>
      <c r="C48" s="10"/>
    </row>
    <row r="49" spans="1:3" s="12" customFormat="1" ht="13.5" customHeight="1" x14ac:dyDescent="0.2">
      <c r="A49" s="17" t="s">
        <v>123</v>
      </c>
      <c r="B49" s="179"/>
      <c r="C49" s="10"/>
    </row>
    <row r="50" spans="1:3" s="12" customFormat="1" ht="13.5" customHeight="1" x14ac:dyDescent="0.2">
      <c r="A50" s="17" t="s">
        <v>124</v>
      </c>
      <c r="B50" s="179"/>
      <c r="C50" s="10"/>
    </row>
    <row r="51" spans="1:3" s="9" customFormat="1" ht="15" customHeight="1" x14ac:dyDescent="0.2">
      <c r="A51" s="379" t="s">
        <v>2</v>
      </c>
      <c r="B51" s="379"/>
    </row>
    <row r="52" spans="1:3" s="12" customFormat="1" ht="13.5" customHeight="1" x14ac:dyDescent="0.2">
      <c r="A52" s="17" t="s">
        <v>1013</v>
      </c>
      <c r="B52" s="176" t="s">
        <v>1024</v>
      </c>
      <c r="C52" s="10"/>
    </row>
    <row r="53" spans="1:3" s="12" customFormat="1" ht="13.5" customHeight="1" x14ac:dyDescent="0.2">
      <c r="A53" s="17" t="s">
        <v>125</v>
      </c>
      <c r="B53" s="176" t="s">
        <v>0</v>
      </c>
      <c r="C53" s="10"/>
    </row>
    <row r="54" spans="1:3" s="12" customFormat="1" ht="13.5" customHeight="1" x14ac:dyDescent="0.2">
      <c r="A54" s="17" t="s">
        <v>126</v>
      </c>
      <c r="B54" s="176"/>
      <c r="C54" s="10"/>
    </row>
    <row r="55" spans="1:3" s="99" customFormat="1" ht="13.5" customHeight="1" x14ac:dyDescent="0.2">
      <c r="A55" s="17" t="s">
        <v>127</v>
      </c>
      <c r="B55" s="176"/>
      <c r="C55" s="98"/>
    </row>
    <row r="56" spans="1:3" s="99" customFormat="1" ht="13.5" customHeight="1" x14ac:dyDescent="0.2">
      <c r="A56" s="17" t="s">
        <v>1023</v>
      </c>
      <c r="B56" s="176"/>
      <c r="C56" s="98"/>
    </row>
    <row r="57" spans="1:3" s="99" customFormat="1" ht="13.5" customHeight="1" x14ac:dyDescent="0.2">
      <c r="A57" s="17" t="s">
        <v>1064</v>
      </c>
      <c r="B57" s="176"/>
      <c r="C57" s="98"/>
    </row>
    <row r="58" spans="1:3" s="99" customFormat="1" ht="13.5" customHeight="1" x14ac:dyDescent="0.2">
      <c r="A58" s="17" t="s">
        <v>1065</v>
      </c>
      <c r="B58" s="176"/>
      <c r="C58" s="98"/>
    </row>
    <row r="59" spans="1:3" s="99" customFormat="1" ht="13.5" customHeight="1" x14ac:dyDescent="0.2">
      <c r="A59" s="17" t="s">
        <v>1066</v>
      </c>
      <c r="B59" s="176"/>
      <c r="C59" s="98"/>
    </row>
    <row r="60" spans="1:3" s="99" customFormat="1" ht="13.5" customHeight="1" x14ac:dyDescent="0.2">
      <c r="A60" s="17" t="s">
        <v>1067</v>
      </c>
      <c r="B60" s="176"/>
      <c r="C60" s="98"/>
    </row>
    <row r="61" spans="1:3" s="99" customFormat="1" ht="13.5" customHeight="1" x14ac:dyDescent="0.2">
      <c r="A61" s="17" t="s">
        <v>1068</v>
      </c>
      <c r="B61" s="176"/>
      <c r="C61" s="98"/>
    </row>
    <row r="62" spans="1:3" s="99" customFormat="1" ht="13.5" customHeight="1" x14ac:dyDescent="0.2">
      <c r="A62" s="17" t="s">
        <v>1069</v>
      </c>
      <c r="B62" s="176"/>
      <c r="C62" s="98"/>
    </row>
    <row r="63" spans="1:3" s="99" customFormat="1" ht="13.5" customHeight="1" x14ac:dyDescent="0.2">
      <c r="A63" s="17" t="s">
        <v>1070</v>
      </c>
      <c r="B63" s="176"/>
      <c r="C63" s="98"/>
    </row>
    <row r="64" spans="1:3" s="99" customFormat="1" ht="13.5" customHeight="1" x14ac:dyDescent="0.2">
      <c r="A64" s="17" t="s">
        <v>1071</v>
      </c>
      <c r="B64" s="176"/>
      <c r="C64" s="98"/>
    </row>
    <row r="65" spans="1:3" s="99" customFormat="1" ht="13.5" customHeight="1" x14ac:dyDescent="0.2">
      <c r="A65" s="17" t="s">
        <v>1072</v>
      </c>
      <c r="B65" s="176"/>
      <c r="C65" s="98"/>
    </row>
    <row r="66" spans="1:3" s="99" customFormat="1" ht="13.5" customHeight="1" x14ac:dyDescent="0.2">
      <c r="A66" s="17" t="s">
        <v>1073</v>
      </c>
      <c r="B66" s="176"/>
      <c r="C66" s="98"/>
    </row>
    <row r="67" spans="1:3" s="99" customFormat="1" ht="13.5" customHeight="1" x14ac:dyDescent="0.2">
      <c r="A67" s="17" t="s">
        <v>1074</v>
      </c>
      <c r="B67" s="176"/>
      <c r="C67" s="98"/>
    </row>
    <row r="68" spans="1:3" s="99" customFormat="1" ht="13.5" customHeight="1" x14ac:dyDescent="0.2">
      <c r="A68" s="17" t="s">
        <v>128</v>
      </c>
      <c r="B68" s="176"/>
      <c r="C68" s="98"/>
    </row>
    <row r="69" spans="1:3" s="99" customFormat="1" ht="13.5" customHeight="1" x14ac:dyDescent="0.2">
      <c r="A69" s="17" t="s">
        <v>129</v>
      </c>
      <c r="B69" s="176"/>
      <c r="C69" s="98"/>
    </row>
    <row r="70" spans="1:3" s="99" customFormat="1" ht="13.5" customHeight="1" x14ac:dyDescent="0.2">
      <c r="A70" s="17" t="s">
        <v>130</v>
      </c>
      <c r="B70" s="176"/>
      <c r="C70" s="98"/>
    </row>
    <row r="71" spans="1:3" s="99" customFormat="1" ht="13.5" customHeight="1" x14ac:dyDescent="0.2">
      <c r="A71" s="17" t="s">
        <v>131</v>
      </c>
      <c r="B71" s="176"/>
      <c r="C71" s="98"/>
    </row>
    <row r="72" spans="1:3" s="9" customFormat="1" ht="15" customHeight="1" x14ac:dyDescent="0.2">
      <c r="A72" s="379" t="s">
        <v>3</v>
      </c>
      <c r="B72" s="379"/>
    </row>
    <row r="73" spans="1:3" s="12" customFormat="1" ht="13.5" customHeight="1" x14ac:dyDescent="0.2">
      <c r="A73" s="17" t="s">
        <v>132</v>
      </c>
      <c r="B73" s="176" t="s">
        <v>26</v>
      </c>
      <c r="C73" s="10"/>
    </row>
    <row r="74" spans="1:3" s="12" customFormat="1" ht="13.5" customHeight="1" x14ac:dyDescent="0.2">
      <c r="A74" s="17" t="s">
        <v>133</v>
      </c>
      <c r="B74" s="176"/>
      <c r="C74" s="10"/>
    </row>
    <row r="75" spans="1:3" s="12" customFormat="1" ht="13.5" customHeight="1" x14ac:dyDescent="0.2">
      <c r="A75" s="17" t="s">
        <v>134</v>
      </c>
      <c r="B75" s="176"/>
      <c r="C75" s="10"/>
    </row>
    <row r="76" spans="1:3" s="12" customFormat="1" ht="13.5" customHeight="1" x14ac:dyDescent="0.2">
      <c r="A76" s="17" t="s">
        <v>1075</v>
      </c>
      <c r="B76" s="176"/>
      <c r="C76" s="10"/>
    </row>
    <row r="77" spans="1:3" s="12" customFormat="1" ht="13.5" customHeight="1" x14ac:dyDescent="0.2">
      <c r="A77" s="17" t="s">
        <v>1076</v>
      </c>
      <c r="B77" s="176"/>
      <c r="C77" s="10"/>
    </row>
    <row r="78" spans="1:3" s="12" customFormat="1" ht="13.5" customHeight="1" x14ac:dyDescent="0.2">
      <c r="A78" s="17" t="s">
        <v>1077</v>
      </c>
      <c r="B78" s="176"/>
      <c r="C78" s="10"/>
    </row>
    <row r="79" spans="1:3" s="12" customFormat="1" ht="13.5" customHeight="1" x14ac:dyDescent="0.2">
      <c r="A79" s="17" t="s">
        <v>1078</v>
      </c>
      <c r="B79" s="176"/>
      <c r="C79" s="10"/>
    </row>
    <row r="80" spans="1:3" s="12" customFormat="1" ht="13.5" customHeight="1" x14ac:dyDescent="0.2">
      <c r="A80" s="17" t="s">
        <v>1079</v>
      </c>
      <c r="B80" s="176"/>
      <c r="C80" s="10"/>
    </row>
    <row r="81" spans="1:3" s="12" customFormat="1" ht="13.5" customHeight="1" x14ac:dyDescent="0.2">
      <c r="A81" s="17" t="s">
        <v>1080</v>
      </c>
      <c r="B81" s="176"/>
      <c r="C81" s="10"/>
    </row>
    <row r="82" spans="1:3" s="12" customFormat="1" ht="13.5" customHeight="1" x14ac:dyDescent="0.2">
      <c r="A82" s="17" t="s">
        <v>1081</v>
      </c>
      <c r="B82" s="176"/>
      <c r="C82" s="10"/>
    </row>
    <row r="83" spans="1:3" s="12" customFormat="1" ht="13.5" customHeight="1" x14ac:dyDescent="0.2">
      <c r="A83" s="17" t="s">
        <v>1082</v>
      </c>
      <c r="B83" s="176"/>
      <c r="C83" s="10"/>
    </row>
    <row r="84" spans="1:3" s="12" customFormat="1" ht="13.5" customHeight="1" x14ac:dyDescent="0.2">
      <c r="A84" s="17" t="s">
        <v>1083</v>
      </c>
      <c r="B84" s="176"/>
      <c r="C84" s="10"/>
    </row>
    <row r="85" spans="1:3" s="12" customFormat="1" ht="13.5" customHeight="1" x14ac:dyDescent="0.2">
      <c r="A85" s="17" t="s">
        <v>1084</v>
      </c>
      <c r="B85" s="176"/>
      <c r="C85" s="10"/>
    </row>
    <row r="86" spans="1:3" s="12" customFormat="1" ht="13.5" customHeight="1" x14ac:dyDescent="0.2">
      <c r="A86" s="17" t="s">
        <v>1085</v>
      </c>
      <c r="B86" s="176"/>
      <c r="C86" s="10"/>
    </row>
    <row r="87" spans="1:3" s="9" customFormat="1" ht="15" customHeight="1" x14ac:dyDescent="0.2">
      <c r="A87" s="379" t="s">
        <v>7</v>
      </c>
      <c r="B87" s="379"/>
    </row>
    <row r="88" spans="1:3" s="12" customFormat="1" ht="13.5" customHeight="1" x14ac:dyDescent="0.2">
      <c r="A88" s="17" t="s">
        <v>135</v>
      </c>
      <c r="B88" s="176" t="s">
        <v>1009</v>
      </c>
      <c r="C88" s="10"/>
    </row>
    <row r="89" spans="1:3" s="12" customFormat="1" ht="13.5" customHeight="1" x14ac:dyDescent="0.2">
      <c r="A89" s="17" t="s">
        <v>136</v>
      </c>
      <c r="B89" s="176"/>
      <c r="C89" s="10"/>
    </row>
    <row r="90" spans="1:3" s="12" customFormat="1" ht="13.5" customHeight="1" x14ac:dyDescent="0.2">
      <c r="A90" s="17" t="s">
        <v>137</v>
      </c>
      <c r="B90" s="176"/>
      <c r="C90" s="10"/>
    </row>
    <row r="91" spans="1:3" s="12" customFormat="1" ht="13.5" customHeight="1" x14ac:dyDescent="0.2">
      <c r="A91" s="17" t="s">
        <v>138</v>
      </c>
      <c r="B91" s="176"/>
      <c r="C91" s="10"/>
    </row>
    <row r="92" spans="1:3" s="12" customFormat="1" ht="13.5" customHeight="1" x14ac:dyDescent="0.2">
      <c r="A92" s="17" t="s">
        <v>139</v>
      </c>
      <c r="B92" s="176"/>
      <c r="C92" s="10"/>
    </row>
    <row r="93" spans="1:3" s="12" customFormat="1" ht="13.5" customHeight="1" x14ac:dyDescent="0.2">
      <c r="A93" s="17" t="s">
        <v>1086</v>
      </c>
      <c r="B93" s="176"/>
      <c r="C93" s="10"/>
    </row>
    <row r="94" spans="1:3" s="12" customFormat="1" ht="13.5" customHeight="1" x14ac:dyDescent="0.2">
      <c r="A94" s="17" t="s">
        <v>1087</v>
      </c>
      <c r="B94" s="176"/>
      <c r="C94" s="10"/>
    </row>
    <row r="95" spans="1:3" ht="10.5" customHeight="1" x14ac:dyDescent="0.2">
      <c r="A95" s="382" t="s">
        <v>9</v>
      </c>
      <c r="B95" s="382"/>
    </row>
    <row r="96" spans="1:3" ht="4.5" customHeight="1" x14ac:dyDescent="0.2">
      <c r="A96" s="380"/>
      <c r="B96" s="381"/>
    </row>
  </sheetData>
  <mergeCells count="9">
    <mergeCell ref="A1:A4"/>
    <mergeCell ref="A5:B5"/>
    <mergeCell ref="A25:B25"/>
    <mergeCell ref="A96:B96"/>
    <mergeCell ref="A95:B95"/>
    <mergeCell ref="A87:B87"/>
    <mergeCell ref="A72:B72"/>
    <mergeCell ref="A37:B37"/>
    <mergeCell ref="A51:B51"/>
  </mergeCells>
  <phoneticPr fontId="15" type="noConversion"/>
  <printOptions horizontalCentered="1"/>
  <pageMargins left="0" right="0" top="0.59055118110236227" bottom="0.19685039370078741" header="0.51181102362204722" footer="0.51181102362204722"/>
  <pageSetup paperSize="9" scale="8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M558"/>
  <sheetViews>
    <sheetView showGridLines="0" zoomScale="130" zoomScaleNormal="130" workbookViewId="0">
      <selection activeCell="T22" sqref="T22"/>
    </sheetView>
  </sheetViews>
  <sheetFormatPr defaultRowHeight="12.75" x14ac:dyDescent="0.2"/>
  <cols>
    <col min="1" max="1" width="16.5703125" style="121" customWidth="1"/>
    <col min="2" max="3" width="9.7109375" style="121" customWidth="1"/>
    <col min="4" max="4" width="23.5703125" style="121" customWidth="1"/>
    <col min="5" max="5" width="10.42578125" style="121" hidden="1" customWidth="1"/>
    <col min="6" max="6" width="10" style="121" hidden="1" customWidth="1"/>
    <col min="7" max="17" width="9.42578125" style="80" customWidth="1"/>
    <col min="18" max="18" width="9.42578125" style="94" customWidth="1"/>
    <col min="19" max="20" width="9.140625" style="81"/>
    <col min="21" max="258" width="9.140625" style="80"/>
    <col min="259" max="259" width="16.7109375" style="80" customWidth="1"/>
    <col min="260" max="261" width="9.7109375" style="80" customWidth="1"/>
    <col min="262" max="262" width="19" style="80" customWidth="1"/>
    <col min="263" max="273" width="8.140625" style="80" customWidth="1"/>
    <col min="274" max="514" width="9.140625" style="80"/>
    <col min="515" max="515" width="16.7109375" style="80" customWidth="1"/>
    <col min="516" max="517" width="9.7109375" style="80" customWidth="1"/>
    <col min="518" max="518" width="19" style="80" customWidth="1"/>
    <col min="519" max="529" width="8.140625" style="80" customWidth="1"/>
    <col min="530" max="770" width="9.140625" style="80"/>
    <col min="771" max="771" width="16.7109375" style="80" customWidth="1"/>
    <col min="772" max="773" width="9.7109375" style="80" customWidth="1"/>
    <col min="774" max="774" width="19" style="80" customWidth="1"/>
    <col min="775" max="785" width="8.140625" style="80" customWidth="1"/>
    <col min="786" max="1026" width="9.140625" style="80"/>
    <col min="1027" max="1027" width="16.7109375" style="80" customWidth="1"/>
    <col min="1028" max="1029" width="9.7109375" style="80" customWidth="1"/>
    <col min="1030" max="1030" width="19" style="80" customWidth="1"/>
    <col min="1031" max="1041" width="8.140625" style="80" customWidth="1"/>
    <col min="1042" max="1282" width="9.140625" style="80"/>
    <col min="1283" max="1283" width="16.7109375" style="80" customWidth="1"/>
    <col min="1284" max="1285" width="9.7109375" style="80" customWidth="1"/>
    <col min="1286" max="1286" width="19" style="80" customWidth="1"/>
    <col min="1287" max="1297" width="8.140625" style="80" customWidth="1"/>
    <col min="1298" max="1538" width="9.140625" style="80"/>
    <col min="1539" max="1539" width="16.7109375" style="80" customWidth="1"/>
    <col min="1540" max="1541" width="9.7109375" style="80" customWidth="1"/>
    <col min="1542" max="1542" width="19" style="80" customWidth="1"/>
    <col min="1543" max="1553" width="8.140625" style="80" customWidth="1"/>
    <col min="1554" max="1794" width="9.140625" style="80"/>
    <col min="1795" max="1795" width="16.7109375" style="80" customWidth="1"/>
    <col min="1796" max="1797" width="9.7109375" style="80" customWidth="1"/>
    <col min="1798" max="1798" width="19" style="80" customWidth="1"/>
    <col min="1799" max="1809" width="8.140625" style="80" customWidth="1"/>
    <col min="1810" max="2050" width="9.140625" style="80"/>
    <col min="2051" max="2051" width="16.7109375" style="80" customWidth="1"/>
    <col min="2052" max="2053" width="9.7109375" style="80" customWidth="1"/>
    <col min="2054" max="2054" width="19" style="80" customWidth="1"/>
    <col min="2055" max="2065" width="8.140625" style="80" customWidth="1"/>
    <col min="2066" max="2306" width="9.140625" style="80"/>
    <col min="2307" max="2307" width="16.7109375" style="80" customWidth="1"/>
    <col min="2308" max="2309" width="9.7109375" style="80" customWidth="1"/>
    <col min="2310" max="2310" width="19" style="80" customWidth="1"/>
    <col min="2311" max="2321" width="8.140625" style="80" customWidth="1"/>
    <col min="2322" max="2562" width="9.140625" style="80"/>
    <col min="2563" max="2563" width="16.7109375" style="80" customWidth="1"/>
    <col min="2564" max="2565" width="9.7109375" style="80" customWidth="1"/>
    <col min="2566" max="2566" width="19" style="80" customWidth="1"/>
    <col min="2567" max="2577" width="8.140625" style="80" customWidth="1"/>
    <col min="2578" max="2818" width="9.140625" style="80"/>
    <col min="2819" max="2819" width="16.7109375" style="80" customWidth="1"/>
    <col min="2820" max="2821" width="9.7109375" style="80" customWidth="1"/>
    <col min="2822" max="2822" width="19" style="80" customWidth="1"/>
    <col min="2823" max="2833" width="8.140625" style="80" customWidth="1"/>
    <col min="2834" max="3074" width="9.140625" style="80"/>
    <col min="3075" max="3075" width="16.7109375" style="80" customWidth="1"/>
    <col min="3076" max="3077" width="9.7109375" style="80" customWidth="1"/>
    <col min="3078" max="3078" width="19" style="80" customWidth="1"/>
    <col min="3079" max="3089" width="8.140625" style="80" customWidth="1"/>
    <col min="3090" max="3330" width="9.140625" style="80"/>
    <col min="3331" max="3331" width="16.7109375" style="80" customWidth="1"/>
    <col min="3332" max="3333" width="9.7109375" style="80" customWidth="1"/>
    <col min="3334" max="3334" width="19" style="80" customWidth="1"/>
    <col min="3335" max="3345" width="8.140625" style="80" customWidth="1"/>
    <col min="3346" max="3586" width="9.140625" style="80"/>
    <col min="3587" max="3587" width="16.7109375" style="80" customWidth="1"/>
    <col min="3588" max="3589" width="9.7109375" style="80" customWidth="1"/>
    <col min="3590" max="3590" width="19" style="80" customWidth="1"/>
    <col min="3591" max="3601" width="8.140625" style="80" customWidth="1"/>
    <col min="3602" max="3842" width="9.140625" style="80"/>
    <col min="3843" max="3843" width="16.7109375" style="80" customWidth="1"/>
    <col min="3844" max="3845" width="9.7109375" style="80" customWidth="1"/>
    <col min="3846" max="3846" width="19" style="80" customWidth="1"/>
    <col min="3847" max="3857" width="8.140625" style="80" customWidth="1"/>
    <col min="3858" max="4098" width="9.140625" style="80"/>
    <col min="4099" max="4099" width="16.7109375" style="80" customWidth="1"/>
    <col min="4100" max="4101" width="9.7109375" style="80" customWidth="1"/>
    <col min="4102" max="4102" width="19" style="80" customWidth="1"/>
    <col min="4103" max="4113" width="8.140625" style="80" customWidth="1"/>
    <col min="4114" max="4354" width="9.140625" style="80"/>
    <col min="4355" max="4355" width="16.7109375" style="80" customWidth="1"/>
    <col min="4356" max="4357" width="9.7109375" style="80" customWidth="1"/>
    <col min="4358" max="4358" width="19" style="80" customWidth="1"/>
    <col min="4359" max="4369" width="8.140625" style="80" customWidth="1"/>
    <col min="4370" max="4610" width="9.140625" style="80"/>
    <col min="4611" max="4611" width="16.7109375" style="80" customWidth="1"/>
    <col min="4612" max="4613" width="9.7109375" style="80" customWidth="1"/>
    <col min="4614" max="4614" width="19" style="80" customWidth="1"/>
    <col min="4615" max="4625" width="8.140625" style="80" customWidth="1"/>
    <col min="4626" max="4866" width="9.140625" style="80"/>
    <col min="4867" max="4867" width="16.7109375" style="80" customWidth="1"/>
    <col min="4868" max="4869" width="9.7109375" style="80" customWidth="1"/>
    <col min="4870" max="4870" width="19" style="80" customWidth="1"/>
    <col min="4871" max="4881" width="8.140625" style="80" customWidth="1"/>
    <col min="4882" max="5122" width="9.140625" style="80"/>
    <col min="5123" max="5123" width="16.7109375" style="80" customWidth="1"/>
    <col min="5124" max="5125" width="9.7109375" style="80" customWidth="1"/>
    <col min="5126" max="5126" width="19" style="80" customWidth="1"/>
    <col min="5127" max="5137" width="8.140625" style="80" customWidth="1"/>
    <col min="5138" max="5378" width="9.140625" style="80"/>
    <col min="5379" max="5379" width="16.7109375" style="80" customWidth="1"/>
    <col min="5380" max="5381" width="9.7109375" style="80" customWidth="1"/>
    <col min="5382" max="5382" width="19" style="80" customWidth="1"/>
    <col min="5383" max="5393" width="8.140625" style="80" customWidth="1"/>
    <col min="5394" max="5634" width="9.140625" style="80"/>
    <col min="5635" max="5635" width="16.7109375" style="80" customWidth="1"/>
    <col min="5636" max="5637" width="9.7109375" style="80" customWidth="1"/>
    <col min="5638" max="5638" width="19" style="80" customWidth="1"/>
    <col min="5639" max="5649" width="8.140625" style="80" customWidth="1"/>
    <col min="5650" max="5890" width="9.140625" style="80"/>
    <col min="5891" max="5891" width="16.7109375" style="80" customWidth="1"/>
    <col min="5892" max="5893" width="9.7109375" style="80" customWidth="1"/>
    <col min="5894" max="5894" width="19" style="80" customWidth="1"/>
    <col min="5895" max="5905" width="8.140625" style="80" customWidth="1"/>
    <col min="5906" max="6146" width="9.140625" style="80"/>
    <col min="6147" max="6147" width="16.7109375" style="80" customWidth="1"/>
    <col min="6148" max="6149" width="9.7109375" style="80" customWidth="1"/>
    <col min="6150" max="6150" width="19" style="80" customWidth="1"/>
    <col min="6151" max="6161" width="8.140625" style="80" customWidth="1"/>
    <col min="6162" max="6402" width="9.140625" style="80"/>
    <col min="6403" max="6403" width="16.7109375" style="80" customWidth="1"/>
    <col min="6404" max="6405" width="9.7109375" style="80" customWidth="1"/>
    <col min="6406" max="6406" width="19" style="80" customWidth="1"/>
    <col min="6407" max="6417" width="8.140625" style="80" customWidth="1"/>
    <col min="6418" max="6658" width="9.140625" style="80"/>
    <col min="6659" max="6659" width="16.7109375" style="80" customWidth="1"/>
    <col min="6660" max="6661" width="9.7109375" style="80" customWidth="1"/>
    <col min="6662" max="6662" width="19" style="80" customWidth="1"/>
    <col min="6663" max="6673" width="8.140625" style="80" customWidth="1"/>
    <col min="6674" max="6914" width="9.140625" style="80"/>
    <col min="6915" max="6915" width="16.7109375" style="80" customWidth="1"/>
    <col min="6916" max="6917" width="9.7109375" style="80" customWidth="1"/>
    <col min="6918" max="6918" width="19" style="80" customWidth="1"/>
    <col min="6919" max="6929" width="8.140625" style="80" customWidth="1"/>
    <col min="6930" max="7170" width="9.140625" style="80"/>
    <col min="7171" max="7171" width="16.7109375" style="80" customWidth="1"/>
    <col min="7172" max="7173" width="9.7109375" style="80" customWidth="1"/>
    <col min="7174" max="7174" width="19" style="80" customWidth="1"/>
    <col min="7175" max="7185" width="8.140625" style="80" customWidth="1"/>
    <col min="7186" max="7426" width="9.140625" style="80"/>
    <col min="7427" max="7427" width="16.7109375" style="80" customWidth="1"/>
    <col min="7428" max="7429" width="9.7109375" style="80" customWidth="1"/>
    <col min="7430" max="7430" width="19" style="80" customWidth="1"/>
    <col min="7431" max="7441" width="8.140625" style="80" customWidth="1"/>
    <col min="7442" max="7682" width="9.140625" style="80"/>
    <col min="7683" max="7683" width="16.7109375" style="80" customWidth="1"/>
    <col min="7684" max="7685" width="9.7109375" style="80" customWidth="1"/>
    <col min="7686" max="7686" width="19" style="80" customWidth="1"/>
    <col min="7687" max="7697" width="8.140625" style="80" customWidth="1"/>
    <col min="7698" max="7938" width="9.140625" style="80"/>
    <col min="7939" max="7939" width="16.7109375" style="80" customWidth="1"/>
    <col min="7940" max="7941" width="9.7109375" style="80" customWidth="1"/>
    <col min="7942" max="7942" width="19" style="80" customWidth="1"/>
    <col min="7943" max="7953" width="8.140625" style="80" customWidth="1"/>
    <col min="7954" max="8194" width="9.140625" style="80"/>
    <col min="8195" max="8195" width="16.7109375" style="80" customWidth="1"/>
    <col min="8196" max="8197" width="9.7109375" style="80" customWidth="1"/>
    <col min="8198" max="8198" width="19" style="80" customWidth="1"/>
    <col min="8199" max="8209" width="8.140625" style="80" customWidth="1"/>
    <col min="8210" max="8450" width="9.140625" style="80"/>
    <col min="8451" max="8451" width="16.7109375" style="80" customWidth="1"/>
    <col min="8452" max="8453" width="9.7109375" style="80" customWidth="1"/>
    <col min="8454" max="8454" width="19" style="80" customWidth="1"/>
    <col min="8455" max="8465" width="8.140625" style="80" customWidth="1"/>
    <col min="8466" max="8706" width="9.140625" style="80"/>
    <col min="8707" max="8707" width="16.7109375" style="80" customWidth="1"/>
    <col min="8708" max="8709" width="9.7109375" style="80" customWidth="1"/>
    <col min="8710" max="8710" width="19" style="80" customWidth="1"/>
    <col min="8711" max="8721" width="8.140625" style="80" customWidth="1"/>
    <col min="8722" max="8962" width="9.140625" style="80"/>
    <col min="8963" max="8963" width="16.7109375" style="80" customWidth="1"/>
    <col min="8964" max="8965" width="9.7109375" style="80" customWidth="1"/>
    <col min="8966" max="8966" width="19" style="80" customWidth="1"/>
    <col min="8967" max="8977" width="8.140625" style="80" customWidth="1"/>
    <col min="8978" max="9218" width="9.140625" style="80"/>
    <col min="9219" max="9219" width="16.7109375" style="80" customWidth="1"/>
    <col min="9220" max="9221" width="9.7109375" style="80" customWidth="1"/>
    <col min="9222" max="9222" width="19" style="80" customWidth="1"/>
    <col min="9223" max="9233" width="8.140625" style="80" customWidth="1"/>
    <col min="9234" max="9474" width="9.140625" style="80"/>
    <col min="9475" max="9475" width="16.7109375" style="80" customWidth="1"/>
    <col min="9476" max="9477" width="9.7109375" style="80" customWidth="1"/>
    <col min="9478" max="9478" width="19" style="80" customWidth="1"/>
    <col min="9479" max="9489" width="8.140625" style="80" customWidth="1"/>
    <col min="9490" max="9730" width="9.140625" style="80"/>
    <col min="9731" max="9731" width="16.7109375" style="80" customWidth="1"/>
    <col min="9732" max="9733" width="9.7109375" style="80" customWidth="1"/>
    <col min="9734" max="9734" width="19" style="80" customWidth="1"/>
    <col min="9735" max="9745" width="8.140625" style="80" customWidth="1"/>
    <col min="9746" max="9986" width="9.140625" style="80"/>
    <col min="9987" max="9987" width="16.7109375" style="80" customWidth="1"/>
    <col min="9988" max="9989" width="9.7109375" style="80" customWidth="1"/>
    <col min="9990" max="9990" width="19" style="80" customWidth="1"/>
    <col min="9991" max="10001" width="8.140625" style="80" customWidth="1"/>
    <col min="10002" max="10242" width="9.140625" style="80"/>
    <col min="10243" max="10243" width="16.7109375" style="80" customWidth="1"/>
    <col min="10244" max="10245" width="9.7109375" style="80" customWidth="1"/>
    <col min="10246" max="10246" width="19" style="80" customWidth="1"/>
    <col min="10247" max="10257" width="8.140625" style="80" customWidth="1"/>
    <col min="10258" max="10498" width="9.140625" style="80"/>
    <col min="10499" max="10499" width="16.7109375" style="80" customWidth="1"/>
    <col min="10500" max="10501" width="9.7109375" style="80" customWidth="1"/>
    <col min="10502" max="10502" width="19" style="80" customWidth="1"/>
    <col min="10503" max="10513" width="8.140625" style="80" customWidth="1"/>
    <col min="10514" max="10754" width="9.140625" style="80"/>
    <col min="10755" max="10755" width="16.7109375" style="80" customWidth="1"/>
    <col min="10756" max="10757" width="9.7109375" style="80" customWidth="1"/>
    <col min="10758" max="10758" width="19" style="80" customWidth="1"/>
    <col min="10759" max="10769" width="8.140625" style="80" customWidth="1"/>
    <col min="10770" max="11010" width="9.140625" style="80"/>
    <col min="11011" max="11011" width="16.7109375" style="80" customWidth="1"/>
    <col min="11012" max="11013" width="9.7109375" style="80" customWidth="1"/>
    <col min="11014" max="11014" width="19" style="80" customWidth="1"/>
    <col min="11015" max="11025" width="8.140625" style="80" customWidth="1"/>
    <col min="11026" max="11266" width="9.140625" style="80"/>
    <col min="11267" max="11267" width="16.7109375" style="80" customWidth="1"/>
    <col min="11268" max="11269" width="9.7109375" style="80" customWidth="1"/>
    <col min="11270" max="11270" width="19" style="80" customWidth="1"/>
    <col min="11271" max="11281" width="8.140625" style="80" customWidth="1"/>
    <col min="11282" max="11522" width="9.140625" style="80"/>
    <col min="11523" max="11523" width="16.7109375" style="80" customWidth="1"/>
    <col min="11524" max="11525" width="9.7109375" style="80" customWidth="1"/>
    <col min="11526" max="11526" width="19" style="80" customWidth="1"/>
    <col min="11527" max="11537" width="8.140625" style="80" customWidth="1"/>
    <col min="11538" max="11778" width="9.140625" style="80"/>
    <col min="11779" max="11779" width="16.7109375" style="80" customWidth="1"/>
    <col min="11780" max="11781" width="9.7109375" style="80" customWidth="1"/>
    <col min="11782" max="11782" width="19" style="80" customWidth="1"/>
    <col min="11783" max="11793" width="8.140625" style="80" customWidth="1"/>
    <col min="11794" max="12034" width="9.140625" style="80"/>
    <col min="12035" max="12035" width="16.7109375" style="80" customWidth="1"/>
    <col min="12036" max="12037" width="9.7109375" style="80" customWidth="1"/>
    <col min="12038" max="12038" width="19" style="80" customWidth="1"/>
    <col min="12039" max="12049" width="8.140625" style="80" customWidth="1"/>
    <col min="12050" max="12290" width="9.140625" style="80"/>
    <col min="12291" max="12291" width="16.7109375" style="80" customWidth="1"/>
    <col min="12292" max="12293" width="9.7109375" style="80" customWidth="1"/>
    <col min="12294" max="12294" width="19" style="80" customWidth="1"/>
    <col min="12295" max="12305" width="8.140625" style="80" customWidth="1"/>
    <col min="12306" max="12546" width="9.140625" style="80"/>
    <col min="12547" max="12547" width="16.7109375" style="80" customWidth="1"/>
    <col min="12548" max="12549" width="9.7109375" style="80" customWidth="1"/>
    <col min="12550" max="12550" width="19" style="80" customWidth="1"/>
    <col min="12551" max="12561" width="8.140625" style="80" customWidth="1"/>
    <col min="12562" max="12802" width="9.140625" style="80"/>
    <col min="12803" max="12803" width="16.7109375" style="80" customWidth="1"/>
    <col min="12804" max="12805" width="9.7109375" style="80" customWidth="1"/>
    <col min="12806" max="12806" width="19" style="80" customWidth="1"/>
    <col min="12807" max="12817" width="8.140625" style="80" customWidth="1"/>
    <col min="12818" max="13058" width="9.140625" style="80"/>
    <col min="13059" max="13059" width="16.7109375" style="80" customWidth="1"/>
    <col min="13060" max="13061" width="9.7109375" style="80" customWidth="1"/>
    <col min="13062" max="13062" width="19" style="80" customWidth="1"/>
    <col min="13063" max="13073" width="8.140625" style="80" customWidth="1"/>
    <col min="13074" max="13314" width="9.140625" style="80"/>
    <col min="13315" max="13315" width="16.7109375" style="80" customWidth="1"/>
    <col min="13316" max="13317" width="9.7109375" style="80" customWidth="1"/>
    <col min="13318" max="13318" width="19" style="80" customWidth="1"/>
    <col min="13319" max="13329" width="8.140625" style="80" customWidth="1"/>
    <col min="13330" max="13570" width="9.140625" style="80"/>
    <col min="13571" max="13571" width="16.7109375" style="80" customWidth="1"/>
    <col min="13572" max="13573" width="9.7109375" style="80" customWidth="1"/>
    <col min="13574" max="13574" width="19" style="80" customWidth="1"/>
    <col min="13575" max="13585" width="8.140625" style="80" customWidth="1"/>
    <col min="13586" max="13826" width="9.140625" style="80"/>
    <col min="13827" max="13827" width="16.7109375" style="80" customWidth="1"/>
    <col min="13828" max="13829" width="9.7109375" style="80" customWidth="1"/>
    <col min="13830" max="13830" width="19" style="80" customWidth="1"/>
    <col min="13831" max="13841" width="8.140625" style="80" customWidth="1"/>
    <col min="13842" max="14082" width="9.140625" style="80"/>
    <col min="14083" max="14083" width="16.7109375" style="80" customWidth="1"/>
    <col min="14084" max="14085" width="9.7109375" style="80" customWidth="1"/>
    <col min="14086" max="14086" width="19" style="80" customWidth="1"/>
    <col min="14087" max="14097" width="8.140625" style="80" customWidth="1"/>
    <col min="14098" max="14338" width="9.140625" style="80"/>
    <col min="14339" max="14339" width="16.7109375" style="80" customWidth="1"/>
    <col min="14340" max="14341" width="9.7109375" style="80" customWidth="1"/>
    <col min="14342" max="14342" width="19" style="80" customWidth="1"/>
    <col min="14343" max="14353" width="8.140625" style="80" customWidth="1"/>
    <col min="14354" max="14594" width="9.140625" style="80"/>
    <col min="14595" max="14595" width="16.7109375" style="80" customWidth="1"/>
    <col min="14596" max="14597" width="9.7109375" style="80" customWidth="1"/>
    <col min="14598" max="14598" width="19" style="80" customWidth="1"/>
    <col min="14599" max="14609" width="8.140625" style="80" customWidth="1"/>
    <col min="14610" max="14850" width="9.140625" style="80"/>
    <col min="14851" max="14851" width="16.7109375" style="80" customWidth="1"/>
    <col min="14852" max="14853" width="9.7109375" style="80" customWidth="1"/>
    <col min="14854" max="14854" width="19" style="80" customWidth="1"/>
    <col min="14855" max="14865" width="8.140625" style="80" customWidth="1"/>
    <col min="14866" max="15106" width="9.140625" style="80"/>
    <col min="15107" max="15107" width="16.7109375" style="80" customWidth="1"/>
    <col min="15108" max="15109" width="9.7109375" style="80" customWidth="1"/>
    <col min="15110" max="15110" width="19" style="80" customWidth="1"/>
    <col min="15111" max="15121" width="8.140625" style="80" customWidth="1"/>
    <col min="15122" max="15362" width="9.140625" style="80"/>
    <col min="15363" max="15363" width="16.7109375" style="80" customWidth="1"/>
    <col min="15364" max="15365" width="9.7109375" style="80" customWidth="1"/>
    <col min="15366" max="15366" width="19" style="80" customWidth="1"/>
    <col min="15367" max="15377" width="8.140625" style="80" customWidth="1"/>
    <col min="15378" max="15618" width="9.140625" style="80"/>
    <col min="15619" max="15619" width="16.7109375" style="80" customWidth="1"/>
    <col min="15620" max="15621" width="9.7109375" style="80" customWidth="1"/>
    <col min="15622" max="15622" width="19" style="80" customWidth="1"/>
    <col min="15623" max="15633" width="8.140625" style="80" customWidth="1"/>
    <col min="15634" max="15874" width="9.140625" style="80"/>
    <col min="15875" max="15875" width="16.7109375" style="80" customWidth="1"/>
    <col min="15876" max="15877" width="9.7109375" style="80" customWidth="1"/>
    <col min="15878" max="15878" width="19" style="80" customWidth="1"/>
    <col min="15879" max="15889" width="8.140625" style="80" customWidth="1"/>
    <col min="15890" max="16130" width="9.140625" style="80"/>
    <col min="16131" max="16131" width="16.7109375" style="80" customWidth="1"/>
    <col min="16132" max="16133" width="9.7109375" style="80" customWidth="1"/>
    <col min="16134" max="16134" width="19" style="80" customWidth="1"/>
    <col min="16135" max="16145" width="8.140625" style="80" customWidth="1"/>
    <col min="16146" max="16384" width="9.140625" style="80"/>
  </cols>
  <sheetData>
    <row r="1" spans="1:20" ht="14.25" customHeight="1" x14ac:dyDescent="0.2">
      <c r="A1" s="386" t="s">
        <v>1031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8"/>
    </row>
    <row r="2" spans="1:20" ht="14.25" customHeight="1" x14ac:dyDescent="0.2">
      <c r="A2" s="120"/>
      <c r="C2" s="122" t="s">
        <v>13</v>
      </c>
      <c r="D2" s="110"/>
      <c r="E2" s="123"/>
      <c r="F2" s="123"/>
      <c r="G2" s="124"/>
      <c r="R2" s="82"/>
    </row>
    <row r="3" spans="1:20" ht="14.25" customHeight="1" x14ac:dyDescent="0.2">
      <c r="A3" s="120"/>
      <c r="C3" s="122" t="s">
        <v>14</v>
      </c>
      <c r="D3" s="110"/>
      <c r="E3" s="123"/>
      <c r="F3" s="123"/>
      <c r="G3" s="124"/>
      <c r="O3" s="83" t="s">
        <v>1032</v>
      </c>
      <c r="P3" s="389"/>
      <c r="Q3" s="389"/>
      <c r="R3" s="390"/>
    </row>
    <row r="4" spans="1:20" ht="26.25" customHeight="1" x14ac:dyDescent="0.2">
      <c r="A4" s="125"/>
      <c r="C4" s="126" t="s">
        <v>15</v>
      </c>
      <c r="D4" s="111"/>
      <c r="E4" s="127"/>
      <c r="F4" s="127"/>
      <c r="G4" s="128"/>
      <c r="H4" s="84"/>
      <c r="I4" s="84"/>
      <c r="J4" s="84"/>
      <c r="K4" s="84"/>
      <c r="L4" s="84"/>
      <c r="M4" s="84"/>
      <c r="N4" s="84"/>
      <c r="O4" s="85" t="s">
        <v>1033</v>
      </c>
      <c r="P4" s="391"/>
      <c r="Q4" s="391"/>
      <c r="R4" s="392"/>
    </row>
    <row r="5" spans="1:20" ht="14.25" customHeight="1" x14ac:dyDescent="0.2">
      <c r="A5" s="393" t="s">
        <v>1034</v>
      </c>
      <c r="B5" s="394"/>
      <c r="C5" s="394"/>
      <c r="D5" s="395"/>
      <c r="E5" s="129"/>
      <c r="F5" s="130"/>
      <c r="G5" s="86" t="str">
        <f t="shared" ref="G5:P5" si="0">G6</f>
        <v>1º PAVTO</v>
      </c>
      <c r="H5" s="86" t="str">
        <f t="shared" si="0"/>
        <v>2º PAVTO</v>
      </c>
      <c r="I5" s="86" t="str">
        <f t="shared" si="0"/>
        <v>3º PAVTO</v>
      </c>
      <c r="J5" s="86" t="str">
        <f t="shared" si="0"/>
        <v>4º PAVTO</v>
      </c>
      <c r="K5" s="86" t="str">
        <f t="shared" si="0"/>
        <v>5º PAVTO</v>
      </c>
      <c r="L5" s="86" t="str">
        <f t="shared" si="0"/>
        <v>6º PAVTO</v>
      </c>
      <c r="M5" s="86" t="str">
        <f t="shared" si="0"/>
        <v>7º PAVTO</v>
      </c>
      <c r="N5" s="86" t="str">
        <f t="shared" si="0"/>
        <v>8º PAVTO</v>
      </c>
      <c r="O5" s="86" t="str">
        <f t="shared" si="0"/>
        <v>9º PAVTO</v>
      </c>
      <c r="P5" s="86" t="str">
        <f t="shared" si="0"/>
        <v>10º PAVTO</v>
      </c>
      <c r="Q5" s="86" t="str">
        <f>Q6</f>
        <v>11º PAVTO</v>
      </c>
      <c r="R5" s="86" t="str">
        <f>R6</f>
        <v>Total</v>
      </c>
    </row>
    <row r="6" spans="1:20" s="89" customFormat="1" ht="30.75" customHeight="1" x14ac:dyDescent="0.2">
      <c r="A6" s="131" t="s">
        <v>1035</v>
      </c>
      <c r="B6" s="132" t="s">
        <v>1036</v>
      </c>
      <c r="C6" s="133" t="s">
        <v>1037</v>
      </c>
      <c r="D6" s="134" t="s">
        <v>221</v>
      </c>
      <c r="E6" s="129" t="s">
        <v>16</v>
      </c>
      <c r="F6" s="129" t="s">
        <v>1038</v>
      </c>
      <c r="G6" s="87" t="s">
        <v>1039</v>
      </c>
      <c r="H6" s="87" t="s">
        <v>1043</v>
      </c>
      <c r="I6" s="87" t="s">
        <v>1088</v>
      </c>
      <c r="J6" s="87" t="s">
        <v>1089</v>
      </c>
      <c r="K6" s="87" t="s">
        <v>1090</v>
      </c>
      <c r="L6" s="87" t="s">
        <v>1091</v>
      </c>
      <c r="M6" s="87" t="s">
        <v>1092</v>
      </c>
      <c r="N6" s="87" t="s">
        <v>1093</v>
      </c>
      <c r="O6" s="87" t="s">
        <v>1094</v>
      </c>
      <c r="P6" s="87" t="s">
        <v>1095</v>
      </c>
      <c r="Q6" s="87" t="s">
        <v>1096</v>
      </c>
      <c r="R6" s="88" t="s">
        <v>24</v>
      </c>
      <c r="S6" s="90"/>
      <c r="T6" s="90"/>
    </row>
    <row r="7" spans="1:20" ht="15" customHeight="1" x14ac:dyDescent="0.2">
      <c r="A7" s="396" t="s">
        <v>1034</v>
      </c>
      <c r="B7" s="397"/>
      <c r="C7" s="397"/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  <c r="Q7" s="397"/>
      <c r="R7" s="398"/>
    </row>
    <row r="8" spans="1:20" x14ac:dyDescent="0.2">
      <c r="A8" s="135"/>
      <c r="B8" s="136"/>
      <c r="C8" s="137"/>
      <c r="D8" s="138"/>
      <c r="E8" s="139">
        <f t="shared" ref="E8:E22" si="1">B8*C8</f>
        <v>0</v>
      </c>
      <c r="F8" s="140">
        <f t="shared" ref="F8:F22" si="2">IF(E8&gt;2,E8-2,0)</f>
        <v>0</v>
      </c>
      <c r="G8" s="141"/>
      <c r="H8" s="91"/>
      <c r="I8" s="91"/>
      <c r="J8" s="91"/>
      <c r="K8" s="91"/>
      <c r="L8" s="91"/>
      <c r="M8" s="91"/>
      <c r="N8" s="91"/>
      <c r="O8" s="91"/>
      <c r="P8" s="91"/>
      <c r="Q8" s="91"/>
      <c r="R8" s="91">
        <f t="shared" ref="R8:R22" si="3">SUM(G8:Q8)</f>
        <v>0</v>
      </c>
    </row>
    <row r="9" spans="1:20" x14ac:dyDescent="0.2">
      <c r="A9" s="142"/>
      <c r="B9" s="112"/>
      <c r="C9" s="113"/>
      <c r="D9" s="117"/>
      <c r="E9" s="115">
        <f t="shared" si="1"/>
        <v>0</v>
      </c>
      <c r="F9" s="116">
        <f t="shared" si="2"/>
        <v>0</v>
      </c>
      <c r="G9" s="97"/>
      <c r="H9" s="92"/>
      <c r="I9" s="92"/>
      <c r="J9" s="92"/>
      <c r="K9" s="92"/>
      <c r="L9" s="92"/>
      <c r="M9" s="92"/>
      <c r="N9" s="92"/>
      <c r="O9" s="92"/>
      <c r="P9" s="92"/>
      <c r="Q9" s="92"/>
      <c r="R9" s="91">
        <f t="shared" si="3"/>
        <v>0</v>
      </c>
    </row>
    <row r="10" spans="1:20" x14ac:dyDescent="0.2">
      <c r="A10" s="142"/>
      <c r="B10" s="112"/>
      <c r="C10" s="113"/>
      <c r="D10" s="117"/>
      <c r="E10" s="115">
        <f t="shared" ref="E10:E14" si="4">B10*C10</f>
        <v>0</v>
      </c>
      <c r="F10" s="116">
        <f t="shared" ref="F10:F14" si="5">IF(E10&gt;2,E10-2,0)</f>
        <v>0</v>
      </c>
      <c r="G10" s="97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1">
        <f t="shared" si="3"/>
        <v>0</v>
      </c>
    </row>
    <row r="11" spans="1:20" x14ac:dyDescent="0.2">
      <c r="A11" s="142"/>
      <c r="B11" s="112"/>
      <c r="C11" s="113"/>
      <c r="D11" s="117"/>
      <c r="E11" s="115">
        <f t="shared" si="4"/>
        <v>0</v>
      </c>
      <c r="F11" s="116">
        <f t="shared" si="5"/>
        <v>0</v>
      </c>
      <c r="G11" s="97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1">
        <f t="shared" si="3"/>
        <v>0</v>
      </c>
    </row>
    <row r="12" spans="1:20" x14ac:dyDescent="0.2">
      <c r="A12" s="142"/>
      <c r="B12" s="112"/>
      <c r="C12" s="113"/>
      <c r="D12" s="117"/>
      <c r="E12" s="115">
        <f t="shared" si="4"/>
        <v>0</v>
      </c>
      <c r="F12" s="116">
        <f t="shared" si="5"/>
        <v>0</v>
      </c>
      <c r="G12" s="97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1">
        <f t="shared" si="3"/>
        <v>0</v>
      </c>
    </row>
    <row r="13" spans="1:20" x14ac:dyDescent="0.2">
      <c r="A13" s="142"/>
      <c r="B13" s="112"/>
      <c r="C13" s="113"/>
      <c r="D13" s="117"/>
      <c r="E13" s="115">
        <f t="shared" si="4"/>
        <v>0</v>
      </c>
      <c r="F13" s="116">
        <f t="shared" si="5"/>
        <v>0</v>
      </c>
      <c r="G13" s="97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1">
        <f t="shared" si="3"/>
        <v>0</v>
      </c>
    </row>
    <row r="14" spans="1:20" x14ac:dyDescent="0.2">
      <c r="A14" s="142"/>
      <c r="B14" s="112"/>
      <c r="C14" s="113"/>
      <c r="D14" s="117"/>
      <c r="E14" s="115">
        <f t="shared" si="4"/>
        <v>0</v>
      </c>
      <c r="F14" s="116">
        <f t="shared" si="5"/>
        <v>0</v>
      </c>
      <c r="G14" s="97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1">
        <f t="shared" si="3"/>
        <v>0</v>
      </c>
    </row>
    <row r="15" spans="1:20" x14ac:dyDescent="0.2">
      <c r="A15" s="142"/>
      <c r="B15" s="112"/>
      <c r="C15" s="113"/>
      <c r="D15" s="117"/>
      <c r="E15" s="115">
        <f t="shared" si="1"/>
        <v>0</v>
      </c>
      <c r="F15" s="116">
        <f t="shared" si="2"/>
        <v>0</v>
      </c>
      <c r="G15" s="97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1">
        <f t="shared" si="3"/>
        <v>0</v>
      </c>
    </row>
    <row r="16" spans="1:20" x14ac:dyDescent="0.2">
      <c r="A16" s="142"/>
      <c r="B16" s="112"/>
      <c r="C16" s="113"/>
      <c r="D16" s="117"/>
      <c r="E16" s="115">
        <f t="shared" si="1"/>
        <v>0</v>
      </c>
      <c r="F16" s="116">
        <f t="shared" si="2"/>
        <v>0</v>
      </c>
      <c r="G16" s="97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1">
        <f t="shared" si="3"/>
        <v>0</v>
      </c>
    </row>
    <row r="17" spans="1:20" ht="15" customHeight="1" x14ac:dyDescent="0.2">
      <c r="A17" s="142"/>
      <c r="B17" s="112"/>
      <c r="C17" s="113"/>
      <c r="D17" s="114"/>
      <c r="E17" s="115">
        <f t="shared" ref="E17:E21" si="6">B17*C17</f>
        <v>0</v>
      </c>
      <c r="F17" s="116">
        <f t="shared" ref="F17:F21" si="7">IF(E17&gt;2,E17-2,0)</f>
        <v>0</v>
      </c>
      <c r="G17" s="97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1">
        <f t="shared" si="3"/>
        <v>0</v>
      </c>
      <c r="S17" s="80"/>
      <c r="T17" s="80"/>
    </row>
    <row r="18" spans="1:20" ht="15" customHeight="1" x14ac:dyDescent="0.2">
      <c r="A18" s="142"/>
      <c r="B18" s="112"/>
      <c r="C18" s="113"/>
      <c r="D18" s="114"/>
      <c r="E18" s="115">
        <f t="shared" si="6"/>
        <v>0</v>
      </c>
      <c r="F18" s="116">
        <f t="shared" si="7"/>
        <v>0</v>
      </c>
      <c r="G18" s="97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1">
        <f t="shared" si="3"/>
        <v>0</v>
      </c>
      <c r="S18" s="80"/>
      <c r="T18" s="80"/>
    </row>
    <row r="19" spans="1:20" ht="15" customHeight="1" x14ac:dyDescent="0.2">
      <c r="A19" s="142"/>
      <c r="B19" s="112"/>
      <c r="C19" s="113"/>
      <c r="D19" s="114"/>
      <c r="E19" s="115">
        <f t="shared" si="6"/>
        <v>0</v>
      </c>
      <c r="F19" s="116">
        <f t="shared" si="7"/>
        <v>0</v>
      </c>
      <c r="G19" s="97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1">
        <f t="shared" si="3"/>
        <v>0</v>
      </c>
      <c r="S19" s="80"/>
      <c r="T19" s="80"/>
    </row>
    <row r="20" spans="1:20" ht="15" customHeight="1" x14ac:dyDescent="0.2">
      <c r="A20" s="142"/>
      <c r="B20" s="112"/>
      <c r="C20" s="113"/>
      <c r="D20" s="114"/>
      <c r="E20" s="115">
        <f t="shared" si="6"/>
        <v>0</v>
      </c>
      <c r="F20" s="116">
        <f t="shared" si="7"/>
        <v>0</v>
      </c>
      <c r="G20" s="97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1">
        <f t="shared" si="3"/>
        <v>0</v>
      </c>
      <c r="S20" s="80"/>
      <c r="T20" s="80"/>
    </row>
    <row r="21" spans="1:20" ht="15" customHeight="1" x14ac:dyDescent="0.2">
      <c r="A21" s="142"/>
      <c r="B21" s="112"/>
      <c r="C21" s="113"/>
      <c r="D21" s="114"/>
      <c r="E21" s="115">
        <f t="shared" si="6"/>
        <v>0</v>
      </c>
      <c r="F21" s="116">
        <f t="shared" si="7"/>
        <v>0</v>
      </c>
      <c r="G21" s="97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1">
        <f t="shared" si="3"/>
        <v>0</v>
      </c>
      <c r="S21" s="80"/>
      <c r="T21" s="80"/>
    </row>
    <row r="22" spans="1:20" ht="15" customHeight="1" x14ac:dyDescent="0.2">
      <c r="A22" s="142"/>
      <c r="B22" s="112"/>
      <c r="C22" s="113"/>
      <c r="D22" s="114"/>
      <c r="E22" s="115">
        <f t="shared" si="1"/>
        <v>0</v>
      </c>
      <c r="F22" s="116">
        <f t="shared" si="2"/>
        <v>0</v>
      </c>
      <c r="G22" s="97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1">
        <f t="shared" si="3"/>
        <v>0</v>
      </c>
      <c r="S22" s="80"/>
      <c r="T22" s="80"/>
    </row>
    <row r="23" spans="1:20" ht="15" customHeight="1" x14ac:dyDescent="0.2">
      <c r="A23" s="383" t="s">
        <v>1040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4"/>
      <c r="M23" s="384"/>
      <c r="N23" s="384"/>
      <c r="O23" s="384"/>
      <c r="P23" s="384"/>
      <c r="Q23" s="384"/>
      <c r="R23" s="385"/>
      <c r="S23" s="80"/>
      <c r="T23" s="80"/>
    </row>
    <row r="24" spans="1:20" ht="15" customHeight="1" x14ac:dyDescent="0.2">
      <c r="A24" s="383" t="s">
        <v>1015</v>
      </c>
      <c r="B24" s="384"/>
      <c r="C24" s="384"/>
      <c r="D24" s="384"/>
      <c r="E24" s="384"/>
      <c r="F24" s="384"/>
      <c r="G24" s="384"/>
      <c r="H24" s="384"/>
      <c r="I24" s="384"/>
      <c r="J24" s="384"/>
      <c r="K24" s="384"/>
      <c r="L24" s="384"/>
      <c r="M24" s="384"/>
      <c r="N24" s="384"/>
      <c r="O24" s="384"/>
      <c r="P24" s="384"/>
      <c r="Q24" s="384"/>
      <c r="R24" s="385"/>
      <c r="S24" s="80"/>
      <c r="T24" s="80"/>
    </row>
    <row r="25" spans="1:20" ht="15" customHeight="1" x14ac:dyDescent="0.2">
      <c r="A25" s="142"/>
      <c r="B25" s="112"/>
      <c r="C25" s="113"/>
      <c r="D25" s="114"/>
      <c r="E25" s="115">
        <f t="shared" ref="E25:E49" si="8">B25*C25</f>
        <v>0</v>
      </c>
      <c r="F25" s="116">
        <f t="shared" ref="F25:F49" si="9">IF(E25&gt;2,E25-2,0)</f>
        <v>0</v>
      </c>
      <c r="G25" s="97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>
        <f t="shared" ref="R25:R49" si="10">SUM(G25:Q25)</f>
        <v>0</v>
      </c>
      <c r="S25" s="80"/>
      <c r="T25" s="80"/>
    </row>
    <row r="26" spans="1:20" ht="15" customHeight="1" x14ac:dyDescent="0.2">
      <c r="A26" s="142"/>
      <c r="B26" s="112"/>
      <c r="C26" s="113"/>
      <c r="D26" s="114"/>
      <c r="E26" s="115">
        <f t="shared" si="8"/>
        <v>0</v>
      </c>
      <c r="F26" s="116">
        <f t="shared" si="9"/>
        <v>0</v>
      </c>
      <c r="G26" s="97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>
        <f t="shared" si="10"/>
        <v>0</v>
      </c>
      <c r="S26" s="80"/>
      <c r="T26" s="80"/>
    </row>
    <row r="27" spans="1:20" x14ac:dyDescent="0.2">
      <c r="A27" s="142"/>
      <c r="B27" s="112"/>
      <c r="C27" s="113"/>
      <c r="D27" s="114"/>
      <c r="E27" s="115">
        <f t="shared" ref="E27:E46" si="11">B27*C27</f>
        <v>0</v>
      </c>
      <c r="F27" s="116">
        <f t="shared" ref="F27:F46" si="12">IF(E27&gt;2,E27-2,0)</f>
        <v>0</v>
      </c>
      <c r="G27" s="97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>
        <f t="shared" si="10"/>
        <v>0</v>
      </c>
      <c r="S27" s="80"/>
      <c r="T27" s="80"/>
    </row>
    <row r="28" spans="1:20" x14ac:dyDescent="0.2">
      <c r="A28" s="142"/>
      <c r="B28" s="112"/>
      <c r="C28" s="113"/>
      <c r="D28" s="114"/>
      <c r="E28" s="115">
        <f t="shared" ref="E28:E32" si="13">B28*C28</f>
        <v>0</v>
      </c>
      <c r="F28" s="116">
        <f t="shared" ref="F28:F32" si="14">IF(E28&gt;2,E28-2,0)</f>
        <v>0</v>
      </c>
      <c r="G28" s="97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>
        <f t="shared" si="10"/>
        <v>0</v>
      </c>
      <c r="S28" s="80"/>
      <c r="T28" s="80"/>
    </row>
    <row r="29" spans="1:20" x14ac:dyDescent="0.2">
      <c r="A29" s="142"/>
      <c r="B29" s="112"/>
      <c r="C29" s="113"/>
      <c r="D29" s="114"/>
      <c r="E29" s="115">
        <f t="shared" si="13"/>
        <v>0</v>
      </c>
      <c r="F29" s="116">
        <f t="shared" si="14"/>
        <v>0</v>
      </c>
      <c r="G29" s="97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>
        <f t="shared" si="10"/>
        <v>0</v>
      </c>
      <c r="S29" s="80"/>
      <c r="T29" s="80"/>
    </row>
    <row r="30" spans="1:20" x14ac:dyDescent="0.2">
      <c r="A30" s="142"/>
      <c r="B30" s="112"/>
      <c r="C30" s="113"/>
      <c r="D30" s="114"/>
      <c r="E30" s="115">
        <f t="shared" si="13"/>
        <v>0</v>
      </c>
      <c r="F30" s="116">
        <f t="shared" si="14"/>
        <v>0</v>
      </c>
      <c r="G30" s="97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>
        <f t="shared" si="10"/>
        <v>0</v>
      </c>
      <c r="S30" s="80"/>
      <c r="T30" s="80"/>
    </row>
    <row r="31" spans="1:20" x14ac:dyDescent="0.2">
      <c r="A31" s="142"/>
      <c r="B31" s="112"/>
      <c r="C31" s="113"/>
      <c r="D31" s="114"/>
      <c r="E31" s="115">
        <f t="shared" si="13"/>
        <v>0</v>
      </c>
      <c r="F31" s="116">
        <f t="shared" si="14"/>
        <v>0</v>
      </c>
      <c r="G31" s="97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>
        <f t="shared" si="10"/>
        <v>0</v>
      </c>
      <c r="S31" s="80"/>
      <c r="T31" s="80"/>
    </row>
    <row r="32" spans="1:20" x14ac:dyDescent="0.2">
      <c r="A32" s="142"/>
      <c r="B32" s="112"/>
      <c r="C32" s="113"/>
      <c r="D32" s="114"/>
      <c r="E32" s="115">
        <f t="shared" si="13"/>
        <v>0</v>
      </c>
      <c r="F32" s="116">
        <f t="shared" si="14"/>
        <v>0</v>
      </c>
      <c r="G32" s="97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>
        <f t="shared" si="10"/>
        <v>0</v>
      </c>
      <c r="S32" s="80"/>
      <c r="T32" s="80"/>
    </row>
    <row r="33" spans="1:20" x14ac:dyDescent="0.2">
      <c r="A33" s="142"/>
      <c r="B33" s="112"/>
      <c r="C33" s="113"/>
      <c r="D33" s="114"/>
      <c r="E33" s="115">
        <f t="shared" si="11"/>
        <v>0</v>
      </c>
      <c r="F33" s="116">
        <f t="shared" si="12"/>
        <v>0</v>
      </c>
      <c r="G33" s="97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>
        <f t="shared" si="10"/>
        <v>0</v>
      </c>
      <c r="S33" s="80"/>
      <c r="T33" s="80"/>
    </row>
    <row r="34" spans="1:20" x14ac:dyDescent="0.2">
      <c r="A34" s="142"/>
      <c r="B34" s="112"/>
      <c r="C34" s="113"/>
      <c r="D34" s="117"/>
      <c r="E34" s="115">
        <f t="shared" si="11"/>
        <v>0</v>
      </c>
      <c r="F34" s="116">
        <f t="shared" si="12"/>
        <v>0</v>
      </c>
      <c r="G34" s="97"/>
      <c r="H34" s="92"/>
      <c r="I34" s="92"/>
      <c r="J34" s="92"/>
      <c r="K34" s="92"/>
      <c r="L34" s="92"/>
      <c r="M34" s="92"/>
      <c r="N34" s="92"/>
      <c r="O34" s="91"/>
      <c r="P34" s="91"/>
      <c r="Q34" s="91"/>
      <c r="R34" s="92">
        <f t="shared" si="10"/>
        <v>0</v>
      </c>
      <c r="S34" s="80"/>
      <c r="T34" s="80"/>
    </row>
    <row r="35" spans="1:20" x14ac:dyDescent="0.2">
      <c r="A35" s="142"/>
      <c r="B35" s="112"/>
      <c r="C35" s="113"/>
      <c r="D35" s="117"/>
      <c r="E35" s="115">
        <f t="shared" ref="E35:E41" si="15">B35*C35</f>
        <v>0</v>
      </c>
      <c r="F35" s="116">
        <f t="shared" ref="F35:F41" si="16">IF(E35&gt;2,E35-2,0)</f>
        <v>0</v>
      </c>
      <c r="G35" s="97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>
        <f t="shared" si="10"/>
        <v>0</v>
      </c>
      <c r="S35" s="80"/>
      <c r="T35" s="80"/>
    </row>
    <row r="36" spans="1:20" x14ac:dyDescent="0.2">
      <c r="A36" s="142"/>
      <c r="B36" s="112"/>
      <c r="C36" s="113"/>
      <c r="D36" s="117"/>
      <c r="E36" s="115">
        <f t="shared" si="15"/>
        <v>0</v>
      </c>
      <c r="F36" s="116">
        <f t="shared" si="16"/>
        <v>0</v>
      </c>
      <c r="G36" s="97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>
        <f t="shared" si="10"/>
        <v>0</v>
      </c>
      <c r="S36" s="80"/>
      <c r="T36" s="80"/>
    </row>
    <row r="37" spans="1:20" x14ac:dyDescent="0.2">
      <c r="A37" s="142"/>
      <c r="B37" s="112"/>
      <c r="C37" s="113"/>
      <c r="D37" s="117"/>
      <c r="E37" s="115">
        <f t="shared" si="15"/>
        <v>0</v>
      </c>
      <c r="F37" s="116">
        <f t="shared" si="16"/>
        <v>0</v>
      </c>
      <c r="G37" s="97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>
        <f t="shared" si="10"/>
        <v>0</v>
      </c>
      <c r="S37" s="80"/>
      <c r="T37" s="80"/>
    </row>
    <row r="38" spans="1:20" x14ac:dyDescent="0.2">
      <c r="A38" s="142"/>
      <c r="B38" s="112"/>
      <c r="C38" s="113"/>
      <c r="D38" s="117"/>
      <c r="E38" s="115">
        <f t="shared" si="15"/>
        <v>0</v>
      </c>
      <c r="F38" s="116">
        <f t="shared" si="16"/>
        <v>0</v>
      </c>
      <c r="G38" s="97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>
        <f t="shared" si="10"/>
        <v>0</v>
      </c>
      <c r="S38" s="80"/>
      <c r="T38" s="80"/>
    </row>
    <row r="39" spans="1:20" x14ac:dyDescent="0.2">
      <c r="A39" s="142"/>
      <c r="B39" s="112"/>
      <c r="C39" s="113"/>
      <c r="D39" s="117"/>
      <c r="E39" s="115">
        <f t="shared" si="15"/>
        <v>0</v>
      </c>
      <c r="F39" s="116">
        <f t="shared" si="16"/>
        <v>0</v>
      </c>
      <c r="G39" s="97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>
        <f t="shared" si="10"/>
        <v>0</v>
      </c>
      <c r="S39" s="80"/>
      <c r="T39" s="80"/>
    </row>
    <row r="40" spans="1:20" x14ac:dyDescent="0.2">
      <c r="A40" s="142"/>
      <c r="B40" s="112"/>
      <c r="C40" s="113"/>
      <c r="D40" s="117"/>
      <c r="E40" s="115">
        <f t="shared" si="15"/>
        <v>0</v>
      </c>
      <c r="F40" s="116">
        <f t="shared" si="16"/>
        <v>0</v>
      </c>
      <c r="G40" s="97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>
        <f t="shared" si="10"/>
        <v>0</v>
      </c>
      <c r="S40" s="80"/>
      <c r="T40" s="80"/>
    </row>
    <row r="41" spans="1:20" ht="15" customHeight="1" x14ac:dyDescent="0.2">
      <c r="A41" s="142"/>
      <c r="B41" s="112"/>
      <c r="C41" s="113"/>
      <c r="D41" s="114"/>
      <c r="E41" s="115">
        <f t="shared" si="15"/>
        <v>0</v>
      </c>
      <c r="F41" s="116">
        <f t="shared" si="16"/>
        <v>0</v>
      </c>
      <c r="G41" s="97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>
        <f t="shared" si="10"/>
        <v>0</v>
      </c>
    </row>
    <row r="42" spans="1:20" x14ac:dyDescent="0.2">
      <c r="A42" s="142"/>
      <c r="B42" s="112"/>
      <c r="C42" s="113"/>
      <c r="D42" s="117"/>
      <c r="E42" s="115">
        <f t="shared" si="11"/>
        <v>0</v>
      </c>
      <c r="F42" s="116">
        <f t="shared" si="12"/>
        <v>0</v>
      </c>
      <c r="G42" s="97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>
        <f t="shared" si="10"/>
        <v>0</v>
      </c>
      <c r="S42" s="80"/>
      <c r="T42" s="80"/>
    </row>
    <row r="43" spans="1:20" x14ac:dyDescent="0.2">
      <c r="A43" s="142"/>
      <c r="B43" s="112"/>
      <c r="C43" s="113"/>
      <c r="D43" s="117"/>
      <c r="E43" s="115">
        <f t="shared" si="11"/>
        <v>0</v>
      </c>
      <c r="F43" s="116">
        <f t="shared" si="12"/>
        <v>0</v>
      </c>
      <c r="G43" s="97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>
        <f t="shared" si="10"/>
        <v>0</v>
      </c>
      <c r="S43" s="80"/>
      <c r="T43" s="80"/>
    </row>
    <row r="44" spans="1:20" x14ac:dyDescent="0.2">
      <c r="A44" s="142"/>
      <c r="B44" s="112"/>
      <c r="C44" s="113"/>
      <c r="D44" s="117"/>
      <c r="E44" s="115">
        <f t="shared" si="11"/>
        <v>0</v>
      </c>
      <c r="F44" s="116">
        <f t="shared" si="12"/>
        <v>0</v>
      </c>
      <c r="G44" s="97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>
        <f t="shared" si="10"/>
        <v>0</v>
      </c>
      <c r="S44" s="80"/>
      <c r="T44" s="80"/>
    </row>
    <row r="45" spans="1:20" x14ac:dyDescent="0.2">
      <c r="A45" s="142"/>
      <c r="B45" s="112"/>
      <c r="C45" s="113"/>
      <c r="D45" s="117"/>
      <c r="E45" s="115">
        <f t="shared" si="11"/>
        <v>0</v>
      </c>
      <c r="F45" s="116">
        <f t="shared" si="12"/>
        <v>0</v>
      </c>
      <c r="G45" s="97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>
        <f t="shared" si="10"/>
        <v>0</v>
      </c>
      <c r="S45" s="80"/>
      <c r="T45" s="80"/>
    </row>
    <row r="46" spans="1:20" x14ac:dyDescent="0.2">
      <c r="A46" s="142"/>
      <c r="B46" s="112"/>
      <c r="C46" s="113"/>
      <c r="D46" s="117"/>
      <c r="E46" s="115">
        <f t="shared" si="11"/>
        <v>0</v>
      </c>
      <c r="F46" s="116">
        <f t="shared" si="12"/>
        <v>0</v>
      </c>
      <c r="G46" s="97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>
        <f t="shared" si="10"/>
        <v>0</v>
      </c>
      <c r="S46" s="80"/>
      <c r="T46" s="80"/>
    </row>
    <row r="47" spans="1:20" x14ac:dyDescent="0.2">
      <c r="A47" s="142"/>
      <c r="B47" s="112"/>
      <c r="C47" s="113"/>
      <c r="D47" s="117"/>
      <c r="E47" s="115">
        <f t="shared" si="8"/>
        <v>0</v>
      </c>
      <c r="F47" s="116">
        <f t="shared" si="9"/>
        <v>0</v>
      </c>
      <c r="G47" s="97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>
        <f t="shared" si="10"/>
        <v>0</v>
      </c>
      <c r="S47" s="80"/>
      <c r="T47" s="80"/>
    </row>
    <row r="48" spans="1:20" ht="15" customHeight="1" x14ac:dyDescent="0.2">
      <c r="A48" s="142"/>
      <c r="B48" s="112"/>
      <c r="C48" s="113"/>
      <c r="D48" s="114"/>
      <c r="E48" s="115">
        <f t="shared" si="8"/>
        <v>0</v>
      </c>
      <c r="F48" s="116">
        <f t="shared" si="9"/>
        <v>0</v>
      </c>
      <c r="G48" s="97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>
        <f t="shared" si="10"/>
        <v>0</v>
      </c>
    </row>
    <row r="49" spans="1:18" ht="15" customHeight="1" x14ac:dyDescent="0.2">
      <c r="A49" s="142"/>
      <c r="B49" s="112"/>
      <c r="C49" s="113"/>
      <c r="D49" s="114"/>
      <c r="E49" s="115">
        <f t="shared" si="8"/>
        <v>0</v>
      </c>
      <c r="F49" s="116">
        <f t="shared" si="9"/>
        <v>0</v>
      </c>
      <c r="G49" s="97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>
        <f t="shared" si="10"/>
        <v>0</v>
      </c>
    </row>
    <row r="50" spans="1:18" ht="15" customHeight="1" x14ac:dyDescent="0.2">
      <c r="A50" s="383" t="s">
        <v>1040</v>
      </c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5"/>
    </row>
    <row r="51" spans="1:18" ht="15" customHeight="1" x14ac:dyDescent="0.2">
      <c r="A51" s="383" t="s">
        <v>1016</v>
      </c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5"/>
    </row>
    <row r="52" spans="1:18" x14ac:dyDescent="0.2">
      <c r="A52" s="142"/>
      <c r="B52" s="112"/>
      <c r="C52" s="113"/>
      <c r="D52" s="117"/>
      <c r="E52" s="115">
        <f t="shared" ref="E52:E73" si="17">B52*C52</f>
        <v>0</v>
      </c>
      <c r="F52" s="116">
        <f t="shared" ref="F52:F73" si="18">IF(E52&gt;2,E52-2,0)</f>
        <v>0</v>
      </c>
      <c r="G52" s="97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>
        <f t="shared" ref="R52:R73" si="19">SUM(G52:Q52)</f>
        <v>0</v>
      </c>
    </row>
    <row r="53" spans="1:18" x14ac:dyDescent="0.2">
      <c r="A53" s="142"/>
      <c r="B53" s="112"/>
      <c r="C53" s="113"/>
      <c r="D53" s="117"/>
      <c r="E53" s="115">
        <f t="shared" si="17"/>
        <v>0</v>
      </c>
      <c r="F53" s="116">
        <f t="shared" si="18"/>
        <v>0</v>
      </c>
      <c r="G53" s="97"/>
      <c r="H53" s="92"/>
      <c r="I53" s="92"/>
      <c r="J53" s="92"/>
      <c r="K53" s="92"/>
      <c r="L53" s="92"/>
      <c r="M53" s="92"/>
      <c r="N53" s="92"/>
      <c r="O53" s="91"/>
      <c r="P53" s="91"/>
      <c r="Q53" s="91"/>
      <c r="R53" s="92">
        <f t="shared" si="19"/>
        <v>0</v>
      </c>
    </row>
    <row r="54" spans="1:18" x14ac:dyDescent="0.2">
      <c r="A54" s="142"/>
      <c r="B54" s="112"/>
      <c r="C54" s="113"/>
      <c r="D54" s="117"/>
      <c r="E54" s="115">
        <f t="shared" si="17"/>
        <v>0</v>
      </c>
      <c r="F54" s="116">
        <f t="shared" si="18"/>
        <v>0</v>
      </c>
      <c r="G54" s="97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>
        <f t="shared" si="19"/>
        <v>0</v>
      </c>
    </row>
    <row r="55" spans="1:18" x14ac:dyDescent="0.2">
      <c r="A55" s="142"/>
      <c r="B55" s="112"/>
      <c r="C55" s="113"/>
      <c r="D55" s="117"/>
      <c r="E55" s="115">
        <f t="shared" si="17"/>
        <v>0</v>
      </c>
      <c r="F55" s="116">
        <f t="shared" si="18"/>
        <v>0</v>
      </c>
      <c r="G55" s="97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>
        <f t="shared" si="19"/>
        <v>0</v>
      </c>
    </row>
    <row r="56" spans="1:18" x14ac:dyDescent="0.2">
      <c r="A56" s="142"/>
      <c r="B56" s="112"/>
      <c r="C56" s="113"/>
      <c r="D56" s="117"/>
      <c r="E56" s="115">
        <f t="shared" si="17"/>
        <v>0</v>
      </c>
      <c r="F56" s="116">
        <f t="shared" si="18"/>
        <v>0</v>
      </c>
      <c r="G56" s="97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>
        <f t="shared" si="19"/>
        <v>0</v>
      </c>
    </row>
    <row r="57" spans="1:18" x14ac:dyDescent="0.2">
      <c r="A57" s="142"/>
      <c r="B57" s="112"/>
      <c r="C57" s="113"/>
      <c r="D57" s="117"/>
      <c r="E57" s="115">
        <f t="shared" si="17"/>
        <v>0</v>
      </c>
      <c r="F57" s="116">
        <f t="shared" si="18"/>
        <v>0</v>
      </c>
      <c r="G57" s="97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>
        <f t="shared" ref="R57:R61" si="20">SUM(G57:Q57)</f>
        <v>0</v>
      </c>
    </row>
    <row r="58" spans="1:18" x14ac:dyDescent="0.2">
      <c r="A58" s="142"/>
      <c r="B58" s="112"/>
      <c r="C58" s="113"/>
      <c r="D58" s="117"/>
      <c r="E58" s="115">
        <f t="shared" si="17"/>
        <v>0</v>
      </c>
      <c r="F58" s="116">
        <f t="shared" si="18"/>
        <v>0</v>
      </c>
      <c r="G58" s="97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>
        <f t="shared" si="20"/>
        <v>0</v>
      </c>
    </row>
    <row r="59" spans="1:18" x14ac:dyDescent="0.2">
      <c r="A59" s="142"/>
      <c r="B59" s="112"/>
      <c r="C59" s="113"/>
      <c r="D59" s="117"/>
      <c r="E59" s="115">
        <f t="shared" si="17"/>
        <v>0</v>
      </c>
      <c r="F59" s="116">
        <f t="shared" si="18"/>
        <v>0</v>
      </c>
      <c r="G59" s="97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>
        <f t="shared" si="20"/>
        <v>0</v>
      </c>
    </row>
    <row r="60" spans="1:18" x14ac:dyDescent="0.2">
      <c r="A60" s="142"/>
      <c r="B60" s="112"/>
      <c r="C60" s="113"/>
      <c r="D60" s="117"/>
      <c r="E60" s="115">
        <f t="shared" si="17"/>
        <v>0</v>
      </c>
      <c r="F60" s="116">
        <f t="shared" si="18"/>
        <v>0</v>
      </c>
      <c r="G60" s="97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>
        <f t="shared" si="20"/>
        <v>0</v>
      </c>
    </row>
    <row r="61" spans="1:18" x14ac:dyDescent="0.2">
      <c r="A61" s="142"/>
      <c r="B61" s="112"/>
      <c r="C61" s="113"/>
      <c r="D61" s="117"/>
      <c r="E61" s="115">
        <f t="shared" si="17"/>
        <v>0</v>
      </c>
      <c r="F61" s="116">
        <f t="shared" si="18"/>
        <v>0</v>
      </c>
      <c r="G61" s="97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>
        <f t="shared" si="20"/>
        <v>0</v>
      </c>
    </row>
    <row r="62" spans="1:18" x14ac:dyDescent="0.2">
      <c r="A62" s="142"/>
      <c r="B62" s="112"/>
      <c r="C62" s="113"/>
      <c r="D62" s="117"/>
      <c r="E62" s="115">
        <f t="shared" si="17"/>
        <v>0</v>
      </c>
      <c r="F62" s="116">
        <f t="shared" si="18"/>
        <v>0</v>
      </c>
      <c r="G62" s="97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>
        <f t="shared" ref="R62:R63" si="21">SUM(G62:Q62)</f>
        <v>0</v>
      </c>
    </row>
    <row r="63" spans="1:18" x14ac:dyDescent="0.2">
      <c r="A63" s="142"/>
      <c r="B63" s="112"/>
      <c r="C63" s="113"/>
      <c r="D63" s="117"/>
      <c r="E63" s="115">
        <f t="shared" si="17"/>
        <v>0</v>
      </c>
      <c r="F63" s="116">
        <f t="shared" si="18"/>
        <v>0</v>
      </c>
      <c r="G63" s="97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>
        <f t="shared" si="21"/>
        <v>0</v>
      </c>
    </row>
    <row r="64" spans="1:18" x14ac:dyDescent="0.2">
      <c r="A64" s="142"/>
      <c r="B64" s="112"/>
      <c r="C64" s="113"/>
      <c r="D64" s="117"/>
      <c r="E64" s="115">
        <f t="shared" si="17"/>
        <v>0</v>
      </c>
      <c r="F64" s="116">
        <f t="shared" si="18"/>
        <v>0</v>
      </c>
      <c r="G64" s="97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>
        <f t="shared" si="19"/>
        <v>0</v>
      </c>
    </row>
    <row r="65" spans="1:20" x14ac:dyDescent="0.2">
      <c r="A65" s="142"/>
      <c r="B65" s="112"/>
      <c r="C65" s="113"/>
      <c r="D65" s="117"/>
      <c r="E65" s="115">
        <f t="shared" si="17"/>
        <v>0</v>
      </c>
      <c r="F65" s="116">
        <f t="shared" si="18"/>
        <v>0</v>
      </c>
      <c r="G65" s="97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>
        <f t="shared" si="19"/>
        <v>0</v>
      </c>
    </row>
    <row r="66" spans="1:20" x14ac:dyDescent="0.2">
      <c r="A66" s="142"/>
      <c r="B66" s="112"/>
      <c r="C66" s="113"/>
      <c r="D66" s="117"/>
      <c r="E66" s="115">
        <f t="shared" si="17"/>
        <v>0</v>
      </c>
      <c r="F66" s="116">
        <f t="shared" si="18"/>
        <v>0</v>
      </c>
      <c r="G66" s="97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>
        <f t="shared" si="19"/>
        <v>0</v>
      </c>
    </row>
    <row r="67" spans="1:20" x14ac:dyDescent="0.2">
      <c r="A67" s="142"/>
      <c r="B67" s="112"/>
      <c r="C67" s="113"/>
      <c r="D67" s="117"/>
      <c r="E67" s="115">
        <f t="shared" si="17"/>
        <v>0</v>
      </c>
      <c r="F67" s="116">
        <f t="shared" si="18"/>
        <v>0</v>
      </c>
      <c r="G67" s="97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>
        <f t="shared" si="19"/>
        <v>0</v>
      </c>
    </row>
    <row r="68" spans="1:20" x14ac:dyDescent="0.2">
      <c r="A68" s="142"/>
      <c r="B68" s="112"/>
      <c r="C68" s="113"/>
      <c r="D68" s="117"/>
      <c r="E68" s="115">
        <f t="shared" si="17"/>
        <v>0</v>
      </c>
      <c r="F68" s="116">
        <f t="shared" si="18"/>
        <v>0</v>
      </c>
      <c r="G68" s="97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>
        <f t="shared" si="19"/>
        <v>0</v>
      </c>
    </row>
    <row r="69" spans="1:20" x14ac:dyDescent="0.2">
      <c r="A69" s="142"/>
      <c r="B69" s="112"/>
      <c r="C69" s="113"/>
      <c r="D69" s="117"/>
      <c r="E69" s="115">
        <f t="shared" si="17"/>
        <v>0</v>
      </c>
      <c r="F69" s="116">
        <f t="shared" si="18"/>
        <v>0</v>
      </c>
      <c r="G69" s="97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>
        <f t="shared" si="19"/>
        <v>0</v>
      </c>
    </row>
    <row r="70" spans="1:20" x14ac:dyDescent="0.2">
      <c r="A70" s="142"/>
      <c r="B70" s="112"/>
      <c r="C70" s="113"/>
      <c r="D70" s="117"/>
      <c r="E70" s="115">
        <f t="shared" si="17"/>
        <v>0</v>
      </c>
      <c r="F70" s="116">
        <f t="shared" si="18"/>
        <v>0</v>
      </c>
      <c r="G70" s="97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>
        <f t="shared" si="19"/>
        <v>0</v>
      </c>
    </row>
    <row r="71" spans="1:20" ht="15" customHeight="1" x14ac:dyDescent="0.2">
      <c r="A71" s="142"/>
      <c r="B71" s="112"/>
      <c r="C71" s="113"/>
      <c r="D71" s="114"/>
      <c r="E71" s="115">
        <f t="shared" si="17"/>
        <v>0</v>
      </c>
      <c r="F71" s="116">
        <f t="shared" si="18"/>
        <v>0</v>
      </c>
      <c r="G71" s="97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>
        <f t="shared" si="19"/>
        <v>0</v>
      </c>
      <c r="S71" s="80"/>
      <c r="T71" s="80"/>
    </row>
    <row r="72" spans="1:20" ht="15" customHeight="1" x14ac:dyDescent="0.2">
      <c r="A72" s="142"/>
      <c r="B72" s="112"/>
      <c r="C72" s="113"/>
      <c r="D72" s="114"/>
      <c r="E72" s="115">
        <f t="shared" si="17"/>
        <v>0</v>
      </c>
      <c r="F72" s="116">
        <f t="shared" si="18"/>
        <v>0</v>
      </c>
      <c r="G72" s="97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>
        <f t="shared" si="19"/>
        <v>0</v>
      </c>
      <c r="S72" s="80"/>
      <c r="T72" s="80"/>
    </row>
    <row r="73" spans="1:20" ht="15" customHeight="1" x14ac:dyDescent="0.2">
      <c r="A73" s="142"/>
      <c r="B73" s="112"/>
      <c r="C73" s="113"/>
      <c r="D73" s="114"/>
      <c r="E73" s="115">
        <f t="shared" si="17"/>
        <v>0</v>
      </c>
      <c r="F73" s="116">
        <f t="shared" si="18"/>
        <v>0</v>
      </c>
      <c r="G73" s="97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>
        <f t="shared" si="19"/>
        <v>0</v>
      </c>
      <c r="S73" s="80"/>
      <c r="T73" s="80"/>
    </row>
    <row r="74" spans="1:20" ht="15" customHeight="1" x14ac:dyDescent="0.2">
      <c r="A74" s="383" t="s">
        <v>1041</v>
      </c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5"/>
      <c r="S74" s="80"/>
      <c r="T74" s="80"/>
    </row>
    <row r="75" spans="1:20" ht="15" customHeight="1" x14ac:dyDescent="0.2">
      <c r="A75" s="383" t="s">
        <v>1015</v>
      </c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5"/>
      <c r="S75" s="80"/>
      <c r="T75" s="80"/>
    </row>
    <row r="76" spans="1:20" x14ac:dyDescent="0.2">
      <c r="A76" s="142"/>
      <c r="B76" s="112"/>
      <c r="C76" s="113"/>
      <c r="D76" s="117"/>
      <c r="E76" s="115">
        <f t="shared" ref="E76:E88" si="22">B76*C76</f>
        <v>0</v>
      </c>
      <c r="F76" s="116">
        <f t="shared" ref="F76:F88" si="23">IF(E76&gt;2,E76-2,0)</f>
        <v>0</v>
      </c>
      <c r="G76" s="97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>
        <f t="shared" ref="R76:R88" si="24">SUM(G76:Q76)</f>
        <v>0</v>
      </c>
      <c r="S76" s="80"/>
      <c r="T76" s="80"/>
    </row>
    <row r="77" spans="1:20" ht="15" customHeight="1" x14ac:dyDescent="0.2">
      <c r="A77" s="142"/>
      <c r="B77" s="112"/>
      <c r="C77" s="113"/>
      <c r="D77" s="114"/>
      <c r="E77" s="115">
        <f t="shared" si="22"/>
        <v>0</v>
      </c>
      <c r="F77" s="116">
        <f t="shared" si="23"/>
        <v>0</v>
      </c>
      <c r="G77" s="97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>
        <f t="shared" si="24"/>
        <v>0</v>
      </c>
      <c r="S77" s="80"/>
      <c r="T77" s="80"/>
    </row>
    <row r="78" spans="1:20" ht="15" customHeight="1" x14ac:dyDescent="0.2">
      <c r="A78" s="142"/>
      <c r="B78" s="112"/>
      <c r="C78" s="113"/>
      <c r="D78" s="114"/>
      <c r="E78" s="115">
        <f t="shared" si="22"/>
        <v>0</v>
      </c>
      <c r="F78" s="116">
        <f t="shared" si="23"/>
        <v>0</v>
      </c>
      <c r="G78" s="97"/>
      <c r="H78" s="92"/>
      <c r="I78" s="92"/>
      <c r="J78" s="92"/>
      <c r="K78" s="92"/>
      <c r="L78" s="92"/>
      <c r="M78" s="92"/>
      <c r="N78" s="92"/>
      <c r="O78" s="91"/>
      <c r="P78" s="91"/>
      <c r="Q78" s="91"/>
      <c r="R78" s="92">
        <f t="shared" si="24"/>
        <v>0</v>
      </c>
      <c r="S78" s="80"/>
      <c r="T78" s="80"/>
    </row>
    <row r="79" spans="1:20" ht="15" customHeight="1" x14ac:dyDescent="0.2">
      <c r="A79" s="142"/>
      <c r="B79" s="112"/>
      <c r="C79" s="113"/>
      <c r="D79" s="114"/>
      <c r="E79" s="115">
        <f t="shared" si="22"/>
        <v>0</v>
      </c>
      <c r="F79" s="116">
        <f t="shared" si="23"/>
        <v>0</v>
      </c>
      <c r="G79" s="97"/>
      <c r="H79" s="92"/>
      <c r="I79" s="92"/>
      <c r="J79" s="92"/>
      <c r="K79" s="92"/>
      <c r="L79" s="92"/>
      <c r="M79" s="92"/>
      <c r="N79" s="92"/>
      <c r="O79" s="91"/>
      <c r="P79" s="91"/>
      <c r="Q79" s="91"/>
      <c r="R79" s="92">
        <f t="shared" si="24"/>
        <v>0</v>
      </c>
      <c r="S79" s="80"/>
      <c r="T79" s="80"/>
    </row>
    <row r="80" spans="1:20" ht="15" customHeight="1" x14ac:dyDescent="0.2">
      <c r="A80" s="142"/>
      <c r="B80" s="112"/>
      <c r="C80" s="113"/>
      <c r="D80" s="114"/>
      <c r="E80" s="115">
        <f t="shared" si="22"/>
        <v>0</v>
      </c>
      <c r="F80" s="116">
        <f t="shared" si="23"/>
        <v>0</v>
      </c>
      <c r="G80" s="97"/>
      <c r="H80" s="92"/>
      <c r="I80" s="92"/>
      <c r="J80" s="92"/>
      <c r="K80" s="92"/>
      <c r="L80" s="92"/>
      <c r="M80" s="92"/>
      <c r="N80" s="92"/>
      <c r="O80" s="91"/>
      <c r="P80" s="91"/>
      <c r="Q80" s="91"/>
      <c r="R80" s="92">
        <f t="shared" si="24"/>
        <v>0</v>
      </c>
      <c r="S80" s="80"/>
      <c r="T80" s="80"/>
    </row>
    <row r="81" spans="1:20" ht="15" customHeight="1" x14ac:dyDescent="0.2">
      <c r="A81" s="142"/>
      <c r="B81" s="112"/>
      <c r="C81" s="113"/>
      <c r="D81" s="114"/>
      <c r="E81" s="115">
        <f t="shared" si="22"/>
        <v>0</v>
      </c>
      <c r="F81" s="116">
        <f t="shared" si="23"/>
        <v>0</v>
      </c>
      <c r="G81" s="97"/>
      <c r="H81" s="92"/>
      <c r="I81" s="92"/>
      <c r="J81" s="92"/>
      <c r="K81" s="92"/>
      <c r="L81" s="92"/>
      <c r="M81" s="92"/>
      <c r="N81" s="92"/>
      <c r="O81" s="91"/>
      <c r="P81" s="91"/>
      <c r="Q81" s="91"/>
      <c r="R81" s="92">
        <f t="shared" si="24"/>
        <v>0</v>
      </c>
      <c r="S81" s="80"/>
      <c r="T81" s="80"/>
    </row>
    <row r="82" spans="1:20" ht="15" customHeight="1" x14ac:dyDescent="0.2">
      <c r="A82" s="142"/>
      <c r="B82" s="112"/>
      <c r="C82" s="113"/>
      <c r="D82" s="114"/>
      <c r="E82" s="115">
        <f t="shared" si="22"/>
        <v>0</v>
      </c>
      <c r="F82" s="116">
        <f t="shared" si="23"/>
        <v>0</v>
      </c>
      <c r="G82" s="97"/>
      <c r="H82" s="92"/>
      <c r="I82" s="92"/>
      <c r="J82" s="92"/>
      <c r="K82" s="92"/>
      <c r="L82" s="92"/>
      <c r="M82" s="92"/>
      <c r="N82" s="92"/>
      <c r="O82" s="91"/>
      <c r="P82" s="91"/>
      <c r="Q82" s="91"/>
      <c r="R82" s="92">
        <f t="shared" si="24"/>
        <v>0</v>
      </c>
      <c r="S82" s="80"/>
      <c r="T82" s="80"/>
    </row>
    <row r="83" spans="1:20" ht="15" customHeight="1" x14ac:dyDescent="0.2">
      <c r="A83" s="142"/>
      <c r="B83" s="112"/>
      <c r="C83" s="113"/>
      <c r="D83" s="114"/>
      <c r="E83" s="115">
        <f t="shared" si="22"/>
        <v>0</v>
      </c>
      <c r="F83" s="116">
        <f t="shared" si="23"/>
        <v>0</v>
      </c>
      <c r="G83" s="97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>
        <f t="shared" si="24"/>
        <v>0</v>
      </c>
      <c r="S83" s="80"/>
      <c r="T83" s="80"/>
    </row>
    <row r="84" spans="1:20" ht="15" customHeight="1" x14ac:dyDescent="0.2">
      <c r="A84" s="142"/>
      <c r="B84" s="112"/>
      <c r="C84" s="113"/>
      <c r="D84" s="114"/>
      <c r="E84" s="115">
        <f t="shared" si="22"/>
        <v>0</v>
      </c>
      <c r="F84" s="116">
        <f t="shared" si="23"/>
        <v>0</v>
      </c>
      <c r="G84" s="97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>
        <f t="shared" si="24"/>
        <v>0</v>
      </c>
      <c r="S84" s="80"/>
      <c r="T84" s="80"/>
    </row>
    <row r="85" spans="1:20" ht="15" customHeight="1" x14ac:dyDescent="0.2">
      <c r="A85" s="142"/>
      <c r="B85" s="112"/>
      <c r="C85" s="113"/>
      <c r="D85" s="114"/>
      <c r="E85" s="115">
        <f t="shared" si="22"/>
        <v>0</v>
      </c>
      <c r="F85" s="116">
        <f t="shared" si="23"/>
        <v>0</v>
      </c>
      <c r="G85" s="97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>
        <f t="shared" si="24"/>
        <v>0</v>
      </c>
      <c r="S85" s="80"/>
      <c r="T85" s="80"/>
    </row>
    <row r="86" spans="1:20" ht="15" customHeight="1" x14ac:dyDescent="0.2">
      <c r="A86" s="142"/>
      <c r="B86" s="112"/>
      <c r="C86" s="113"/>
      <c r="D86" s="114"/>
      <c r="E86" s="115">
        <f t="shared" si="22"/>
        <v>0</v>
      </c>
      <c r="F86" s="116">
        <f t="shared" si="23"/>
        <v>0</v>
      </c>
      <c r="G86" s="97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>
        <f t="shared" si="24"/>
        <v>0</v>
      </c>
      <c r="S86" s="80"/>
      <c r="T86" s="80"/>
    </row>
    <row r="87" spans="1:20" ht="15" customHeight="1" x14ac:dyDescent="0.2">
      <c r="A87" s="142"/>
      <c r="B87" s="112"/>
      <c r="C87" s="113"/>
      <c r="D87" s="114"/>
      <c r="E87" s="115">
        <f t="shared" si="22"/>
        <v>0</v>
      </c>
      <c r="F87" s="116">
        <f t="shared" si="23"/>
        <v>0</v>
      </c>
      <c r="G87" s="97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>
        <f t="shared" si="24"/>
        <v>0</v>
      </c>
      <c r="S87" s="80"/>
      <c r="T87" s="80"/>
    </row>
    <row r="88" spans="1:20" ht="15" customHeight="1" x14ac:dyDescent="0.2">
      <c r="A88" s="142"/>
      <c r="B88" s="112"/>
      <c r="C88" s="113"/>
      <c r="D88" s="114"/>
      <c r="E88" s="115">
        <f t="shared" si="22"/>
        <v>0</v>
      </c>
      <c r="F88" s="116">
        <f t="shared" si="23"/>
        <v>0</v>
      </c>
      <c r="G88" s="97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>
        <f t="shared" si="24"/>
        <v>0</v>
      </c>
      <c r="S88" s="80"/>
      <c r="T88" s="80"/>
    </row>
    <row r="89" spans="1:20" ht="15" customHeight="1" x14ac:dyDescent="0.2">
      <c r="A89" s="383" t="s">
        <v>1016</v>
      </c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5"/>
      <c r="S89" s="80"/>
      <c r="T89" s="80"/>
    </row>
    <row r="90" spans="1:20" ht="15" customHeight="1" x14ac:dyDescent="0.2">
      <c r="A90" s="142"/>
      <c r="B90" s="112"/>
      <c r="C90" s="113"/>
      <c r="D90" s="114"/>
      <c r="E90" s="115">
        <f t="shared" ref="E90:E91" si="25">B90*C90</f>
        <v>0</v>
      </c>
      <c r="F90" s="116">
        <f t="shared" ref="F90:F91" si="26">IF(E90&gt;2,E90-2,0)</f>
        <v>0</v>
      </c>
      <c r="G90" s="97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>
        <f t="shared" ref="R90:R103" si="27">SUM(G90:Q90)</f>
        <v>0</v>
      </c>
      <c r="S90" s="80"/>
      <c r="T90" s="80"/>
    </row>
    <row r="91" spans="1:20" ht="15" customHeight="1" x14ac:dyDescent="0.2">
      <c r="A91" s="142"/>
      <c r="B91" s="112"/>
      <c r="C91" s="113"/>
      <c r="D91" s="114"/>
      <c r="E91" s="115">
        <f t="shared" si="25"/>
        <v>0</v>
      </c>
      <c r="F91" s="116">
        <f t="shared" si="26"/>
        <v>0</v>
      </c>
      <c r="G91" s="97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>
        <f t="shared" si="27"/>
        <v>0</v>
      </c>
      <c r="S91" s="80"/>
      <c r="T91" s="80"/>
    </row>
    <row r="92" spans="1:20" ht="15" customHeight="1" x14ac:dyDescent="0.2">
      <c r="A92" s="142"/>
      <c r="B92" s="112"/>
      <c r="C92" s="113"/>
      <c r="D92" s="114"/>
      <c r="E92" s="115">
        <f t="shared" ref="E92:E104" si="28">B92*C92</f>
        <v>0</v>
      </c>
      <c r="F92" s="116">
        <f t="shared" ref="F92:F104" si="29">IF(E92&gt;2,E92-2,0)</f>
        <v>0</v>
      </c>
      <c r="G92" s="97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>
        <f t="shared" si="27"/>
        <v>0</v>
      </c>
      <c r="S92" s="80"/>
      <c r="T92" s="80"/>
    </row>
    <row r="93" spans="1:20" ht="15" customHeight="1" x14ac:dyDescent="0.2">
      <c r="A93" s="142"/>
      <c r="B93" s="112"/>
      <c r="C93" s="113"/>
      <c r="D93" s="114"/>
      <c r="E93" s="115">
        <f t="shared" si="28"/>
        <v>0</v>
      </c>
      <c r="F93" s="116">
        <f t="shared" si="29"/>
        <v>0</v>
      </c>
      <c r="G93" s="97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>
        <f t="shared" si="27"/>
        <v>0</v>
      </c>
      <c r="S93" s="80"/>
      <c r="T93" s="80"/>
    </row>
    <row r="94" spans="1:20" ht="15" customHeight="1" x14ac:dyDescent="0.2">
      <c r="A94" s="142"/>
      <c r="B94" s="112"/>
      <c r="C94" s="113"/>
      <c r="D94" s="114"/>
      <c r="E94" s="115">
        <f t="shared" si="28"/>
        <v>0</v>
      </c>
      <c r="F94" s="116">
        <f t="shared" si="29"/>
        <v>0</v>
      </c>
      <c r="G94" s="97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>
        <f t="shared" si="27"/>
        <v>0</v>
      </c>
      <c r="S94" s="80"/>
      <c r="T94" s="80"/>
    </row>
    <row r="95" spans="1:20" ht="15" customHeight="1" x14ac:dyDescent="0.2">
      <c r="A95" s="142"/>
      <c r="B95" s="112"/>
      <c r="C95" s="113"/>
      <c r="D95" s="114"/>
      <c r="E95" s="115">
        <f t="shared" si="28"/>
        <v>0</v>
      </c>
      <c r="F95" s="116">
        <f t="shared" si="29"/>
        <v>0</v>
      </c>
      <c r="G95" s="97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>
        <f t="shared" si="27"/>
        <v>0</v>
      </c>
      <c r="S95" s="80"/>
      <c r="T95" s="80"/>
    </row>
    <row r="96" spans="1:20" ht="15" customHeight="1" x14ac:dyDescent="0.2">
      <c r="A96" s="142"/>
      <c r="B96" s="112"/>
      <c r="C96" s="113"/>
      <c r="D96" s="114"/>
      <c r="E96" s="115">
        <f t="shared" si="28"/>
        <v>0</v>
      </c>
      <c r="F96" s="116">
        <f t="shared" si="29"/>
        <v>0</v>
      </c>
      <c r="G96" s="97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>
        <f t="shared" si="27"/>
        <v>0</v>
      </c>
      <c r="S96" s="80"/>
      <c r="T96" s="80"/>
    </row>
    <row r="97" spans="1:20" ht="15" customHeight="1" x14ac:dyDescent="0.2">
      <c r="A97" s="142"/>
      <c r="B97" s="112"/>
      <c r="C97" s="113"/>
      <c r="D97" s="114"/>
      <c r="E97" s="115">
        <f t="shared" si="28"/>
        <v>0</v>
      </c>
      <c r="F97" s="116">
        <f t="shared" si="29"/>
        <v>0</v>
      </c>
      <c r="G97" s="97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>
        <f t="shared" si="27"/>
        <v>0</v>
      </c>
      <c r="S97" s="80"/>
      <c r="T97" s="80"/>
    </row>
    <row r="98" spans="1:20" ht="15" customHeight="1" x14ac:dyDescent="0.2">
      <c r="A98" s="142"/>
      <c r="B98" s="112"/>
      <c r="C98" s="113"/>
      <c r="D98" s="114"/>
      <c r="E98" s="115">
        <f t="shared" si="28"/>
        <v>0</v>
      </c>
      <c r="F98" s="116">
        <f t="shared" si="29"/>
        <v>0</v>
      </c>
      <c r="G98" s="97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>
        <f t="shared" si="27"/>
        <v>0</v>
      </c>
      <c r="S98" s="80"/>
      <c r="T98" s="80"/>
    </row>
    <row r="99" spans="1:20" ht="15" customHeight="1" x14ac:dyDescent="0.2">
      <c r="A99" s="142"/>
      <c r="B99" s="112"/>
      <c r="C99" s="113"/>
      <c r="D99" s="114"/>
      <c r="E99" s="115">
        <f t="shared" si="28"/>
        <v>0</v>
      </c>
      <c r="F99" s="116">
        <f t="shared" si="29"/>
        <v>0</v>
      </c>
      <c r="G99" s="97"/>
      <c r="H99" s="92"/>
      <c r="I99" s="92"/>
      <c r="J99" s="92"/>
      <c r="K99" s="92"/>
      <c r="L99" s="92"/>
      <c r="M99" s="92"/>
      <c r="N99" s="92"/>
      <c r="O99" s="91"/>
      <c r="P99" s="91"/>
      <c r="Q99" s="91"/>
      <c r="R99" s="92">
        <f t="shared" si="27"/>
        <v>0</v>
      </c>
      <c r="S99" s="80"/>
      <c r="T99" s="80"/>
    </row>
    <row r="100" spans="1:20" ht="15" customHeight="1" x14ac:dyDescent="0.2">
      <c r="A100" s="142"/>
      <c r="B100" s="112"/>
      <c r="C100" s="113"/>
      <c r="D100" s="114"/>
      <c r="E100" s="115">
        <f t="shared" si="28"/>
        <v>0</v>
      </c>
      <c r="F100" s="116">
        <f t="shared" si="29"/>
        <v>0</v>
      </c>
      <c r="G100" s="97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>
        <f t="shared" si="27"/>
        <v>0</v>
      </c>
      <c r="S100" s="80"/>
      <c r="T100" s="80"/>
    </row>
    <row r="101" spans="1:20" ht="15" customHeight="1" x14ac:dyDescent="0.2">
      <c r="A101" s="142"/>
      <c r="B101" s="112"/>
      <c r="C101" s="113"/>
      <c r="D101" s="114"/>
      <c r="E101" s="115">
        <f t="shared" si="28"/>
        <v>0</v>
      </c>
      <c r="F101" s="116">
        <f t="shared" si="29"/>
        <v>0</v>
      </c>
      <c r="G101" s="97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>
        <f t="shared" si="27"/>
        <v>0</v>
      </c>
      <c r="S101" s="80"/>
      <c r="T101" s="80"/>
    </row>
    <row r="102" spans="1:20" ht="15" customHeight="1" x14ac:dyDescent="0.2">
      <c r="A102" s="142"/>
      <c r="B102" s="112"/>
      <c r="C102" s="113"/>
      <c r="D102" s="114"/>
      <c r="E102" s="115">
        <f t="shared" si="28"/>
        <v>0</v>
      </c>
      <c r="F102" s="116">
        <f t="shared" si="29"/>
        <v>0</v>
      </c>
      <c r="G102" s="97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>
        <f t="shared" si="27"/>
        <v>0</v>
      </c>
      <c r="S102" s="80"/>
      <c r="T102" s="80"/>
    </row>
    <row r="103" spans="1:20" ht="15" customHeight="1" x14ac:dyDescent="0.2">
      <c r="A103" s="142"/>
      <c r="B103" s="112"/>
      <c r="C103" s="113"/>
      <c r="D103" s="114"/>
      <c r="E103" s="115">
        <f t="shared" si="28"/>
        <v>0</v>
      </c>
      <c r="F103" s="116">
        <f t="shared" si="29"/>
        <v>0</v>
      </c>
      <c r="G103" s="97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>
        <f t="shared" si="27"/>
        <v>0</v>
      </c>
      <c r="S103" s="80"/>
      <c r="T103" s="80"/>
    </row>
    <row r="104" spans="1:20" ht="15" customHeight="1" x14ac:dyDescent="0.2">
      <c r="A104" s="142"/>
      <c r="B104" s="112"/>
      <c r="C104" s="113"/>
      <c r="D104" s="114"/>
      <c r="E104" s="115">
        <f t="shared" si="28"/>
        <v>0</v>
      </c>
      <c r="F104" s="116">
        <f t="shared" si="29"/>
        <v>0</v>
      </c>
      <c r="G104" s="97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80"/>
      <c r="T104" s="80"/>
    </row>
    <row r="105" spans="1:20" ht="15" customHeight="1" x14ac:dyDescent="0.2">
      <c r="A105" s="383" t="s">
        <v>1118</v>
      </c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5"/>
      <c r="S105" s="80"/>
      <c r="T105" s="80"/>
    </row>
    <row r="106" spans="1:20" ht="15" customHeight="1" x14ac:dyDescent="0.2">
      <c r="A106" s="142"/>
      <c r="B106" s="112"/>
      <c r="C106" s="113"/>
      <c r="D106" s="114"/>
      <c r="E106" s="115">
        <f>B106*C106</f>
        <v>0</v>
      </c>
      <c r="F106" s="116">
        <f>IF(E106&gt;2,E106-2,0)</f>
        <v>0</v>
      </c>
      <c r="G106" s="97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>
        <f t="shared" ref="R106" si="30">SUM(G106:Q106)</f>
        <v>0</v>
      </c>
      <c r="S106" s="80"/>
      <c r="T106" s="80"/>
    </row>
    <row r="107" spans="1:20" ht="15" customHeight="1" x14ac:dyDescent="0.2">
      <c r="A107" s="142"/>
      <c r="B107" s="112"/>
      <c r="C107" s="113"/>
      <c r="D107" s="114"/>
      <c r="E107" s="115">
        <f>B107*C107</f>
        <v>0</v>
      </c>
      <c r="F107" s="116">
        <f>IF(E107&gt;2,E107-2,0)</f>
        <v>0</v>
      </c>
      <c r="G107" s="97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>
        <f>SUM(G107:Q107)</f>
        <v>0</v>
      </c>
      <c r="S107" s="80"/>
      <c r="T107" s="80"/>
    </row>
    <row r="108" spans="1:20" ht="15" customHeight="1" x14ac:dyDescent="0.2">
      <c r="A108" s="142"/>
      <c r="B108" s="112"/>
      <c r="C108" s="113"/>
      <c r="D108" s="114"/>
      <c r="E108" s="115">
        <f t="shared" ref="E108:E121" si="31">B108*C108</f>
        <v>0</v>
      </c>
      <c r="F108" s="116">
        <f t="shared" ref="F108:F121" si="32">IF(E108&gt;2,E108-2,0)</f>
        <v>0</v>
      </c>
      <c r="G108" s="97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>
        <f t="shared" ref="R108:R121" si="33">SUM(G108:Q108)</f>
        <v>0</v>
      </c>
      <c r="S108" s="80"/>
      <c r="T108" s="80"/>
    </row>
    <row r="109" spans="1:20" ht="15" customHeight="1" x14ac:dyDescent="0.2">
      <c r="A109" s="142"/>
      <c r="B109" s="112"/>
      <c r="C109" s="113"/>
      <c r="D109" s="114"/>
      <c r="E109" s="115">
        <f t="shared" si="31"/>
        <v>0</v>
      </c>
      <c r="F109" s="116">
        <f t="shared" si="32"/>
        <v>0</v>
      </c>
      <c r="G109" s="97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>
        <f t="shared" ref="R109:R112" si="34">SUM(G109:Q109)</f>
        <v>0</v>
      </c>
      <c r="S109" s="80"/>
      <c r="T109" s="80"/>
    </row>
    <row r="110" spans="1:20" ht="15" customHeight="1" x14ac:dyDescent="0.2">
      <c r="A110" s="142"/>
      <c r="B110" s="112"/>
      <c r="C110" s="113"/>
      <c r="D110" s="114"/>
      <c r="E110" s="115">
        <f t="shared" si="31"/>
        <v>0</v>
      </c>
      <c r="F110" s="116">
        <f t="shared" si="32"/>
        <v>0</v>
      </c>
      <c r="G110" s="97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>
        <f t="shared" si="34"/>
        <v>0</v>
      </c>
      <c r="S110" s="80"/>
      <c r="T110" s="80"/>
    </row>
    <row r="111" spans="1:20" ht="15" customHeight="1" x14ac:dyDescent="0.2">
      <c r="A111" s="142"/>
      <c r="B111" s="112"/>
      <c r="C111" s="113"/>
      <c r="D111" s="114"/>
      <c r="E111" s="115">
        <f t="shared" si="31"/>
        <v>0</v>
      </c>
      <c r="F111" s="116">
        <f t="shared" si="32"/>
        <v>0</v>
      </c>
      <c r="G111" s="97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>
        <f t="shared" si="34"/>
        <v>0</v>
      </c>
      <c r="S111" s="80"/>
      <c r="T111" s="80"/>
    </row>
    <row r="112" spans="1:20" ht="15" customHeight="1" x14ac:dyDescent="0.2">
      <c r="A112" s="142"/>
      <c r="B112" s="112"/>
      <c r="C112" s="113"/>
      <c r="D112" s="114"/>
      <c r="E112" s="115">
        <f t="shared" si="31"/>
        <v>0</v>
      </c>
      <c r="F112" s="116">
        <f t="shared" si="32"/>
        <v>0</v>
      </c>
      <c r="G112" s="97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>
        <f t="shared" si="34"/>
        <v>0</v>
      </c>
      <c r="S112" s="80"/>
      <c r="T112" s="80"/>
    </row>
    <row r="113" spans="1:20" ht="15" customHeight="1" x14ac:dyDescent="0.2">
      <c r="A113" s="142"/>
      <c r="B113" s="112"/>
      <c r="C113" s="113"/>
      <c r="D113" s="114"/>
      <c r="E113" s="115">
        <f t="shared" si="31"/>
        <v>0</v>
      </c>
      <c r="F113" s="116">
        <f t="shared" si="32"/>
        <v>0</v>
      </c>
      <c r="G113" s="97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>
        <f t="shared" si="33"/>
        <v>0</v>
      </c>
      <c r="S113" s="80"/>
      <c r="T113" s="80"/>
    </row>
    <row r="114" spans="1:20" ht="15" customHeight="1" x14ac:dyDescent="0.2">
      <c r="A114" s="142"/>
      <c r="B114" s="112"/>
      <c r="C114" s="113"/>
      <c r="D114" s="114"/>
      <c r="E114" s="115">
        <f t="shared" si="31"/>
        <v>0</v>
      </c>
      <c r="F114" s="116">
        <f t="shared" si="32"/>
        <v>0</v>
      </c>
      <c r="G114" s="97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>
        <f t="shared" si="33"/>
        <v>0</v>
      </c>
      <c r="S114" s="80"/>
      <c r="T114" s="80"/>
    </row>
    <row r="115" spans="1:20" ht="15" customHeight="1" x14ac:dyDescent="0.2">
      <c r="A115" s="142"/>
      <c r="B115" s="112"/>
      <c r="C115" s="113"/>
      <c r="D115" s="114"/>
      <c r="E115" s="115">
        <f t="shared" si="31"/>
        <v>0</v>
      </c>
      <c r="F115" s="116">
        <f t="shared" si="32"/>
        <v>0</v>
      </c>
      <c r="G115" s="97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>
        <f t="shared" si="33"/>
        <v>0</v>
      </c>
      <c r="S115" s="80"/>
      <c r="T115" s="80"/>
    </row>
    <row r="116" spans="1:20" ht="15" customHeight="1" x14ac:dyDescent="0.2">
      <c r="A116" s="142"/>
      <c r="B116" s="112"/>
      <c r="C116" s="113"/>
      <c r="D116" s="114"/>
      <c r="E116" s="115">
        <f t="shared" si="31"/>
        <v>0</v>
      </c>
      <c r="F116" s="116">
        <f t="shared" si="32"/>
        <v>0</v>
      </c>
      <c r="G116" s="97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>
        <f t="shared" si="33"/>
        <v>0</v>
      </c>
      <c r="S116" s="80"/>
      <c r="T116" s="80"/>
    </row>
    <row r="117" spans="1:20" ht="15" customHeight="1" x14ac:dyDescent="0.2">
      <c r="A117" s="142"/>
      <c r="B117" s="112"/>
      <c r="C117" s="113"/>
      <c r="D117" s="143"/>
      <c r="E117" s="115">
        <f t="shared" si="31"/>
        <v>0</v>
      </c>
      <c r="F117" s="116">
        <f t="shared" si="32"/>
        <v>0</v>
      </c>
      <c r="G117" s="97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>
        <f t="shared" si="33"/>
        <v>0</v>
      </c>
      <c r="S117" s="80"/>
      <c r="T117" s="80"/>
    </row>
    <row r="118" spans="1:20" ht="15" customHeight="1" x14ac:dyDescent="0.2">
      <c r="A118" s="142"/>
      <c r="B118" s="112"/>
      <c r="C118" s="113"/>
      <c r="D118" s="143"/>
      <c r="E118" s="115">
        <f t="shared" si="31"/>
        <v>0</v>
      </c>
      <c r="F118" s="116">
        <f t="shared" si="32"/>
        <v>0</v>
      </c>
      <c r="G118" s="97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>
        <f t="shared" si="33"/>
        <v>0</v>
      </c>
      <c r="S118" s="80"/>
      <c r="T118" s="80"/>
    </row>
    <row r="119" spans="1:20" ht="15" customHeight="1" x14ac:dyDescent="0.2">
      <c r="A119" s="142"/>
      <c r="B119" s="112"/>
      <c r="C119" s="113"/>
      <c r="D119" s="143"/>
      <c r="E119" s="115">
        <f t="shared" si="31"/>
        <v>0</v>
      </c>
      <c r="F119" s="116">
        <f t="shared" si="32"/>
        <v>0</v>
      </c>
      <c r="G119" s="97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>
        <f t="shared" si="33"/>
        <v>0</v>
      </c>
      <c r="S119" s="80"/>
      <c r="T119" s="80"/>
    </row>
    <row r="120" spans="1:20" ht="15" customHeight="1" x14ac:dyDescent="0.2">
      <c r="A120" s="142"/>
      <c r="B120" s="112"/>
      <c r="C120" s="113"/>
      <c r="D120" s="143"/>
      <c r="E120" s="115">
        <f t="shared" si="31"/>
        <v>0</v>
      </c>
      <c r="F120" s="116">
        <f t="shared" si="32"/>
        <v>0</v>
      </c>
      <c r="G120" s="97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>
        <f t="shared" si="33"/>
        <v>0</v>
      </c>
      <c r="S120" s="80"/>
      <c r="T120" s="80"/>
    </row>
    <row r="121" spans="1:20" ht="15" customHeight="1" x14ac:dyDescent="0.2">
      <c r="A121" s="142"/>
      <c r="B121" s="112"/>
      <c r="C121" s="113"/>
      <c r="D121" s="143"/>
      <c r="E121" s="115">
        <f t="shared" si="31"/>
        <v>0</v>
      </c>
      <c r="F121" s="116">
        <f t="shared" si="32"/>
        <v>0</v>
      </c>
      <c r="G121" s="97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>
        <f t="shared" si="33"/>
        <v>0</v>
      </c>
      <c r="S121" s="80"/>
      <c r="T121" s="80"/>
    </row>
    <row r="122" spans="1:20" ht="15" customHeight="1" x14ac:dyDescent="0.2">
      <c r="A122" s="383" t="s">
        <v>1042</v>
      </c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5"/>
      <c r="S122" s="80"/>
      <c r="T122" s="80"/>
    </row>
    <row r="123" spans="1:20" ht="15" customHeight="1" x14ac:dyDescent="0.2">
      <c r="A123" s="142"/>
      <c r="B123" s="112"/>
      <c r="C123" s="113"/>
      <c r="D123" s="143"/>
      <c r="E123" s="115">
        <f t="shared" ref="E123:E125" si="35">B123*C123</f>
        <v>0</v>
      </c>
      <c r="F123" s="116">
        <f t="shared" ref="F123:F125" si="36">IF(E123&gt;2,E123-2,0)</f>
        <v>0</v>
      </c>
      <c r="G123" s="97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>
        <f t="shared" ref="R123:R141" si="37">SUM(G123:Q123)</f>
        <v>0</v>
      </c>
      <c r="S123" s="80"/>
      <c r="T123" s="80"/>
    </row>
    <row r="124" spans="1:20" ht="15" customHeight="1" x14ac:dyDescent="0.2">
      <c r="A124" s="142"/>
      <c r="B124" s="112"/>
      <c r="C124" s="113"/>
      <c r="D124" s="143"/>
      <c r="E124" s="115">
        <f t="shared" si="35"/>
        <v>0</v>
      </c>
      <c r="F124" s="116">
        <f t="shared" si="36"/>
        <v>0</v>
      </c>
      <c r="G124" s="97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>
        <f t="shared" si="37"/>
        <v>0</v>
      </c>
      <c r="S124" s="80"/>
      <c r="T124" s="80"/>
    </row>
    <row r="125" spans="1:20" ht="15" customHeight="1" x14ac:dyDescent="0.2">
      <c r="A125" s="142"/>
      <c r="B125" s="112"/>
      <c r="C125" s="113"/>
      <c r="D125" s="143"/>
      <c r="E125" s="115">
        <f t="shared" si="35"/>
        <v>0</v>
      </c>
      <c r="F125" s="116">
        <f t="shared" si="36"/>
        <v>0</v>
      </c>
      <c r="G125" s="97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>
        <f t="shared" si="37"/>
        <v>0</v>
      </c>
      <c r="S125" s="80"/>
      <c r="T125" s="80"/>
    </row>
    <row r="126" spans="1:20" ht="15" customHeight="1" x14ac:dyDescent="0.2">
      <c r="A126" s="142"/>
      <c r="B126" s="112"/>
      <c r="C126" s="113"/>
      <c r="D126" s="143"/>
      <c r="E126" s="115">
        <f t="shared" ref="E126:E141" si="38">B126*C126</f>
        <v>0</v>
      </c>
      <c r="F126" s="116">
        <f t="shared" ref="F126:F141" si="39">IF(E126&gt;2,E126-2,0)</f>
        <v>0</v>
      </c>
      <c r="G126" s="97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>
        <f t="shared" si="37"/>
        <v>0</v>
      </c>
      <c r="S126" s="80"/>
      <c r="T126" s="80"/>
    </row>
    <row r="127" spans="1:20" ht="15" customHeight="1" x14ac:dyDescent="0.2">
      <c r="A127" s="142"/>
      <c r="B127" s="112"/>
      <c r="C127" s="113"/>
      <c r="D127" s="143"/>
      <c r="E127" s="115">
        <f t="shared" si="38"/>
        <v>0</v>
      </c>
      <c r="F127" s="116">
        <f t="shared" si="39"/>
        <v>0</v>
      </c>
      <c r="G127" s="97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>
        <f t="shared" si="37"/>
        <v>0</v>
      </c>
      <c r="S127" s="80"/>
      <c r="T127" s="80"/>
    </row>
    <row r="128" spans="1:20" ht="15" customHeight="1" x14ac:dyDescent="0.2">
      <c r="A128" s="142"/>
      <c r="B128" s="112"/>
      <c r="C128" s="113"/>
      <c r="D128" s="143"/>
      <c r="E128" s="115">
        <f t="shared" si="38"/>
        <v>0</v>
      </c>
      <c r="F128" s="116">
        <f t="shared" si="39"/>
        <v>0</v>
      </c>
      <c r="G128" s="97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>
        <f t="shared" si="37"/>
        <v>0</v>
      </c>
      <c r="S128" s="80"/>
      <c r="T128" s="80"/>
    </row>
    <row r="129" spans="1:91" ht="15" customHeight="1" x14ac:dyDescent="0.2">
      <c r="A129" s="142"/>
      <c r="B129" s="112"/>
      <c r="C129" s="113"/>
      <c r="D129" s="143"/>
      <c r="E129" s="115">
        <f t="shared" si="38"/>
        <v>0</v>
      </c>
      <c r="F129" s="116">
        <f t="shared" si="39"/>
        <v>0</v>
      </c>
      <c r="G129" s="97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>
        <f t="shared" si="37"/>
        <v>0</v>
      </c>
      <c r="S129" s="80"/>
      <c r="T129" s="80"/>
    </row>
    <row r="130" spans="1:91" ht="15" customHeight="1" x14ac:dyDescent="0.2">
      <c r="A130" s="142"/>
      <c r="B130" s="112"/>
      <c r="C130" s="113"/>
      <c r="D130" s="143"/>
      <c r="E130" s="115">
        <f t="shared" si="38"/>
        <v>0</v>
      </c>
      <c r="F130" s="116">
        <f t="shared" si="39"/>
        <v>0</v>
      </c>
      <c r="G130" s="97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>
        <f t="shared" si="37"/>
        <v>0</v>
      </c>
      <c r="S130" s="80"/>
      <c r="T130" s="80"/>
    </row>
    <row r="131" spans="1:91" ht="15" customHeight="1" x14ac:dyDescent="0.2">
      <c r="A131" s="142"/>
      <c r="B131" s="112"/>
      <c r="C131" s="113"/>
      <c r="D131" s="143"/>
      <c r="E131" s="115">
        <f t="shared" si="38"/>
        <v>0</v>
      </c>
      <c r="F131" s="116">
        <f t="shared" si="39"/>
        <v>0</v>
      </c>
      <c r="G131" s="97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>
        <f t="shared" si="37"/>
        <v>0</v>
      </c>
      <c r="S131" s="80"/>
      <c r="T131" s="80"/>
    </row>
    <row r="132" spans="1:91" ht="15" customHeight="1" x14ac:dyDescent="0.2">
      <c r="A132" s="142"/>
      <c r="B132" s="112"/>
      <c r="C132" s="113"/>
      <c r="D132" s="114"/>
      <c r="E132" s="115">
        <f t="shared" si="38"/>
        <v>0</v>
      </c>
      <c r="F132" s="116">
        <f t="shared" si="39"/>
        <v>0</v>
      </c>
      <c r="G132" s="97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>
        <f t="shared" si="37"/>
        <v>0</v>
      </c>
      <c r="S132" s="80"/>
      <c r="T132" s="80"/>
    </row>
    <row r="133" spans="1:91" ht="15" customHeight="1" x14ac:dyDescent="0.2">
      <c r="A133" s="142"/>
      <c r="B133" s="112"/>
      <c r="C133" s="113"/>
      <c r="D133" s="114"/>
      <c r="E133" s="115">
        <f t="shared" si="38"/>
        <v>0</v>
      </c>
      <c r="F133" s="116">
        <f t="shared" si="39"/>
        <v>0</v>
      </c>
      <c r="G133" s="97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>
        <f t="shared" si="37"/>
        <v>0</v>
      </c>
      <c r="S133" s="80"/>
      <c r="T133" s="80"/>
    </row>
    <row r="134" spans="1:91" ht="15" customHeight="1" x14ac:dyDescent="0.2">
      <c r="A134" s="142"/>
      <c r="B134" s="112"/>
      <c r="C134" s="113"/>
      <c r="D134" s="114"/>
      <c r="E134" s="115">
        <f t="shared" si="38"/>
        <v>0</v>
      </c>
      <c r="F134" s="116">
        <f t="shared" si="39"/>
        <v>0</v>
      </c>
      <c r="G134" s="97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>
        <f t="shared" si="37"/>
        <v>0</v>
      </c>
      <c r="S134" s="80"/>
      <c r="T134" s="80"/>
    </row>
    <row r="135" spans="1:91" ht="15" customHeight="1" x14ac:dyDescent="0.2">
      <c r="A135" s="142"/>
      <c r="B135" s="112"/>
      <c r="C135" s="113"/>
      <c r="D135" s="114"/>
      <c r="E135" s="115">
        <f t="shared" si="38"/>
        <v>0</v>
      </c>
      <c r="F135" s="116">
        <f t="shared" si="39"/>
        <v>0</v>
      </c>
      <c r="G135" s="97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>
        <f t="shared" si="37"/>
        <v>0</v>
      </c>
    </row>
    <row r="136" spans="1:91" ht="15" customHeight="1" x14ac:dyDescent="0.2">
      <c r="A136" s="142"/>
      <c r="B136" s="112"/>
      <c r="C136" s="113"/>
      <c r="D136" s="114"/>
      <c r="E136" s="115">
        <f t="shared" si="38"/>
        <v>0</v>
      </c>
      <c r="F136" s="116">
        <f t="shared" si="39"/>
        <v>0</v>
      </c>
      <c r="G136" s="97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>
        <f t="shared" si="37"/>
        <v>0</v>
      </c>
    </row>
    <row r="137" spans="1:91" ht="15" customHeight="1" x14ac:dyDescent="0.2">
      <c r="A137" s="142"/>
      <c r="B137" s="112"/>
      <c r="C137" s="113"/>
      <c r="D137" s="143"/>
      <c r="E137" s="115">
        <f t="shared" si="38"/>
        <v>0</v>
      </c>
      <c r="F137" s="116">
        <f t="shared" si="39"/>
        <v>0</v>
      </c>
      <c r="G137" s="97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>
        <f t="shared" si="37"/>
        <v>0</v>
      </c>
    </row>
    <row r="138" spans="1:91" ht="15" customHeight="1" x14ac:dyDescent="0.2">
      <c r="A138" s="142"/>
      <c r="B138" s="112"/>
      <c r="C138" s="113"/>
      <c r="D138" s="143"/>
      <c r="E138" s="115">
        <f t="shared" si="38"/>
        <v>0</v>
      </c>
      <c r="F138" s="116">
        <f t="shared" si="39"/>
        <v>0</v>
      </c>
      <c r="G138" s="97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>
        <f t="shared" si="37"/>
        <v>0</v>
      </c>
    </row>
    <row r="139" spans="1:91" ht="15" customHeight="1" x14ac:dyDescent="0.2">
      <c r="A139" s="142"/>
      <c r="B139" s="112"/>
      <c r="C139" s="113"/>
      <c r="D139" s="143"/>
      <c r="E139" s="115">
        <f t="shared" si="38"/>
        <v>0</v>
      </c>
      <c r="F139" s="116">
        <f t="shared" si="39"/>
        <v>0</v>
      </c>
      <c r="G139" s="97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>
        <f t="shared" si="37"/>
        <v>0</v>
      </c>
    </row>
    <row r="140" spans="1:91" ht="15" customHeight="1" x14ac:dyDescent="0.2">
      <c r="A140" s="142"/>
      <c r="B140" s="112"/>
      <c r="C140" s="113"/>
      <c r="D140" s="143"/>
      <c r="E140" s="115">
        <f t="shared" si="38"/>
        <v>0</v>
      </c>
      <c r="F140" s="116">
        <f t="shared" si="39"/>
        <v>0</v>
      </c>
      <c r="G140" s="97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>
        <f t="shared" si="37"/>
        <v>0</v>
      </c>
    </row>
    <row r="141" spans="1:91" ht="15" customHeight="1" x14ac:dyDescent="0.2">
      <c r="A141" s="142"/>
      <c r="B141" s="112"/>
      <c r="C141" s="113"/>
      <c r="D141" s="143"/>
      <c r="E141" s="115">
        <f t="shared" si="38"/>
        <v>0</v>
      </c>
      <c r="F141" s="116">
        <f t="shared" si="39"/>
        <v>0</v>
      </c>
      <c r="G141" s="97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>
        <f t="shared" si="37"/>
        <v>0</v>
      </c>
    </row>
    <row r="142" spans="1:91" x14ac:dyDescent="0.2">
      <c r="A142" s="144"/>
      <c r="B142" s="144"/>
      <c r="C142" s="144"/>
      <c r="D142" s="144"/>
      <c r="E142" s="144"/>
      <c r="F142" s="144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S142" s="95"/>
      <c r="T142" s="95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</row>
    <row r="143" spans="1:91" x14ac:dyDescent="0.2">
      <c r="A143" s="144"/>
      <c r="B143" s="144"/>
      <c r="C143" s="144"/>
      <c r="D143" s="144"/>
      <c r="E143" s="144"/>
      <c r="F143" s="144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S143" s="95"/>
      <c r="T143" s="95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  <c r="CI143" s="93"/>
      <c r="CJ143" s="93"/>
      <c r="CK143" s="93"/>
      <c r="CL143" s="93"/>
      <c r="CM143" s="93"/>
    </row>
    <row r="144" spans="1:91" x14ac:dyDescent="0.2">
      <c r="A144" s="144"/>
      <c r="B144" s="144"/>
      <c r="C144" s="144"/>
      <c r="D144" s="144"/>
      <c r="E144" s="144"/>
      <c r="F144" s="144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S144" s="95"/>
      <c r="T144" s="95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  <c r="CI144" s="93"/>
      <c r="CJ144" s="93"/>
      <c r="CK144" s="93"/>
      <c r="CL144" s="93"/>
      <c r="CM144" s="93"/>
    </row>
    <row r="145" spans="1:91" x14ac:dyDescent="0.2">
      <c r="A145" s="144"/>
      <c r="B145" s="144"/>
      <c r="C145" s="144"/>
      <c r="D145" s="144"/>
      <c r="E145" s="144"/>
      <c r="F145" s="144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S145" s="95"/>
      <c r="T145" s="95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</row>
    <row r="146" spans="1:91" x14ac:dyDescent="0.2">
      <c r="A146" s="144"/>
      <c r="B146" s="144"/>
      <c r="C146" s="144"/>
      <c r="D146" s="144"/>
      <c r="E146" s="144"/>
      <c r="F146" s="144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S146" s="95"/>
      <c r="T146" s="95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</row>
    <row r="147" spans="1:91" x14ac:dyDescent="0.2">
      <c r="A147" s="144"/>
      <c r="B147" s="144"/>
      <c r="C147" s="144"/>
      <c r="D147" s="144"/>
      <c r="E147" s="144"/>
      <c r="F147" s="144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S147" s="95"/>
      <c r="T147" s="95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  <c r="CI147" s="93"/>
      <c r="CJ147" s="93"/>
      <c r="CK147" s="93"/>
      <c r="CL147" s="93"/>
      <c r="CM147" s="93"/>
    </row>
    <row r="148" spans="1:91" x14ac:dyDescent="0.2">
      <c r="A148" s="144"/>
      <c r="B148" s="144"/>
      <c r="C148" s="144"/>
      <c r="D148" s="144"/>
      <c r="E148" s="144"/>
      <c r="F148" s="144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S148" s="95"/>
      <c r="T148" s="95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  <c r="CG148" s="93"/>
      <c r="CH148" s="93"/>
      <c r="CI148" s="93"/>
      <c r="CJ148" s="93"/>
      <c r="CK148" s="93"/>
      <c r="CL148" s="93"/>
      <c r="CM148" s="93"/>
    </row>
    <row r="149" spans="1:91" x14ac:dyDescent="0.2">
      <c r="A149" s="144"/>
      <c r="B149" s="144"/>
      <c r="C149" s="144"/>
      <c r="D149" s="144"/>
      <c r="E149" s="144"/>
      <c r="F149" s="144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S149" s="95"/>
      <c r="T149" s="95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  <c r="CG149" s="93"/>
      <c r="CH149" s="93"/>
      <c r="CI149" s="93"/>
      <c r="CJ149" s="93"/>
      <c r="CK149" s="93"/>
      <c r="CL149" s="93"/>
      <c r="CM149" s="93"/>
    </row>
    <row r="150" spans="1:91" x14ac:dyDescent="0.2">
      <c r="A150" s="144"/>
      <c r="B150" s="144"/>
      <c r="C150" s="144"/>
      <c r="D150" s="144"/>
      <c r="E150" s="144"/>
      <c r="F150" s="144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S150" s="95"/>
      <c r="T150" s="95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  <c r="CG150" s="93"/>
      <c r="CH150" s="93"/>
      <c r="CI150" s="93"/>
      <c r="CJ150" s="93"/>
      <c r="CK150" s="93"/>
      <c r="CL150" s="93"/>
      <c r="CM150" s="93"/>
    </row>
    <row r="151" spans="1:91" x14ac:dyDescent="0.2">
      <c r="A151" s="144"/>
      <c r="B151" s="144"/>
      <c r="C151" s="144"/>
      <c r="D151" s="144"/>
      <c r="E151" s="144"/>
      <c r="F151" s="144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S151" s="95"/>
      <c r="T151" s="95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  <c r="CG151" s="93"/>
      <c r="CH151" s="93"/>
      <c r="CI151" s="93"/>
      <c r="CJ151" s="93"/>
      <c r="CK151" s="93"/>
      <c r="CL151" s="93"/>
      <c r="CM151" s="93"/>
    </row>
    <row r="152" spans="1:91" x14ac:dyDescent="0.2">
      <c r="A152" s="144"/>
      <c r="B152" s="144"/>
      <c r="C152" s="144"/>
      <c r="D152" s="144"/>
      <c r="E152" s="144"/>
      <c r="F152" s="144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S152" s="95"/>
      <c r="T152" s="95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  <c r="CG152" s="93"/>
      <c r="CH152" s="93"/>
      <c r="CI152" s="93"/>
      <c r="CJ152" s="93"/>
      <c r="CK152" s="93"/>
      <c r="CL152" s="93"/>
      <c r="CM152" s="93"/>
    </row>
    <row r="153" spans="1:91" x14ac:dyDescent="0.2">
      <c r="A153" s="144"/>
      <c r="B153" s="144"/>
      <c r="C153" s="144"/>
      <c r="D153" s="144"/>
      <c r="E153" s="144"/>
      <c r="F153" s="144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S153" s="95"/>
      <c r="T153" s="95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  <c r="CG153" s="93"/>
      <c r="CH153" s="93"/>
      <c r="CI153" s="93"/>
      <c r="CJ153" s="93"/>
      <c r="CK153" s="93"/>
      <c r="CL153" s="93"/>
      <c r="CM153" s="93"/>
    </row>
    <row r="154" spans="1:91" x14ac:dyDescent="0.2">
      <c r="A154" s="144"/>
      <c r="B154" s="144"/>
      <c r="C154" s="144"/>
      <c r="D154" s="144"/>
      <c r="E154" s="144"/>
      <c r="F154" s="144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S154" s="95"/>
      <c r="T154" s="95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/>
      <c r="CH154" s="93"/>
      <c r="CI154" s="93"/>
      <c r="CJ154" s="93"/>
      <c r="CK154" s="93"/>
      <c r="CL154" s="93"/>
      <c r="CM154" s="93"/>
    </row>
    <row r="155" spans="1:91" x14ac:dyDescent="0.2">
      <c r="A155" s="144"/>
      <c r="B155" s="144"/>
      <c r="C155" s="144"/>
      <c r="D155" s="144"/>
      <c r="E155" s="144"/>
      <c r="F155" s="144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S155" s="95"/>
      <c r="T155" s="95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/>
      <c r="CI155" s="93"/>
      <c r="CJ155" s="93"/>
      <c r="CK155" s="93"/>
      <c r="CL155" s="93"/>
      <c r="CM155" s="93"/>
    </row>
    <row r="156" spans="1:91" x14ac:dyDescent="0.2">
      <c r="A156" s="144"/>
      <c r="B156" s="144"/>
      <c r="C156" s="144"/>
      <c r="D156" s="144"/>
      <c r="E156" s="144"/>
      <c r="F156" s="144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S156" s="95"/>
      <c r="T156" s="95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  <c r="CI156" s="93"/>
      <c r="CJ156" s="93"/>
      <c r="CK156" s="93"/>
      <c r="CL156" s="93"/>
      <c r="CM156" s="93"/>
    </row>
    <row r="157" spans="1:91" x14ac:dyDescent="0.2">
      <c r="A157" s="144"/>
      <c r="B157" s="144"/>
      <c r="C157" s="144"/>
      <c r="D157" s="144"/>
      <c r="E157" s="144"/>
      <c r="F157" s="144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S157" s="95"/>
      <c r="T157" s="95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  <c r="CI157" s="93"/>
      <c r="CJ157" s="93"/>
      <c r="CK157" s="93"/>
      <c r="CL157" s="93"/>
      <c r="CM157" s="93"/>
    </row>
    <row r="158" spans="1:91" x14ac:dyDescent="0.2">
      <c r="A158" s="144"/>
      <c r="B158" s="144"/>
      <c r="C158" s="144"/>
      <c r="D158" s="144"/>
      <c r="E158" s="144"/>
      <c r="F158" s="144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S158" s="95"/>
      <c r="T158" s="95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  <c r="CI158" s="93"/>
      <c r="CJ158" s="93"/>
      <c r="CK158" s="93"/>
      <c r="CL158" s="93"/>
      <c r="CM158" s="93"/>
    </row>
    <row r="159" spans="1:91" x14ac:dyDescent="0.2">
      <c r="A159" s="144"/>
      <c r="B159" s="144"/>
      <c r="C159" s="144"/>
      <c r="D159" s="144"/>
      <c r="E159" s="144"/>
      <c r="F159" s="144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S159" s="95"/>
      <c r="T159" s="95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  <c r="CI159" s="93"/>
      <c r="CJ159" s="93"/>
      <c r="CK159" s="93"/>
      <c r="CL159" s="93"/>
      <c r="CM159" s="93"/>
    </row>
    <row r="160" spans="1:91" x14ac:dyDescent="0.2">
      <c r="A160" s="144"/>
      <c r="B160" s="144"/>
      <c r="C160" s="144"/>
      <c r="D160" s="144"/>
      <c r="E160" s="144"/>
      <c r="F160" s="144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S160" s="95"/>
      <c r="T160" s="95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  <c r="CI160" s="93"/>
      <c r="CJ160" s="93"/>
      <c r="CK160" s="93"/>
      <c r="CL160" s="93"/>
      <c r="CM160" s="93"/>
    </row>
    <row r="161" spans="1:91" x14ac:dyDescent="0.2">
      <c r="A161" s="144"/>
      <c r="B161" s="144"/>
      <c r="C161" s="144"/>
      <c r="D161" s="144"/>
      <c r="E161" s="144"/>
      <c r="F161" s="144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S161" s="95"/>
      <c r="T161" s="95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  <c r="CI161" s="93"/>
      <c r="CJ161" s="93"/>
      <c r="CK161" s="93"/>
      <c r="CL161" s="93"/>
      <c r="CM161" s="93"/>
    </row>
    <row r="162" spans="1:91" x14ac:dyDescent="0.2">
      <c r="A162" s="144"/>
      <c r="B162" s="144"/>
      <c r="C162" s="144"/>
      <c r="D162" s="144"/>
      <c r="E162" s="144"/>
      <c r="F162" s="144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S162" s="95"/>
      <c r="T162" s="95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  <c r="CI162" s="93"/>
      <c r="CJ162" s="93"/>
      <c r="CK162" s="93"/>
      <c r="CL162" s="93"/>
      <c r="CM162" s="93"/>
    </row>
    <row r="163" spans="1:91" x14ac:dyDescent="0.2">
      <c r="A163" s="144"/>
      <c r="B163" s="144"/>
      <c r="C163" s="144"/>
      <c r="D163" s="144"/>
      <c r="E163" s="144"/>
      <c r="F163" s="144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S163" s="95"/>
      <c r="T163" s="95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  <c r="CI163" s="93"/>
      <c r="CJ163" s="93"/>
      <c r="CK163" s="93"/>
      <c r="CL163" s="93"/>
      <c r="CM163" s="93"/>
    </row>
    <row r="164" spans="1:91" x14ac:dyDescent="0.2">
      <c r="A164" s="144"/>
      <c r="B164" s="144"/>
      <c r="C164" s="144"/>
      <c r="D164" s="144"/>
      <c r="E164" s="144"/>
      <c r="F164" s="144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S164" s="95"/>
      <c r="T164" s="95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  <c r="CI164" s="93"/>
      <c r="CJ164" s="93"/>
      <c r="CK164" s="93"/>
      <c r="CL164" s="93"/>
      <c r="CM164" s="93"/>
    </row>
    <row r="165" spans="1:91" x14ac:dyDescent="0.2">
      <c r="A165" s="144"/>
      <c r="B165" s="144"/>
      <c r="C165" s="144"/>
      <c r="D165" s="144"/>
      <c r="E165" s="144"/>
      <c r="F165" s="144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S165" s="95"/>
      <c r="T165" s="95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  <c r="CI165" s="93"/>
      <c r="CJ165" s="93"/>
      <c r="CK165" s="93"/>
      <c r="CL165" s="93"/>
      <c r="CM165" s="93"/>
    </row>
    <row r="166" spans="1:91" x14ac:dyDescent="0.2">
      <c r="A166" s="144"/>
      <c r="B166" s="144"/>
      <c r="C166" s="144"/>
      <c r="D166" s="144"/>
      <c r="E166" s="144"/>
      <c r="F166" s="144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S166" s="95"/>
      <c r="T166" s="95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  <c r="CI166" s="93"/>
      <c r="CJ166" s="93"/>
      <c r="CK166" s="93"/>
      <c r="CL166" s="93"/>
      <c r="CM166" s="93"/>
    </row>
    <row r="167" spans="1:91" x14ac:dyDescent="0.2">
      <c r="A167" s="144"/>
      <c r="B167" s="144"/>
      <c r="C167" s="144"/>
      <c r="D167" s="144"/>
      <c r="E167" s="144"/>
      <c r="F167" s="144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S167" s="95"/>
      <c r="T167" s="95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  <c r="CI167" s="93"/>
      <c r="CJ167" s="93"/>
      <c r="CK167" s="93"/>
      <c r="CL167" s="93"/>
      <c r="CM167" s="93"/>
    </row>
    <row r="168" spans="1:91" x14ac:dyDescent="0.2">
      <c r="A168" s="144"/>
      <c r="B168" s="144"/>
      <c r="C168" s="144"/>
      <c r="D168" s="144"/>
      <c r="E168" s="144"/>
      <c r="F168" s="144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S168" s="95"/>
      <c r="T168" s="95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  <c r="CI168" s="93"/>
      <c r="CJ168" s="93"/>
      <c r="CK168" s="93"/>
      <c r="CL168" s="93"/>
      <c r="CM168" s="93"/>
    </row>
    <row r="169" spans="1:91" x14ac:dyDescent="0.2">
      <c r="A169" s="144"/>
      <c r="B169" s="144"/>
      <c r="C169" s="144"/>
      <c r="D169" s="144"/>
      <c r="E169" s="144"/>
      <c r="F169" s="144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S169" s="95"/>
      <c r="T169" s="95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  <c r="CG169" s="93"/>
      <c r="CH169" s="93"/>
      <c r="CI169" s="93"/>
      <c r="CJ169" s="93"/>
      <c r="CK169" s="93"/>
      <c r="CL169" s="93"/>
      <c r="CM169" s="93"/>
    </row>
    <row r="170" spans="1:91" x14ac:dyDescent="0.2">
      <c r="A170" s="144"/>
      <c r="B170" s="144"/>
      <c r="C170" s="144"/>
      <c r="D170" s="144"/>
      <c r="E170" s="144"/>
      <c r="F170" s="144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S170" s="95"/>
      <c r="T170" s="95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  <c r="CG170" s="93"/>
      <c r="CH170" s="93"/>
      <c r="CI170" s="93"/>
      <c r="CJ170" s="93"/>
      <c r="CK170" s="93"/>
      <c r="CL170" s="93"/>
      <c r="CM170" s="93"/>
    </row>
    <row r="171" spans="1:91" x14ac:dyDescent="0.2">
      <c r="A171" s="144"/>
      <c r="B171" s="144"/>
      <c r="C171" s="144"/>
      <c r="D171" s="144"/>
      <c r="E171" s="144"/>
      <c r="F171" s="144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S171" s="95"/>
      <c r="T171" s="95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  <c r="CG171" s="93"/>
      <c r="CH171" s="93"/>
      <c r="CI171" s="93"/>
      <c r="CJ171" s="93"/>
      <c r="CK171" s="93"/>
      <c r="CL171" s="93"/>
      <c r="CM171" s="93"/>
    </row>
    <row r="172" spans="1:91" x14ac:dyDescent="0.2">
      <c r="A172" s="144"/>
      <c r="B172" s="144"/>
      <c r="C172" s="144"/>
      <c r="D172" s="144"/>
      <c r="E172" s="144"/>
      <c r="F172" s="144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S172" s="95"/>
      <c r="T172" s="95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  <c r="CG172" s="93"/>
      <c r="CH172" s="93"/>
      <c r="CI172" s="93"/>
      <c r="CJ172" s="93"/>
      <c r="CK172" s="93"/>
      <c r="CL172" s="93"/>
      <c r="CM172" s="93"/>
    </row>
    <row r="173" spans="1:91" x14ac:dyDescent="0.2">
      <c r="A173" s="144"/>
      <c r="B173" s="144"/>
      <c r="C173" s="144"/>
      <c r="D173" s="144"/>
      <c r="E173" s="144"/>
      <c r="F173" s="144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S173" s="95"/>
      <c r="T173" s="95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  <c r="CG173" s="93"/>
      <c r="CH173" s="93"/>
      <c r="CI173" s="93"/>
      <c r="CJ173" s="93"/>
      <c r="CK173" s="93"/>
      <c r="CL173" s="93"/>
      <c r="CM173" s="93"/>
    </row>
    <row r="174" spans="1:91" x14ac:dyDescent="0.2">
      <c r="A174" s="144"/>
      <c r="B174" s="144"/>
      <c r="C174" s="144"/>
      <c r="D174" s="144"/>
      <c r="E174" s="144"/>
      <c r="F174" s="144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S174" s="95"/>
      <c r="T174" s="95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  <c r="CI174" s="93"/>
      <c r="CJ174" s="93"/>
      <c r="CK174" s="93"/>
      <c r="CL174" s="93"/>
      <c r="CM174" s="93"/>
    </row>
    <row r="175" spans="1:91" x14ac:dyDescent="0.2">
      <c r="A175" s="144"/>
      <c r="B175" s="144"/>
      <c r="C175" s="144"/>
      <c r="D175" s="144"/>
      <c r="E175" s="144"/>
      <c r="F175" s="144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S175" s="95"/>
      <c r="T175" s="95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  <c r="CG175" s="93"/>
      <c r="CH175" s="93"/>
      <c r="CI175" s="93"/>
      <c r="CJ175" s="93"/>
      <c r="CK175" s="93"/>
      <c r="CL175" s="93"/>
      <c r="CM175" s="93"/>
    </row>
    <row r="176" spans="1:91" x14ac:dyDescent="0.2">
      <c r="A176" s="144"/>
      <c r="B176" s="144"/>
      <c r="C176" s="144"/>
      <c r="D176" s="144"/>
      <c r="E176" s="144"/>
      <c r="F176" s="144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S176" s="95"/>
      <c r="T176" s="95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  <c r="CI176" s="93"/>
      <c r="CJ176" s="93"/>
      <c r="CK176" s="93"/>
      <c r="CL176" s="93"/>
      <c r="CM176" s="93"/>
    </row>
    <row r="177" spans="1:91" x14ac:dyDescent="0.2">
      <c r="A177" s="144"/>
      <c r="B177" s="144"/>
      <c r="C177" s="144"/>
      <c r="D177" s="144"/>
      <c r="E177" s="144"/>
      <c r="F177" s="144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S177" s="95"/>
      <c r="T177" s="95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3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  <c r="CG177" s="93"/>
      <c r="CH177" s="93"/>
      <c r="CI177" s="93"/>
      <c r="CJ177" s="93"/>
      <c r="CK177" s="93"/>
      <c r="CL177" s="93"/>
      <c r="CM177" s="93"/>
    </row>
    <row r="178" spans="1:91" x14ac:dyDescent="0.2">
      <c r="A178" s="144"/>
      <c r="B178" s="144"/>
      <c r="C178" s="144"/>
      <c r="D178" s="144"/>
      <c r="E178" s="144"/>
      <c r="F178" s="144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S178" s="95"/>
      <c r="T178" s="95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  <c r="CG178" s="93"/>
      <c r="CH178" s="93"/>
      <c r="CI178" s="93"/>
      <c r="CJ178" s="93"/>
      <c r="CK178" s="93"/>
      <c r="CL178" s="93"/>
      <c r="CM178" s="93"/>
    </row>
    <row r="179" spans="1:91" x14ac:dyDescent="0.2">
      <c r="A179" s="144"/>
      <c r="B179" s="144"/>
      <c r="C179" s="144"/>
      <c r="D179" s="144"/>
      <c r="E179" s="144"/>
      <c r="F179" s="144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S179" s="95"/>
      <c r="T179" s="95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3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  <c r="CG179" s="93"/>
      <c r="CH179" s="93"/>
      <c r="CI179" s="93"/>
      <c r="CJ179" s="93"/>
      <c r="CK179" s="93"/>
      <c r="CL179" s="93"/>
      <c r="CM179" s="93"/>
    </row>
    <row r="180" spans="1:91" x14ac:dyDescent="0.2">
      <c r="A180" s="144"/>
      <c r="B180" s="144"/>
      <c r="C180" s="144"/>
      <c r="D180" s="144"/>
      <c r="E180" s="144"/>
      <c r="F180" s="144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S180" s="95"/>
      <c r="T180" s="95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3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  <c r="CG180" s="93"/>
      <c r="CH180" s="93"/>
      <c r="CI180" s="93"/>
      <c r="CJ180" s="93"/>
      <c r="CK180" s="93"/>
      <c r="CL180" s="93"/>
      <c r="CM180" s="93"/>
    </row>
    <row r="181" spans="1:91" x14ac:dyDescent="0.2">
      <c r="A181" s="144"/>
      <c r="B181" s="144"/>
      <c r="C181" s="144"/>
      <c r="D181" s="144"/>
      <c r="E181" s="144"/>
      <c r="F181" s="144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S181" s="95"/>
      <c r="T181" s="95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</row>
    <row r="182" spans="1:91" x14ac:dyDescent="0.2">
      <c r="A182" s="144"/>
      <c r="B182" s="144"/>
      <c r="C182" s="144"/>
      <c r="D182" s="144"/>
      <c r="E182" s="144"/>
      <c r="F182" s="144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S182" s="95"/>
      <c r="T182" s="95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  <c r="CI182" s="93"/>
      <c r="CJ182" s="93"/>
      <c r="CK182" s="93"/>
      <c r="CL182" s="93"/>
      <c r="CM182" s="93"/>
    </row>
    <row r="183" spans="1:91" x14ac:dyDescent="0.2">
      <c r="A183" s="144"/>
      <c r="B183" s="144"/>
      <c r="C183" s="144"/>
      <c r="D183" s="144"/>
      <c r="E183" s="144"/>
      <c r="F183" s="144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S183" s="95"/>
      <c r="T183" s="95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  <c r="CI183" s="93"/>
      <c r="CJ183" s="93"/>
      <c r="CK183" s="93"/>
      <c r="CL183" s="93"/>
      <c r="CM183" s="93"/>
    </row>
    <row r="184" spans="1:91" x14ac:dyDescent="0.2">
      <c r="A184" s="144"/>
      <c r="B184" s="144"/>
      <c r="C184" s="144"/>
      <c r="D184" s="144"/>
      <c r="E184" s="144"/>
      <c r="F184" s="144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S184" s="95"/>
      <c r="T184" s="95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  <c r="CI184" s="93"/>
      <c r="CJ184" s="93"/>
      <c r="CK184" s="93"/>
      <c r="CL184" s="93"/>
      <c r="CM184" s="93"/>
    </row>
    <row r="185" spans="1:91" x14ac:dyDescent="0.2">
      <c r="A185" s="144"/>
      <c r="B185" s="144"/>
      <c r="C185" s="144"/>
      <c r="D185" s="144"/>
      <c r="E185" s="144"/>
      <c r="F185" s="144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S185" s="95"/>
      <c r="T185" s="95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</row>
    <row r="186" spans="1:91" x14ac:dyDescent="0.2">
      <c r="A186" s="144"/>
      <c r="B186" s="144"/>
      <c r="C186" s="144"/>
      <c r="D186" s="144"/>
      <c r="E186" s="144"/>
      <c r="F186" s="144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S186" s="95"/>
      <c r="T186" s="95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</row>
    <row r="187" spans="1:91" x14ac:dyDescent="0.2">
      <c r="A187" s="144"/>
      <c r="B187" s="144"/>
      <c r="C187" s="144"/>
      <c r="D187" s="144"/>
      <c r="E187" s="144"/>
      <c r="F187" s="144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S187" s="95"/>
      <c r="T187" s="95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</row>
    <row r="188" spans="1:91" x14ac:dyDescent="0.2">
      <c r="A188" s="144"/>
      <c r="B188" s="144"/>
      <c r="C188" s="144"/>
      <c r="D188" s="144"/>
      <c r="E188" s="144"/>
      <c r="F188" s="144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S188" s="95"/>
      <c r="T188" s="95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</row>
    <row r="189" spans="1:91" x14ac:dyDescent="0.2">
      <c r="A189" s="144"/>
      <c r="B189" s="144"/>
      <c r="C189" s="144"/>
      <c r="D189" s="144"/>
      <c r="E189" s="144"/>
      <c r="F189" s="144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S189" s="95"/>
      <c r="T189" s="95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</row>
    <row r="190" spans="1:91" x14ac:dyDescent="0.2">
      <c r="A190" s="144"/>
      <c r="B190" s="144"/>
      <c r="C190" s="144"/>
      <c r="D190" s="144"/>
      <c r="E190" s="144"/>
      <c r="F190" s="144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S190" s="95"/>
      <c r="T190" s="95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</row>
    <row r="191" spans="1:91" x14ac:dyDescent="0.2">
      <c r="A191" s="144"/>
      <c r="B191" s="144"/>
      <c r="C191" s="144"/>
      <c r="D191" s="144"/>
      <c r="E191" s="144"/>
      <c r="F191" s="144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S191" s="95"/>
      <c r="T191" s="95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  <c r="CI191" s="93"/>
      <c r="CJ191" s="93"/>
      <c r="CK191" s="93"/>
      <c r="CL191" s="93"/>
      <c r="CM191" s="93"/>
    </row>
    <row r="192" spans="1:91" x14ac:dyDescent="0.2">
      <c r="A192" s="144"/>
      <c r="B192" s="144"/>
      <c r="C192" s="144"/>
      <c r="D192" s="144"/>
      <c r="E192" s="144"/>
      <c r="F192" s="144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S192" s="95"/>
      <c r="T192" s="95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</row>
    <row r="193" spans="1:91" x14ac:dyDescent="0.2">
      <c r="A193" s="144"/>
      <c r="B193" s="144"/>
      <c r="C193" s="144"/>
      <c r="D193" s="144"/>
      <c r="E193" s="144"/>
      <c r="F193" s="144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S193" s="95"/>
      <c r="T193" s="95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</row>
    <row r="194" spans="1:91" x14ac:dyDescent="0.2">
      <c r="A194" s="144"/>
      <c r="B194" s="144"/>
      <c r="C194" s="144"/>
      <c r="D194" s="144"/>
      <c r="E194" s="144"/>
      <c r="F194" s="144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S194" s="95"/>
      <c r="T194" s="95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</row>
    <row r="195" spans="1:91" x14ac:dyDescent="0.2">
      <c r="A195" s="144"/>
      <c r="B195" s="144"/>
      <c r="C195" s="144"/>
      <c r="D195" s="144"/>
      <c r="E195" s="144"/>
      <c r="F195" s="144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S195" s="95"/>
      <c r="T195" s="95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</row>
    <row r="196" spans="1:91" x14ac:dyDescent="0.2">
      <c r="A196" s="144"/>
      <c r="B196" s="144"/>
      <c r="C196" s="144"/>
      <c r="D196" s="144"/>
      <c r="E196" s="144"/>
      <c r="F196" s="144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S196" s="95"/>
      <c r="T196" s="95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</row>
    <row r="197" spans="1:91" x14ac:dyDescent="0.2">
      <c r="A197" s="144"/>
      <c r="B197" s="144"/>
      <c r="C197" s="144"/>
      <c r="D197" s="144"/>
      <c r="E197" s="144"/>
      <c r="F197" s="144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S197" s="95"/>
      <c r="T197" s="95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  <c r="CI197" s="93"/>
      <c r="CJ197" s="93"/>
      <c r="CK197" s="93"/>
      <c r="CL197" s="93"/>
      <c r="CM197" s="93"/>
    </row>
    <row r="198" spans="1:91" x14ac:dyDescent="0.2">
      <c r="A198" s="144"/>
      <c r="B198" s="144"/>
      <c r="C198" s="144"/>
      <c r="D198" s="144"/>
      <c r="E198" s="144"/>
      <c r="F198" s="144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S198" s="95"/>
      <c r="T198" s="95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  <c r="CI198" s="93"/>
      <c r="CJ198" s="93"/>
      <c r="CK198" s="93"/>
      <c r="CL198" s="93"/>
      <c r="CM198" s="93"/>
    </row>
    <row r="199" spans="1:91" x14ac:dyDescent="0.2">
      <c r="A199" s="144"/>
      <c r="B199" s="144"/>
      <c r="C199" s="144"/>
      <c r="D199" s="144"/>
      <c r="E199" s="144"/>
      <c r="F199" s="144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S199" s="95"/>
      <c r="T199" s="95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  <c r="CI199" s="93"/>
      <c r="CJ199" s="93"/>
      <c r="CK199" s="93"/>
      <c r="CL199" s="93"/>
      <c r="CM199" s="93"/>
    </row>
    <row r="200" spans="1:91" x14ac:dyDescent="0.2">
      <c r="A200" s="144"/>
      <c r="B200" s="144"/>
      <c r="C200" s="144"/>
      <c r="D200" s="144"/>
      <c r="E200" s="144"/>
      <c r="F200" s="144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S200" s="95"/>
      <c r="T200" s="95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</row>
    <row r="201" spans="1:91" x14ac:dyDescent="0.2">
      <c r="A201" s="144"/>
      <c r="B201" s="144"/>
      <c r="C201" s="144"/>
      <c r="D201" s="144"/>
      <c r="E201" s="144"/>
      <c r="F201" s="144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S201" s="95"/>
      <c r="T201" s="95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</row>
    <row r="202" spans="1:91" x14ac:dyDescent="0.2">
      <c r="A202" s="144"/>
      <c r="B202" s="144"/>
      <c r="C202" s="144"/>
      <c r="D202" s="144"/>
      <c r="E202" s="144"/>
      <c r="F202" s="144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S202" s="95"/>
      <c r="T202" s="95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</row>
    <row r="203" spans="1:91" x14ac:dyDescent="0.2">
      <c r="A203" s="144"/>
      <c r="B203" s="144"/>
      <c r="C203" s="144"/>
      <c r="D203" s="144"/>
      <c r="E203" s="144"/>
      <c r="F203" s="144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S203" s="95"/>
      <c r="T203" s="95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  <c r="CI203" s="93"/>
      <c r="CJ203" s="93"/>
      <c r="CK203" s="93"/>
      <c r="CL203" s="93"/>
      <c r="CM203" s="93"/>
    </row>
    <row r="204" spans="1:91" x14ac:dyDescent="0.2">
      <c r="A204" s="144"/>
      <c r="B204" s="144"/>
      <c r="C204" s="144"/>
      <c r="D204" s="144"/>
      <c r="E204" s="144"/>
      <c r="F204" s="144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S204" s="95"/>
      <c r="T204" s="95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  <c r="CI204" s="93"/>
      <c r="CJ204" s="93"/>
      <c r="CK204" s="93"/>
      <c r="CL204" s="93"/>
      <c r="CM204" s="93"/>
    </row>
    <row r="205" spans="1:91" x14ac:dyDescent="0.2">
      <c r="A205" s="144"/>
      <c r="B205" s="144"/>
      <c r="C205" s="144"/>
      <c r="D205" s="144"/>
      <c r="E205" s="144"/>
      <c r="F205" s="144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S205" s="95"/>
      <c r="T205" s="95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  <c r="CI205" s="93"/>
      <c r="CJ205" s="93"/>
      <c r="CK205" s="93"/>
      <c r="CL205" s="93"/>
      <c r="CM205" s="93"/>
    </row>
    <row r="206" spans="1:91" x14ac:dyDescent="0.2">
      <c r="A206" s="144"/>
      <c r="B206" s="144"/>
      <c r="C206" s="144"/>
      <c r="D206" s="144"/>
      <c r="E206" s="144"/>
      <c r="F206" s="144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S206" s="95"/>
      <c r="T206" s="95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  <c r="CI206" s="93"/>
      <c r="CJ206" s="93"/>
      <c r="CK206" s="93"/>
      <c r="CL206" s="93"/>
      <c r="CM206" s="93"/>
    </row>
    <row r="207" spans="1:91" x14ac:dyDescent="0.2">
      <c r="A207" s="144"/>
      <c r="B207" s="144"/>
      <c r="C207" s="144"/>
      <c r="D207" s="144"/>
      <c r="E207" s="144"/>
      <c r="F207" s="144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S207" s="95"/>
      <c r="T207" s="95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</row>
    <row r="208" spans="1:91" x14ac:dyDescent="0.2">
      <c r="A208" s="144"/>
      <c r="B208" s="144"/>
      <c r="C208" s="144"/>
      <c r="D208" s="144"/>
      <c r="E208" s="144"/>
      <c r="F208" s="144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S208" s="95"/>
      <c r="T208" s="95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</row>
    <row r="209" spans="1:91" x14ac:dyDescent="0.2">
      <c r="A209" s="144"/>
      <c r="B209" s="144"/>
      <c r="C209" s="144"/>
      <c r="D209" s="144"/>
      <c r="E209" s="144"/>
      <c r="F209" s="144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S209" s="95"/>
      <c r="T209" s="95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</row>
    <row r="210" spans="1:91" x14ac:dyDescent="0.2">
      <c r="A210" s="144"/>
      <c r="B210" s="144"/>
      <c r="C210" s="144"/>
      <c r="D210" s="144"/>
      <c r="E210" s="144"/>
      <c r="F210" s="144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S210" s="95"/>
      <c r="T210" s="95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</row>
    <row r="211" spans="1:91" x14ac:dyDescent="0.2">
      <c r="A211" s="144"/>
      <c r="B211" s="144"/>
      <c r="C211" s="144"/>
      <c r="D211" s="144"/>
      <c r="E211" s="144"/>
      <c r="F211" s="144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S211" s="95"/>
      <c r="T211" s="95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</row>
    <row r="212" spans="1:91" x14ac:dyDescent="0.2">
      <c r="A212" s="144"/>
      <c r="B212" s="144"/>
      <c r="C212" s="144"/>
      <c r="D212" s="144"/>
      <c r="E212" s="144"/>
      <c r="F212" s="144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S212" s="95"/>
      <c r="T212" s="95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</row>
    <row r="213" spans="1:91" x14ac:dyDescent="0.2">
      <c r="A213" s="144"/>
      <c r="B213" s="144"/>
      <c r="C213" s="144"/>
      <c r="D213" s="144"/>
      <c r="E213" s="144"/>
      <c r="F213" s="144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S213" s="95"/>
      <c r="T213" s="95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  <c r="CI213" s="93"/>
      <c r="CJ213" s="93"/>
      <c r="CK213" s="93"/>
      <c r="CL213" s="93"/>
      <c r="CM213" s="93"/>
    </row>
    <row r="214" spans="1:91" x14ac:dyDescent="0.2">
      <c r="A214" s="144"/>
      <c r="B214" s="144"/>
      <c r="C214" s="144"/>
      <c r="D214" s="144"/>
      <c r="E214" s="144"/>
      <c r="F214" s="144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S214" s="95"/>
      <c r="T214" s="95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  <c r="CI214" s="93"/>
      <c r="CJ214" s="93"/>
      <c r="CK214" s="93"/>
      <c r="CL214" s="93"/>
      <c r="CM214" s="93"/>
    </row>
    <row r="215" spans="1:91" x14ac:dyDescent="0.2">
      <c r="A215" s="144"/>
      <c r="B215" s="144"/>
      <c r="C215" s="144"/>
      <c r="D215" s="144"/>
      <c r="E215" s="144"/>
      <c r="F215" s="144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S215" s="95"/>
      <c r="T215" s="95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  <c r="CI215" s="93"/>
      <c r="CJ215" s="93"/>
      <c r="CK215" s="93"/>
      <c r="CL215" s="93"/>
      <c r="CM215" s="93"/>
    </row>
    <row r="216" spans="1:91" x14ac:dyDescent="0.2">
      <c r="A216" s="144"/>
      <c r="B216" s="144"/>
      <c r="C216" s="144"/>
      <c r="D216" s="144"/>
      <c r="E216" s="144"/>
      <c r="F216" s="144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S216" s="95"/>
      <c r="T216" s="95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  <c r="CI216" s="93"/>
      <c r="CJ216" s="93"/>
      <c r="CK216" s="93"/>
      <c r="CL216" s="93"/>
      <c r="CM216" s="93"/>
    </row>
    <row r="217" spans="1:91" x14ac:dyDescent="0.2">
      <c r="A217" s="144"/>
      <c r="B217" s="144"/>
      <c r="C217" s="144"/>
      <c r="D217" s="144"/>
      <c r="E217" s="144"/>
      <c r="F217" s="144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S217" s="95"/>
      <c r="T217" s="95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  <c r="CI217" s="93"/>
      <c r="CJ217" s="93"/>
      <c r="CK217" s="93"/>
      <c r="CL217" s="93"/>
      <c r="CM217" s="93"/>
    </row>
    <row r="218" spans="1:91" x14ac:dyDescent="0.2">
      <c r="A218" s="144"/>
      <c r="B218" s="144"/>
      <c r="C218" s="144"/>
      <c r="D218" s="144"/>
      <c r="E218" s="144"/>
      <c r="F218" s="144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S218" s="95"/>
      <c r="T218" s="95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  <c r="CI218" s="93"/>
      <c r="CJ218" s="93"/>
      <c r="CK218" s="93"/>
      <c r="CL218" s="93"/>
      <c r="CM218" s="93"/>
    </row>
    <row r="219" spans="1:91" x14ac:dyDescent="0.2">
      <c r="A219" s="144"/>
      <c r="B219" s="144"/>
      <c r="C219" s="144"/>
      <c r="D219" s="144"/>
      <c r="E219" s="144"/>
      <c r="F219" s="144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S219" s="95"/>
      <c r="T219" s="95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</row>
    <row r="220" spans="1:91" x14ac:dyDescent="0.2">
      <c r="A220" s="144"/>
      <c r="B220" s="144"/>
      <c r="C220" s="144"/>
      <c r="D220" s="144"/>
      <c r="E220" s="144"/>
      <c r="F220" s="144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S220" s="95"/>
      <c r="T220" s="95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  <c r="CI220" s="93"/>
      <c r="CJ220" s="93"/>
      <c r="CK220" s="93"/>
      <c r="CL220" s="93"/>
      <c r="CM220" s="93"/>
    </row>
    <row r="221" spans="1:91" x14ac:dyDescent="0.2">
      <c r="A221" s="144"/>
      <c r="B221" s="144"/>
      <c r="C221" s="144"/>
      <c r="D221" s="144"/>
      <c r="E221" s="144"/>
      <c r="F221" s="144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S221" s="95"/>
      <c r="T221" s="95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  <c r="CI221" s="93"/>
      <c r="CJ221" s="93"/>
      <c r="CK221" s="93"/>
      <c r="CL221" s="93"/>
      <c r="CM221" s="93"/>
    </row>
    <row r="222" spans="1:91" x14ac:dyDescent="0.2">
      <c r="A222" s="144"/>
      <c r="B222" s="144"/>
      <c r="C222" s="144"/>
      <c r="D222" s="144"/>
      <c r="E222" s="144"/>
      <c r="F222" s="144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S222" s="95"/>
      <c r="T222" s="95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</row>
    <row r="223" spans="1:91" x14ac:dyDescent="0.2">
      <c r="A223" s="144"/>
      <c r="B223" s="144"/>
      <c r="C223" s="144"/>
      <c r="D223" s="144"/>
      <c r="E223" s="144"/>
      <c r="F223" s="144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S223" s="95"/>
      <c r="T223" s="95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</row>
    <row r="224" spans="1:91" x14ac:dyDescent="0.2">
      <c r="A224" s="144"/>
      <c r="B224" s="144"/>
      <c r="C224" s="144"/>
      <c r="D224" s="144"/>
      <c r="E224" s="144"/>
      <c r="F224" s="144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S224" s="95"/>
      <c r="T224" s="95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  <c r="CI224" s="93"/>
      <c r="CJ224" s="93"/>
      <c r="CK224" s="93"/>
      <c r="CL224" s="93"/>
      <c r="CM224" s="93"/>
    </row>
    <row r="225" spans="1:91" x14ac:dyDescent="0.2">
      <c r="A225" s="144"/>
      <c r="B225" s="144"/>
      <c r="C225" s="144"/>
      <c r="D225" s="144"/>
      <c r="E225" s="144"/>
      <c r="F225" s="144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S225" s="95"/>
      <c r="T225" s="95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  <c r="CI225" s="93"/>
      <c r="CJ225" s="93"/>
      <c r="CK225" s="93"/>
      <c r="CL225" s="93"/>
      <c r="CM225" s="93"/>
    </row>
    <row r="226" spans="1:91" x14ac:dyDescent="0.2">
      <c r="A226" s="144"/>
      <c r="B226" s="144"/>
      <c r="C226" s="144"/>
      <c r="D226" s="144"/>
      <c r="E226" s="144"/>
      <c r="F226" s="144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S226" s="95"/>
      <c r="T226" s="95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</row>
    <row r="227" spans="1:91" x14ac:dyDescent="0.2">
      <c r="A227" s="144"/>
      <c r="B227" s="144"/>
      <c r="C227" s="144"/>
      <c r="D227" s="144"/>
      <c r="E227" s="144"/>
      <c r="F227" s="144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S227" s="95"/>
      <c r="T227" s="95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  <c r="CI227" s="93"/>
      <c r="CJ227" s="93"/>
      <c r="CK227" s="93"/>
      <c r="CL227" s="93"/>
      <c r="CM227" s="93"/>
    </row>
    <row r="228" spans="1:91" x14ac:dyDescent="0.2">
      <c r="A228" s="144"/>
      <c r="B228" s="144"/>
      <c r="C228" s="144"/>
      <c r="D228" s="144"/>
      <c r="E228" s="144"/>
      <c r="F228" s="144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S228" s="95"/>
      <c r="T228" s="95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  <c r="CG228" s="93"/>
      <c r="CH228" s="93"/>
      <c r="CI228" s="93"/>
      <c r="CJ228" s="93"/>
      <c r="CK228" s="93"/>
      <c r="CL228" s="93"/>
      <c r="CM228" s="93"/>
    </row>
    <row r="229" spans="1:91" x14ac:dyDescent="0.2">
      <c r="A229" s="144"/>
      <c r="B229" s="144"/>
      <c r="C229" s="144"/>
      <c r="D229" s="144"/>
      <c r="E229" s="144"/>
      <c r="F229" s="144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S229" s="95"/>
      <c r="T229" s="95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/>
      <c r="AT229" s="93"/>
      <c r="AU229" s="93"/>
      <c r="AV229" s="93"/>
      <c r="AW229" s="93"/>
      <c r="AX229" s="93"/>
      <c r="AY229" s="93"/>
      <c r="AZ229" s="93"/>
      <c r="BA229" s="93"/>
      <c r="BB229" s="93"/>
      <c r="BC229" s="93"/>
      <c r="BD229" s="93"/>
      <c r="BE229" s="93"/>
      <c r="BF229" s="93"/>
      <c r="BG229" s="93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  <c r="CG229" s="93"/>
      <c r="CH229" s="93"/>
      <c r="CI229" s="93"/>
      <c r="CJ229" s="93"/>
      <c r="CK229" s="93"/>
      <c r="CL229" s="93"/>
      <c r="CM229" s="93"/>
    </row>
    <row r="230" spans="1:91" x14ac:dyDescent="0.2">
      <c r="A230" s="144"/>
      <c r="B230" s="144"/>
      <c r="C230" s="144"/>
      <c r="D230" s="144"/>
      <c r="E230" s="144"/>
      <c r="F230" s="144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S230" s="95"/>
      <c r="T230" s="95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  <c r="CI230" s="93"/>
      <c r="CJ230" s="93"/>
      <c r="CK230" s="93"/>
      <c r="CL230" s="93"/>
      <c r="CM230" s="93"/>
    </row>
    <row r="231" spans="1:91" x14ac:dyDescent="0.2">
      <c r="A231" s="144"/>
      <c r="B231" s="144"/>
      <c r="C231" s="144"/>
      <c r="D231" s="144"/>
      <c r="E231" s="144"/>
      <c r="F231" s="144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S231" s="95"/>
      <c r="T231" s="95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</row>
    <row r="232" spans="1:91" x14ac:dyDescent="0.2">
      <c r="A232" s="144"/>
      <c r="B232" s="144"/>
      <c r="C232" s="144"/>
      <c r="D232" s="144"/>
      <c r="E232" s="144"/>
      <c r="F232" s="144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S232" s="95"/>
      <c r="T232" s="95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  <c r="CI232" s="93"/>
      <c r="CJ232" s="93"/>
      <c r="CK232" s="93"/>
      <c r="CL232" s="93"/>
      <c r="CM232" s="93"/>
    </row>
    <row r="233" spans="1:91" x14ac:dyDescent="0.2">
      <c r="A233" s="144"/>
      <c r="B233" s="144"/>
      <c r="C233" s="144"/>
      <c r="D233" s="144"/>
      <c r="E233" s="144"/>
      <c r="F233" s="144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S233" s="95"/>
      <c r="T233" s="95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  <c r="CI233" s="93"/>
      <c r="CJ233" s="93"/>
      <c r="CK233" s="93"/>
      <c r="CL233" s="93"/>
      <c r="CM233" s="93"/>
    </row>
    <row r="234" spans="1:91" x14ac:dyDescent="0.2">
      <c r="A234" s="144"/>
      <c r="B234" s="144"/>
      <c r="C234" s="144"/>
      <c r="D234" s="144"/>
      <c r="E234" s="144"/>
      <c r="F234" s="144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S234" s="95"/>
      <c r="T234" s="95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  <c r="CG234" s="93"/>
      <c r="CH234" s="93"/>
      <c r="CI234" s="93"/>
      <c r="CJ234" s="93"/>
      <c r="CK234" s="93"/>
      <c r="CL234" s="93"/>
      <c r="CM234" s="93"/>
    </row>
    <row r="235" spans="1:91" x14ac:dyDescent="0.2">
      <c r="A235" s="144"/>
      <c r="B235" s="144"/>
      <c r="C235" s="144"/>
      <c r="D235" s="144"/>
      <c r="E235" s="144"/>
      <c r="F235" s="144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S235" s="95"/>
      <c r="T235" s="95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  <c r="CI235" s="93"/>
      <c r="CJ235" s="93"/>
      <c r="CK235" s="93"/>
      <c r="CL235" s="93"/>
      <c r="CM235" s="93"/>
    </row>
    <row r="236" spans="1:91" x14ac:dyDescent="0.2">
      <c r="A236" s="144"/>
      <c r="B236" s="144"/>
      <c r="C236" s="144"/>
      <c r="D236" s="144"/>
      <c r="E236" s="144"/>
      <c r="F236" s="144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S236" s="95"/>
      <c r="T236" s="95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  <c r="CG236" s="93"/>
      <c r="CH236" s="93"/>
      <c r="CI236" s="93"/>
      <c r="CJ236" s="93"/>
      <c r="CK236" s="93"/>
      <c r="CL236" s="93"/>
      <c r="CM236" s="93"/>
    </row>
    <row r="237" spans="1:91" x14ac:dyDescent="0.2">
      <c r="A237" s="144"/>
      <c r="B237" s="144"/>
      <c r="C237" s="144"/>
      <c r="D237" s="144"/>
      <c r="E237" s="144"/>
      <c r="F237" s="144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S237" s="95"/>
      <c r="T237" s="95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  <c r="AQ237" s="93"/>
      <c r="AR237" s="93"/>
      <c r="AS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  <c r="CI237" s="93"/>
      <c r="CJ237" s="93"/>
      <c r="CK237" s="93"/>
      <c r="CL237" s="93"/>
      <c r="CM237" s="93"/>
    </row>
    <row r="238" spans="1:91" x14ac:dyDescent="0.2">
      <c r="A238" s="144"/>
      <c r="B238" s="144"/>
      <c r="C238" s="144"/>
      <c r="D238" s="144"/>
      <c r="E238" s="144"/>
      <c r="F238" s="144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S238" s="95"/>
      <c r="T238" s="95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  <c r="AQ238" s="93"/>
      <c r="AR238" s="93"/>
      <c r="AS238" s="93"/>
      <c r="AT238" s="93"/>
      <c r="AU238" s="93"/>
      <c r="AV238" s="93"/>
      <c r="AW238" s="93"/>
      <c r="AX238" s="93"/>
      <c r="AY238" s="93"/>
      <c r="AZ238" s="93"/>
      <c r="BA238" s="93"/>
      <c r="BB238" s="93"/>
      <c r="BC238" s="93"/>
      <c r="BD238" s="93"/>
      <c r="BE238" s="93"/>
      <c r="BF238" s="93"/>
      <c r="BG238" s="93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  <c r="CG238" s="93"/>
      <c r="CH238" s="93"/>
      <c r="CI238" s="93"/>
      <c r="CJ238" s="93"/>
      <c r="CK238" s="93"/>
      <c r="CL238" s="93"/>
      <c r="CM238" s="93"/>
    </row>
    <row r="239" spans="1:91" x14ac:dyDescent="0.2">
      <c r="A239" s="144"/>
      <c r="B239" s="144"/>
      <c r="C239" s="144"/>
      <c r="D239" s="144"/>
      <c r="E239" s="144"/>
      <c r="F239" s="144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S239" s="95"/>
      <c r="T239" s="95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  <c r="AP239" s="93"/>
      <c r="AQ239" s="93"/>
      <c r="AR239" s="93"/>
      <c r="AS239" s="93"/>
      <c r="AT239" s="93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  <c r="CI239" s="93"/>
      <c r="CJ239" s="93"/>
      <c r="CK239" s="93"/>
      <c r="CL239" s="93"/>
      <c r="CM239" s="93"/>
    </row>
    <row r="240" spans="1:91" x14ac:dyDescent="0.2">
      <c r="A240" s="144"/>
      <c r="B240" s="144"/>
      <c r="C240" s="144"/>
      <c r="D240" s="144"/>
      <c r="E240" s="144"/>
      <c r="F240" s="144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S240" s="95"/>
      <c r="T240" s="95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  <c r="AR240" s="93"/>
      <c r="AS240" s="93"/>
      <c r="AT240" s="93"/>
      <c r="AU240" s="93"/>
      <c r="AV240" s="93"/>
      <c r="AW240" s="93"/>
      <c r="AX240" s="93"/>
      <c r="AY240" s="93"/>
      <c r="AZ240" s="93"/>
      <c r="BA240" s="93"/>
      <c r="BB240" s="93"/>
      <c r="BC240" s="93"/>
      <c r="BD240" s="93"/>
      <c r="BE240" s="93"/>
      <c r="BF240" s="93"/>
      <c r="BG240" s="93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  <c r="CG240" s="93"/>
      <c r="CH240" s="93"/>
      <c r="CI240" s="93"/>
      <c r="CJ240" s="93"/>
      <c r="CK240" s="93"/>
      <c r="CL240" s="93"/>
      <c r="CM240" s="93"/>
    </row>
    <row r="241" spans="1:91" x14ac:dyDescent="0.2">
      <c r="A241" s="144"/>
      <c r="B241" s="144"/>
      <c r="C241" s="144"/>
      <c r="D241" s="144"/>
      <c r="E241" s="144"/>
      <c r="F241" s="144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S241" s="95"/>
      <c r="T241" s="95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  <c r="AS241" s="93"/>
      <c r="AT241" s="93"/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  <c r="CI241" s="93"/>
      <c r="CJ241" s="93"/>
      <c r="CK241" s="93"/>
      <c r="CL241" s="93"/>
      <c r="CM241" s="93"/>
    </row>
    <row r="242" spans="1:91" x14ac:dyDescent="0.2">
      <c r="A242" s="144"/>
      <c r="B242" s="144"/>
      <c r="C242" s="144"/>
      <c r="D242" s="144"/>
      <c r="E242" s="144"/>
      <c r="F242" s="144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S242" s="95"/>
      <c r="T242" s="95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  <c r="CI242" s="93"/>
      <c r="CJ242" s="93"/>
      <c r="CK242" s="93"/>
      <c r="CL242" s="93"/>
      <c r="CM242" s="93"/>
    </row>
    <row r="243" spans="1:91" x14ac:dyDescent="0.2">
      <c r="A243" s="144"/>
      <c r="B243" s="144"/>
      <c r="C243" s="144"/>
      <c r="D243" s="144"/>
      <c r="E243" s="144"/>
      <c r="F243" s="144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S243" s="95"/>
      <c r="T243" s="95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  <c r="CI243" s="93"/>
      <c r="CJ243" s="93"/>
      <c r="CK243" s="93"/>
      <c r="CL243" s="93"/>
      <c r="CM243" s="93"/>
    </row>
    <row r="244" spans="1:91" x14ac:dyDescent="0.2">
      <c r="A244" s="144"/>
      <c r="B244" s="144"/>
      <c r="C244" s="144"/>
      <c r="D244" s="144"/>
      <c r="E244" s="144"/>
      <c r="F244" s="144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S244" s="95"/>
      <c r="T244" s="95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  <c r="CG244" s="93"/>
      <c r="CH244" s="93"/>
      <c r="CI244" s="93"/>
      <c r="CJ244" s="93"/>
      <c r="CK244" s="93"/>
      <c r="CL244" s="93"/>
      <c r="CM244" s="93"/>
    </row>
    <row r="245" spans="1:91" x14ac:dyDescent="0.2">
      <c r="A245" s="144"/>
      <c r="B245" s="144"/>
      <c r="C245" s="144"/>
      <c r="D245" s="144"/>
      <c r="E245" s="144"/>
      <c r="F245" s="144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S245" s="95"/>
      <c r="T245" s="95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  <c r="CG245" s="93"/>
      <c r="CH245" s="93"/>
      <c r="CI245" s="93"/>
      <c r="CJ245" s="93"/>
      <c r="CK245" s="93"/>
      <c r="CL245" s="93"/>
      <c r="CM245" s="93"/>
    </row>
    <row r="246" spans="1:91" x14ac:dyDescent="0.2">
      <c r="A246" s="144"/>
      <c r="B246" s="144"/>
      <c r="C246" s="144"/>
      <c r="D246" s="144"/>
      <c r="E246" s="144"/>
      <c r="F246" s="144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S246" s="95"/>
      <c r="T246" s="95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  <c r="AR246" s="93"/>
      <c r="AS246" s="93"/>
      <c r="AT246" s="93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  <c r="CD246" s="93"/>
      <c r="CE246" s="93"/>
      <c r="CF246" s="93"/>
      <c r="CG246" s="93"/>
      <c r="CH246" s="93"/>
      <c r="CI246" s="93"/>
      <c r="CJ246" s="93"/>
      <c r="CK246" s="93"/>
      <c r="CL246" s="93"/>
      <c r="CM246" s="93"/>
    </row>
    <row r="247" spans="1:91" x14ac:dyDescent="0.2">
      <c r="A247" s="144"/>
      <c r="B247" s="144"/>
      <c r="C247" s="144"/>
      <c r="D247" s="144"/>
      <c r="E247" s="144"/>
      <c r="F247" s="144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S247" s="95"/>
      <c r="T247" s="95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  <c r="AS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  <c r="CG247" s="93"/>
      <c r="CH247" s="93"/>
      <c r="CI247" s="93"/>
      <c r="CJ247" s="93"/>
      <c r="CK247" s="93"/>
      <c r="CL247" s="93"/>
      <c r="CM247" s="93"/>
    </row>
    <row r="248" spans="1:91" x14ac:dyDescent="0.2">
      <c r="A248" s="144"/>
      <c r="B248" s="144"/>
      <c r="C248" s="144"/>
      <c r="D248" s="144"/>
      <c r="E248" s="144"/>
      <c r="F248" s="144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S248" s="95"/>
      <c r="T248" s="95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  <c r="CD248" s="93"/>
      <c r="CE248" s="93"/>
      <c r="CF248" s="93"/>
      <c r="CG248" s="93"/>
      <c r="CH248" s="93"/>
      <c r="CI248" s="93"/>
      <c r="CJ248" s="93"/>
      <c r="CK248" s="93"/>
      <c r="CL248" s="93"/>
      <c r="CM248" s="93"/>
    </row>
    <row r="249" spans="1:91" x14ac:dyDescent="0.2">
      <c r="A249" s="144"/>
      <c r="B249" s="144"/>
      <c r="C249" s="144"/>
      <c r="D249" s="144"/>
      <c r="E249" s="144"/>
      <c r="F249" s="144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S249" s="95"/>
      <c r="T249" s="95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3"/>
      <c r="AR249" s="93"/>
      <c r="AS249" s="93"/>
      <c r="AT249" s="93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  <c r="CG249" s="93"/>
      <c r="CH249" s="93"/>
      <c r="CI249" s="93"/>
      <c r="CJ249" s="93"/>
      <c r="CK249" s="93"/>
      <c r="CL249" s="93"/>
      <c r="CM249" s="93"/>
    </row>
    <row r="250" spans="1:91" x14ac:dyDescent="0.2">
      <c r="A250" s="144"/>
      <c r="B250" s="144"/>
      <c r="C250" s="144"/>
      <c r="D250" s="144"/>
      <c r="E250" s="144"/>
      <c r="F250" s="144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S250" s="95"/>
      <c r="T250" s="95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3"/>
      <c r="AR250" s="93"/>
      <c r="AS250" s="93"/>
      <c r="AT250" s="93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93"/>
      <c r="BI250" s="93"/>
      <c r="BJ250" s="93"/>
      <c r="BK250" s="93"/>
      <c r="BL250" s="93"/>
      <c r="BM250" s="93"/>
      <c r="BN250" s="93"/>
      <c r="BO250" s="93"/>
      <c r="BP250" s="93"/>
      <c r="BQ250" s="93"/>
      <c r="BR250" s="93"/>
      <c r="BS250" s="93"/>
      <c r="BT250" s="93"/>
      <c r="BU250" s="93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93"/>
      <c r="CG250" s="93"/>
      <c r="CH250" s="93"/>
      <c r="CI250" s="93"/>
      <c r="CJ250" s="93"/>
      <c r="CK250" s="93"/>
      <c r="CL250" s="93"/>
      <c r="CM250" s="93"/>
    </row>
    <row r="251" spans="1:91" x14ac:dyDescent="0.2">
      <c r="A251" s="144"/>
      <c r="B251" s="144"/>
      <c r="C251" s="144"/>
      <c r="D251" s="144"/>
      <c r="E251" s="144"/>
      <c r="F251" s="144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S251" s="95"/>
      <c r="T251" s="95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  <c r="AS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  <c r="CG251" s="93"/>
      <c r="CH251" s="93"/>
      <c r="CI251" s="93"/>
      <c r="CJ251" s="93"/>
      <c r="CK251" s="93"/>
      <c r="CL251" s="93"/>
      <c r="CM251" s="93"/>
    </row>
    <row r="252" spans="1:91" x14ac:dyDescent="0.2">
      <c r="A252" s="144"/>
      <c r="B252" s="144"/>
      <c r="C252" s="144"/>
      <c r="D252" s="144"/>
      <c r="E252" s="144"/>
      <c r="F252" s="144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S252" s="95"/>
      <c r="T252" s="95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  <c r="AS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93"/>
      <c r="CE252" s="93"/>
      <c r="CF252" s="93"/>
      <c r="CG252" s="93"/>
      <c r="CH252" s="93"/>
      <c r="CI252" s="93"/>
      <c r="CJ252" s="93"/>
      <c r="CK252" s="93"/>
      <c r="CL252" s="93"/>
      <c r="CM252" s="93"/>
    </row>
    <row r="253" spans="1:91" x14ac:dyDescent="0.2">
      <c r="A253" s="144"/>
      <c r="B253" s="144"/>
      <c r="C253" s="144"/>
      <c r="D253" s="144"/>
      <c r="E253" s="144"/>
      <c r="F253" s="144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S253" s="95"/>
      <c r="T253" s="95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/>
      <c r="AT253" s="93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  <c r="CG253" s="93"/>
      <c r="CH253" s="93"/>
      <c r="CI253" s="93"/>
      <c r="CJ253" s="93"/>
      <c r="CK253" s="93"/>
      <c r="CL253" s="93"/>
      <c r="CM253" s="93"/>
    </row>
    <row r="254" spans="1:91" x14ac:dyDescent="0.2">
      <c r="A254" s="144"/>
      <c r="B254" s="144"/>
      <c r="C254" s="144"/>
      <c r="D254" s="144"/>
      <c r="E254" s="144"/>
      <c r="F254" s="144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S254" s="95"/>
      <c r="T254" s="95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  <c r="AP254" s="93"/>
      <c r="AQ254" s="93"/>
      <c r="AR254" s="93"/>
      <c r="AS254" s="93"/>
      <c r="AT254" s="93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93"/>
      <c r="BI254" s="93"/>
      <c r="BJ254" s="93"/>
      <c r="BK254" s="93"/>
      <c r="BL254" s="93"/>
      <c r="BM254" s="93"/>
      <c r="BN254" s="93"/>
      <c r="BO254" s="93"/>
      <c r="BP254" s="93"/>
      <c r="BQ254" s="93"/>
      <c r="BR254" s="93"/>
      <c r="BS254" s="93"/>
      <c r="BT254" s="93"/>
      <c r="BU254" s="93"/>
      <c r="BV254" s="93"/>
      <c r="BW254" s="93"/>
      <c r="BX254" s="93"/>
      <c r="BY254" s="93"/>
      <c r="BZ254" s="93"/>
      <c r="CA254" s="93"/>
      <c r="CB254" s="93"/>
      <c r="CC254" s="93"/>
      <c r="CD254" s="93"/>
      <c r="CE254" s="93"/>
      <c r="CF254" s="93"/>
      <c r="CG254" s="93"/>
      <c r="CH254" s="93"/>
      <c r="CI254" s="93"/>
      <c r="CJ254" s="93"/>
      <c r="CK254" s="93"/>
      <c r="CL254" s="93"/>
      <c r="CM254" s="93"/>
    </row>
    <row r="255" spans="1:91" x14ac:dyDescent="0.2">
      <c r="A255" s="144"/>
      <c r="B255" s="144"/>
      <c r="C255" s="144"/>
      <c r="D255" s="144"/>
      <c r="E255" s="144"/>
      <c r="F255" s="144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S255" s="95"/>
      <c r="T255" s="95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  <c r="AP255" s="93"/>
      <c r="AQ255" s="93"/>
      <c r="AR255" s="93"/>
      <c r="AS255" s="93"/>
      <c r="AT255" s="93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93"/>
      <c r="BI255" s="93"/>
      <c r="BJ255" s="93"/>
      <c r="BK255" s="93"/>
      <c r="BL255" s="93"/>
      <c r="BM255" s="93"/>
      <c r="BN255" s="93"/>
      <c r="BO255" s="93"/>
      <c r="BP255" s="93"/>
      <c r="BQ255" s="93"/>
      <c r="BR255" s="93"/>
      <c r="BS255" s="93"/>
      <c r="BT255" s="93"/>
      <c r="BU255" s="93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93"/>
      <c r="CG255" s="93"/>
      <c r="CH255" s="93"/>
      <c r="CI255" s="93"/>
      <c r="CJ255" s="93"/>
      <c r="CK255" s="93"/>
      <c r="CL255" s="93"/>
      <c r="CM255" s="93"/>
    </row>
    <row r="256" spans="1:91" x14ac:dyDescent="0.2">
      <c r="A256" s="144"/>
      <c r="B256" s="144"/>
      <c r="C256" s="144"/>
      <c r="D256" s="144"/>
      <c r="E256" s="144"/>
      <c r="F256" s="144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S256" s="95"/>
      <c r="T256" s="95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93"/>
      <c r="AS256" s="93"/>
      <c r="AT256" s="93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93"/>
      <c r="BI256" s="93"/>
      <c r="BJ256" s="93"/>
      <c r="BK256" s="93"/>
      <c r="BL256" s="93"/>
      <c r="BM256" s="93"/>
      <c r="BN256" s="93"/>
      <c r="BO256" s="93"/>
      <c r="BP256" s="93"/>
      <c r="BQ256" s="93"/>
      <c r="BR256" s="93"/>
      <c r="BS256" s="93"/>
      <c r="BT256" s="93"/>
      <c r="BU256" s="93"/>
      <c r="BV256" s="93"/>
      <c r="BW256" s="93"/>
      <c r="BX256" s="93"/>
      <c r="BY256" s="93"/>
      <c r="BZ256" s="93"/>
      <c r="CA256" s="93"/>
      <c r="CB256" s="93"/>
      <c r="CC256" s="93"/>
      <c r="CD256" s="93"/>
      <c r="CE256" s="93"/>
      <c r="CF256" s="93"/>
      <c r="CG256" s="93"/>
      <c r="CH256" s="93"/>
      <c r="CI256" s="93"/>
      <c r="CJ256" s="93"/>
      <c r="CK256" s="93"/>
      <c r="CL256" s="93"/>
      <c r="CM256" s="93"/>
    </row>
    <row r="257" spans="1:91" x14ac:dyDescent="0.2">
      <c r="A257" s="144"/>
      <c r="B257" s="144"/>
      <c r="C257" s="144"/>
      <c r="D257" s="144"/>
      <c r="E257" s="144"/>
      <c r="F257" s="144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S257" s="95"/>
      <c r="T257" s="95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/>
      <c r="AQ257" s="93"/>
      <c r="AR257" s="93"/>
      <c r="AS257" s="93"/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  <c r="CG257" s="93"/>
      <c r="CH257" s="93"/>
      <c r="CI257" s="93"/>
      <c r="CJ257" s="93"/>
      <c r="CK257" s="93"/>
      <c r="CL257" s="93"/>
      <c r="CM257" s="93"/>
    </row>
    <row r="258" spans="1:91" x14ac:dyDescent="0.2">
      <c r="A258" s="144"/>
      <c r="B258" s="144"/>
      <c r="C258" s="144"/>
      <c r="D258" s="144"/>
      <c r="E258" s="144"/>
      <c r="F258" s="144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S258" s="95"/>
      <c r="T258" s="95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/>
      <c r="AQ258" s="93"/>
      <c r="AR258" s="93"/>
      <c r="AS258" s="93"/>
      <c r="AT258" s="93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93"/>
      <c r="BI258" s="93"/>
      <c r="BJ258" s="93"/>
      <c r="BK258" s="93"/>
      <c r="BL258" s="93"/>
      <c r="BM258" s="93"/>
      <c r="BN258" s="93"/>
      <c r="BO258" s="93"/>
      <c r="BP258" s="93"/>
      <c r="BQ258" s="93"/>
      <c r="BR258" s="93"/>
      <c r="BS258" s="93"/>
      <c r="BT258" s="93"/>
      <c r="BU258" s="93"/>
      <c r="BV258" s="93"/>
      <c r="BW258" s="93"/>
      <c r="BX258" s="93"/>
      <c r="BY258" s="93"/>
      <c r="BZ258" s="93"/>
      <c r="CA258" s="93"/>
      <c r="CB258" s="93"/>
      <c r="CC258" s="93"/>
      <c r="CD258" s="93"/>
      <c r="CE258" s="93"/>
      <c r="CF258" s="93"/>
      <c r="CG258" s="93"/>
      <c r="CH258" s="93"/>
      <c r="CI258" s="93"/>
      <c r="CJ258" s="93"/>
      <c r="CK258" s="93"/>
      <c r="CL258" s="93"/>
      <c r="CM258" s="93"/>
    </row>
    <row r="259" spans="1:91" x14ac:dyDescent="0.2">
      <c r="A259" s="144"/>
      <c r="B259" s="144"/>
      <c r="C259" s="144"/>
      <c r="D259" s="144"/>
      <c r="E259" s="144"/>
      <c r="F259" s="144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S259" s="95"/>
      <c r="T259" s="95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3"/>
      <c r="AR259" s="93"/>
      <c r="AS259" s="93"/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  <c r="CI259" s="93"/>
      <c r="CJ259" s="93"/>
      <c r="CK259" s="93"/>
      <c r="CL259" s="93"/>
      <c r="CM259" s="93"/>
    </row>
    <row r="260" spans="1:91" x14ac:dyDescent="0.2">
      <c r="A260" s="144"/>
      <c r="B260" s="144"/>
      <c r="C260" s="144"/>
      <c r="D260" s="144"/>
      <c r="E260" s="144"/>
      <c r="F260" s="144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S260" s="95"/>
      <c r="T260" s="95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  <c r="AS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93"/>
      <c r="BI260" s="93"/>
      <c r="BJ260" s="93"/>
      <c r="BK260" s="93"/>
      <c r="BL260" s="93"/>
      <c r="BM260" s="93"/>
      <c r="BN260" s="93"/>
      <c r="BO260" s="93"/>
      <c r="BP260" s="93"/>
      <c r="BQ260" s="93"/>
      <c r="BR260" s="93"/>
      <c r="BS260" s="93"/>
      <c r="BT260" s="93"/>
      <c r="BU260" s="93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93"/>
      <c r="CG260" s="93"/>
      <c r="CH260" s="93"/>
      <c r="CI260" s="93"/>
      <c r="CJ260" s="93"/>
      <c r="CK260" s="93"/>
      <c r="CL260" s="93"/>
      <c r="CM260" s="93"/>
    </row>
    <row r="261" spans="1:91" x14ac:dyDescent="0.2">
      <c r="A261" s="144"/>
      <c r="B261" s="144"/>
      <c r="C261" s="144"/>
      <c r="D261" s="144"/>
      <c r="E261" s="144"/>
      <c r="F261" s="144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S261" s="95"/>
      <c r="T261" s="95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  <c r="AS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  <c r="CG261" s="93"/>
      <c r="CH261" s="93"/>
      <c r="CI261" s="93"/>
      <c r="CJ261" s="93"/>
      <c r="CK261" s="93"/>
      <c r="CL261" s="93"/>
      <c r="CM261" s="93"/>
    </row>
    <row r="262" spans="1:91" x14ac:dyDescent="0.2">
      <c r="A262" s="144"/>
      <c r="B262" s="144"/>
      <c r="C262" s="144"/>
      <c r="D262" s="144"/>
      <c r="E262" s="144"/>
      <c r="F262" s="144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S262" s="95"/>
      <c r="T262" s="95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93"/>
      <c r="BI262" s="93"/>
      <c r="BJ262" s="93"/>
      <c r="BK262" s="93"/>
      <c r="BL262" s="93"/>
      <c r="BM262" s="93"/>
      <c r="BN262" s="93"/>
      <c r="BO262" s="93"/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93"/>
      <c r="CA262" s="93"/>
      <c r="CB262" s="93"/>
      <c r="CC262" s="93"/>
      <c r="CD262" s="93"/>
      <c r="CE262" s="93"/>
      <c r="CF262" s="93"/>
      <c r="CG262" s="93"/>
      <c r="CH262" s="93"/>
      <c r="CI262" s="93"/>
      <c r="CJ262" s="93"/>
      <c r="CK262" s="93"/>
      <c r="CL262" s="93"/>
      <c r="CM262" s="93"/>
    </row>
    <row r="263" spans="1:91" x14ac:dyDescent="0.2">
      <c r="A263" s="144"/>
      <c r="B263" s="144"/>
      <c r="C263" s="144"/>
      <c r="D263" s="144"/>
      <c r="E263" s="144"/>
      <c r="F263" s="144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S263" s="95"/>
      <c r="T263" s="95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  <c r="AP263" s="93"/>
      <c r="AQ263" s="93"/>
      <c r="AR263" s="93"/>
      <c r="AS263" s="93"/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  <c r="CG263" s="93"/>
      <c r="CH263" s="93"/>
      <c r="CI263" s="93"/>
      <c r="CJ263" s="93"/>
      <c r="CK263" s="93"/>
      <c r="CL263" s="93"/>
      <c r="CM263" s="93"/>
    </row>
    <row r="264" spans="1:91" x14ac:dyDescent="0.2">
      <c r="A264" s="144"/>
      <c r="B264" s="144"/>
      <c r="C264" s="144"/>
      <c r="D264" s="144"/>
      <c r="E264" s="144"/>
      <c r="F264" s="144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S264" s="95"/>
      <c r="T264" s="95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3"/>
      <c r="AR264" s="93"/>
      <c r="AS264" s="93"/>
      <c r="AT264" s="93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93"/>
      <c r="BI264" s="93"/>
      <c r="BJ264" s="93"/>
      <c r="BK264" s="93"/>
      <c r="BL264" s="93"/>
      <c r="BM264" s="93"/>
      <c r="BN264" s="93"/>
      <c r="BO264" s="93"/>
      <c r="BP264" s="93"/>
      <c r="BQ264" s="93"/>
      <c r="BR264" s="93"/>
      <c r="BS264" s="93"/>
      <c r="BT264" s="93"/>
      <c r="BU264" s="93"/>
      <c r="BV264" s="93"/>
      <c r="BW264" s="93"/>
      <c r="BX264" s="93"/>
      <c r="BY264" s="93"/>
      <c r="BZ264" s="93"/>
      <c r="CA264" s="93"/>
      <c r="CB264" s="93"/>
      <c r="CC264" s="93"/>
      <c r="CD264" s="93"/>
      <c r="CE264" s="93"/>
      <c r="CF264" s="93"/>
      <c r="CG264" s="93"/>
      <c r="CH264" s="93"/>
      <c r="CI264" s="93"/>
      <c r="CJ264" s="93"/>
      <c r="CK264" s="93"/>
      <c r="CL264" s="93"/>
      <c r="CM264" s="93"/>
    </row>
    <row r="265" spans="1:91" x14ac:dyDescent="0.2">
      <c r="A265" s="144"/>
      <c r="B265" s="144"/>
      <c r="C265" s="144"/>
      <c r="D265" s="144"/>
      <c r="E265" s="144"/>
      <c r="F265" s="144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S265" s="95"/>
      <c r="T265" s="95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</row>
    <row r="266" spans="1:91" x14ac:dyDescent="0.2">
      <c r="A266" s="144"/>
      <c r="B266" s="144"/>
      <c r="C266" s="144"/>
      <c r="D266" s="144"/>
      <c r="E266" s="144"/>
      <c r="F266" s="144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S266" s="95"/>
      <c r="T266" s="95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</row>
    <row r="267" spans="1:91" x14ac:dyDescent="0.2">
      <c r="A267" s="144"/>
      <c r="B267" s="144"/>
      <c r="C267" s="144"/>
      <c r="D267" s="144"/>
      <c r="E267" s="144"/>
      <c r="F267" s="144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S267" s="95"/>
      <c r="T267" s="95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  <c r="CG267" s="93"/>
      <c r="CH267" s="93"/>
      <c r="CI267" s="93"/>
      <c r="CJ267" s="93"/>
      <c r="CK267" s="93"/>
      <c r="CL267" s="93"/>
      <c r="CM267" s="93"/>
    </row>
    <row r="268" spans="1:91" x14ac:dyDescent="0.2">
      <c r="A268" s="144"/>
      <c r="B268" s="144"/>
      <c r="C268" s="144"/>
      <c r="D268" s="144"/>
      <c r="E268" s="144"/>
      <c r="F268" s="144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S268" s="95"/>
      <c r="T268" s="95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/>
      <c r="AQ268" s="93"/>
      <c r="AR268" s="93"/>
      <c r="AS268" s="93"/>
      <c r="AT268" s="93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93"/>
      <c r="BI268" s="93"/>
      <c r="BJ268" s="93"/>
      <c r="BK268" s="93"/>
      <c r="BL268" s="93"/>
      <c r="BM268" s="93"/>
      <c r="BN268" s="93"/>
      <c r="BO268" s="93"/>
      <c r="BP268" s="93"/>
      <c r="BQ268" s="93"/>
      <c r="BR268" s="93"/>
      <c r="BS268" s="93"/>
      <c r="BT268" s="93"/>
      <c r="BU268" s="93"/>
      <c r="BV268" s="93"/>
      <c r="BW268" s="93"/>
      <c r="BX268" s="93"/>
      <c r="BY268" s="93"/>
      <c r="BZ268" s="93"/>
      <c r="CA268" s="93"/>
      <c r="CB268" s="93"/>
      <c r="CC268" s="93"/>
      <c r="CD268" s="93"/>
      <c r="CE268" s="93"/>
      <c r="CF268" s="93"/>
      <c r="CG268" s="93"/>
      <c r="CH268" s="93"/>
      <c r="CI268" s="93"/>
      <c r="CJ268" s="93"/>
      <c r="CK268" s="93"/>
      <c r="CL268" s="93"/>
      <c r="CM268" s="93"/>
    </row>
    <row r="269" spans="1:91" x14ac:dyDescent="0.2">
      <c r="A269" s="144"/>
      <c r="B269" s="144"/>
      <c r="C269" s="144"/>
      <c r="D269" s="144"/>
      <c r="E269" s="144"/>
      <c r="F269" s="144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S269" s="95"/>
      <c r="T269" s="95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3"/>
      <c r="AR269" s="93"/>
      <c r="AS269" s="93"/>
      <c r="AT269" s="93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93"/>
      <c r="BI269" s="93"/>
      <c r="BJ269" s="93"/>
      <c r="BK269" s="93"/>
      <c r="BL269" s="93"/>
      <c r="BM269" s="93"/>
      <c r="BN269" s="93"/>
      <c r="BO269" s="93"/>
      <c r="BP269" s="93"/>
      <c r="BQ269" s="93"/>
      <c r="BR269" s="93"/>
      <c r="BS269" s="93"/>
      <c r="BT269" s="93"/>
      <c r="BU269" s="93"/>
      <c r="BV269" s="93"/>
      <c r="BW269" s="93"/>
      <c r="BX269" s="93"/>
      <c r="BY269" s="93"/>
      <c r="BZ269" s="93"/>
      <c r="CA269" s="93"/>
      <c r="CB269" s="93"/>
      <c r="CC269" s="93"/>
      <c r="CD269" s="93"/>
      <c r="CE269" s="93"/>
      <c r="CF269" s="93"/>
      <c r="CG269" s="93"/>
      <c r="CH269" s="93"/>
      <c r="CI269" s="93"/>
      <c r="CJ269" s="93"/>
      <c r="CK269" s="93"/>
      <c r="CL269" s="93"/>
      <c r="CM269" s="93"/>
    </row>
    <row r="270" spans="1:91" x14ac:dyDescent="0.2">
      <c r="A270" s="144"/>
      <c r="B270" s="144"/>
      <c r="C270" s="144"/>
      <c r="D270" s="144"/>
      <c r="E270" s="144"/>
      <c r="F270" s="144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S270" s="95"/>
      <c r="T270" s="95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3"/>
      <c r="AR270" s="93"/>
      <c r="AS270" s="93"/>
      <c r="AT270" s="93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93"/>
      <c r="BI270" s="93"/>
      <c r="BJ270" s="93"/>
      <c r="BK270" s="93"/>
      <c r="BL270" s="93"/>
      <c r="BM270" s="93"/>
      <c r="BN270" s="93"/>
      <c r="BO270" s="93"/>
      <c r="BP270" s="93"/>
      <c r="BQ270" s="93"/>
      <c r="BR270" s="93"/>
      <c r="BS270" s="93"/>
      <c r="BT270" s="93"/>
      <c r="BU270" s="93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93"/>
      <c r="CG270" s="93"/>
      <c r="CH270" s="93"/>
      <c r="CI270" s="93"/>
      <c r="CJ270" s="93"/>
      <c r="CK270" s="93"/>
      <c r="CL270" s="93"/>
      <c r="CM270" s="93"/>
    </row>
    <row r="271" spans="1:91" x14ac:dyDescent="0.2">
      <c r="A271" s="144"/>
      <c r="B271" s="144"/>
      <c r="C271" s="144"/>
      <c r="D271" s="144"/>
      <c r="E271" s="144"/>
      <c r="F271" s="144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S271" s="95"/>
      <c r="T271" s="95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3"/>
      <c r="AR271" s="93"/>
      <c r="AS271" s="93"/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  <c r="CG271" s="93"/>
      <c r="CH271" s="93"/>
      <c r="CI271" s="93"/>
      <c r="CJ271" s="93"/>
      <c r="CK271" s="93"/>
      <c r="CL271" s="93"/>
      <c r="CM271" s="93"/>
    </row>
    <row r="272" spans="1:91" x14ac:dyDescent="0.2">
      <c r="A272" s="144"/>
      <c r="B272" s="144"/>
      <c r="C272" s="144"/>
      <c r="D272" s="144"/>
      <c r="E272" s="144"/>
      <c r="F272" s="144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S272" s="95"/>
      <c r="T272" s="95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  <c r="AP272" s="93"/>
      <c r="AQ272" s="93"/>
      <c r="AR272" s="93"/>
      <c r="AS272" s="93"/>
      <c r="AT272" s="93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93"/>
      <c r="BI272" s="93"/>
      <c r="BJ272" s="93"/>
      <c r="BK272" s="93"/>
      <c r="BL272" s="93"/>
      <c r="BM272" s="93"/>
      <c r="BN272" s="93"/>
      <c r="BO272" s="93"/>
      <c r="BP272" s="93"/>
      <c r="BQ272" s="93"/>
      <c r="BR272" s="93"/>
      <c r="BS272" s="93"/>
      <c r="BT272" s="93"/>
      <c r="BU272" s="93"/>
      <c r="BV272" s="93"/>
      <c r="BW272" s="93"/>
      <c r="BX272" s="93"/>
      <c r="BY272" s="93"/>
      <c r="BZ272" s="93"/>
      <c r="CA272" s="93"/>
      <c r="CB272" s="93"/>
      <c r="CC272" s="93"/>
      <c r="CD272" s="93"/>
      <c r="CE272" s="93"/>
      <c r="CF272" s="93"/>
      <c r="CG272" s="93"/>
      <c r="CH272" s="93"/>
      <c r="CI272" s="93"/>
      <c r="CJ272" s="93"/>
      <c r="CK272" s="93"/>
      <c r="CL272" s="93"/>
      <c r="CM272" s="93"/>
    </row>
    <row r="273" spans="1:91" x14ac:dyDescent="0.2">
      <c r="A273" s="144"/>
      <c r="B273" s="144"/>
      <c r="C273" s="144"/>
      <c r="D273" s="144"/>
      <c r="E273" s="144"/>
      <c r="F273" s="144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S273" s="95"/>
      <c r="T273" s="95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  <c r="AP273" s="93"/>
      <c r="AQ273" s="93"/>
      <c r="AR273" s="93"/>
      <c r="AS273" s="93"/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  <c r="CG273" s="93"/>
      <c r="CH273" s="93"/>
      <c r="CI273" s="93"/>
      <c r="CJ273" s="93"/>
      <c r="CK273" s="93"/>
      <c r="CL273" s="93"/>
      <c r="CM273" s="93"/>
    </row>
    <row r="274" spans="1:91" x14ac:dyDescent="0.2">
      <c r="A274" s="144"/>
      <c r="B274" s="144"/>
      <c r="C274" s="144"/>
      <c r="D274" s="144"/>
      <c r="E274" s="144"/>
      <c r="F274" s="144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S274" s="95"/>
      <c r="T274" s="95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  <c r="AP274" s="93"/>
      <c r="AQ274" s="93"/>
      <c r="AR274" s="93"/>
      <c r="AS274" s="93"/>
      <c r="AT274" s="93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93"/>
      <c r="BI274" s="93"/>
      <c r="BJ274" s="93"/>
      <c r="BK274" s="93"/>
      <c r="BL274" s="93"/>
      <c r="BM274" s="93"/>
      <c r="BN274" s="93"/>
      <c r="BO274" s="93"/>
      <c r="BP274" s="93"/>
      <c r="BQ274" s="93"/>
      <c r="BR274" s="93"/>
      <c r="BS274" s="93"/>
      <c r="BT274" s="93"/>
      <c r="BU274" s="93"/>
      <c r="BV274" s="93"/>
      <c r="BW274" s="93"/>
      <c r="BX274" s="93"/>
      <c r="BY274" s="93"/>
      <c r="BZ274" s="93"/>
      <c r="CA274" s="93"/>
      <c r="CB274" s="93"/>
      <c r="CC274" s="93"/>
      <c r="CD274" s="93"/>
      <c r="CE274" s="93"/>
      <c r="CF274" s="93"/>
      <c r="CG274" s="93"/>
      <c r="CH274" s="93"/>
      <c r="CI274" s="93"/>
      <c r="CJ274" s="93"/>
      <c r="CK274" s="93"/>
      <c r="CL274" s="93"/>
      <c r="CM274" s="93"/>
    </row>
    <row r="275" spans="1:91" x14ac:dyDescent="0.2">
      <c r="A275" s="144"/>
      <c r="B275" s="144"/>
      <c r="C275" s="144"/>
      <c r="D275" s="144"/>
      <c r="E275" s="144"/>
      <c r="F275" s="144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S275" s="95"/>
      <c r="T275" s="95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  <c r="AS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  <c r="CG275" s="93"/>
      <c r="CH275" s="93"/>
      <c r="CI275" s="93"/>
      <c r="CJ275" s="93"/>
      <c r="CK275" s="93"/>
      <c r="CL275" s="93"/>
      <c r="CM275" s="93"/>
    </row>
    <row r="276" spans="1:91" x14ac:dyDescent="0.2">
      <c r="A276" s="144"/>
      <c r="B276" s="144"/>
      <c r="C276" s="144"/>
      <c r="D276" s="144"/>
      <c r="E276" s="144"/>
      <c r="F276" s="144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S276" s="95"/>
      <c r="T276" s="95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  <c r="AP276" s="93"/>
      <c r="AQ276" s="93"/>
      <c r="AR276" s="93"/>
      <c r="AS276" s="93"/>
      <c r="AT276" s="93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93"/>
      <c r="BI276" s="93"/>
      <c r="BJ276" s="93"/>
      <c r="BK276" s="93"/>
      <c r="BL276" s="93"/>
      <c r="BM276" s="93"/>
      <c r="BN276" s="93"/>
      <c r="BO276" s="93"/>
      <c r="BP276" s="93"/>
      <c r="BQ276" s="93"/>
      <c r="BR276" s="93"/>
      <c r="BS276" s="93"/>
      <c r="BT276" s="93"/>
      <c r="BU276" s="93"/>
      <c r="BV276" s="93"/>
      <c r="BW276" s="93"/>
      <c r="BX276" s="93"/>
      <c r="BY276" s="93"/>
      <c r="BZ276" s="93"/>
      <c r="CA276" s="93"/>
      <c r="CB276" s="93"/>
      <c r="CC276" s="93"/>
      <c r="CD276" s="93"/>
      <c r="CE276" s="93"/>
      <c r="CF276" s="93"/>
      <c r="CG276" s="93"/>
      <c r="CH276" s="93"/>
      <c r="CI276" s="93"/>
      <c r="CJ276" s="93"/>
      <c r="CK276" s="93"/>
      <c r="CL276" s="93"/>
      <c r="CM276" s="93"/>
    </row>
    <row r="277" spans="1:91" x14ac:dyDescent="0.2">
      <c r="A277" s="144"/>
      <c r="B277" s="144"/>
      <c r="C277" s="144"/>
      <c r="D277" s="144"/>
      <c r="E277" s="144"/>
      <c r="F277" s="144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S277" s="95"/>
      <c r="T277" s="95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  <c r="AP277" s="93"/>
      <c r="AQ277" s="93"/>
      <c r="AR277" s="93"/>
      <c r="AS277" s="93"/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  <c r="CG277" s="93"/>
      <c r="CH277" s="93"/>
      <c r="CI277" s="93"/>
      <c r="CJ277" s="93"/>
      <c r="CK277" s="93"/>
      <c r="CL277" s="93"/>
      <c r="CM277" s="93"/>
    </row>
    <row r="278" spans="1:91" x14ac:dyDescent="0.2">
      <c r="A278" s="144"/>
      <c r="B278" s="144"/>
      <c r="C278" s="144"/>
      <c r="D278" s="144"/>
      <c r="E278" s="144"/>
      <c r="F278" s="144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S278" s="95"/>
      <c r="T278" s="95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  <c r="AS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93"/>
      <c r="BI278" s="93"/>
      <c r="BJ278" s="93"/>
      <c r="BK278" s="93"/>
      <c r="BL278" s="93"/>
      <c r="BM278" s="93"/>
      <c r="BN278" s="93"/>
      <c r="BO278" s="93"/>
      <c r="BP278" s="93"/>
      <c r="BQ278" s="93"/>
      <c r="BR278" s="93"/>
      <c r="BS278" s="93"/>
      <c r="BT278" s="93"/>
      <c r="BU278" s="93"/>
      <c r="BV278" s="93"/>
      <c r="BW278" s="93"/>
      <c r="BX278" s="93"/>
      <c r="BY278" s="93"/>
      <c r="BZ278" s="93"/>
      <c r="CA278" s="93"/>
      <c r="CB278" s="93"/>
      <c r="CC278" s="93"/>
      <c r="CD278" s="93"/>
      <c r="CE278" s="93"/>
      <c r="CF278" s="93"/>
      <c r="CG278" s="93"/>
      <c r="CH278" s="93"/>
      <c r="CI278" s="93"/>
      <c r="CJ278" s="93"/>
      <c r="CK278" s="93"/>
      <c r="CL278" s="93"/>
      <c r="CM278" s="93"/>
    </row>
    <row r="279" spans="1:91" x14ac:dyDescent="0.2">
      <c r="A279" s="144"/>
      <c r="B279" s="144"/>
      <c r="C279" s="144"/>
      <c r="D279" s="144"/>
      <c r="E279" s="144"/>
      <c r="F279" s="144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S279" s="95"/>
      <c r="T279" s="95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  <c r="AP279" s="93"/>
      <c r="AQ279" s="93"/>
      <c r="AR279" s="93"/>
      <c r="AS279" s="93"/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  <c r="CG279" s="93"/>
      <c r="CH279" s="93"/>
      <c r="CI279" s="93"/>
      <c r="CJ279" s="93"/>
      <c r="CK279" s="93"/>
      <c r="CL279" s="93"/>
      <c r="CM279" s="93"/>
    </row>
    <row r="280" spans="1:91" x14ac:dyDescent="0.2">
      <c r="A280" s="144"/>
      <c r="B280" s="144"/>
      <c r="C280" s="144"/>
      <c r="D280" s="144"/>
      <c r="E280" s="144"/>
      <c r="F280" s="144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S280" s="95"/>
      <c r="T280" s="95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  <c r="AS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93"/>
      <c r="CG280" s="93"/>
      <c r="CH280" s="93"/>
      <c r="CI280" s="93"/>
      <c r="CJ280" s="93"/>
      <c r="CK280" s="93"/>
      <c r="CL280" s="93"/>
      <c r="CM280" s="93"/>
    </row>
    <row r="281" spans="1:91" x14ac:dyDescent="0.2">
      <c r="A281" s="144"/>
      <c r="B281" s="144"/>
      <c r="C281" s="144"/>
      <c r="D281" s="144"/>
      <c r="E281" s="144"/>
      <c r="F281" s="144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S281" s="95"/>
      <c r="T281" s="95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  <c r="AS281" s="93"/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  <c r="CG281" s="93"/>
      <c r="CH281" s="93"/>
      <c r="CI281" s="93"/>
      <c r="CJ281" s="93"/>
      <c r="CK281" s="93"/>
      <c r="CL281" s="93"/>
      <c r="CM281" s="93"/>
    </row>
    <row r="282" spans="1:91" x14ac:dyDescent="0.2">
      <c r="A282" s="144"/>
      <c r="B282" s="144"/>
      <c r="C282" s="144"/>
      <c r="D282" s="144"/>
      <c r="E282" s="144"/>
      <c r="F282" s="144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S282" s="95"/>
      <c r="T282" s="95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/>
      <c r="AR282" s="93"/>
      <c r="AS282" s="93"/>
      <c r="AT282" s="93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93"/>
      <c r="BI282" s="93"/>
      <c r="BJ282" s="93"/>
      <c r="BK282" s="93"/>
      <c r="BL282" s="93"/>
      <c r="BM282" s="93"/>
      <c r="BN282" s="93"/>
      <c r="BO282" s="93"/>
      <c r="BP282" s="93"/>
      <c r="BQ282" s="93"/>
      <c r="BR282" s="93"/>
      <c r="BS282" s="93"/>
      <c r="BT282" s="93"/>
      <c r="BU282" s="93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93"/>
      <c r="CG282" s="93"/>
      <c r="CH282" s="93"/>
      <c r="CI282" s="93"/>
      <c r="CJ282" s="93"/>
      <c r="CK282" s="93"/>
      <c r="CL282" s="93"/>
      <c r="CM282" s="93"/>
    </row>
    <row r="283" spans="1:91" x14ac:dyDescent="0.2">
      <c r="A283" s="144"/>
      <c r="B283" s="144"/>
      <c r="C283" s="144"/>
      <c r="D283" s="144"/>
      <c r="E283" s="144"/>
      <c r="F283" s="144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S283" s="95"/>
      <c r="T283" s="95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  <c r="AP283" s="93"/>
      <c r="AQ283" s="93"/>
      <c r="AR283" s="93"/>
      <c r="AS283" s="93"/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  <c r="CG283" s="93"/>
      <c r="CH283" s="93"/>
      <c r="CI283" s="93"/>
      <c r="CJ283" s="93"/>
      <c r="CK283" s="93"/>
      <c r="CL283" s="93"/>
      <c r="CM283" s="93"/>
    </row>
    <row r="284" spans="1:91" x14ac:dyDescent="0.2">
      <c r="A284" s="144"/>
      <c r="B284" s="144"/>
      <c r="C284" s="144"/>
      <c r="D284" s="144"/>
      <c r="E284" s="144"/>
      <c r="F284" s="144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S284" s="95"/>
      <c r="T284" s="95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93"/>
      <c r="BI284" s="93"/>
      <c r="BJ284" s="93"/>
      <c r="BK284" s="93"/>
      <c r="BL284" s="93"/>
      <c r="BM284" s="93"/>
      <c r="BN284" s="93"/>
      <c r="BO284" s="93"/>
      <c r="BP284" s="93"/>
      <c r="BQ284" s="93"/>
      <c r="BR284" s="93"/>
      <c r="BS284" s="93"/>
      <c r="BT284" s="93"/>
      <c r="BU284" s="93"/>
      <c r="BV284" s="93"/>
      <c r="BW284" s="93"/>
      <c r="BX284" s="93"/>
      <c r="BY284" s="93"/>
      <c r="BZ284" s="93"/>
      <c r="CA284" s="93"/>
      <c r="CB284" s="93"/>
      <c r="CC284" s="93"/>
      <c r="CD284" s="93"/>
      <c r="CE284" s="93"/>
      <c r="CF284" s="93"/>
      <c r="CG284" s="93"/>
      <c r="CH284" s="93"/>
      <c r="CI284" s="93"/>
      <c r="CJ284" s="93"/>
      <c r="CK284" s="93"/>
      <c r="CL284" s="93"/>
      <c r="CM284" s="93"/>
    </row>
    <row r="285" spans="1:91" x14ac:dyDescent="0.2">
      <c r="A285" s="144"/>
      <c r="B285" s="144"/>
      <c r="C285" s="144"/>
      <c r="D285" s="144"/>
      <c r="E285" s="144"/>
      <c r="F285" s="144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S285" s="95"/>
      <c r="T285" s="95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  <c r="AP285" s="93"/>
      <c r="AQ285" s="93"/>
      <c r="AR285" s="93"/>
      <c r="AS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  <c r="CG285" s="93"/>
      <c r="CH285" s="93"/>
      <c r="CI285" s="93"/>
      <c r="CJ285" s="93"/>
      <c r="CK285" s="93"/>
      <c r="CL285" s="93"/>
      <c r="CM285" s="93"/>
    </row>
    <row r="286" spans="1:91" x14ac:dyDescent="0.2">
      <c r="A286" s="144"/>
      <c r="B286" s="144"/>
      <c r="C286" s="144"/>
      <c r="D286" s="144"/>
      <c r="E286" s="144"/>
      <c r="F286" s="144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S286" s="95"/>
      <c r="T286" s="95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  <c r="AP286" s="93"/>
      <c r="AQ286" s="93"/>
      <c r="AR286" s="93"/>
      <c r="AS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93"/>
      <c r="BI286" s="93"/>
      <c r="BJ286" s="93"/>
      <c r="BK286" s="93"/>
      <c r="BL286" s="93"/>
      <c r="BM286" s="93"/>
      <c r="BN286" s="93"/>
      <c r="BO286" s="93"/>
      <c r="BP286" s="93"/>
      <c r="BQ286" s="93"/>
      <c r="BR286" s="93"/>
      <c r="BS286" s="93"/>
      <c r="BT286" s="93"/>
      <c r="BU286" s="93"/>
      <c r="BV286" s="93"/>
      <c r="BW286" s="93"/>
      <c r="BX286" s="93"/>
      <c r="BY286" s="93"/>
      <c r="BZ286" s="93"/>
      <c r="CA286" s="93"/>
      <c r="CB286" s="93"/>
      <c r="CC286" s="93"/>
      <c r="CD286" s="93"/>
      <c r="CE286" s="93"/>
      <c r="CF286" s="93"/>
      <c r="CG286" s="93"/>
      <c r="CH286" s="93"/>
      <c r="CI286" s="93"/>
      <c r="CJ286" s="93"/>
      <c r="CK286" s="93"/>
      <c r="CL286" s="93"/>
      <c r="CM286" s="93"/>
    </row>
    <row r="287" spans="1:91" x14ac:dyDescent="0.2">
      <c r="A287" s="144"/>
      <c r="B287" s="144"/>
      <c r="C287" s="144"/>
      <c r="D287" s="144"/>
      <c r="E287" s="144"/>
      <c r="F287" s="144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S287" s="95"/>
      <c r="T287" s="95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  <c r="CG287" s="93"/>
      <c r="CH287" s="93"/>
      <c r="CI287" s="93"/>
      <c r="CJ287" s="93"/>
      <c r="CK287" s="93"/>
      <c r="CL287" s="93"/>
      <c r="CM287" s="93"/>
    </row>
    <row r="288" spans="1:91" x14ac:dyDescent="0.2">
      <c r="A288" s="144"/>
      <c r="B288" s="144"/>
      <c r="C288" s="144"/>
      <c r="D288" s="144"/>
      <c r="E288" s="144"/>
      <c r="F288" s="144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S288" s="95"/>
      <c r="T288" s="95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/>
      <c r="AR288" s="93"/>
      <c r="AS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93"/>
      <c r="BI288" s="93"/>
      <c r="BJ288" s="93"/>
      <c r="BK288" s="93"/>
      <c r="BL288" s="93"/>
      <c r="BM288" s="93"/>
      <c r="BN288" s="93"/>
      <c r="BO288" s="93"/>
      <c r="BP288" s="93"/>
      <c r="BQ288" s="93"/>
      <c r="BR288" s="93"/>
      <c r="BS288" s="93"/>
      <c r="BT288" s="93"/>
      <c r="BU288" s="93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93"/>
      <c r="CG288" s="93"/>
      <c r="CH288" s="93"/>
      <c r="CI288" s="93"/>
      <c r="CJ288" s="93"/>
      <c r="CK288" s="93"/>
      <c r="CL288" s="93"/>
      <c r="CM288" s="93"/>
    </row>
    <row r="289" spans="1:91" x14ac:dyDescent="0.2">
      <c r="A289" s="144"/>
      <c r="B289" s="144"/>
      <c r="C289" s="144"/>
      <c r="D289" s="144"/>
      <c r="E289" s="144"/>
      <c r="F289" s="144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S289" s="95"/>
      <c r="T289" s="95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/>
      <c r="AR289" s="93"/>
      <c r="AS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  <c r="CG289" s="93"/>
      <c r="CH289" s="93"/>
      <c r="CI289" s="93"/>
      <c r="CJ289" s="93"/>
      <c r="CK289" s="93"/>
      <c r="CL289" s="93"/>
      <c r="CM289" s="93"/>
    </row>
    <row r="290" spans="1:91" x14ac:dyDescent="0.2">
      <c r="A290" s="144"/>
      <c r="B290" s="144"/>
      <c r="C290" s="144"/>
      <c r="D290" s="144"/>
      <c r="E290" s="144"/>
      <c r="F290" s="144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S290" s="95"/>
      <c r="T290" s="95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93"/>
      <c r="BI290" s="93"/>
      <c r="BJ290" s="93"/>
      <c r="BK290" s="93"/>
      <c r="BL290" s="93"/>
      <c r="BM290" s="93"/>
      <c r="BN290" s="93"/>
      <c r="BO290" s="93"/>
      <c r="BP290" s="93"/>
      <c r="BQ290" s="93"/>
      <c r="BR290" s="93"/>
      <c r="BS290" s="93"/>
      <c r="BT290" s="93"/>
      <c r="BU290" s="93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93"/>
      <c r="CG290" s="93"/>
      <c r="CH290" s="93"/>
      <c r="CI290" s="93"/>
      <c r="CJ290" s="93"/>
      <c r="CK290" s="93"/>
      <c r="CL290" s="93"/>
      <c r="CM290" s="93"/>
    </row>
    <row r="291" spans="1:91" x14ac:dyDescent="0.2">
      <c r="A291" s="144"/>
      <c r="B291" s="144"/>
      <c r="C291" s="144"/>
      <c r="D291" s="144"/>
      <c r="E291" s="144"/>
      <c r="F291" s="144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S291" s="95"/>
      <c r="T291" s="95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/>
      <c r="AR291" s="93"/>
      <c r="AS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  <c r="CG291" s="93"/>
      <c r="CH291" s="93"/>
      <c r="CI291" s="93"/>
      <c r="CJ291" s="93"/>
      <c r="CK291" s="93"/>
      <c r="CL291" s="93"/>
      <c r="CM291" s="93"/>
    </row>
    <row r="292" spans="1:91" x14ac:dyDescent="0.2">
      <c r="A292" s="144"/>
      <c r="B292" s="144"/>
      <c r="C292" s="144"/>
      <c r="D292" s="144"/>
      <c r="E292" s="144"/>
      <c r="F292" s="144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S292" s="95"/>
      <c r="T292" s="95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/>
      <c r="AR292" s="93"/>
      <c r="AS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93"/>
      <c r="BI292" s="93"/>
      <c r="BJ292" s="93"/>
      <c r="BK292" s="93"/>
      <c r="BL292" s="93"/>
      <c r="BM292" s="93"/>
      <c r="BN292" s="93"/>
      <c r="BO292" s="93"/>
      <c r="BP292" s="93"/>
      <c r="BQ292" s="93"/>
      <c r="BR292" s="93"/>
      <c r="BS292" s="93"/>
      <c r="BT292" s="93"/>
      <c r="BU292" s="93"/>
      <c r="BV292" s="93"/>
      <c r="BW292" s="93"/>
      <c r="BX292" s="93"/>
      <c r="BY292" s="93"/>
      <c r="BZ292" s="93"/>
      <c r="CA292" s="93"/>
      <c r="CB292" s="93"/>
      <c r="CC292" s="93"/>
      <c r="CD292" s="93"/>
      <c r="CE292" s="93"/>
      <c r="CF292" s="93"/>
      <c r="CG292" s="93"/>
      <c r="CH292" s="93"/>
      <c r="CI292" s="93"/>
      <c r="CJ292" s="93"/>
      <c r="CK292" s="93"/>
      <c r="CL292" s="93"/>
      <c r="CM292" s="93"/>
    </row>
    <row r="293" spans="1:91" x14ac:dyDescent="0.2">
      <c r="A293" s="144"/>
      <c r="B293" s="144"/>
      <c r="C293" s="144"/>
      <c r="D293" s="144"/>
      <c r="E293" s="144"/>
      <c r="F293" s="144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S293" s="95"/>
      <c r="T293" s="95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  <c r="AS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  <c r="CG293" s="93"/>
      <c r="CH293" s="93"/>
      <c r="CI293" s="93"/>
      <c r="CJ293" s="93"/>
      <c r="CK293" s="93"/>
      <c r="CL293" s="93"/>
      <c r="CM293" s="93"/>
    </row>
    <row r="294" spans="1:91" x14ac:dyDescent="0.2">
      <c r="A294" s="144"/>
      <c r="B294" s="144"/>
      <c r="C294" s="144"/>
      <c r="D294" s="144"/>
      <c r="E294" s="144"/>
      <c r="F294" s="144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S294" s="95"/>
      <c r="T294" s="95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  <c r="AP294" s="93"/>
      <c r="AQ294" s="93"/>
      <c r="AR294" s="93"/>
      <c r="AS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93"/>
      <c r="BI294" s="93"/>
      <c r="BJ294" s="93"/>
      <c r="BK294" s="93"/>
      <c r="BL294" s="93"/>
      <c r="BM294" s="93"/>
      <c r="BN294" s="93"/>
      <c r="BO294" s="93"/>
      <c r="BP294" s="93"/>
      <c r="BQ294" s="93"/>
      <c r="BR294" s="93"/>
      <c r="BS294" s="93"/>
      <c r="BT294" s="93"/>
      <c r="BU294" s="93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93"/>
      <c r="CG294" s="93"/>
      <c r="CH294" s="93"/>
      <c r="CI294" s="93"/>
      <c r="CJ294" s="93"/>
      <c r="CK294" s="93"/>
      <c r="CL294" s="93"/>
      <c r="CM294" s="93"/>
    </row>
    <row r="295" spans="1:91" x14ac:dyDescent="0.2">
      <c r="A295" s="144"/>
      <c r="B295" s="144"/>
      <c r="C295" s="144"/>
      <c r="D295" s="144"/>
      <c r="E295" s="144"/>
      <c r="F295" s="144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S295" s="95"/>
      <c r="T295" s="95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3"/>
      <c r="AR295" s="93"/>
      <c r="AS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  <c r="CG295" s="93"/>
      <c r="CH295" s="93"/>
      <c r="CI295" s="93"/>
      <c r="CJ295" s="93"/>
      <c r="CK295" s="93"/>
      <c r="CL295" s="93"/>
      <c r="CM295" s="93"/>
    </row>
    <row r="296" spans="1:91" x14ac:dyDescent="0.2">
      <c r="A296" s="144"/>
      <c r="B296" s="144"/>
      <c r="C296" s="144"/>
      <c r="D296" s="144"/>
      <c r="E296" s="144"/>
      <c r="F296" s="144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S296" s="95"/>
      <c r="T296" s="95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93"/>
      <c r="BI296" s="93"/>
      <c r="BJ296" s="93"/>
      <c r="BK296" s="93"/>
      <c r="BL296" s="93"/>
      <c r="BM296" s="93"/>
      <c r="BN296" s="93"/>
      <c r="BO296" s="93"/>
      <c r="BP296" s="93"/>
      <c r="BQ296" s="93"/>
      <c r="BR296" s="93"/>
      <c r="BS296" s="93"/>
      <c r="BT296" s="93"/>
      <c r="BU296" s="93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93"/>
      <c r="CG296" s="93"/>
      <c r="CH296" s="93"/>
      <c r="CI296" s="93"/>
      <c r="CJ296" s="93"/>
      <c r="CK296" s="93"/>
      <c r="CL296" s="93"/>
      <c r="CM296" s="93"/>
    </row>
    <row r="297" spans="1:91" x14ac:dyDescent="0.2">
      <c r="A297" s="144"/>
      <c r="B297" s="144"/>
      <c r="C297" s="144"/>
      <c r="D297" s="144"/>
      <c r="E297" s="144"/>
      <c r="F297" s="144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S297" s="95"/>
      <c r="T297" s="95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  <c r="CI297" s="93"/>
      <c r="CJ297" s="93"/>
      <c r="CK297" s="93"/>
      <c r="CL297" s="93"/>
      <c r="CM297" s="93"/>
    </row>
    <row r="298" spans="1:91" x14ac:dyDescent="0.2">
      <c r="A298" s="144"/>
      <c r="B298" s="144"/>
      <c r="C298" s="144"/>
      <c r="D298" s="144"/>
      <c r="E298" s="144"/>
      <c r="F298" s="144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S298" s="95"/>
      <c r="T298" s="95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3"/>
      <c r="AR298" s="93"/>
      <c r="AS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93"/>
      <c r="BI298" s="93"/>
      <c r="BJ298" s="93"/>
      <c r="BK298" s="93"/>
      <c r="BL298" s="93"/>
      <c r="BM298" s="93"/>
      <c r="BN298" s="93"/>
      <c r="BO298" s="93"/>
      <c r="BP298" s="93"/>
      <c r="BQ298" s="93"/>
      <c r="BR298" s="93"/>
      <c r="BS298" s="93"/>
      <c r="BT298" s="93"/>
      <c r="BU298" s="93"/>
      <c r="BV298" s="93"/>
      <c r="BW298" s="93"/>
      <c r="BX298" s="93"/>
      <c r="BY298" s="93"/>
      <c r="BZ298" s="93"/>
      <c r="CA298" s="93"/>
      <c r="CB298" s="93"/>
      <c r="CC298" s="93"/>
      <c r="CD298" s="93"/>
      <c r="CE298" s="93"/>
      <c r="CF298" s="93"/>
      <c r="CG298" s="93"/>
      <c r="CH298" s="93"/>
      <c r="CI298" s="93"/>
      <c r="CJ298" s="93"/>
      <c r="CK298" s="93"/>
      <c r="CL298" s="93"/>
      <c r="CM298" s="93"/>
    </row>
    <row r="299" spans="1:91" x14ac:dyDescent="0.2">
      <c r="A299" s="144"/>
      <c r="B299" s="144"/>
      <c r="C299" s="144"/>
      <c r="D299" s="144"/>
      <c r="E299" s="144"/>
      <c r="F299" s="144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S299" s="95"/>
      <c r="T299" s="95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  <c r="CG299" s="93"/>
      <c r="CH299" s="93"/>
      <c r="CI299" s="93"/>
      <c r="CJ299" s="93"/>
      <c r="CK299" s="93"/>
      <c r="CL299" s="93"/>
      <c r="CM299" s="93"/>
    </row>
    <row r="300" spans="1:91" x14ac:dyDescent="0.2">
      <c r="A300" s="144"/>
      <c r="B300" s="144"/>
      <c r="C300" s="144"/>
      <c r="D300" s="144"/>
      <c r="E300" s="144"/>
      <c r="F300" s="144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S300" s="95"/>
      <c r="T300" s="95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3"/>
      <c r="AR300" s="93"/>
      <c r="AS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93"/>
      <c r="BI300" s="93"/>
      <c r="BJ300" s="93"/>
      <c r="BK300" s="93"/>
      <c r="BL300" s="93"/>
      <c r="BM300" s="93"/>
      <c r="BN300" s="93"/>
      <c r="BO300" s="93"/>
      <c r="BP300" s="93"/>
      <c r="BQ300" s="93"/>
      <c r="BR300" s="93"/>
      <c r="BS300" s="93"/>
      <c r="BT300" s="93"/>
      <c r="BU300" s="93"/>
      <c r="BV300" s="93"/>
      <c r="BW300" s="93"/>
      <c r="BX300" s="93"/>
      <c r="BY300" s="93"/>
      <c r="BZ300" s="93"/>
      <c r="CA300" s="93"/>
      <c r="CB300" s="93"/>
      <c r="CC300" s="93"/>
      <c r="CD300" s="93"/>
      <c r="CE300" s="93"/>
      <c r="CF300" s="93"/>
      <c r="CG300" s="93"/>
      <c r="CH300" s="93"/>
      <c r="CI300" s="93"/>
      <c r="CJ300" s="93"/>
      <c r="CK300" s="93"/>
      <c r="CL300" s="93"/>
      <c r="CM300" s="93"/>
    </row>
    <row r="301" spans="1:91" x14ac:dyDescent="0.2">
      <c r="A301" s="144"/>
      <c r="B301" s="144"/>
      <c r="C301" s="144"/>
      <c r="D301" s="144"/>
      <c r="E301" s="144"/>
      <c r="F301" s="144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S301" s="95"/>
      <c r="T301" s="95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3"/>
      <c r="AR301" s="93"/>
      <c r="AS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93"/>
      <c r="BI301" s="93"/>
      <c r="BJ301" s="93"/>
      <c r="BK301" s="93"/>
      <c r="BL301" s="93"/>
      <c r="BM301" s="93"/>
      <c r="BN301" s="93"/>
      <c r="BO301" s="93"/>
      <c r="BP301" s="93"/>
      <c r="BQ301" s="93"/>
      <c r="BR301" s="93"/>
      <c r="BS301" s="93"/>
      <c r="BT301" s="93"/>
      <c r="BU301" s="93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93"/>
      <c r="CG301" s="93"/>
      <c r="CH301" s="93"/>
      <c r="CI301" s="93"/>
      <c r="CJ301" s="93"/>
      <c r="CK301" s="93"/>
      <c r="CL301" s="93"/>
      <c r="CM301" s="93"/>
    </row>
    <row r="302" spans="1:91" x14ac:dyDescent="0.2">
      <c r="A302" s="144"/>
      <c r="B302" s="144"/>
      <c r="C302" s="144"/>
      <c r="D302" s="144"/>
      <c r="E302" s="144"/>
      <c r="F302" s="144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S302" s="95"/>
      <c r="T302" s="95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  <c r="AP302" s="93"/>
      <c r="AQ302" s="93"/>
      <c r="AR302" s="93"/>
      <c r="AS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93"/>
      <c r="BI302" s="93"/>
      <c r="BJ302" s="93"/>
      <c r="BK302" s="93"/>
      <c r="BL302" s="93"/>
      <c r="BM302" s="93"/>
      <c r="BN302" s="93"/>
      <c r="BO302" s="93"/>
      <c r="BP302" s="93"/>
      <c r="BQ302" s="93"/>
      <c r="BR302" s="93"/>
      <c r="BS302" s="93"/>
      <c r="BT302" s="93"/>
      <c r="BU302" s="93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93"/>
      <c r="CG302" s="93"/>
      <c r="CH302" s="93"/>
      <c r="CI302" s="93"/>
      <c r="CJ302" s="93"/>
      <c r="CK302" s="93"/>
      <c r="CL302" s="93"/>
      <c r="CM302" s="93"/>
    </row>
    <row r="303" spans="1:91" x14ac:dyDescent="0.2">
      <c r="A303" s="144"/>
      <c r="B303" s="144"/>
      <c r="C303" s="144"/>
      <c r="D303" s="144"/>
      <c r="E303" s="144"/>
      <c r="F303" s="144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S303" s="95"/>
      <c r="T303" s="95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3"/>
      <c r="AR303" s="93"/>
      <c r="AS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93"/>
      <c r="BI303" s="93"/>
      <c r="BJ303" s="93"/>
      <c r="BK303" s="93"/>
      <c r="BL303" s="93"/>
      <c r="BM303" s="93"/>
      <c r="BN303" s="93"/>
      <c r="BO303" s="93"/>
      <c r="BP303" s="93"/>
      <c r="BQ303" s="93"/>
      <c r="BR303" s="93"/>
      <c r="BS303" s="93"/>
      <c r="BT303" s="93"/>
      <c r="BU303" s="93"/>
      <c r="BV303" s="93"/>
      <c r="BW303" s="93"/>
      <c r="BX303" s="93"/>
      <c r="BY303" s="93"/>
      <c r="BZ303" s="93"/>
      <c r="CA303" s="93"/>
      <c r="CB303" s="93"/>
      <c r="CC303" s="93"/>
      <c r="CD303" s="93"/>
      <c r="CE303" s="93"/>
      <c r="CF303" s="93"/>
      <c r="CG303" s="93"/>
      <c r="CH303" s="93"/>
      <c r="CI303" s="93"/>
      <c r="CJ303" s="93"/>
      <c r="CK303" s="93"/>
      <c r="CL303" s="93"/>
      <c r="CM303" s="93"/>
    </row>
    <row r="304" spans="1:91" x14ac:dyDescent="0.2">
      <c r="A304" s="144"/>
      <c r="B304" s="144"/>
      <c r="C304" s="144"/>
      <c r="D304" s="144"/>
      <c r="E304" s="144"/>
      <c r="F304" s="144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S304" s="95"/>
      <c r="T304" s="95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3"/>
      <c r="AR304" s="93"/>
      <c r="AS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93"/>
      <c r="BI304" s="93"/>
      <c r="BJ304" s="93"/>
      <c r="BK304" s="93"/>
      <c r="BL304" s="93"/>
      <c r="BM304" s="93"/>
      <c r="BN304" s="93"/>
      <c r="BO304" s="93"/>
      <c r="BP304" s="93"/>
      <c r="BQ304" s="93"/>
      <c r="BR304" s="93"/>
      <c r="BS304" s="93"/>
      <c r="BT304" s="93"/>
      <c r="BU304" s="93"/>
      <c r="BV304" s="93"/>
      <c r="BW304" s="93"/>
      <c r="BX304" s="93"/>
      <c r="BY304" s="93"/>
      <c r="BZ304" s="93"/>
      <c r="CA304" s="93"/>
      <c r="CB304" s="93"/>
      <c r="CC304" s="93"/>
      <c r="CD304" s="93"/>
      <c r="CE304" s="93"/>
      <c r="CF304" s="93"/>
      <c r="CG304" s="93"/>
      <c r="CH304" s="93"/>
      <c r="CI304" s="93"/>
      <c r="CJ304" s="93"/>
      <c r="CK304" s="93"/>
      <c r="CL304" s="93"/>
      <c r="CM304" s="93"/>
    </row>
    <row r="305" spans="1:91" x14ac:dyDescent="0.2">
      <c r="A305" s="144"/>
      <c r="B305" s="144"/>
      <c r="C305" s="144"/>
      <c r="D305" s="144"/>
      <c r="E305" s="144"/>
      <c r="F305" s="144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S305" s="95"/>
      <c r="T305" s="95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93"/>
      <c r="BI305" s="93"/>
      <c r="BJ305" s="93"/>
      <c r="BK305" s="93"/>
      <c r="BL305" s="93"/>
      <c r="BM305" s="93"/>
      <c r="BN305" s="93"/>
      <c r="BO305" s="93"/>
      <c r="BP305" s="93"/>
      <c r="BQ305" s="93"/>
      <c r="BR305" s="93"/>
      <c r="BS305" s="93"/>
      <c r="BT305" s="93"/>
      <c r="BU305" s="93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93"/>
      <c r="CG305" s="93"/>
      <c r="CH305" s="93"/>
      <c r="CI305" s="93"/>
      <c r="CJ305" s="93"/>
      <c r="CK305" s="93"/>
      <c r="CL305" s="93"/>
      <c r="CM305" s="93"/>
    </row>
    <row r="306" spans="1:91" x14ac:dyDescent="0.2">
      <c r="A306" s="144"/>
      <c r="B306" s="144"/>
      <c r="C306" s="144"/>
      <c r="D306" s="144"/>
      <c r="E306" s="144"/>
      <c r="F306" s="144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S306" s="95"/>
      <c r="T306" s="95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  <c r="AQ306" s="93"/>
      <c r="AR306" s="93"/>
      <c r="AS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93"/>
      <c r="BI306" s="93"/>
      <c r="BJ306" s="93"/>
      <c r="BK306" s="93"/>
      <c r="BL306" s="93"/>
      <c r="BM306" s="93"/>
      <c r="BN306" s="93"/>
      <c r="BO306" s="93"/>
      <c r="BP306" s="93"/>
      <c r="BQ306" s="93"/>
      <c r="BR306" s="93"/>
      <c r="BS306" s="93"/>
      <c r="BT306" s="93"/>
      <c r="BU306" s="93"/>
      <c r="BV306" s="93"/>
      <c r="BW306" s="93"/>
      <c r="BX306" s="93"/>
      <c r="BY306" s="93"/>
      <c r="BZ306" s="93"/>
      <c r="CA306" s="93"/>
      <c r="CB306" s="93"/>
      <c r="CC306" s="93"/>
      <c r="CD306" s="93"/>
      <c r="CE306" s="93"/>
      <c r="CF306" s="93"/>
      <c r="CG306" s="93"/>
      <c r="CH306" s="93"/>
      <c r="CI306" s="93"/>
      <c r="CJ306" s="93"/>
      <c r="CK306" s="93"/>
      <c r="CL306" s="93"/>
      <c r="CM306" s="93"/>
    </row>
    <row r="307" spans="1:91" x14ac:dyDescent="0.2">
      <c r="A307" s="144"/>
      <c r="B307" s="144"/>
      <c r="C307" s="144"/>
      <c r="D307" s="144"/>
      <c r="E307" s="144"/>
      <c r="F307" s="144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S307" s="95"/>
      <c r="T307" s="95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  <c r="AP307" s="93"/>
      <c r="AQ307" s="93"/>
      <c r="AR307" s="93"/>
      <c r="AS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93"/>
      <c r="BI307" s="93"/>
      <c r="BJ307" s="93"/>
      <c r="BK307" s="93"/>
      <c r="BL307" s="93"/>
      <c r="BM307" s="93"/>
      <c r="BN307" s="93"/>
      <c r="BO307" s="93"/>
      <c r="BP307" s="93"/>
      <c r="BQ307" s="93"/>
      <c r="BR307" s="93"/>
      <c r="BS307" s="93"/>
      <c r="BT307" s="93"/>
      <c r="BU307" s="93"/>
      <c r="BV307" s="93"/>
      <c r="BW307" s="93"/>
      <c r="BX307" s="93"/>
      <c r="BY307" s="93"/>
      <c r="BZ307" s="93"/>
      <c r="CA307" s="93"/>
      <c r="CB307" s="93"/>
      <c r="CC307" s="93"/>
      <c r="CD307" s="93"/>
      <c r="CE307" s="93"/>
      <c r="CF307" s="93"/>
      <c r="CG307" s="93"/>
      <c r="CH307" s="93"/>
      <c r="CI307" s="93"/>
      <c r="CJ307" s="93"/>
      <c r="CK307" s="93"/>
      <c r="CL307" s="93"/>
      <c r="CM307" s="93"/>
    </row>
    <row r="308" spans="1:91" x14ac:dyDescent="0.2">
      <c r="A308" s="144"/>
      <c r="B308" s="144"/>
      <c r="C308" s="144"/>
      <c r="D308" s="144"/>
      <c r="E308" s="144"/>
      <c r="F308" s="144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S308" s="95"/>
      <c r="T308" s="95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93"/>
      <c r="BI308" s="93"/>
      <c r="BJ308" s="93"/>
      <c r="BK308" s="93"/>
      <c r="BL308" s="93"/>
      <c r="BM308" s="93"/>
      <c r="BN308" s="93"/>
      <c r="BO308" s="93"/>
      <c r="BP308" s="93"/>
      <c r="BQ308" s="93"/>
      <c r="BR308" s="93"/>
      <c r="BS308" s="93"/>
      <c r="BT308" s="93"/>
      <c r="BU308" s="93"/>
      <c r="BV308" s="93"/>
      <c r="BW308" s="93"/>
      <c r="BX308" s="93"/>
      <c r="BY308" s="93"/>
      <c r="BZ308" s="93"/>
      <c r="CA308" s="93"/>
      <c r="CB308" s="93"/>
      <c r="CC308" s="93"/>
      <c r="CD308" s="93"/>
      <c r="CE308" s="93"/>
      <c r="CF308" s="93"/>
      <c r="CG308" s="93"/>
      <c r="CH308" s="93"/>
      <c r="CI308" s="93"/>
      <c r="CJ308" s="93"/>
      <c r="CK308" s="93"/>
      <c r="CL308" s="93"/>
      <c r="CM308" s="93"/>
    </row>
    <row r="309" spans="1:91" x14ac:dyDescent="0.2">
      <c r="A309" s="144"/>
      <c r="B309" s="144"/>
      <c r="C309" s="144"/>
      <c r="D309" s="144"/>
      <c r="E309" s="144"/>
      <c r="F309" s="144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S309" s="95"/>
      <c r="T309" s="95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  <c r="AP309" s="93"/>
      <c r="AQ309" s="93"/>
      <c r="AR309" s="93"/>
      <c r="AS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93"/>
      <c r="BI309" s="93"/>
      <c r="BJ309" s="93"/>
      <c r="BK309" s="93"/>
      <c r="BL309" s="93"/>
      <c r="BM309" s="93"/>
      <c r="BN309" s="93"/>
      <c r="BO309" s="93"/>
      <c r="BP309" s="93"/>
      <c r="BQ309" s="93"/>
      <c r="BR309" s="93"/>
      <c r="BS309" s="93"/>
      <c r="BT309" s="93"/>
      <c r="BU309" s="93"/>
      <c r="BV309" s="93"/>
      <c r="BW309" s="93"/>
      <c r="BX309" s="93"/>
      <c r="BY309" s="93"/>
      <c r="BZ309" s="93"/>
      <c r="CA309" s="93"/>
      <c r="CB309" s="93"/>
      <c r="CC309" s="93"/>
      <c r="CD309" s="93"/>
      <c r="CE309" s="93"/>
      <c r="CF309" s="93"/>
      <c r="CG309" s="93"/>
      <c r="CH309" s="93"/>
      <c r="CI309" s="93"/>
      <c r="CJ309" s="93"/>
      <c r="CK309" s="93"/>
      <c r="CL309" s="93"/>
      <c r="CM309" s="93"/>
    </row>
    <row r="310" spans="1:91" x14ac:dyDescent="0.2">
      <c r="A310" s="144"/>
      <c r="B310" s="144"/>
      <c r="C310" s="144"/>
      <c r="D310" s="144"/>
      <c r="E310" s="144"/>
      <c r="F310" s="144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S310" s="95"/>
      <c r="T310" s="95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  <c r="AQ310" s="93"/>
      <c r="AR310" s="93"/>
      <c r="AS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93"/>
      <c r="BI310" s="93"/>
      <c r="BJ310" s="93"/>
      <c r="BK310" s="93"/>
      <c r="BL310" s="93"/>
      <c r="BM310" s="93"/>
      <c r="BN310" s="93"/>
      <c r="BO310" s="93"/>
      <c r="BP310" s="93"/>
      <c r="BQ310" s="93"/>
      <c r="BR310" s="93"/>
      <c r="BS310" s="93"/>
      <c r="BT310" s="93"/>
      <c r="BU310" s="93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93"/>
      <c r="CG310" s="93"/>
      <c r="CH310" s="93"/>
      <c r="CI310" s="93"/>
      <c r="CJ310" s="93"/>
      <c r="CK310" s="93"/>
      <c r="CL310" s="93"/>
      <c r="CM310" s="93"/>
    </row>
    <row r="311" spans="1:91" x14ac:dyDescent="0.2">
      <c r="A311" s="144"/>
      <c r="B311" s="144"/>
      <c r="C311" s="144"/>
      <c r="D311" s="144"/>
      <c r="E311" s="144"/>
      <c r="F311" s="144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S311" s="95"/>
      <c r="T311" s="95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3"/>
      <c r="AR311" s="93"/>
      <c r="AS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93"/>
      <c r="BI311" s="93"/>
      <c r="BJ311" s="93"/>
      <c r="BK311" s="93"/>
      <c r="BL311" s="93"/>
      <c r="BM311" s="93"/>
      <c r="BN311" s="93"/>
      <c r="BO311" s="93"/>
      <c r="BP311" s="93"/>
      <c r="BQ311" s="93"/>
      <c r="BR311" s="93"/>
      <c r="BS311" s="93"/>
      <c r="BT311" s="93"/>
      <c r="BU311" s="93"/>
      <c r="BV311" s="93"/>
      <c r="BW311" s="93"/>
      <c r="BX311" s="93"/>
      <c r="BY311" s="93"/>
      <c r="BZ311" s="93"/>
      <c r="CA311" s="93"/>
      <c r="CB311" s="93"/>
      <c r="CC311" s="93"/>
      <c r="CD311" s="93"/>
      <c r="CE311" s="93"/>
      <c r="CF311" s="93"/>
      <c r="CG311" s="93"/>
      <c r="CH311" s="93"/>
      <c r="CI311" s="93"/>
      <c r="CJ311" s="93"/>
      <c r="CK311" s="93"/>
      <c r="CL311" s="93"/>
      <c r="CM311" s="93"/>
    </row>
    <row r="312" spans="1:91" x14ac:dyDescent="0.2">
      <c r="A312" s="144"/>
      <c r="B312" s="144"/>
      <c r="C312" s="144"/>
      <c r="D312" s="144"/>
      <c r="E312" s="144"/>
      <c r="F312" s="144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S312" s="95"/>
      <c r="T312" s="95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3"/>
      <c r="AR312" s="93"/>
      <c r="AS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93"/>
      <c r="BI312" s="93"/>
      <c r="BJ312" s="93"/>
      <c r="BK312" s="93"/>
      <c r="BL312" s="93"/>
      <c r="BM312" s="93"/>
      <c r="BN312" s="93"/>
      <c r="BO312" s="93"/>
      <c r="BP312" s="93"/>
      <c r="BQ312" s="93"/>
      <c r="BR312" s="93"/>
      <c r="BS312" s="93"/>
      <c r="BT312" s="93"/>
      <c r="BU312" s="93"/>
      <c r="BV312" s="93"/>
      <c r="BW312" s="93"/>
      <c r="BX312" s="93"/>
      <c r="BY312" s="93"/>
      <c r="BZ312" s="93"/>
      <c r="CA312" s="93"/>
      <c r="CB312" s="93"/>
      <c r="CC312" s="93"/>
      <c r="CD312" s="93"/>
      <c r="CE312" s="93"/>
      <c r="CF312" s="93"/>
      <c r="CG312" s="93"/>
      <c r="CH312" s="93"/>
      <c r="CI312" s="93"/>
      <c r="CJ312" s="93"/>
      <c r="CK312" s="93"/>
      <c r="CL312" s="93"/>
      <c r="CM312" s="93"/>
    </row>
    <row r="313" spans="1:91" x14ac:dyDescent="0.2">
      <c r="A313" s="144"/>
      <c r="B313" s="144"/>
      <c r="C313" s="144"/>
      <c r="D313" s="144"/>
      <c r="E313" s="144"/>
      <c r="F313" s="144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S313" s="95"/>
      <c r="T313" s="95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/>
      <c r="AQ313" s="93"/>
      <c r="AR313" s="93"/>
      <c r="AS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93"/>
      <c r="BI313" s="93"/>
      <c r="BJ313" s="93"/>
      <c r="BK313" s="93"/>
      <c r="BL313" s="93"/>
      <c r="BM313" s="93"/>
      <c r="BN313" s="93"/>
      <c r="BO313" s="93"/>
      <c r="BP313" s="93"/>
      <c r="BQ313" s="93"/>
      <c r="BR313" s="93"/>
      <c r="BS313" s="93"/>
      <c r="BT313" s="93"/>
      <c r="BU313" s="93"/>
      <c r="BV313" s="93"/>
      <c r="BW313" s="93"/>
      <c r="BX313" s="93"/>
      <c r="BY313" s="93"/>
      <c r="BZ313" s="93"/>
      <c r="CA313" s="93"/>
      <c r="CB313" s="93"/>
      <c r="CC313" s="93"/>
      <c r="CD313" s="93"/>
      <c r="CE313" s="93"/>
      <c r="CF313" s="93"/>
      <c r="CG313" s="93"/>
      <c r="CH313" s="93"/>
      <c r="CI313" s="93"/>
      <c r="CJ313" s="93"/>
      <c r="CK313" s="93"/>
      <c r="CL313" s="93"/>
      <c r="CM313" s="93"/>
    </row>
    <row r="314" spans="1:91" x14ac:dyDescent="0.2">
      <c r="A314" s="144"/>
      <c r="B314" s="144"/>
      <c r="C314" s="144"/>
      <c r="D314" s="144"/>
      <c r="E314" s="144"/>
      <c r="F314" s="144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S314" s="95"/>
      <c r="T314" s="95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93"/>
      <c r="BI314" s="93"/>
      <c r="BJ314" s="93"/>
      <c r="BK314" s="93"/>
      <c r="BL314" s="93"/>
      <c r="BM314" s="93"/>
      <c r="BN314" s="93"/>
      <c r="BO314" s="93"/>
      <c r="BP314" s="93"/>
      <c r="BQ314" s="93"/>
      <c r="BR314" s="93"/>
      <c r="BS314" s="93"/>
      <c r="BT314" s="93"/>
      <c r="BU314" s="93"/>
      <c r="BV314" s="93"/>
      <c r="BW314" s="93"/>
      <c r="BX314" s="93"/>
      <c r="BY314" s="93"/>
      <c r="BZ314" s="93"/>
      <c r="CA314" s="93"/>
      <c r="CB314" s="93"/>
      <c r="CC314" s="93"/>
      <c r="CD314" s="93"/>
      <c r="CE314" s="93"/>
      <c r="CF314" s="93"/>
      <c r="CG314" s="93"/>
      <c r="CH314" s="93"/>
      <c r="CI314" s="93"/>
      <c r="CJ314" s="93"/>
      <c r="CK314" s="93"/>
      <c r="CL314" s="93"/>
      <c r="CM314" s="93"/>
    </row>
    <row r="315" spans="1:91" x14ac:dyDescent="0.2">
      <c r="A315" s="144"/>
      <c r="B315" s="144"/>
      <c r="C315" s="144"/>
      <c r="D315" s="144"/>
      <c r="E315" s="144"/>
      <c r="F315" s="144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S315" s="95"/>
      <c r="T315" s="95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3"/>
      <c r="AR315" s="93"/>
      <c r="AS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93"/>
      <c r="BI315" s="93"/>
      <c r="BJ315" s="93"/>
      <c r="BK315" s="93"/>
      <c r="BL315" s="93"/>
      <c r="BM315" s="93"/>
      <c r="BN315" s="93"/>
      <c r="BO315" s="93"/>
      <c r="BP315" s="93"/>
      <c r="BQ315" s="93"/>
      <c r="BR315" s="93"/>
      <c r="BS315" s="93"/>
      <c r="BT315" s="93"/>
      <c r="BU315" s="93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93"/>
      <c r="CG315" s="93"/>
      <c r="CH315" s="93"/>
      <c r="CI315" s="93"/>
      <c r="CJ315" s="93"/>
      <c r="CK315" s="93"/>
      <c r="CL315" s="93"/>
      <c r="CM315" s="93"/>
    </row>
    <row r="316" spans="1:91" x14ac:dyDescent="0.2">
      <c r="A316" s="144"/>
      <c r="B316" s="144"/>
      <c r="C316" s="144"/>
      <c r="D316" s="144"/>
      <c r="E316" s="144"/>
      <c r="F316" s="144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S316" s="95"/>
      <c r="T316" s="95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  <c r="AP316" s="93"/>
      <c r="AQ316" s="93"/>
      <c r="AR316" s="93"/>
      <c r="AS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93"/>
      <c r="BI316" s="93"/>
      <c r="BJ316" s="93"/>
      <c r="BK316" s="93"/>
      <c r="BL316" s="93"/>
      <c r="BM316" s="93"/>
      <c r="BN316" s="93"/>
      <c r="BO316" s="93"/>
      <c r="BP316" s="93"/>
      <c r="BQ316" s="93"/>
      <c r="BR316" s="93"/>
      <c r="BS316" s="93"/>
      <c r="BT316" s="93"/>
      <c r="BU316" s="93"/>
      <c r="BV316" s="93"/>
      <c r="BW316" s="93"/>
      <c r="BX316" s="93"/>
      <c r="BY316" s="93"/>
      <c r="BZ316" s="93"/>
      <c r="CA316" s="93"/>
      <c r="CB316" s="93"/>
      <c r="CC316" s="93"/>
      <c r="CD316" s="93"/>
      <c r="CE316" s="93"/>
      <c r="CF316" s="93"/>
      <c r="CG316" s="93"/>
      <c r="CH316" s="93"/>
      <c r="CI316" s="93"/>
      <c r="CJ316" s="93"/>
      <c r="CK316" s="93"/>
      <c r="CL316" s="93"/>
      <c r="CM316" s="93"/>
    </row>
    <row r="317" spans="1:91" x14ac:dyDescent="0.2">
      <c r="A317" s="144"/>
      <c r="B317" s="144"/>
      <c r="C317" s="144"/>
      <c r="D317" s="144"/>
      <c r="E317" s="144"/>
      <c r="F317" s="144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S317" s="95"/>
      <c r="T317" s="95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  <c r="AP317" s="93"/>
      <c r="AQ317" s="93"/>
      <c r="AR317" s="93"/>
      <c r="AS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93"/>
      <c r="BI317" s="93"/>
      <c r="BJ317" s="93"/>
      <c r="BK317" s="93"/>
      <c r="BL317" s="93"/>
      <c r="BM317" s="93"/>
      <c r="BN317" s="93"/>
      <c r="BO317" s="93"/>
      <c r="BP317" s="93"/>
      <c r="BQ317" s="93"/>
      <c r="BR317" s="93"/>
      <c r="BS317" s="93"/>
      <c r="BT317" s="93"/>
      <c r="BU317" s="93"/>
      <c r="BV317" s="93"/>
      <c r="BW317" s="93"/>
      <c r="BX317" s="93"/>
      <c r="BY317" s="93"/>
      <c r="BZ317" s="93"/>
      <c r="CA317" s="93"/>
      <c r="CB317" s="93"/>
      <c r="CC317" s="93"/>
      <c r="CD317" s="93"/>
      <c r="CE317" s="93"/>
      <c r="CF317" s="93"/>
      <c r="CG317" s="93"/>
      <c r="CH317" s="93"/>
      <c r="CI317" s="93"/>
      <c r="CJ317" s="93"/>
      <c r="CK317" s="93"/>
      <c r="CL317" s="93"/>
      <c r="CM317" s="93"/>
    </row>
    <row r="318" spans="1:91" x14ac:dyDescent="0.2">
      <c r="A318" s="144"/>
      <c r="B318" s="144"/>
      <c r="C318" s="144"/>
      <c r="D318" s="144"/>
      <c r="E318" s="144"/>
      <c r="F318" s="144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S318" s="95"/>
      <c r="T318" s="95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93"/>
      <c r="CG318" s="93"/>
      <c r="CH318" s="93"/>
      <c r="CI318" s="93"/>
      <c r="CJ318" s="93"/>
      <c r="CK318" s="93"/>
      <c r="CL318" s="93"/>
      <c r="CM318" s="93"/>
    </row>
    <row r="319" spans="1:91" x14ac:dyDescent="0.2">
      <c r="A319" s="144"/>
      <c r="B319" s="144"/>
      <c r="C319" s="144"/>
      <c r="D319" s="144"/>
      <c r="E319" s="144"/>
      <c r="F319" s="144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S319" s="95"/>
      <c r="T319" s="95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  <c r="AS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93"/>
      <c r="BI319" s="93"/>
      <c r="BJ319" s="93"/>
      <c r="BK319" s="93"/>
      <c r="BL319" s="93"/>
      <c r="BM319" s="93"/>
      <c r="BN319" s="93"/>
      <c r="BO319" s="93"/>
      <c r="BP319" s="93"/>
      <c r="BQ319" s="93"/>
      <c r="BR319" s="93"/>
      <c r="BS319" s="93"/>
      <c r="BT319" s="93"/>
      <c r="BU319" s="93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93"/>
      <c r="CG319" s="93"/>
      <c r="CH319" s="93"/>
      <c r="CI319" s="93"/>
      <c r="CJ319" s="93"/>
      <c r="CK319" s="93"/>
      <c r="CL319" s="93"/>
      <c r="CM319" s="93"/>
    </row>
    <row r="320" spans="1:91" x14ac:dyDescent="0.2">
      <c r="A320" s="144"/>
      <c r="B320" s="144"/>
      <c r="C320" s="144"/>
      <c r="D320" s="144"/>
      <c r="E320" s="144"/>
      <c r="F320" s="144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S320" s="95"/>
      <c r="T320" s="95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/>
      <c r="AQ320" s="93"/>
      <c r="AR320" s="93"/>
      <c r="AS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93"/>
      <c r="BI320" s="93"/>
      <c r="BJ320" s="93"/>
      <c r="BK320" s="93"/>
      <c r="BL320" s="93"/>
      <c r="BM320" s="93"/>
      <c r="BN320" s="93"/>
      <c r="BO320" s="93"/>
      <c r="BP320" s="93"/>
      <c r="BQ320" s="93"/>
      <c r="BR320" s="93"/>
      <c r="BS320" s="93"/>
      <c r="BT320" s="93"/>
      <c r="BU320" s="93"/>
      <c r="BV320" s="93"/>
      <c r="BW320" s="93"/>
      <c r="BX320" s="93"/>
      <c r="BY320" s="93"/>
      <c r="BZ320" s="93"/>
      <c r="CA320" s="93"/>
      <c r="CB320" s="93"/>
      <c r="CC320" s="93"/>
      <c r="CD320" s="93"/>
      <c r="CE320" s="93"/>
      <c r="CF320" s="93"/>
      <c r="CG320" s="93"/>
      <c r="CH320" s="93"/>
      <c r="CI320" s="93"/>
      <c r="CJ320" s="93"/>
      <c r="CK320" s="93"/>
      <c r="CL320" s="93"/>
      <c r="CM320" s="93"/>
    </row>
    <row r="321" spans="1:91" x14ac:dyDescent="0.2">
      <c r="A321" s="144"/>
      <c r="B321" s="144"/>
      <c r="C321" s="144"/>
      <c r="D321" s="144"/>
      <c r="E321" s="144"/>
      <c r="F321" s="144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S321" s="95"/>
      <c r="T321" s="95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  <c r="AS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93"/>
      <c r="BI321" s="93"/>
      <c r="BJ321" s="93"/>
      <c r="BK321" s="93"/>
      <c r="BL321" s="93"/>
      <c r="BM321" s="93"/>
      <c r="BN321" s="93"/>
      <c r="BO321" s="93"/>
      <c r="BP321" s="93"/>
      <c r="BQ321" s="93"/>
      <c r="BR321" s="93"/>
      <c r="BS321" s="93"/>
      <c r="BT321" s="93"/>
      <c r="BU321" s="93"/>
      <c r="BV321" s="93"/>
      <c r="BW321" s="93"/>
      <c r="BX321" s="93"/>
      <c r="BY321" s="93"/>
      <c r="BZ321" s="93"/>
      <c r="CA321" s="93"/>
      <c r="CB321" s="93"/>
      <c r="CC321" s="93"/>
      <c r="CD321" s="93"/>
      <c r="CE321" s="93"/>
      <c r="CF321" s="93"/>
      <c r="CG321" s="93"/>
      <c r="CH321" s="93"/>
      <c r="CI321" s="93"/>
      <c r="CJ321" s="93"/>
      <c r="CK321" s="93"/>
      <c r="CL321" s="93"/>
      <c r="CM321" s="93"/>
    </row>
    <row r="322" spans="1:91" x14ac:dyDescent="0.2">
      <c r="A322" s="144"/>
      <c r="B322" s="144"/>
      <c r="C322" s="144"/>
      <c r="D322" s="144"/>
      <c r="E322" s="144"/>
      <c r="F322" s="144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S322" s="95"/>
      <c r="T322" s="95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3"/>
      <c r="AR322" s="93"/>
      <c r="AS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93"/>
      <c r="BI322" s="93"/>
      <c r="BJ322" s="93"/>
      <c r="BK322" s="93"/>
      <c r="BL322" s="93"/>
      <c r="BM322" s="93"/>
      <c r="BN322" s="93"/>
      <c r="BO322" s="93"/>
      <c r="BP322" s="93"/>
      <c r="BQ322" s="93"/>
      <c r="BR322" s="93"/>
      <c r="BS322" s="93"/>
      <c r="BT322" s="93"/>
      <c r="BU322" s="93"/>
      <c r="BV322" s="93"/>
      <c r="BW322" s="93"/>
      <c r="BX322" s="93"/>
      <c r="BY322" s="93"/>
      <c r="BZ322" s="93"/>
      <c r="CA322" s="93"/>
      <c r="CB322" s="93"/>
      <c r="CC322" s="93"/>
      <c r="CD322" s="93"/>
      <c r="CE322" s="93"/>
      <c r="CF322" s="93"/>
      <c r="CG322" s="93"/>
      <c r="CH322" s="93"/>
      <c r="CI322" s="93"/>
      <c r="CJ322" s="93"/>
      <c r="CK322" s="93"/>
      <c r="CL322" s="93"/>
      <c r="CM322" s="93"/>
    </row>
    <row r="323" spans="1:91" x14ac:dyDescent="0.2">
      <c r="A323" s="144"/>
      <c r="B323" s="144"/>
      <c r="C323" s="144"/>
      <c r="D323" s="144"/>
      <c r="E323" s="144"/>
      <c r="F323" s="144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S323" s="95"/>
      <c r="T323" s="95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  <c r="AP323" s="93"/>
      <c r="AQ323" s="93"/>
      <c r="AR323" s="93"/>
      <c r="AS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93"/>
      <c r="BI323" s="93"/>
      <c r="BJ323" s="93"/>
      <c r="BK323" s="93"/>
      <c r="BL323" s="93"/>
      <c r="BM323" s="93"/>
      <c r="BN323" s="93"/>
      <c r="BO323" s="93"/>
      <c r="BP323" s="93"/>
      <c r="BQ323" s="93"/>
      <c r="BR323" s="93"/>
      <c r="BS323" s="93"/>
      <c r="BT323" s="93"/>
      <c r="BU323" s="93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93"/>
      <c r="CG323" s="93"/>
      <c r="CH323" s="93"/>
      <c r="CI323" s="93"/>
      <c r="CJ323" s="93"/>
      <c r="CK323" s="93"/>
      <c r="CL323" s="93"/>
      <c r="CM323" s="93"/>
    </row>
    <row r="324" spans="1:91" x14ac:dyDescent="0.2">
      <c r="A324" s="144"/>
      <c r="B324" s="144"/>
      <c r="C324" s="144"/>
      <c r="D324" s="144"/>
      <c r="E324" s="144"/>
      <c r="F324" s="144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S324" s="95"/>
      <c r="T324" s="95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  <c r="AP324" s="93"/>
      <c r="AQ324" s="93"/>
      <c r="AR324" s="93"/>
      <c r="AS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93"/>
      <c r="BI324" s="93"/>
      <c r="BJ324" s="93"/>
      <c r="BK324" s="93"/>
      <c r="BL324" s="93"/>
      <c r="BM324" s="93"/>
      <c r="BN324" s="93"/>
      <c r="BO324" s="93"/>
      <c r="BP324" s="93"/>
      <c r="BQ324" s="93"/>
      <c r="BR324" s="93"/>
      <c r="BS324" s="93"/>
      <c r="BT324" s="93"/>
      <c r="BU324" s="93"/>
      <c r="BV324" s="93"/>
      <c r="BW324" s="93"/>
      <c r="BX324" s="93"/>
      <c r="BY324" s="93"/>
      <c r="BZ324" s="93"/>
      <c r="CA324" s="93"/>
      <c r="CB324" s="93"/>
      <c r="CC324" s="93"/>
      <c r="CD324" s="93"/>
      <c r="CE324" s="93"/>
      <c r="CF324" s="93"/>
      <c r="CG324" s="93"/>
      <c r="CH324" s="93"/>
      <c r="CI324" s="93"/>
      <c r="CJ324" s="93"/>
      <c r="CK324" s="93"/>
      <c r="CL324" s="93"/>
      <c r="CM324" s="93"/>
    </row>
    <row r="325" spans="1:91" x14ac:dyDescent="0.2">
      <c r="A325" s="144"/>
      <c r="B325" s="144"/>
      <c r="C325" s="144"/>
      <c r="D325" s="144"/>
      <c r="E325" s="144"/>
      <c r="F325" s="144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S325" s="95"/>
      <c r="T325" s="95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93"/>
      <c r="BL325" s="93"/>
      <c r="BM325" s="93"/>
      <c r="BN325" s="93"/>
      <c r="BO325" s="93"/>
      <c r="BP325" s="93"/>
      <c r="BQ325" s="93"/>
      <c r="BR325" s="93"/>
      <c r="BS325" s="93"/>
      <c r="BT325" s="93"/>
      <c r="BU325" s="93"/>
      <c r="BV325" s="93"/>
      <c r="BW325" s="93"/>
      <c r="BX325" s="93"/>
      <c r="BY325" s="93"/>
      <c r="BZ325" s="93"/>
      <c r="CA325" s="93"/>
      <c r="CB325" s="93"/>
      <c r="CC325" s="93"/>
      <c r="CD325" s="93"/>
      <c r="CE325" s="93"/>
      <c r="CF325" s="93"/>
      <c r="CG325" s="93"/>
      <c r="CH325" s="93"/>
      <c r="CI325" s="93"/>
      <c r="CJ325" s="93"/>
      <c r="CK325" s="93"/>
      <c r="CL325" s="93"/>
      <c r="CM325" s="93"/>
    </row>
    <row r="326" spans="1:91" x14ac:dyDescent="0.2">
      <c r="A326" s="144"/>
      <c r="B326" s="144"/>
      <c r="C326" s="144"/>
      <c r="D326" s="144"/>
      <c r="E326" s="144"/>
      <c r="F326" s="144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S326" s="95"/>
      <c r="T326" s="95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/>
      <c r="AR326" s="93"/>
      <c r="AS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93"/>
      <c r="BI326" s="93"/>
      <c r="BJ326" s="93"/>
      <c r="BK326" s="93"/>
      <c r="BL326" s="93"/>
      <c r="BM326" s="93"/>
      <c r="BN326" s="93"/>
      <c r="BO326" s="93"/>
      <c r="BP326" s="93"/>
      <c r="BQ326" s="93"/>
      <c r="BR326" s="93"/>
      <c r="BS326" s="93"/>
      <c r="BT326" s="93"/>
      <c r="BU326" s="93"/>
      <c r="BV326" s="93"/>
      <c r="BW326" s="93"/>
      <c r="BX326" s="93"/>
      <c r="BY326" s="93"/>
      <c r="BZ326" s="93"/>
      <c r="CA326" s="93"/>
      <c r="CB326" s="93"/>
      <c r="CC326" s="93"/>
      <c r="CD326" s="93"/>
      <c r="CE326" s="93"/>
      <c r="CF326" s="93"/>
      <c r="CG326" s="93"/>
      <c r="CH326" s="93"/>
      <c r="CI326" s="93"/>
      <c r="CJ326" s="93"/>
      <c r="CK326" s="93"/>
      <c r="CL326" s="93"/>
      <c r="CM326" s="93"/>
    </row>
    <row r="327" spans="1:91" x14ac:dyDescent="0.2">
      <c r="A327" s="144"/>
      <c r="B327" s="144"/>
      <c r="C327" s="144"/>
      <c r="D327" s="144"/>
      <c r="E327" s="144"/>
      <c r="F327" s="144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S327" s="95"/>
      <c r="T327" s="95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/>
      <c r="AR327" s="93"/>
      <c r="AS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93"/>
      <c r="BI327" s="93"/>
      <c r="BJ327" s="93"/>
      <c r="BK327" s="93"/>
      <c r="BL327" s="93"/>
      <c r="BM327" s="93"/>
      <c r="BN327" s="93"/>
      <c r="BO327" s="93"/>
      <c r="BP327" s="93"/>
      <c r="BQ327" s="93"/>
      <c r="BR327" s="93"/>
      <c r="BS327" s="93"/>
      <c r="BT327" s="93"/>
      <c r="BU327" s="93"/>
      <c r="BV327" s="93"/>
      <c r="BW327" s="93"/>
      <c r="BX327" s="93"/>
      <c r="BY327" s="93"/>
      <c r="BZ327" s="93"/>
      <c r="CA327" s="93"/>
      <c r="CB327" s="93"/>
      <c r="CC327" s="93"/>
      <c r="CD327" s="93"/>
      <c r="CE327" s="93"/>
      <c r="CF327" s="93"/>
      <c r="CG327" s="93"/>
      <c r="CH327" s="93"/>
      <c r="CI327" s="93"/>
      <c r="CJ327" s="93"/>
      <c r="CK327" s="93"/>
      <c r="CL327" s="93"/>
      <c r="CM327" s="93"/>
    </row>
    <row r="328" spans="1:91" x14ac:dyDescent="0.2">
      <c r="A328" s="144"/>
      <c r="B328" s="144"/>
      <c r="C328" s="144"/>
      <c r="D328" s="144"/>
      <c r="E328" s="144"/>
      <c r="F328" s="144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S328" s="95"/>
      <c r="T328" s="95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  <c r="AP328" s="93"/>
      <c r="AQ328" s="93"/>
      <c r="AR328" s="93"/>
      <c r="AS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93"/>
      <c r="BI328" s="93"/>
      <c r="BJ328" s="93"/>
      <c r="BK328" s="93"/>
      <c r="BL328" s="93"/>
      <c r="BM328" s="93"/>
      <c r="BN328" s="93"/>
      <c r="BO328" s="93"/>
      <c r="BP328" s="93"/>
      <c r="BQ328" s="93"/>
      <c r="BR328" s="93"/>
      <c r="BS328" s="93"/>
      <c r="BT328" s="93"/>
      <c r="BU328" s="93"/>
      <c r="BV328" s="93"/>
      <c r="BW328" s="93"/>
      <c r="BX328" s="93"/>
      <c r="BY328" s="93"/>
      <c r="BZ328" s="93"/>
      <c r="CA328" s="93"/>
      <c r="CB328" s="93"/>
      <c r="CC328" s="93"/>
      <c r="CD328" s="93"/>
      <c r="CE328" s="93"/>
      <c r="CF328" s="93"/>
      <c r="CG328" s="93"/>
      <c r="CH328" s="93"/>
      <c r="CI328" s="93"/>
      <c r="CJ328" s="93"/>
      <c r="CK328" s="93"/>
      <c r="CL328" s="93"/>
      <c r="CM328" s="93"/>
    </row>
    <row r="329" spans="1:91" x14ac:dyDescent="0.2">
      <c r="A329" s="144"/>
      <c r="B329" s="144"/>
      <c r="C329" s="144"/>
      <c r="D329" s="144"/>
      <c r="E329" s="144"/>
      <c r="F329" s="144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S329" s="95"/>
      <c r="T329" s="95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  <c r="AP329" s="93"/>
      <c r="AQ329" s="93"/>
      <c r="AR329" s="93"/>
      <c r="AS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93"/>
      <c r="BI329" s="93"/>
      <c r="BJ329" s="93"/>
      <c r="BK329" s="93"/>
      <c r="BL329" s="93"/>
      <c r="BM329" s="93"/>
      <c r="BN329" s="93"/>
      <c r="BO329" s="93"/>
      <c r="BP329" s="93"/>
      <c r="BQ329" s="93"/>
      <c r="BR329" s="93"/>
      <c r="BS329" s="93"/>
      <c r="BT329" s="93"/>
      <c r="BU329" s="93"/>
      <c r="BV329" s="93"/>
      <c r="BW329" s="93"/>
      <c r="BX329" s="93"/>
      <c r="BY329" s="93"/>
      <c r="BZ329" s="93"/>
      <c r="CA329" s="93"/>
      <c r="CB329" s="93"/>
      <c r="CC329" s="93"/>
      <c r="CD329" s="93"/>
      <c r="CE329" s="93"/>
      <c r="CF329" s="93"/>
      <c r="CG329" s="93"/>
      <c r="CH329" s="93"/>
      <c r="CI329" s="93"/>
      <c r="CJ329" s="93"/>
      <c r="CK329" s="93"/>
      <c r="CL329" s="93"/>
      <c r="CM329" s="93"/>
    </row>
    <row r="330" spans="1:91" x14ac:dyDescent="0.2">
      <c r="A330" s="144"/>
      <c r="B330" s="144"/>
      <c r="C330" s="144"/>
      <c r="D330" s="144"/>
      <c r="E330" s="144"/>
      <c r="F330" s="144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S330" s="95"/>
      <c r="T330" s="95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  <c r="AP330" s="93"/>
      <c r="AQ330" s="93"/>
      <c r="AR330" s="93"/>
      <c r="AS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93"/>
      <c r="BI330" s="93"/>
      <c r="BJ330" s="93"/>
      <c r="BK330" s="93"/>
      <c r="BL330" s="93"/>
      <c r="BM330" s="93"/>
      <c r="BN330" s="93"/>
      <c r="BO330" s="93"/>
      <c r="BP330" s="93"/>
      <c r="BQ330" s="93"/>
      <c r="BR330" s="93"/>
      <c r="BS330" s="93"/>
      <c r="BT330" s="93"/>
      <c r="BU330" s="93"/>
      <c r="BV330" s="93"/>
      <c r="BW330" s="93"/>
      <c r="BX330" s="93"/>
      <c r="BY330" s="93"/>
      <c r="BZ330" s="93"/>
      <c r="CA330" s="93"/>
      <c r="CB330" s="93"/>
      <c r="CC330" s="93"/>
      <c r="CD330" s="93"/>
      <c r="CE330" s="93"/>
      <c r="CF330" s="93"/>
      <c r="CG330" s="93"/>
      <c r="CH330" s="93"/>
      <c r="CI330" s="93"/>
      <c r="CJ330" s="93"/>
      <c r="CK330" s="93"/>
      <c r="CL330" s="93"/>
      <c r="CM330" s="93"/>
    </row>
    <row r="331" spans="1:91" x14ac:dyDescent="0.2">
      <c r="A331" s="144"/>
      <c r="B331" s="144"/>
      <c r="C331" s="144"/>
      <c r="D331" s="144"/>
      <c r="E331" s="144"/>
      <c r="F331" s="144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S331" s="95"/>
      <c r="T331" s="95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  <c r="AP331" s="93"/>
      <c r="AQ331" s="93"/>
      <c r="AR331" s="93"/>
      <c r="AS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93"/>
      <c r="BI331" s="93"/>
      <c r="BJ331" s="93"/>
      <c r="BK331" s="93"/>
      <c r="BL331" s="93"/>
      <c r="BM331" s="93"/>
      <c r="BN331" s="93"/>
      <c r="BO331" s="93"/>
      <c r="BP331" s="93"/>
      <c r="BQ331" s="93"/>
      <c r="BR331" s="93"/>
      <c r="BS331" s="93"/>
      <c r="BT331" s="93"/>
      <c r="BU331" s="93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93"/>
      <c r="CG331" s="93"/>
      <c r="CH331" s="93"/>
      <c r="CI331" s="93"/>
      <c r="CJ331" s="93"/>
      <c r="CK331" s="93"/>
      <c r="CL331" s="93"/>
      <c r="CM331" s="93"/>
    </row>
    <row r="332" spans="1:91" x14ac:dyDescent="0.2">
      <c r="A332" s="144"/>
      <c r="B332" s="144"/>
      <c r="C332" s="144"/>
      <c r="D332" s="144"/>
      <c r="E332" s="144"/>
      <c r="F332" s="144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S332" s="95"/>
      <c r="T332" s="95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  <c r="AP332" s="93"/>
      <c r="AQ332" s="93"/>
      <c r="AR332" s="93"/>
      <c r="AS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93"/>
      <c r="BI332" s="93"/>
      <c r="BJ332" s="93"/>
      <c r="BK332" s="93"/>
      <c r="BL332" s="93"/>
      <c r="BM332" s="93"/>
      <c r="BN332" s="93"/>
      <c r="BO332" s="93"/>
      <c r="BP332" s="93"/>
      <c r="BQ332" s="93"/>
      <c r="BR332" s="93"/>
      <c r="BS332" s="93"/>
      <c r="BT332" s="93"/>
      <c r="BU332" s="93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93"/>
      <c r="CG332" s="93"/>
      <c r="CH332" s="93"/>
      <c r="CI332" s="93"/>
      <c r="CJ332" s="93"/>
      <c r="CK332" s="93"/>
      <c r="CL332" s="93"/>
      <c r="CM332" s="93"/>
    </row>
    <row r="333" spans="1:91" x14ac:dyDescent="0.2">
      <c r="A333" s="144"/>
      <c r="B333" s="144"/>
      <c r="C333" s="144"/>
      <c r="D333" s="144"/>
      <c r="E333" s="144"/>
      <c r="F333" s="144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S333" s="95"/>
      <c r="T333" s="95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/>
      <c r="AR333" s="93"/>
      <c r="AS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93"/>
      <c r="BI333" s="93"/>
      <c r="BJ333" s="93"/>
      <c r="BK333" s="93"/>
      <c r="BL333" s="93"/>
      <c r="BM333" s="93"/>
      <c r="BN333" s="93"/>
      <c r="BO333" s="93"/>
      <c r="BP333" s="93"/>
      <c r="BQ333" s="93"/>
      <c r="BR333" s="93"/>
      <c r="BS333" s="93"/>
      <c r="BT333" s="93"/>
      <c r="BU333" s="93"/>
      <c r="BV333" s="93"/>
      <c r="BW333" s="93"/>
      <c r="BX333" s="93"/>
      <c r="BY333" s="93"/>
      <c r="BZ333" s="93"/>
      <c r="CA333" s="93"/>
      <c r="CB333" s="93"/>
      <c r="CC333" s="93"/>
      <c r="CD333" s="93"/>
      <c r="CE333" s="93"/>
      <c r="CF333" s="93"/>
      <c r="CG333" s="93"/>
      <c r="CH333" s="93"/>
      <c r="CI333" s="93"/>
      <c r="CJ333" s="93"/>
      <c r="CK333" s="93"/>
      <c r="CL333" s="93"/>
      <c r="CM333" s="93"/>
    </row>
    <row r="334" spans="1:91" x14ac:dyDescent="0.2">
      <c r="A334" s="144"/>
      <c r="B334" s="144"/>
      <c r="C334" s="144"/>
      <c r="D334" s="144"/>
      <c r="E334" s="144"/>
      <c r="F334" s="144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S334" s="95"/>
      <c r="T334" s="95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/>
      <c r="AR334" s="93"/>
      <c r="AS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93"/>
      <c r="BI334" s="93"/>
      <c r="BJ334" s="93"/>
      <c r="BK334" s="93"/>
      <c r="BL334" s="93"/>
      <c r="BM334" s="93"/>
      <c r="BN334" s="93"/>
      <c r="BO334" s="93"/>
      <c r="BP334" s="93"/>
      <c r="BQ334" s="93"/>
      <c r="BR334" s="93"/>
      <c r="BS334" s="93"/>
      <c r="BT334" s="93"/>
      <c r="BU334" s="93"/>
      <c r="BV334" s="93"/>
      <c r="BW334" s="93"/>
      <c r="BX334" s="93"/>
      <c r="BY334" s="93"/>
      <c r="BZ334" s="93"/>
      <c r="CA334" s="93"/>
      <c r="CB334" s="93"/>
      <c r="CC334" s="93"/>
      <c r="CD334" s="93"/>
      <c r="CE334" s="93"/>
      <c r="CF334" s="93"/>
      <c r="CG334" s="93"/>
      <c r="CH334" s="93"/>
      <c r="CI334" s="93"/>
      <c r="CJ334" s="93"/>
      <c r="CK334" s="93"/>
      <c r="CL334" s="93"/>
      <c r="CM334" s="93"/>
    </row>
    <row r="335" spans="1:91" x14ac:dyDescent="0.2">
      <c r="A335" s="144"/>
      <c r="B335" s="144"/>
      <c r="C335" s="144"/>
      <c r="D335" s="144"/>
      <c r="E335" s="144"/>
      <c r="F335" s="144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S335" s="95"/>
      <c r="T335" s="95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93"/>
      <c r="BI335" s="93"/>
      <c r="BJ335" s="93"/>
      <c r="BK335" s="93"/>
      <c r="BL335" s="93"/>
      <c r="BM335" s="93"/>
      <c r="BN335" s="93"/>
      <c r="BO335" s="93"/>
      <c r="BP335" s="93"/>
      <c r="BQ335" s="93"/>
      <c r="BR335" s="93"/>
      <c r="BS335" s="93"/>
      <c r="BT335" s="93"/>
      <c r="BU335" s="93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93"/>
      <c r="CG335" s="93"/>
      <c r="CH335" s="93"/>
      <c r="CI335" s="93"/>
      <c r="CJ335" s="93"/>
      <c r="CK335" s="93"/>
      <c r="CL335" s="93"/>
      <c r="CM335" s="93"/>
    </row>
    <row r="336" spans="1:91" x14ac:dyDescent="0.2">
      <c r="A336" s="144"/>
      <c r="B336" s="144"/>
      <c r="C336" s="144"/>
      <c r="D336" s="144"/>
      <c r="E336" s="144"/>
      <c r="F336" s="144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S336" s="95"/>
      <c r="T336" s="95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3"/>
      <c r="AR336" s="93"/>
      <c r="AS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93"/>
      <c r="BI336" s="93"/>
      <c r="BJ336" s="93"/>
      <c r="BK336" s="93"/>
      <c r="BL336" s="93"/>
      <c r="BM336" s="93"/>
      <c r="BN336" s="93"/>
      <c r="BO336" s="93"/>
      <c r="BP336" s="93"/>
      <c r="BQ336" s="93"/>
      <c r="BR336" s="93"/>
      <c r="BS336" s="93"/>
      <c r="BT336" s="93"/>
      <c r="BU336" s="93"/>
      <c r="BV336" s="93"/>
      <c r="BW336" s="93"/>
      <c r="BX336" s="93"/>
      <c r="BY336" s="93"/>
      <c r="BZ336" s="93"/>
      <c r="CA336" s="93"/>
      <c r="CB336" s="93"/>
      <c r="CC336" s="93"/>
      <c r="CD336" s="93"/>
      <c r="CE336" s="93"/>
      <c r="CF336" s="93"/>
      <c r="CG336" s="93"/>
      <c r="CH336" s="93"/>
      <c r="CI336" s="93"/>
      <c r="CJ336" s="93"/>
      <c r="CK336" s="93"/>
      <c r="CL336" s="93"/>
      <c r="CM336" s="93"/>
    </row>
    <row r="337" spans="1:91" x14ac:dyDescent="0.2">
      <c r="A337" s="144"/>
      <c r="B337" s="144"/>
      <c r="C337" s="144"/>
      <c r="D337" s="144"/>
      <c r="E337" s="144"/>
      <c r="F337" s="144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S337" s="95"/>
      <c r="T337" s="95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3"/>
      <c r="AR337" s="93"/>
      <c r="AS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93"/>
      <c r="BI337" s="93"/>
      <c r="BJ337" s="93"/>
      <c r="BK337" s="93"/>
      <c r="BL337" s="93"/>
      <c r="BM337" s="93"/>
      <c r="BN337" s="93"/>
      <c r="BO337" s="93"/>
      <c r="BP337" s="93"/>
      <c r="BQ337" s="93"/>
      <c r="BR337" s="93"/>
      <c r="BS337" s="93"/>
      <c r="BT337" s="93"/>
      <c r="BU337" s="93"/>
      <c r="BV337" s="93"/>
      <c r="BW337" s="93"/>
      <c r="BX337" s="93"/>
      <c r="BY337" s="93"/>
      <c r="BZ337" s="93"/>
      <c r="CA337" s="93"/>
      <c r="CB337" s="93"/>
      <c r="CC337" s="93"/>
      <c r="CD337" s="93"/>
      <c r="CE337" s="93"/>
      <c r="CF337" s="93"/>
      <c r="CG337" s="93"/>
      <c r="CH337" s="93"/>
      <c r="CI337" s="93"/>
      <c r="CJ337" s="93"/>
      <c r="CK337" s="93"/>
      <c r="CL337" s="93"/>
      <c r="CM337" s="93"/>
    </row>
    <row r="338" spans="1:91" x14ac:dyDescent="0.2">
      <c r="A338" s="144"/>
      <c r="B338" s="144"/>
      <c r="C338" s="144"/>
      <c r="D338" s="144"/>
      <c r="E338" s="144"/>
      <c r="F338" s="144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S338" s="95"/>
      <c r="T338" s="95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3"/>
      <c r="AR338" s="93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93"/>
      <c r="BI338" s="93"/>
      <c r="BJ338" s="93"/>
      <c r="BK338" s="93"/>
      <c r="BL338" s="93"/>
      <c r="BM338" s="93"/>
      <c r="BN338" s="93"/>
      <c r="BO338" s="93"/>
      <c r="BP338" s="93"/>
      <c r="BQ338" s="93"/>
      <c r="BR338" s="93"/>
      <c r="BS338" s="93"/>
      <c r="BT338" s="93"/>
      <c r="BU338" s="93"/>
      <c r="BV338" s="93"/>
      <c r="BW338" s="93"/>
      <c r="BX338" s="93"/>
      <c r="BY338" s="93"/>
      <c r="BZ338" s="93"/>
      <c r="CA338" s="93"/>
      <c r="CB338" s="93"/>
      <c r="CC338" s="93"/>
      <c r="CD338" s="93"/>
      <c r="CE338" s="93"/>
      <c r="CF338" s="93"/>
      <c r="CG338" s="93"/>
      <c r="CH338" s="93"/>
      <c r="CI338" s="93"/>
      <c r="CJ338" s="93"/>
      <c r="CK338" s="93"/>
      <c r="CL338" s="93"/>
      <c r="CM338" s="93"/>
    </row>
    <row r="339" spans="1:91" x14ac:dyDescent="0.2">
      <c r="A339" s="144"/>
      <c r="B339" s="144"/>
      <c r="C339" s="144"/>
      <c r="D339" s="144"/>
      <c r="E339" s="144"/>
      <c r="F339" s="144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S339" s="95"/>
      <c r="T339" s="95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93"/>
      <c r="BI339" s="93"/>
      <c r="BJ339" s="93"/>
      <c r="BK339" s="93"/>
      <c r="BL339" s="93"/>
      <c r="BM339" s="93"/>
      <c r="BN339" s="93"/>
      <c r="BO339" s="93"/>
      <c r="BP339" s="93"/>
      <c r="BQ339" s="93"/>
      <c r="BR339" s="93"/>
      <c r="BS339" s="93"/>
      <c r="BT339" s="93"/>
      <c r="BU339" s="93"/>
      <c r="BV339" s="93"/>
      <c r="BW339" s="93"/>
      <c r="BX339" s="93"/>
      <c r="BY339" s="93"/>
      <c r="BZ339" s="93"/>
      <c r="CA339" s="93"/>
      <c r="CB339" s="93"/>
      <c r="CC339" s="93"/>
      <c r="CD339" s="93"/>
      <c r="CE339" s="93"/>
      <c r="CF339" s="93"/>
      <c r="CG339" s="93"/>
      <c r="CH339" s="93"/>
      <c r="CI339" s="93"/>
      <c r="CJ339" s="93"/>
      <c r="CK339" s="93"/>
      <c r="CL339" s="93"/>
      <c r="CM339" s="93"/>
    </row>
    <row r="340" spans="1:91" x14ac:dyDescent="0.2">
      <c r="A340" s="144"/>
      <c r="B340" s="144"/>
      <c r="C340" s="144"/>
      <c r="D340" s="144"/>
      <c r="E340" s="144"/>
      <c r="F340" s="144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S340" s="95"/>
      <c r="T340" s="95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93"/>
      <c r="CD340" s="93"/>
      <c r="CE340" s="93"/>
      <c r="CF340" s="93"/>
      <c r="CG340" s="93"/>
      <c r="CH340" s="93"/>
      <c r="CI340" s="93"/>
      <c r="CJ340" s="93"/>
      <c r="CK340" s="93"/>
      <c r="CL340" s="93"/>
      <c r="CM340" s="93"/>
    </row>
    <row r="341" spans="1:91" x14ac:dyDescent="0.2">
      <c r="A341" s="144"/>
      <c r="B341" s="144"/>
      <c r="C341" s="144"/>
      <c r="D341" s="144"/>
      <c r="E341" s="144"/>
      <c r="F341" s="144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S341" s="95"/>
      <c r="T341" s="95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93"/>
      <c r="BI341" s="93"/>
      <c r="BJ341" s="93"/>
      <c r="BK341" s="93"/>
      <c r="BL341" s="93"/>
      <c r="BM341" s="93"/>
      <c r="BN341" s="93"/>
      <c r="BO341" s="93"/>
      <c r="BP341" s="93"/>
      <c r="BQ341" s="93"/>
      <c r="BR341" s="93"/>
      <c r="BS341" s="93"/>
      <c r="BT341" s="93"/>
      <c r="BU341" s="93"/>
      <c r="BV341" s="93"/>
      <c r="BW341" s="93"/>
      <c r="BX341" s="93"/>
      <c r="BY341" s="93"/>
      <c r="BZ341" s="93"/>
      <c r="CA341" s="93"/>
      <c r="CB341" s="93"/>
      <c r="CC341" s="93"/>
      <c r="CD341" s="93"/>
      <c r="CE341" s="93"/>
      <c r="CF341" s="93"/>
      <c r="CG341" s="93"/>
      <c r="CH341" s="93"/>
      <c r="CI341" s="93"/>
      <c r="CJ341" s="93"/>
      <c r="CK341" s="93"/>
      <c r="CL341" s="93"/>
      <c r="CM341" s="93"/>
    </row>
    <row r="342" spans="1:91" x14ac:dyDescent="0.2">
      <c r="A342" s="144"/>
      <c r="B342" s="144"/>
      <c r="C342" s="144"/>
      <c r="D342" s="144"/>
      <c r="E342" s="144"/>
      <c r="F342" s="144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S342" s="95"/>
      <c r="T342" s="95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/>
      <c r="AR342" s="93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93"/>
      <c r="BI342" s="93"/>
      <c r="BJ342" s="93"/>
      <c r="BK342" s="93"/>
      <c r="BL342" s="93"/>
      <c r="BM342" s="93"/>
      <c r="BN342" s="93"/>
      <c r="BO342" s="93"/>
      <c r="BP342" s="93"/>
      <c r="BQ342" s="93"/>
      <c r="BR342" s="93"/>
      <c r="BS342" s="93"/>
      <c r="BT342" s="93"/>
      <c r="BU342" s="93"/>
      <c r="BV342" s="93"/>
      <c r="BW342" s="93"/>
      <c r="BX342" s="93"/>
      <c r="BY342" s="93"/>
      <c r="BZ342" s="93"/>
      <c r="CA342" s="93"/>
      <c r="CB342" s="93"/>
      <c r="CC342" s="93"/>
      <c r="CD342" s="93"/>
      <c r="CE342" s="93"/>
      <c r="CF342" s="93"/>
      <c r="CG342" s="93"/>
      <c r="CH342" s="93"/>
      <c r="CI342" s="93"/>
      <c r="CJ342" s="93"/>
      <c r="CK342" s="93"/>
      <c r="CL342" s="93"/>
      <c r="CM342" s="93"/>
    </row>
    <row r="343" spans="1:91" x14ac:dyDescent="0.2">
      <c r="A343" s="144"/>
      <c r="B343" s="144"/>
      <c r="C343" s="144"/>
      <c r="D343" s="144"/>
      <c r="E343" s="144"/>
      <c r="F343" s="144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S343" s="95"/>
      <c r="T343" s="95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  <c r="AP343" s="93"/>
      <c r="AQ343" s="93"/>
      <c r="AR343" s="93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93"/>
      <c r="BI343" s="93"/>
      <c r="BJ343" s="93"/>
      <c r="BK343" s="93"/>
      <c r="BL343" s="93"/>
      <c r="BM343" s="93"/>
      <c r="BN343" s="93"/>
      <c r="BO343" s="93"/>
      <c r="BP343" s="93"/>
      <c r="BQ343" s="93"/>
      <c r="BR343" s="93"/>
      <c r="BS343" s="93"/>
      <c r="BT343" s="93"/>
      <c r="BU343" s="93"/>
      <c r="BV343" s="93"/>
      <c r="BW343" s="93"/>
      <c r="BX343" s="93"/>
      <c r="BY343" s="93"/>
      <c r="BZ343" s="93"/>
      <c r="CA343" s="93"/>
      <c r="CB343" s="93"/>
      <c r="CC343" s="93"/>
      <c r="CD343" s="93"/>
      <c r="CE343" s="93"/>
      <c r="CF343" s="93"/>
      <c r="CG343" s="93"/>
      <c r="CH343" s="93"/>
      <c r="CI343" s="93"/>
      <c r="CJ343" s="93"/>
      <c r="CK343" s="93"/>
      <c r="CL343" s="93"/>
      <c r="CM343" s="93"/>
    </row>
    <row r="344" spans="1:91" x14ac:dyDescent="0.2">
      <c r="A344" s="144"/>
      <c r="B344" s="144"/>
      <c r="C344" s="144"/>
      <c r="D344" s="144"/>
      <c r="E344" s="144"/>
      <c r="F344" s="144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S344" s="95"/>
      <c r="T344" s="95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93"/>
      <c r="BI344" s="93"/>
      <c r="BJ344" s="93"/>
      <c r="BK344" s="93"/>
      <c r="BL344" s="93"/>
      <c r="BM344" s="93"/>
      <c r="BN344" s="93"/>
      <c r="BO344" s="93"/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93"/>
      <c r="CE344" s="93"/>
      <c r="CF344" s="93"/>
      <c r="CG344" s="93"/>
      <c r="CH344" s="93"/>
      <c r="CI344" s="93"/>
      <c r="CJ344" s="93"/>
      <c r="CK344" s="93"/>
      <c r="CL344" s="93"/>
      <c r="CM344" s="93"/>
    </row>
    <row r="345" spans="1:91" x14ac:dyDescent="0.2">
      <c r="A345" s="144"/>
      <c r="B345" s="144"/>
      <c r="C345" s="144"/>
      <c r="D345" s="144"/>
      <c r="E345" s="144"/>
      <c r="F345" s="144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S345" s="95"/>
      <c r="T345" s="95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93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93"/>
      <c r="BI345" s="93"/>
      <c r="BJ345" s="93"/>
      <c r="BK345" s="93"/>
      <c r="BL345" s="93"/>
      <c r="BM345" s="93"/>
      <c r="BN345" s="93"/>
      <c r="BO345" s="93"/>
      <c r="BP345" s="93"/>
      <c r="BQ345" s="93"/>
      <c r="BR345" s="93"/>
      <c r="BS345" s="93"/>
      <c r="BT345" s="93"/>
      <c r="BU345" s="93"/>
      <c r="BV345" s="93"/>
      <c r="BW345" s="93"/>
      <c r="BX345" s="93"/>
      <c r="BY345" s="93"/>
      <c r="BZ345" s="93"/>
      <c r="CA345" s="93"/>
      <c r="CB345" s="93"/>
      <c r="CC345" s="93"/>
      <c r="CD345" s="93"/>
      <c r="CE345" s="93"/>
      <c r="CF345" s="93"/>
      <c r="CG345" s="93"/>
      <c r="CH345" s="93"/>
      <c r="CI345" s="93"/>
      <c r="CJ345" s="93"/>
      <c r="CK345" s="93"/>
      <c r="CL345" s="93"/>
      <c r="CM345" s="93"/>
    </row>
    <row r="346" spans="1:91" x14ac:dyDescent="0.2">
      <c r="A346" s="144"/>
      <c r="B346" s="144"/>
      <c r="C346" s="144"/>
      <c r="D346" s="144"/>
      <c r="E346" s="144"/>
      <c r="F346" s="144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S346" s="95"/>
      <c r="T346" s="95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93"/>
      <c r="CD346" s="93"/>
      <c r="CE346" s="93"/>
      <c r="CF346" s="93"/>
      <c r="CG346" s="93"/>
      <c r="CH346" s="93"/>
      <c r="CI346" s="93"/>
      <c r="CJ346" s="93"/>
      <c r="CK346" s="93"/>
      <c r="CL346" s="93"/>
      <c r="CM346" s="93"/>
    </row>
    <row r="347" spans="1:91" x14ac:dyDescent="0.2">
      <c r="A347" s="144"/>
      <c r="B347" s="144"/>
      <c r="C347" s="144"/>
      <c r="D347" s="144"/>
      <c r="E347" s="144"/>
      <c r="F347" s="144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S347" s="95"/>
      <c r="T347" s="95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  <c r="AP347" s="93"/>
      <c r="AQ347" s="93"/>
      <c r="AR347" s="93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93"/>
      <c r="BI347" s="93"/>
      <c r="BJ347" s="93"/>
      <c r="BK347" s="93"/>
      <c r="BL347" s="93"/>
      <c r="BM347" s="93"/>
      <c r="BN347" s="93"/>
      <c r="BO347" s="93"/>
      <c r="BP347" s="93"/>
      <c r="BQ347" s="93"/>
      <c r="BR347" s="93"/>
      <c r="BS347" s="93"/>
      <c r="BT347" s="93"/>
      <c r="BU347" s="93"/>
      <c r="BV347" s="93"/>
      <c r="BW347" s="93"/>
      <c r="BX347" s="93"/>
      <c r="BY347" s="93"/>
      <c r="BZ347" s="93"/>
      <c r="CA347" s="93"/>
      <c r="CB347" s="93"/>
      <c r="CC347" s="93"/>
      <c r="CD347" s="93"/>
      <c r="CE347" s="93"/>
      <c r="CF347" s="93"/>
      <c r="CG347" s="93"/>
      <c r="CH347" s="93"/>
      <c r="CI347" s="93"/>
      <c r="CJ347" s="93"/>
      <c r="CK347" s="93"/>
      <c r="CL347" s="93"/>
      <c r="CM347" s="93"/>
    </row>
    <row r="348" spans="1:91" x14ac:dyDescent="0.2">
      <c r="A348" s="144"/>
      <c r="B348" s="144"/>
      <c r="C348" s="144"/>
      <c r="D348" s="144"/>
      <c r="E348" s="144"/>
      <c r="F348" s="144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S348" s="95"/>
      <c r="T348" s="95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  <c r="AP348" s="93"/>
      <c r="AQ348" s="93"/>
      <c r="AR348" s="93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93"/>
      <c r="BI348" s="93"/>
      <c r="BJ348" s="93"/>
      <c r="BK348" s="93"/>
      <c r="BL348" s="93"/>
      <c r="BM348" s="93"/>
      <c r="BN348" s="93"/>
      <c r="BO348" s="93"/>
      <c r="BP348" s="93"/>
      <c r="BQ348" s="93"/>
      <c r="BR348" s="93"/>
      <c r="BS348" s="93"/>
      <c r="BT348" s="93"/>
      <c r="BU348" s="93"/>
      <c r="BV348" s="93"/>
      <c r="BW348" s="93"/>
      <c r="BX348" s="93"/>
      <c r="BY348" s="93"/>
      <c r="BZ348" s="93"/>
      <c r="CA348" s="93"/>
      <c r="CB348" s="93"/>
      <c r="CC348" s="93"/>
      <c r="CD348" s="93"/>
      <c r="CE348" s="93"/>
      <c r="CF348" s="93"/>
      <c r="CG348" s="93"/>
      <c r="CH348" s="93"/>
      <c r="CI348" s="93"/>
      <c r="CJ348" s="93"/>
      <c r="CK348" s="93"/>
      <c r="CL348" s="93"/>
      <c r="CM348" s="93"/>
    </row>
    <row r="349" spans="1:91" x14ac:dyDescent="0.2">
      <c r="A349" s="144"/>
      <c r="B349" s="144"/>
      <c r="C349" s="144"/>
      <c r="D349" s="144"/>
      <c r="E349" s="144"/>
      <c r="F349" s="144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S349" s="95"/>
      <c r="T349" s="95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  <c r="AQ349" s="93"/>
      <c r="AR349" s="93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93"/>
      <c r="BI349" s="93"/>
      <c r="BJ349" s="93"/>
      <c r="BK349" s="93"/>
      <c r="BL349" s="93"/>
      <c r="BM349" s="93"/>
      <c r="BN349" s="93"/>
      <c r="BO349" s="93"/>
      <c r="BP349" s="93"/>
      <c r="BQ349" s="93"/>
      <c r="BR349" s="93"/>
      <c r="BS349" s="93"/>
      <c r="BT349" s="93"/>
      <c r="BU349" s="93"/>
      <c r="BV349" s="93"/>
      <c r="BW349" s="93"/>
      <c r="BX349" s="93"/>
      <c r="BY349" s="93"/>
      <c r="BZ349" s="93"/>
      <c r="CA349" s="93"/>
      <c r="CB349" s="93"/>
      <c r="CC349" s="93"/>
      <c r="CD349" s="93"/>
      <c r="CE349" s="93"/>
      <c r="CF349" s="93"/>
      <c r="CG349" s="93"/>
      <c r="CH349" s="93"/>
      <c r="CI349" s="93"/>
      <c r="CJ349" s="93"/>
      <c r="CK349" s="93"/>
      <c r="CL349" s="93"/>
      <c r="CM349" s="93"/>
    </row>
    <row r="350" spans="1:91" x14ac:dyDescent="0.2">
      <c r="A350" s="144"/>
      <c r="B350" s="144"/>
      <c r="C350" s="144"/>
      <c r="D350" s="144"/>
      <c r="E350" s="144"/>
      <c r="F350" s="144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S350" s="95"/>
      <c r="T350" s="95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/>
      <c r="AQ350" s="93"/>
      <c r="AR350" s="93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93"/>
      <c r="BI350" s="93"/>
      <c r="BJ350" s="93"/>
      <c r="BK350" s="93"/>
      <c r="BL350" s="93"/>
      <c r="BM350" s="93"/>
      <c r="BN350" s="93"/>
      <c r="BO350" s="93"/>
      <c r="BP350" s="93"/>
      <c r="BQ350" s="93"/>
      <c r="BR350" s="93"/>
      <c r="BS350" s="93"/>
      <c r="BT350" s="93"/>
      <c r="BU350" s="93"/>
      <c r="BV350" s="93"/>
      <c r="BW350" s="93"/>
      <c r="BX350" s="93"/>
      <c r="BY350" s="93"/>
      <c r="BZ350" s="93"/>
      <c r="CA350" s="93"/>
      <c r="CB350" s="93"/>
      <c r="CC350" s="93"/>
      <c r="CD350" s="93"/>
      <c r="CE350" s="93"/>
      <c r="CF350" s="93"/>
      <c r="CG350" s="93"/>
      <c r="CH350" s="93"/>
      <c r="CI350" s="93"/>
      <c r="CJ350" s="93"/>
      <c r="CK350" s="93"/>
      <c r="CL350" s="93"/>
      <c r="CM350" s="93"/>
    </row>
    <row r="351" spans="1:91" x14ac:dyDescent="0.2">
      <c r="A351" s="144"/>
      <c r="B351" s="144"/>
      <c r="C351" s="144"/>
      <c r="D351" s="144"/>
      <c r="E351" s="144"/>
      <c r="F351" s="144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S351" s="95"/>
      <c r="T351" s="95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/>
      <c r="AQ351" s="93"/>
      <c r="AR351" s="93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93"/>
      <c r="BI351" s="93"/>
      <c r="BJ351" s="93"/>
      <c r="BK351" s="93"/>
      <c r="BL351" s="93"/>
      <c r="BM351" s="93"/>
      <c r="BN351" s="93"/>
      <c r="BO351" s="93"/>
      <c r="BP351" s="93"/>
      <c r="BQ351" s="93"/>
      <c r="BR351" s="93"/>
      <c r="BS351" s="93"/>
      <c r="BT351" s="93"/>
      <c r="BU351" s="93"/>
      <c r="BV351" s="93"/>
      <c r="BW351" s="93"/>
      <c r="BX351" s="93"/>
      <c r="BY351" s="93"/>
      <c r="BZ351" s="93"/>
      <c r="CA351" s="93"/>
      <c r="CB351" s="93"/>
      <c r="CC351" s="93"/>
      <c r="CD351" s="93"/>
      <c r="CE351" s="93"/>
      <c r="CF351" s="93"/>
      <c r="CG351" s="93"/>
      <c r="CH351" s="93"/>
      <c r="CI351" s="93"/>
      <c r="CJ351" s="93"/>
      <c r="CK351" s="93"/>
      <c r="CL351" s="93"/>
      <c r="CM351" s="93"/>
    </row>
    <row r="352" spans="1:91" x14ac:dyDescent="0.2">
      <c r="A352" s="144"/>
      <c r="B352" s="144"/>
      <c r="C352" s="144"/>
      <c r="D352" s="144"/>
      <c r="E352" s="144"/>
      <c r="F352" s="144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S352" s="95"/>
      <c r="T352" s="95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  <c r="CA352" s="93"/>
      <c r="CB352" s="93"/>
      <c r="CC352" s="93"/>
      <c r="CD352" s="93"/>
      <c r="CE352" s="93"/>
      <c r="CF352" s="93"/>
      <c r="CG352" s="93"/>
      <c r="CH352" s="93"/>
      <c r="CI352" s="93"/>
      <c r="CJ352" s="93"/>
      <c r="CK352" s="93"/>
      <c r="CL352" s="93"/>
      <c r="CM352" s="93"/>
    </row>
    <row r="353" spans="1:91" x14ac:dyDescent="0.2">
      <c r="A353" s="144"/>
      <c r="B353" s="144"/>
      <c r="C353" s="144"/>
      <c r="D353" s="144"/>
      <c r="E353" s="144"/>
      <c r="F353" s="144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S353" s="95"/>
      <c r="T353" s="95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  <c r="AQ353" s="93"/>
      <c r="AR353" s="93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93"/>
      <c r="BI353" s="93"/>
      <c r="BJ353" s="93"/>
      <c r="BK353" s="93"/>
      <c r="BL353" s="93"/>
      <c r="BM353" s="93"/>
      <c r="BN353" s="93"/>
      <c r="BO353" s="93"/>
      <c r="BP353" s="93"/>
      <c r="BQ353" s="93"/>
      <c r="BR353" s="93"/>
      <c r="BS353" s="93"/>
      <c r="BT353" s="93"/>
      <c r="BU353" s="93"/>
      <c r="BV353" s="93"/>
      <c r="BW353" s="93"/>
      <c r="BX353" s="93"/>
      <c r="BY353" s="93"/>
      <c r="BZ353" s="93"/>
      <c r="CA353" s="93"/>
      <c r="CB353" s="93"/>
      <c r="CC353" s="93"/>
      <c r="CD353" s="93"/>
      <c r="CE353" s="93"/>
      <c r="CF353" s="93"/>
      <c r="CG353" s="93"/>
      <c r="CH353" s="93"/>
      <c r="CI353" s="93"/>
      <c r="CJ353" s="93"/>
      <c r="CK353" s="93"/>
      <c r="CL353" s="93"/>
      <c r="CM353" s="93"/>
    </row>
    <row r="354" spans="1:91" x14ac:dyDescent="0.2">
      <c r="A354" s="144"/>
      <c r="B354" s="144"/>
      <c r="C354" s="144"/>
      <c r="D354" s="144"/>
      <c r="E354" s="144"/>
      <c r="F354" s="144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S354" s="95"/>
      <c r="T354" s="95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/>
      <c r="AQ354" s="93"/>
      <c r="AR354" s="93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93"/>
      <c r="BI354" s="93"/>
      <c r="BJ354" s="93"/>
      <c r="BK354" s="93"/>
      <c r="BL354" s="93"/>
      <c r="BM354" s="93"/>
      <c r="BN354" s="93"/>
      <c r="BO354" s="93"/>
      <c r="BP354" s="93"/>
      <c r="BQ354" s="93"/>
      <c r="BR354" s="93"/>
      <c r="BS354" s="93"/>
      <c r="BT354" s="93"/>
      <c r="BU354" s="93"/>
      <c r="BV354" s="93"/>
      <c r="BW354" s="93"/>
      <c r="BX354" s="93"/>
      <c r="BY354" s="93"/>
      <c r="BZ354" s="93"/>
      <c r="CA354" s="93"/>
      <c r="CB354" s="93"/>
      <c r="CC354" s="93"/>
      <c r="CD354" s="93"/>
      <c r="CE354" s="93"/>
      <c r="CF354" s="93"/>
      <c r="CG354" s="93"/>
      <c r="CH354" s="93"/>
      <c r="CI354" s="93"/>
      <c r="CJ354" s="93"/>
      <c r="CK354" s="93"/>
      <c r="CL354" s="93"/>
      <c r="CM354" s="93"/>
    </row>
    <row r="355" spans="1:91" x14ac:dyDescent="0.2">
      <c r="A355" s="144"/>
      <c r="B355" s="144"/>
      <c r="C355" s="144"/>
      <c r="D355" s="144"/>
      <c r="E355" s="144"/>
      <c r="F355" s="144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S355" s="95"/>
      <c r="T355" s="95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/>
      <c r="AQ355" s="93"/>
      <c r="AR355" s="93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93"/>
      <c r="BI355" s="93"/>
      <c r="BJ355" s="93"/>
      <c r="BK355" s="93"/>
      <c r="BL355" s="93"/>
      <c r="BM355" s="93"/>
      <c r="BN355" s="93"/>
      <c r="BO355" s="93"/>
      <c r="BP355" s="93"/>
      <c r="BQ355" s="93"/>
      <c r="BR355" s="93"/>
      <c r="BS355" s="93"/>
      <c r="BT355" s="93"/>
      <c r="BU355" s="93"/>
      <c r="BV355" s="93"/>
      <c r="BW355" s="93"/>
      <c r="BX355" s="93"/>
      <c r="BY355" s="93"/>
      <c r="BZ355" s="93"/>
      <c r="CA355" s="93"/>
      <c r="CB355" s="93"/>
      <c r="CC355" s="93"/>
      <c r="CD355" s="93"/>
      <c r="CE355" s="93"/>
      <c r="CF355" s="93"/>
      <c r="CG355" s="93"/>
      <c r="CH355" s="93"/>
      <c r="CI355" s="93"/>
      <c r="CJ355" s="93"/>
      <c r="CK355" s="93"/>
      <c r="CL355" s="93"/>
      <c r="CM355" s="93"/>
    </row>
    <row r="356" spans="1:91" x14ac:dyDescent="0.2">
      <c r="A356" s="144"/>
      <c r="B356" s="144"/>
      <c r="C356" s="144"/>
      <c r="D356" s="144"/>
      <c r="E356" s="144"/>
      <c r="F356" s="144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S356" s="95"/>
      <c r="T356" s="95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/>
      <c r="AQ356" s="93"/>
      <c r="AR356" s="93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93"/>
      <c r="BI356" s="93"/>
      <c r="BJ356" s="93"/>
      <c r="BK356" s="93"/>
      <c r="BL356" s="93"/>
      <c r="BM356" s="93"/>
      <c r="BN356" s="93"/>
      <c r="BO356" s="93"/>
      <c r="BP356" s="93"/>
      <c r="BQ356" s="93"/>
      <c r="BR356" s="93"/>
      <c r="BS356" s="93"/>
      <c r="BT356" s="93"/>
      <c r="BU356" s="93"/>
      <c r="BV356" s="93"/>
      <c r="BW356" s="93"/>
      <c r="BX356" s="93"/>
      <c r="BY356" s="93"/>
      <c r="BZ356" s="93"/>
      <c r="CA356" s="93"/>
      <c r="CB356" s="93"/>
      <c r="CC356" s="93"/>
      <c r="CD356" s="93"/>
      <c r="CE356" s="93"/>
      <c r="CF356" s="93"/>
      <c r="CG356" s="93"/>
      <c r="CH356" s="93"/>
      <c r="CI356" s="93"/>
      <c r="CJ356" s="93"/>
      <c r="CK356" s="93"/>
      <c r="CL356" s="93"/>
      <c r="CM356" s="93"/>
    </row>
    <row r="357" spans="1:91" x14ac:dyDescent="0.2">
      <c r="A357" s="144"/>
      <c r="B357" s="144"/>
      <c r="C357" s="144"/>
      <c r="D357" s="144"/>
      <c r="E357" s="144"/>
      <c r="F357" s="144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S357" s="95"/>
      <c r="T357" s="95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/>
      <c r="AQ357" s="93"/>
      <c r="AR357" s="93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93"/>
      <c r="BI357" s="93"/>
      <c r="BJ357" s="93"/>
      <c r="BK357" s="93"/>
      <c r="BL357" s="93"/>
      <c r="BM357" s="93"/>
      <c r="BN357" s="93"/>
      <c r="BO357" s="93"/>
      <c r="BP357" s="93"/>
      <c r="BQ357" s="93"/>
      <c r="BR357" s="93"/>
      <c r="BS357" s="93"/>
      <c r="BT357" s="93"/>
      <c r="BU357" s="93"/>
      <c r="BV357" s="93"/>
      <c r="BW357" s="93"/>
      <c r="BX357" s="93"/>
      <c r="BY357" s="93"/>
      <c r="BZ357" s="93"/>
      <c r="CA357" s="93"/>
      <c r="CB357" s="93"/>
      <c r="CC357" s="93"/>
      <c r="CD357" s="93"/>
      <c r="CE357" s="93"/>
      <c r="CF357" s="93"/>
      <c r="CG357" s="93"/>
      <c r="CH357" s="93"/>
      <c r="CI357" s="93"/>
      <c r="CJ357" s="93"/>
      <c r="CK357" s="93"/>
      <c r="CL357" s="93"/>
      <c r="CM357" s="93"/>
    </row>
    <row r="358" spans="1:91" x14ac:dyDescent="0.2">
      <c r="A358" s="144"/>
      <c r="B358" s="144"/>
      <c r="C358" s="144"/>
      <c r="D358" s="144"/>
      <c r="E358" s="144"/>
      <c r="F358" s="144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S358" s="95"/>
      <c r="T358" s="95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  <c r="AR358" s="93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93"/>
      <c r="BI358" s="93"/>
      <c r="BJ358" s="93"/>
      <c r="BK358" s="93"/>
      <c r="BL358" s="93"/>
      <c r="BM358" s="93"/>
      <c r="BN358" s="93"/>
      <c r="BO358" s="93"/>
      <c r="BP358" s="93"/>
      <c r="BQ358" s="93"/>
      <c r="BR358" s="93"/>
      <c r="BS358" s="93"/>
      <c r="BT358" s="93"/>
      <c r="BU358" s="93"/>
      <c r="BV358" s="93"/>
      <c r="BW358" s="93"/>
      <c r="BX358" s="93"/>
      <c r="BY358" s="93"/>
      <c r="BZ358" s="93"/>
      <c r="CA358" s="93"/>
      <c r="CB358" s="93"/>
      <c r="CC358" s="93"/>
      <c r="CD358" s="93"/>
      <c r="CE358" s="93"/>
      <c r="CF358" s="93"/>
      <c r="CG358" s="93"/>
      <c r="CH358" s="93"/>
      <c r="CI358" s="93"/>
      <c r="CJ358" s="93"/>
      <c r="CK358" s="93"/>
      <c r="CL358" s="93"/>
      <c r="CM358" s="93"/>
    </row>
    <row r="359" spans="1:91" x14ac:dyDescent="0.2">
      <c r="A359" s="144"/>
      <c r="B359" s="144"/>
      <c r="C359" s="144"/>
      <c r="D359" s="144"/>
      <c r="E359" s="144"/>
      <c r="F359" s="144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S359" s="95"/>
      <c r="T359" s="95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  <c r="AR359" s="93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93"/>
      <c r="BI359" s="93"/>
      <c r="BJ359" s="93"/>
      <c r="BK359" s="93"/>
      <c r="BL359" s="93"/>
      <c r="BM359" s="93"/>
      <c r="BN359" s="93"/>
      <c r="BO359" s="93"/>
      <c r="BP359" s="93"/>
      <c r="BQ359" s="93"/>
      <c r="BR359" s="93"/>
      <c r="BS359" s="93"/>
      <c r="BT359" s="93"/>
      <c r="BU359" s="93"/>
      <c r="BV359" s="93"/>
      <c r="BW359" s="93"/>
      <c r="BX359" s="93"/>
      <c r="BY359" s="93"/>
      <c r="BZ359" s="93"/>
      <c r="CA359" s="93"/>
      <c r="CB359" s="93"/>
      <c r="CC359" s="93"/>
      <c r="CD359" s="93"/>
      <c r="CE359" s="93"/>
      <c r="CF359" s="93"/>
      <c r="CG359" s="93"/>
      <c r="CH359" s="93"/>
      <c r="CI359" s="93"/>
      <c r="CJ359" s="93"/>
      <c r="CK359" s="93"/>
      <c r="CL359" s="93"/>
      <c r="CM359" s="93"/>
    </row>
    <row r="360" spans="1:91" x14ac:dyDescent="0.2">
      <c r="A360" s="144"/>
      <c r="B360" s="144"/>
      <c r="C360" s="144"/>
      <c r="D360" s="144"/>
      <c r="E360" s="144"/>
      <c r="F360" s="144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S360" s="95"/>
      <c r="T360" s="95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93"/>
      <c r="BI360" s="93"/>
      <c r="BJ360" s="93"/>
      <c r="BK360" s="93"/>
      <c r="BL360" s="93"/>
      <c r="BM360" s="93"/>
      <c r="BN360" s="93"/>
      <c r="BO360" s="93"/>
      <c r="BP360" s="93"/>
      <c r="BQ360" s="93"/>
      <c r="BR360" s="93"/>
      <c r="BS360" s="93"/>
      <c r="BT360" s="93"/>
      <c r="BU360" s="93"/>
      <c r="BV360" s="93"/>
      <c r="BW360" s="93"/>
      <c r="BX360" s="93"/>
      <c r="BY360" s="93"/>
      <c r="BZ360" s="93"/>
      <c r="CA360" s="93"/>
      <c r="CB360" s="93"/>
      <c r="CC360" s="93"/>
      <c r="CD360" s="93"/>
      <c r="CE360" s="93"/>
      <c r="CF360" s="93"/>
      <c r="CG360" s="93"/>
      <c r="CH360" s="93"/>
      <c r="CI360" s="93"/>
      <c r="CJ360" s="93"/>
      <c r="CK360" s="93"/>
      <c r="CL360" s="93"/>
      <c r="CM360" s="93"/>
    </row>
    <row r="361" spans="1:91" x14ac:dyDescent="0.2">
      <c r="A361" s="144"/>
      <c r="B361" s="144"/>
      <c r="C361" s="144"/>
      <c r="D361" s="144"/>
      <c r="E361" s="144"/>
      <c r="F361" s="144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S361" s="95"/>
      <c r="T361" s="95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93"/>
      <c r="BI361" s="93"/>
      <c r="BJ361" s="93"/>
      <c r="BK361" s="93"/>
      <c r="BL361" s="93"/>
      <c r="BM361" s="93"/>
      <c r="BN361" s="93"/>
      <c r="BO361" s="93"/>
      <c r="BP361" s="93"/>
      <c r="BQ361" s="93"/>
      <c r="BR361" s="93"/>
      <c r="BS361" s="93"/>
      <c r="BT361" s="93"/>
      <c r="BU361" s="93"/>
      <c r="BV361" s="93"/>
      <c r="BW361" s="93"/>
      <c r="BX361" s="93"/>
      <c r="BY361" s="93"/>
      <c r="BZ361" s="93"/>
      <c r="CA361" s="93"/>
      <c r="CB361" s="93"/>
      <c r="CC361" s="93"/>
      <c r="CD361" s="93"/>
      <c r="CE361" s="93"/>
      <c r="CF361" s="93"/>
      <c r="CG361" s="93"/>
      <c r="CH361" s="93"/>
      <c r="CI361" s="93"/>
      <c r="CJ361" s="93"/>
      <c r="CK361" s="93"/>
      <c r="CL361" s="93"/>
      <c r="CM361" s="93"/>
    </row>
    <row r="362" spans="1:91" x14ac:dyDescent="0.2">
      <c r="A362" s="144"/>
      <c r="B362" s="144"/>
      <c r="C362" s="144"/>
      <c r="D362" s="144"/>
      <c r="E362" s="144"/>
      <c r="F362" s="144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S362" s="95"/>
      <c r="T362" s="95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93"/>
      <c r="BI362" s="93"/>
      <c r="BJ362" s="93"/>
      <c r="BK362" s="93"/>
      <c r="BL362" s="93"/>
      <c r="BM362" s="93"/>
      <c r="BN362" s="93"/>
      <c r="BO362" s="93"/>
      <c r="BP362" s="93"/>
      <c r="BQ362" s="93"/>
      <c r="BR362" s="93"/>
      <c r="BS362" s="93"/>
      <c r="BT362" s="93"/>
      <c r="BU362" s="93"/>
      <c r="BV362" s="93"/>
      <c r="BW362" s="93"/>
      <c r="BX362" s="93"/>
      <c r="BY362" s="93"/>
      <c r="BZ362" s="93"/>
      <c r="CA362" s="93"/>
      <c r="CB362" s="93"/>
      <c r="CC362" s="93"/>
      <c r="CD362" s="93"/>
      <c r="CE362" s="93"/>
      <c r="CF362" s="93"/>
      <c r="CG362" s="93"/>
      <c r="CH362" s="93"/>
      <c r="CI362" s="93"/>
      <c r="CJ362" s="93"/>
      <c r="CK362" s="93"/>
      <c r="CL362" s="93"/>
      <c r="CM362" s="93"/>
    </row>
    <row r="363" spans="1:91" x14ac:dyDescent="0.2">
      <c r="A363" s="144"/>
      <c r="B363" s="144"/>
      <c r="C363" s="144"/>
      <c r="D363" s="144"/>
      <c r="E363" s="144"/>
      <c r="F363" s="144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S363" s="95"/>
      <c r="T363" s="95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93"/>
      <c r="BI363" s="93"/>
      <c r="BJ363" s="93"/>
      <c r="BK363" s="93"/>
      <c r="BL363" s="93"/>
      <c r="BM363" s="93"/>
      <c r="BN363" s="93"/>
      <c r="BO363" s="93"/>
      <c r="BP363" s="93"/>
      <c r="BQ363" s="93"/>
      <c r="BR363" s="93"/>
      <c r="BS363" s="93"/>
      <c r="BT363" s="93"/>
      <c r="BU363" s="93"/>
      <c r="BV363" s="93"/>
      <c r="BW363" s="93"/>
      <c r="BX363" s="93"/>
      <c r="BY363" s="93"/>
      <c r="BZ363" s="93"/>
      <c r="CA363" s="93"/>
      <c r="CB363" s="93"/>
      <c r="CC363" s="93"/>
      <c r="CD363" s="93"/>
      <c r="CE363" s="93"/>
      <c r="CF363" s="93"/>
      <c r="CG363" s="93"/>
      <c r="CH363" s="93"/>
      <c r="CI363" s="93"/>
      <c r="CJ363" s="93"/>
      <c r="CK363" s="93"/>
      <c r="CL363" s="93"/>
      <c r="CM363" s="93"/>
    </row>
    <row r="364" spans="1:91" x14ac:dyDescent="0.2">
      <c r="A364" s="144"/>
      <c r="B364" s="144"/>
      <c r="C364" s="144"/>
      <c r="D364" s="144"/>
      <c r="E364" s="144"/>
      <c r="F364" s="144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S364" s="95"/>
      <c r="T364" s="95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  <c r="CG364" s="93"/>
      <c r="CH364" s="93"/>
      <c r="CI364" s="93"/>
      <c r="CJ364" s="93"/>
      <c r="CK364" s="93"/>
      <c r="CL364" s="93"/>
      <c r="CM364" s="93"/>
    </row>
    <row r="365" spans="1:91" x14ac:dyDescent="0.2">
      <c r="A365" s="144"/>
      <c r="B365" s="144"/>
      <c r="C365" s="144"/>
      <c r="D365" s="144"/>
      <c r="E365" s="144"/>
      <c r="F365" s="144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S365" s="95"/>
      <c r="T365" s="95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93"/>
      <c r="BI365" s="93"/>
      <c r="BJ365" s="93"/>
      <c r="BK365" s="93"/>
      <c r="BL365" s="93"/>
      <c r="BM365" s="93"/>
      <c r="BN365" s="93"/>
      <c r="BO365" s="93"/>
      <c r="BP365" s="93"/>
      <c r="BQ365" s="93"/>
      <c r="BR365" s="93"/>
      <c r="BS365" s="93"/>
      <c r="BT365" s="93"/>
      <c r="BU365" s="93"/>
      <c r="BV365" s="93"/>
      <c r="BW365" s="93"/>
      <c r="BX365" s="93"/>
      <c r="BY365" s="93"/>
      <c r="BZ365" s="93"/>
      <c r="CA365" s="93"/>
      <c r="CB365" s="93"/>
      <c r="CC365" s="93"/>
      <c r="CD365" s="93"/>
      <c r="CE365" s="93"/>
      <c r="CF365" s="93"/>
      <c r="CG365" s="93"/>
      <c r="CH365" s="93"/>
      <c r="CI365" s="93"/>
      <c r="CJ365" s="93"/>
      <c r="CK365" s="93"/>
      <c r="CL365" s="93"/>
      <c r="CM365" s="93"/>
    </row>
    <row r="366" spans="1:91" x14ac:dyDescent="0.2">
      <c r="A366" s="144"/>
      <c r="B366" s="144"/>
      <c r="C366" s="144"/>
      <c r="D366" s="144"/>
      <c r="E366" s="144"/>
      <c r="F366" s="144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S366" s="95"/>
      <c r="T366" s="95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  <c r="CG366" s="93"/>
      <c r="CH366" s="93"/>
      <c r="CI366" s="93"/>
      <c r="CJ366" s="93"/>
      <c r="CK366" s="93"/>
      <c r="CL366" s="93"/>
      <c r="CM366" s="93"/>
    </row>
    <row r="367" spans="1:91" x14ac:dyDescent="0.2">
      <c r="A367" s="144"/>
      <c r="B367" s="144"/>
      <c r="C367" s="144"/>
      <c r="D367" s="144"/>
      <c r="E367" s="144"/>
      <c r="F367" s="144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S367" s="95"/>
      <c r="T367" s="95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93"/>
      <c r="BI367" s="93"/>
      <c r="BJ367" s="93"/>
      <c r="BK367" s="93"/>
      <c r="BL367" s="93"/>
      <c r="BM367" s="93"/>
      <c r="BN367" s="93"/>
      <c r="BO367" s="93"/>
      <c r="BP367" s="93"/>
      <c r="BQ367" s="93"/>
      <c r="BR367" s="93"/>
      <c r="BS367" s="93"/>
      <c r="BT367" s="93"/>
      <c r="BU367" s="93"/>
      <c r="BV367" s="93"/>
      <c r="BW367" s="93"/>
      <c r="BX367" s="93"/>
      <c r="BY367" s="93"/>
      <c r="BZ367" s="93"/>
      <c r="CA367" s="93"/>
      <c r="CB367" s="93"/>
      <c r="CC367" s="93"/>
      <c r="CD367" s="93"/>
      <c r="CE367" s="93"/>
      <c r="CF367" s="93"/>
      <c r="CG367" s="93"/>
      <c r="CH367" s="93"/>
      <c r="CI367" s="93"/>
      <c r="CJ367" s="93"/>
      <c r="CK367" s="93"/>
      <c r="CL367" s="93"/>
      <c r="CM367" s="93"/>
    </row>
    <row r="368" spans="1:91" x14ac:dyDescent="0.2">
      <c r="A368" s="144"/>
      <c r="B368" s="144"/>
      <c r="C368" s="144"/>
      <c r="D368" s="144"/>
      <c r="E368" s="144"/>
      <c r="F368" s="144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S368" s="95"/>
      <c r="T368" s="95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93"/>
      <c r="BI368" s="93"/>
      <c r="BJ368" s="93"/>
      <c r="BK368" s="93"/>
      <c r="BL368" s="93"/>
      <c r="BM368" s="93"/>
      <c r="BN368" s="93"/>
      <c r="BO368" s="93"/>
      <c r="BP368" s="93"/>
      <c r="BQ368" s="93"/>
      <c r="BR368" s="93"/>
      <c r="BS368" s="93"/>
      <c r="BT368" s="93"/>
      <c r="BU368" s="93"/>
      <c r="BV368" s="93"/>
      <c r="BW368" s="93"/>
      <c r="BX368" s="93"/>
      <c r="BY368" s="93"/>
      <c r="BZ368" s="93"/>
      <c r="CA368" s="93"/>
      <c r="CB368" s="93"/>
      <c r="CC368" s="93"/>
      <c r="CD368" s="93"/>
      <c r="CE368" s="93"/>
      <c r="CF368" s="93"/>
      <c r="CG368" s="93"/>
      <c r="CH368" s="93"/>
      <c r="CI368" s="93"/>
      <c r="CJ368" s="93"/>
      <c r="CK368" s="93"/>
      <c r="CL368" s="93"/>
      <c r="CM368" s="93"/>
    </row>
    <row r="369" spans="1:91" x14ac:dyDescent="0.2">
      <c r="A369" s="144"/>
      <c r="B369" s="144"/>
      <c r="C369" s="144"/>
      <c r="D369" s="144"/>
      <c r="E369" s="144"/>
      <c r="F369" s="144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S369" s="95"/>
      <c r="T369" s="95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  <c r="CG369" s="93"/>
      <c r="CH369" s="93"/>
      <c r="CI369" s="93"/>
      <c r="CJ369" s="93"/>
      <c r="CK369" s="93"/>
      <c r="CL369" s="93"/>
      <c r="CM369" s="93"/>
    </row>
    <row r="370" spans="1:91" x14ac:dyDescent="0.2">
      <c r="A370" s="144"/>
      <c r="B370" s="144"/>
      <c r="C370" s="144"/>
      <c r="D370" s="144"/>
      <c r="E370" s="144"/>
      <c r="F370" s="144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S370" s="95"/>
      <c r="T370" s="95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93"/>
      <c r="BI370" s="93"/>
      <c r="BJ370" s="93"/>
      <c r="BK370" s="93"/>
      <c r="BL370" s="93"/>
      <c r="BM370" s="93"/>
      <c r="BN370" s="93"/>
      <c r="BO370" s="93"/>
      <c r="BP370" s="93"/>
      <c r="BQ370" s="93"/>
      <c r="BR370" s="93"/>
      <c r="BS370" s="93"/>
      <c r="BT370" s="93"/>
      <c r="BU370" s="93"/>
      <c r="BV370" s="93"/>
      <c r="BW370" s="93"/>
      <c r="BX370" s="93"/>
      <c r="BY370" s="93"/>
      <c r="BZ370" s="93"/>
      <c r="CA370" s="93"/>
      <c r="CB370" s="93"/>
      <c r="CC370" s="93"/>
      <c r="CD370" s="93"/>
      <c r="CE370" s="93"/>
      <c r="CF370" s="93"/>
      <c r="CG370" s="93"/>
      <c r="CH370" s="93"/>
      <c r="CI370" s="93"/>
      <c r="CJ370" s="93"/>
      <c r="CK370" s="93"/>
      <c r="CL370" s="93"/>
      <c r="CM370" s="93"/>
    </row>
    <row r="371" spans="1:91" x14ac:dyDescent="0.2">
      <c r="A371" s="144"/>
      <c r="B371" s="144"/>
      <c r="C371" s="144"/>
      <c r="D371" s="144"/>
      <c r="E371" s="144"/>
      <c r="F371" s="144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S371" s="95"/>
      <c r="T371" s="95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3"/>
      <c r="BF371" s="93"/>
      <c r="BG371" s="93"/>
      <c r="BH371" s="93"/>
      <c r="BI371" s="93"/>
      <c r="BJ371" s="93"/>
      <c r="BK371" s="93"/>
      <c r="BL371" s="93"/>
      <c r="BM371" s="93"/>
      <c r="BN371" s="93"/>
      <c r="BO371" s="93"/>
      <c r="BP371" s="93"/>
      <c r="BQ371" s="93"/>
      <c r="BR371" s="93"/>
      <c r="BS371" s="93"/>
      <c r="BT371" s="93"/>
      <c r="BU371" s="93"/>
      <c r="BV371" s="93"/>
      <c r="BW371" s="93"/>
      <c r="BX371" s="93"/>
      <c r="BY371" s="93"/>
      <c r="BZ371" s="93"/>
      <c r="CA371" s="93"/>
      <c r="CB371" s="93"/>
      <c r="CC371" s="93"/>
      <c r="CD371" s="93"/>
      <c r="CE371" s="93"/>
      <c r="CF371" s="93"/>
      <c r="CG371" s="93"/>
      <c r="CH371" s="93"/>
      <c r="CI371" s="93"/>
      <c r="CJ371" s="93"/>
      <c r="CK371" s="93"/>
      <c r="CL371" s="93"/>
      <c r="CM371" s="93"/>
    </row>
    <row r="372" spans="1:91" x14ac:dyDescent="0.2">
      <c r="A372" s="144"/>
      <c r="B372" s="144"/>
      <c r="C372" s="144"/>
      <c r="D372" s="144"/>
      <c r="E372" s="144"/>
      <c r="F372" s="144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S372" s="95"/>
      <c r="T372" s="95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93"/>
      <c r="AS372" s="93"/>
      <c r="AT372" s="93"/>
      <c r="AU372" s="93"/>
      <c r="AV372" s="93"/>
      <c r="AW372" s="93"/>
      <c r="AX372" s="93"/>
      <c r="AY372" s="93"/>
      <c r="AZ372" s="93"/>
      <c r="BA372" s="93"/>
      <c r="BB372" s="93"/>
      <c r="BC372" s="93"/>
      <c r="BD372" s="93"/>
      <c r="BE372" s="93"/>
      <c r="BF372" s="93"/>
      <c r="BG372" s="93"/>
      <c r="BH372" s="93"/>
      <c r="BI372" s="93"/>
      <c r="BJ372" s="93"/>
      <c r="BK372" s="93"/>
      <c r="BL372" s="93"/>
      <c r="BM372" s="93"/>
      <c r="BN372" s="93"/>
      <c r="BO372" s="93"/>
      <c r="BP372" s="93"/>
      <c r="BQ372" s="93"/>
      <c r="BR372" s="93"/>
      <c r="BS372" s="93"/>
      <c r="BT372" s="93"/>
      <c r="BU372" s="93"/>
      <c r="BV372" s="93"/>
      <c r="BW372" s="93"/>
      <c r="BX372" s="93"/>
      <c r="BY372" s="93"/>
      <c r="BZ372" s="93"/>
      <c r="CA372" s="93"/>
      <c r="CB372" s="93"/>
      <c r="CC372" s="93"/>
      <c r="CD372" s="93"/>
      <c r="CE372" s="93"/>
      <c r="CF372" s="93"/>
      <c r="CG372" s="93"/>
      <c r="CH372" s="93"/>
      <c r="CI372" s="93"/>
      <c r="CJ372" s="93"/>
      <c r="CK372" s="93"/>
      <c r="CL372" s="93"/>
      <c r="CM372" s="93"/>
    </row>
    <row r="373" spans="1:91" x14ac:dyDescent="0.2">
      <c r="A373" s="144"/>
      <c r="B373" s="144"/>
      <c r="C373" s="144"/>
      <c r="D373" s="144"/>
      <c r="E373" s="144"/>
      <c r="F373" s="144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S373" s="95"/>
      <c r="T373" s="95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93"/>
      <c r="AS373" s="93"/>
      <c r="AT373" s="93"/>
      <c r="AU373" s="93"/>
      <c r="AV373" s="93"/>
      <c r="AW373" s="93"/>
      <c r="AX373" s="93"/>
      <c r="AY373" s="93"/>
      <c r="AZ373" s="93"/>
      <c r="BA373" s="93"/>
      <c r="BB373" s="93"/>
      <c r="BC373" s="93"/>
      <c r="BD373" s="93"/>
      <c r="BE373" s="93"/>
      <c r="BF373" s="93"/>
      <c r="BG373" s="93"/>
      <c r="BH373" s="93"/>
      <c r="BI373" s="93"/>
      <c r="BJ373" s="93"/>
      <c r="BK373" s="93"/>
      <c r="BL373" s="93"/>
      <c r="BM373" s="93"/>
      <c r="BN373" s="93"/>
      <c r="BO373" s="93"/>
      <c r="BP373" s="93"/>
      <c r="BQ373" s="93"/>
      <c r="BR373" s="93"/>
      <c r="BS373" s="93"/>
      <c r="BT373" s="93"/>
      <c r="BU373" s="93"/>
      <c r="BV373" s="93"/>
      <c r="BW373" s="93"/>
      <c r="BX373" s="93"/>
      <c r="BY373" s="93"/>
      <c r="BZ373" s="93"/>
      <c r="CA373" s="93"/>
      <c r="CB373" s="93"/>
      <c r="CC373" s="93"/>
      <c r="CD373" s="93"/>
      <c r="CE373" s="93"/>
      <c r="CF373" s="93"/>
      <c r="CG373" s="93"/>
      <c r="CH373" s="93"/>
      <c r="CI373" s="93"/>
      <c r="CJ373" s="93"/>
      <c r="CK373" s="93"/>
      <c r="CL373" s="93"/>
      <c r="CM373" s="93"/>
    </row>
    <row r="374" spans="1:91" x14ac:dyDescent="0.2">
      <c r="A374" s="144"/>
      <c r="B374" s="144"/>
      <c r="C374" s="144"/>
      <c r="D374" s="144"/>
      <c r="E374" s="144"/>
      <c r="F374" s="144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S374" s="95"/>
      <c r="T374" s="95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3"/>
      <c r="BF374" s="93"/>
      <c r="BG374" s="93"/>
      <c r="BH374" s="93"/>
      <c r="BI374" s="93"/>
      <c r="BJ374" s="93"/>
      <c r="BK374" s="93"/>
      <c r="BL374" s="93"/>
      <c r="BM374" s="93"/>
      <c r="BN374" s="93"/>
      <c r="BO374" s="93"/>
      <c r="BP374" s="93"/>
      <c r="BQ374" s="93"/>
      <c r="BR374" s="93"/>
      <c r="BS374" s="93"/>
      <c r="BT374" s="93"/>
      <c r="BU374" s="93"/>
      <c r="BV374" s="93"/>
      <c r="BW374" s="93"/>
      <c r="BX374" s="93"/>
      <c r="BY374" s="93"/>
      <c r="BZ374" s="93"/>
      <c r="CA374" s="93"/>
      <c r="CB374" s="93"/>
      <c r="CC374" s="93"/>
      <c r="CD374" s="93"/>
      <c r="CE374" s="93"/>
      <c r="CF374" s="93"/>
      <c r="CG374" s="93"/>
      <c r="CH374" s="93"/>
      <c r="CI374" s="93"/>
      <c r="CJ374" s="93"/>
      <c r="CK374" s="93"/>
      <c r="CL374" s="93"/>
      <c r="CM374" s="93"/>
    </row>
    <row r="375" spans="1:91" x14ac:dyDescent="0.2">
      <c r="A375" s="144"/>
      <c r="B375" s="144"/>
      <c r="C375" s="144"/>
      <c r="D375" s="144"/>
      <c r="E375" s="144"/>
      <c r="F375" s="144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S375" s="95"/>
      <c r="T375" s="95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  <c r="AR375" s="93"/>
      <c r="AS375" s="93"/>
      <c r="AT375" s="93"/>
      <c r="AU375" s="93"/>
      <c r="AV375" s="93"/>
      <c r="AW375" s="93"/>
      <c r="AX375" s="93"/>
      <c r="AY375" s="93"/>
      <c r="AZ375" s="93"/>
      <c r="BA375" s="93"/>
      <c r="BB375" s="93"/>
      <c r="BC375" s="93"/>
      <c r="BD375" s="93"/>
      <c r="BE375" s="93"/>
      <c r="BF375" s="93"/>
      <c r="BG375" s="93"/>
      <c r="BH375" s="93"/>
      <c r="BI375" s="93"/>
      <c r="BJ375" s="93"/>
      <c r="BK375" s="93"/>
      <c r="BL375" s="93"/>
      <c r="BM375" s="93"/>
      <c r="BN375" s="93"/>
      <c r="BO375" s="93"/>
      <c r="BP375" s="93"/>
      <c r="BQ375" s="93"/>
      <c r="BR375" s="93"/>
      <c r="BS375" s="93"/>
      <c r="BT375" s="93"/>
      <c r="BU375" s="93"/>
      <c r="BV375" s="93"/>
      <c r="BW375" s="93"/>
      <c r="BX375" s="93"/>
      <c r="BY375" s="93"/>
      <c r="BZ375" s="93"/>
      <c r="CA375" s="93"/>
      <c r="CB375" s="93"/>
      <c r="CC375" s="93"/>
      <c r="CD375" s="93"/>
      <c r="CE375" s="93"/>
      <c r="CF375" s="93"/>
      <c r="CG375" s="93"/>
      <c r="CH375" s="93"/>
      <c r="CI375" s="93"/>
      <c r="CJ375" s="93"/>
      <c r="CK375" s="93"/>
      <c r="CL375" s="93"/>
      <c r="CM375" s="93"/>
    </row>
    <row r="376" spans="1:91" x14ac:dyDescent="0.2">
      <c r="A376" s="144"/>
      <c r="B376" s="144"/>
      <c r="C376" s="144"/>
      <c r="D376" s="144"/>
      <c r="E376" s="144"/>
      <c r="F376" s="144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S376" s="95"/>
      <c r="T376" s="95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  <c r="AR376" s="93"/>
      <c r="AS376" s="93"/>
      <c r="AT376" s="93"/>
      <c r="AU376" s="93"/>
      <c r="AV376" s="93"/>
      <c r="AW376" s="93"/>
      <c r="AX376" s="93"/>
      <c r="AY376" s="93"/>
      <c r="AZ376" s="93"/>
      <c r="BA376" s="93"/>
      <c r="BB376" s="93"/>
      <c r="BC376" s="93"/>
      <c r="BD376" s="93"/>
      <c r="BE376" s="93"/>
      <c r="BF376" s="93"/>
      <c r="BG376" s="93"/>
      <c r="BH376" s="93"/>
      <c r="BI376" s="93"/>
      <c r="BJ376" s="93"/>
      <c r="BK376" s="93"/>
      <c r="BL376" s="93"/>
      <c r="BM376" s="93"/>
      <c r="BN376" s="93"/>
      <c r="BO376" s="93"/>
      <c r="BP376" s="93"/>
      <c r="BQ376" s="93"/>
      <c r="BR376" s="93"/>
      <c r="BS376" s="93"/>
      <c r="BT376" s="93"/>
      <c r="BU376" s="93"/>
      <c r="BV376" s="93"/>
      <c r="BW376" s="93"/>
      <c r="BX376" s="93"/>
      <c r="BY376" s="93"/>
      <c r="BZ376" s="93"/>
      <c r="CA376" s="93"/>
      <c r="CB376" s="93"/>
      <c r="CC376" s="93"/>
      <c r="CD376" s="93"/>
      <c r="CE376" s="93"/>
      <c r="CF376" s="93"/>
      <c r="CG376" s="93"/>
      <c r="CH376" s="93"/>
      <c r="CI376" s="93"/>
      <c r="CJ376" s="93"/>
      <c r="CK376" s="93"/>
      <c r="CL376" s="93"/>
      <c r="CM376" s="93"/>
    </row>
    <row r="377" spans="1:91" x14ac:dyDescent="0.2">
      <c r="A377" s="144"/>
      <c r="B377" s="144"/>
      <c r="C377" s="144"/>
      <c r="D377" s="144"/>
      <c r="E377" s="144"/>
      <c r="F377" s="144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S377" s="95"/>
      <c r="T377" s="95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3"/>
      <c r="BF377" s="93"/>
      <c r="BG377" s="93"/>
      <c r="BH377" s="93"/>
      <c r="BI377" s="93"/>
      <c r="BJ377" s="93"/>
      <c r="BK377" s="93"/>
      <c r="BL377" s="93"/>
      <c r="BM377" s="93"/>
      <c r="BN377" s="93"/>
      <c r="BO377" s="93"/>
      <c r="BP377" s="93"/>
      <c r="BQ377" s="93"/>
      <c r="BR377" s="93"/>
      <c r="BS377" s="93"/>
      <c r="BT377" s="93"/>
      <c r="BU377" s="93"/>
      <c r="BV377" s="93"/>
      <c r="BW377" s="93"/>
      <c r="BX377" s="93"/>
      <c r="BY377" s="93"/>
      <c r="BZ377" s="93"/>
      <c r="CA377" s="93"/>
      <c r="CB377" s="93"/>
      <c r="CC377" s="93"/>
      <c r="CD377" s="93"/>
      <c r="CE377" s="93"/>
      <c r="CF377" s="93"/>
      <c r="CG377" s="93"/>
      <c r="CH377" s="93"/>
      <c r="CI377" s="93"/>
      <c r="CJ377" s="93"/>
      <c r="CK377" s="93"/>
      <c r="CL377" s="93"/>
      <c r="CM377" s="93"/>
    </row>
    <row r="378" spans="1:91" x14ac:dyDescent="0.2">
      <c r="A378" s="144"/>
      <c r="B378" s="144"/>
      <c r="C378" s="144"/>
      <c r="D378" s="144"/>
      <c r="E378" s="144"/>
      <c r="F378" s="144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S378" s="95"/>
      <c r="T378" s="95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93"/>
      <c r="AS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93"/>
      <c r="BD378" s="93"/>
      <c r="BE378" s="93"/>
      <c r="BF378" s="93"/>
      <c r="BG378" s="93"/>
      <c r="BH378" s="93"/>
      <c r="BI378" s="93"/>
      <c r="BJ378" s="93"/>
      <c r="BK378" s="93"/>
      <c r="BL378" s="93"/>
      <c r="BM378" s="93"/>
      <c r="BN378" s="93"/>
      <c r="BO378" s="93"/>
      <c r="BP378" s="93"/>
      <c r="BQ378" s="93"/>
      <c r="BR378" s="93"/>
      <c r="BS378" s="93"/>
      <c r="BT378" s="93"/>
      <c r="BU378" s="93"/>
      <c r="BV378" s="93"/>
      <c r="BW378" s="93"/>
      <c r="BX378" s="93"/>
      <c r="BY378" s="93"/>
      <c r="BZ378" s="93"/>
      <c r="CA378" s="93"/>
      <c r="CB378" s="93"/>
      <c r="CC378" s="93"/>
      <c r="CD378" s="93"/>
      <c r="CE378" s="93"/>
      <c r="CF378" s="93"/>
      <c r="CG378" s="93"/>
      <c r="CH378" s="93"/>
      <c r="CI378" s="93"/>
      <c r="CJ378" s="93"/>
      <c r="CK378" s="93"/>
      <c r="CL378" s="93"/>
      <c r="CM378" s="93"/>
    </row>
    <row r="379" spans="1:91" x14ac:dyDescent="0.2">
      <c r="A379" s="144"/>
      <c r="B379" s="144"/>
      <c r="C379" s="144"/>
      <c r="D379" s="144"/>
      <c r="E379" s="144"/>
      <c r="F379" s="144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S379" s="95"/>
      <c r="T379" s="95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  <c r="AZ379" s="93"/>
      <c r="BA379" s="93"/>
      <c r="BB379" s="93"/>
      <c r="BC379" s="93"/>
      <c r="BD379" s="93"/>
      <c r="BE379" s="93"/>
      <c r="BF379" s="93"/>
      <c r="BG379" s="93"/>
      <c r="BH379" s="93"/>
      <c r="BI379" s="93"/>
      <c r="BJ379" s="93"/>
      <c r="BK379" s="93"/>
      <c r="BL379" s="93"/>
      <c r="BM379" s="93"/>
      <c r="BN379" s="93"/>
      <c r="BO379" s="93"/>
      <c r="BP379" s="93"/>
      <c r="BQ379" s="93"/>
      <c r="BR379" s="93"/>
      <c r="BS379" s="93"/>
      <c r="BT379" s="93"/>
      <c r="BU379" s="93"/>
      <c r="BV379" s="93"/>
      <c r="BW379" s="93"/>
      <c r="BX379" s="93"/>
      <c r="BY379" s="93"/>
      <c r="BZ379" s="93"/>
      <c r="CA379" s="93"/>
      <c r="CB379" s="93"/>
      <c r="CC379" s="93"/>
      <c r="CD379" s="93"/>
      <c r="CE379" s="93"/>
      <c r="CF379" s="93"/>
      <c r="CG379" s="93"/>
      <c r="CH379" s="93"/>
      <c r="CI379" s="93"/>
      <c r="CJ379" s="93"/>
      <c r="CK379" s="93"/>
      <c r="CL379" s="93"/>
      <c r="CM379" s="93"/>
    </row>
    <row r="380" spans="1:91" x14ac:dyDescent="0.2">
      <c r="A380" s="144"/>
      <c r="B380" s="144"/>
      <c r="C380" s="144"/>
      <c r="D380" s="144"/>
      <c r="E380" s="144"/>
      <c r="F380" s="144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S380" s="95"/>
      <c r="T380" s="95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  <c r="AZ380" s="93"/>
      <c r="BA380" s="93"/>
      <c r="BB380" s="93"/>
      <c r="BC380" s="93"/>
      <c r="BD380" s="93"/>
      <c r="BE380" s="93"/>
      <c r="BF380" s="93"/>
      <c r="BG380" s="93"/>
      <c r="BH380" s="93"/>
      <c r="BI380" s="93"/>
      <c r="BJ380" s="93"/>
      <c r="BK380" s="93"/>
      <c r="BL380" s="93"/>
      <c r="BM380" s="93"/>
      <c r="BN380" s="93"/>
      <c r="BO380" s="93"/>
      <c r="BP380" s="93"/>
      <c r="BQ380" s="93"/>
      <c r="BR380" s="93"/>
      <c r="BS380" s="93"/>
      <c r="BT380" s="93"/>
      <c r="BU380" s="93"/>
      <c r="BV380" s="93"/>
      <c r="BW380" s="93"/>
      <c r="BX380" s="93"/>
      <c r="BY380" s="93"/>
      <c r="BZ380" s="93"/>
      <c r="CA380" s="93"/>
      <c r="CB380" s="93"/>
      <c r="CC380" s="93"/>
      <c r="CD380" s="93"/>
      <c r="CE380" s="93"/>
      <c r="CF380" s="93"/>
      <c r="CG380" s="93"/>
      <c r="CH380" s="93"/>
      <c r="CI380" s="93"/>
      <c r="CJ380" s="93"/>
      <c r="CK380" s="93"/>
      <c r="CL380" s="93"/>
      <c r="CM380" s="93"/>
    </row>
    <row r="381" spans="1:91" x14ac:dyDescent="0.2">
      <c r="A381" s="144"/>
      <c r="B381" s="144"/>
      <c r="C381" s="144"/>
      <c r="D381" s="144"/>
      <c r="E381" s="144"/>
      <c r="F381" s="144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S381" s="95"/>
      <c r="T381" s="95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  <c r="AZ381" s="93"/>
      <c r="BA381" s="93"/>
      <c r="BB381" s="93"/>
      <c r="BC381" s="93"/>
      <c r="BD381" s="93"/>
      <c r="BE381" s="93"/>
      <c r="BF381" s="93"/>
      <c r="BG381" s="93"/>
      <c r="BH381" s="93"/>
      <c r="BI381" s="93"/>
      <c r="BJ381" s="93"/>
      <c r="BK381" s="93"/>
      <c r="BL381" s="93"/>
      <c r="BM381" s="93"/>
      <c r="BN381" s="93"/>
      <c r="BO381" s="93"/>
      <c r="BP381" s="93"/>
      <c r="BQ381" s="93"/>
      <c r="BR381" s="93"/>
      <c r="BS381" s="93"/>
      <c r="BT381" s="93"/>
      <c r="BU381" s="93"/>
      <c r="BV381" s="93"/>
      <c r="BW381" s="93"/>
      <c r="BX381" s="93"/>
      <c r="BY381" s="93"/>
      <c r="BZ381" s="93"/>
      <c r="CA381" s="93"/>
      <c r="CB381" s="93"/>
      <c r="CC381" s="93"/>
      <c r="CD381" s="93"/>
      <c r="CE381" s="93"/>
      <c r="CF381" s="93"/>
      <c r="CG381" s="93"/>
      <c r="CH381" s="93"/>
      <c r="CI381" s="93"/>
      <c r="CJ381" s="93"/>
      <c r="CK381" s="93"/>
      <c r="CL381" s="93"/>
      <c r="CM381" s="93"/>
    </row>
    <row r="382" spans="1:91" x14ac:dyDescent="0.2">
      <c r="A382" s="144"/>
      <c r="B382" s="144"/>
      <c r="C382" s="144"/>
      <c r="D382" s="144"/>
      <c r="E382" s="144"/>
      <c r="F382" s="144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S382" s="95"/>
      <c r="T382" s="95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  <c r="AZ382" s="93"/>
      <c r="BA382" s="93"/>
      <c r="BB382" s="93"/>
      <c r="BC382" s="93"/>
      <c r="BD382" s="93"/>
      <c r="BE382" s="93"/>
      <c r="BF382" s="93"/>
      <c r="BG382" s="93"/>
      <c r="BH382" s="93"/>
      <c r="BI382" s="93"/>
      <c r="BJ382" s="93"/>
      <c r="BK382" s="93"/>
      <c r="BL382" s="93"/>
      <c r="BM382" s="93"/>
      <c r="BN382" s="93"/>
      <c r="BO382" s="93"/>
      <c r="BP382" s="93"/>
      <c r="BQ382" s="93"/>
      <c r="BR382" s="93"/>
      <c r="BS382" s="93"/>
      <c r="BT382" s="93"/>
      <c r="BU382" s="93"/>
      <c r="BV382" s="93"/>
      <c r="BW382" s="93"/>
      <c r="BX382" s="93"/>
      <c r="BY382" s="93"/>
      <c r="BZ382" s="93"/>
      <c r="CA382" s="93"/>
      <c r="CB382" s="93"/>
      <c r="CC382" s="93"/>
      <c r="CD382" s="93"/>
      <c r="CE382" s="93"/>
      <c r="CF382" s="93"/>
      <c r="CG382" s="93"/>
      <c r="CH382" s="93"/>
      <c r="CI382" s="93"/>
      <c r="CJ382" s="93"/>
      <c r="CK382" s="93"/>
      <c r="CL382" s="93"/>
      <c r="CM382" s="93"/>
    </row>
    <row r="383" spans="1:91" x14ac:dyDescent="0.2">
      <c r="A383" s="144"/>
      <c r="B383" s="144"/>
      <c r="C383" s="144"/>
      <c r="D383" s="144"/>
      <c r="E383" s="144"/>
      <c r="F383" s="144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S383" s="95"/>
      <c r="T383" s="95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  <c r="AZ383" s="93"/>
      <c r="BA383" s="93"/>
      <c r="BB383" s="93"/>
      <c r="BC383" s="93"/>
      <c r="BD383" s="93"/>
      <c r="BE383" s="93"/>
      <c r="BF383" s="93"/>
      <c r="BG383" s="93"/>
      <c r="BH383" s="93"/>
      <c r="BI383" s="93"/>
      <c r="BJ383" s="93"/>
      <c r="BK383" s="93"/>
      <c r="BL383" s="93"/>
      <c r="BM383" s="93"/>
      <c r="BN383" s="93"/>
      <c r="BO383" s="93"/>
      <c r="BP383" s="93"/>
      <c r="BQ383" s="93"/>
      <c r="BR383" s="93"/>
      <c r="BS383" s="93"/>
      <c r="BT383" s="93"/>
      <c r="BU383" s="93"/>
      <c r="BV383" s="93"/>
      <c r="BW383" s="93"/>
      <c r="BX383" s="93"/>
      <c r="BY383" s="93"/>
      <c r="BZ383" s="93"/>
      <c r="CA383" s="93"/>
      <c r="CB383" s="93"/>
      <c r="CC383" s="93"/>
      <c r="CD383" s="93"/>
      <c r="CE383" s="93"/>
      <c r="CF383" s="93"/>
      <c r="CG383" s="93"/>
      <c r="CH383" s="93"/>
      <c r="CI383" s="93"/>
      <c r="CJ383" s="93"/>
      <c r="CK383" s="93"/>
      <c r="CL383" s="93"/>
      <c r="CM383" s="93"/>
    </row>
    <row r="384" spans="1:91" x14ac:dyDescent="0.2">
      <c r="A384" s="144"/>
      <c r="B384" s="144"/>
      <c r="C384" s="144"/>
      <c r="D384" s="144"/>
      <c r="E384" s="144"/>
      <c r="F384" s="144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S384" s="95"/>
      <c r="T384" s="95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  <c r="AZ384" s="93"/>
      <c r="BA384" s="93"/>
      <c r="BB384" s="93"/>
      <c r="BC384" s="93"/>
      <c r="BD384" s="93"/>
      <c r="BE384" s="93"/>
      <c r="BF384" s="93"/>
      <c r="BG384" s="93"/>
      <c r="BH384" s="93"/>
      <c r="BI384" s="93"/>
      <c r="BJ384" s="93"/>
      <c r="BK384" s="93"/>
      <c r="BL384" s="93"/>
      <c r="BM384" s="93"/>
      <c r="BN384" s="93"/>
      <c r="BO384" s="93"/>
      <c r="BP384" s="93"/>
      <c r="BQ384" s="93"/>
      <c r="BR384" s="93"/>
      <c r="BS384" s="93"/>
      <c r="BT384" s="93"/>
      <c r="BU384" s="93"/>
      <c r="BV384" s="93"/>
      <c r="BW384" s="93"/>
      <c r="BX384" s="93"/>
      <c r="BY384" s="93"/>
      <c r="BZ384" s="93"/>
      <c r="CA384" s="93"/>
      <c r="CB384" s="93"/>
      <c r="CC384" s="93"/>
      <c r="CD384" s="93"/>
      <c r="CE384" s="93"/>
      <c r="CF384" s="93"/>
      <c r="CG384" s="93"/>
      <c r="CH384" s="93"/>
      <c r="CI384" s="93"/>
      <c r="CJ384" s="93"/>
      <c r="CK384" s="93"/>
      <c r="CL384" s="93"/>
      <c r="CM384" s="93"/>
    </row>
    <row r="385" spans="1:91" x14ac:dyDescent="0.2">
      <c r="A385" s="144"/>
      <c r="B385" s="144"/>
      <c r="C385" s="144"/>
      <c r="D385" s="144"/>
      <c r="E385" s="144"/>
      <c r="F385" s="144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S385" s="95"/>
      <c r="T385" s="95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  <c r="AZ385" s="93"/>
      <c r="BA385" s="93"/>
      <c r="BB385" s="93"/>
      <c r="BC385" s="93"/>
      <c r="BD385" s="93"/>
      <c r="BE385" s="93"/>
      <c r="BF385" s="93"/>
      <c r="BG385" s="93"/>
      <c r="BH385" s="93"/>
      <c r="BI385" s="93"/>
      <c r="BJ385" s="93"/>
      <c r="BK385" s="93"/>
      <c r="BL385" s="93"/>
      <c r="BM385" s="93"/>
      <c r="BN385" s="93"/>
      <c r="BO385" s="93"/>
      <c r="BP385" s="93"/>
      <c r="BQ385" s="93"/>
      <c r="BR385" s="93"/>
      <c r="BS385" s="93"/>
      <c r="BT385" s="93"/>
      <c r="BU385" s="93"/>
      <c r="BV385" s="93"/>
      <c r="BW385" s="93"/>
      <c r="BX385" s="93"/>
      <c r="BY385" s="93"/>
      <c r="BZ385" s="93"/>
      <c r="CA385" s="93"/>
      <c r="CB385" s="93"/>
      <c r="CC385" s="93"/>
      <c r="CD385" s="93"/>
      <c r="CE385" s="93"/>
      <c r="CF385" s="93"/>
      <c r="CG385" s="93"/>
      <c r="CH385" s="93"/>
      <c r="CI385" s="93"/>
      <c r="CJ385" s="93"/>
      <c r="CK385" s="93"/>
      <c r="CL385" s="93"/>
      <c r="CM385" s="93"/>
    </row>
    <row r="386" spans="1:91" x14ac:dyDescent="0.2">
      <c r="A386" s="144"/>
      <c r="B386" s="144"/>
      <c r="C386" s="144"/>
      <c r="D386" s="144"/>
      <c r="E386" s="144"/>
      <c r="F386" s="144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S386" s="95"/>
      <c r="T386" s="95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  <c r="AZ386" s="93"/>
      <c r="BA386" s="93"/>
      <c r="BB386" s="93"/>
      <c r="BC386" s="93"/>
      <c r="BD386" s="93"/>
      <c r="BE386" s="93"/>
      <c r="BF386" s="93"/>
      <c r="BG386" s="93"/>
      <c r="BH386" s="93"/>
      <c r="BI386" s="93"/>
      <c r="BJ386" s="93"/>
      <c r="BK386" s="93"/>
      <c r="BL386" s="93"/>
      <c r="BM386" s="93"/>
      <c r="BN386" s="93"/>
      <c r="BO386" s="93"/>
      <c r="BP386" s="93"/>
      <c r="BQ386" s="93"/>
      <c r="BR386" s="93"/>
      <c r="BS386" s="93"/>
      <c r="BT386" s="93"/>
      <c r="BU386" s="93"/>
      <c r="BV386" s="93"/>
      <c r="BW386" s="93"/>
      <c r="BX386" s="93"/>
      <c r="BY386" s="93"/>
      <c r="BZ386" s="93"/>
      <c r="CA386" s="93"/>
      <c r="CB386" s="93"/>
      <c r="CC386" s="93"/>
      <c r="CD386" s="93"/>
      <c r="CE386" s="93"/>
      <c r="CF386" s="93"/>
      <c r="CG386" s="93"/>
      <c r="CH386" s="93"/>
      <c r="CI386" s="93"/>
      <c r="CJ386" s="93"/>
      <c r="CK386" s="93"/>
      <c r="CL386" s="93"/>
      <c r="CM386" s="93"/>
    </row>
    <row r="387" spans="1:91" x14ac:dyDescent="0.2">
      <c r="A387" s="144"/>
      <c r="B387" s="144"/>
      <c r="C387" s="144"/>
      <c r="D387" s="144"/>
      <c r="E387" s="144"/>
      <c r="F387" s="144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S387" s="95"/>
      <c r="T387" s="95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  <c r="AZ387" s="93"/>
      <c r="BA387" s="93"/>
      <c r="BB387" s="93"/>
      <c r="BC387" s="93"/>
      <c r="BD387" s="93"/>
      <c r="BE387" s="93"/>
      <c r="BF387" s="93"/>
      <c r="BG387" s="93"/>
      <c r="BH387" s="93"/>
      <c r="BI387" s="93"/>
      <c r="BJ387" s="93"/>
      <c r="BK387" s="93"/>
      <c r="BL387" s="93"/>
      <c r="BM387" s="93"/>
      <c r="BN387" s="93"/>
      <c r="BO387" s="93"/>
      <c r="BP387" s="93"/>
      <c r="BQ387" s="93"/>
      <c r="BR387" s="93"/>
      <c r="BS387" s="93"/>
      <c r="BT387" s="93"/>
      <c r="BU387" s="93"/>
      <c r="BV387" s="93"/>
      <c r="BW387" s="93"/>
      <c r="BX387" s="93"/>
      <c r="BY387" s="93"/>
      <c r="BZ387" s="93"/>
      <c r="CA387" s="93"/>
      <c r="CB387" s="93"/>
      <c r="CC387" s="93"/>
      <c r="CD387" s="93"/>
      <c r="CE387" s="93"/>
      <c r="CF387" s="93"/>
      <c r="CG387" s="93"/>
      <c r="CH387" s="93"/>
      <c r="CI387" s="93"/>
      <c r="CJ387" s="93"/>
      <c r="CK387" s="93"/>
      <c r="CL387" s="93"/>
      <c r="CM387" s="93"/>
    </row>
    <row r="388" spans="1:91" x14ac:dyDescent="0.2">
      <c r="A388" s="144"/>
      <c r="B388" s="144"/>
      <c r="C388" s="144"/>
      <c r="D388" s="144"/>
      <c r="E388" s="144"/>
      <c r="F388" s="144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S388" s="95"/>
      <c r="T388" s="95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  <c r="AZ388" s="93"/>
      <c r="BA388" s="93"/>
      <c r="BB388" s="93"/>
      <c r="BC388" s="93"/>
      <c r="BD388" s="93"/>
      <c r="BE388" s="93"/>
      <c r="BF388" s="93"/>
      <c r="BG388" s="93"/>
      <c r="BH388" s="93"/>
      <c r="BI388" s="93"/>
      <c r="BJ388" s="93"/>
      <c r="BK388" s="93"/>
      <c r="BL388" s="93"/>
      <c r="BM388" s="93"/>
      <c r="BN388" s="93"/>
      <c r="BO388" s="93"/>
      <c r="BP388" s="93"/>
      <c r="BQ388" s="93"/>
      <c r="BR388" s="93"/>
      <c r="BS388" s="93"/>
      <c r="BT388" s="93"/>
      <c r="BU388" s="93"/>
      <c r="BV388" s="93"/>
      <c r="BW388" s="93"/>
      <c r="BX388" s="93"/>
      <c r="BY388" s="93"/>
      <c r="BZ388" s="93"/>
      <c r="CA388" s="93"/>
      <c r="CB388" s="93"/>
      <c r="CC388" s="93"/>
      <c r="CD388" s="93"/>
      <c r="CE388" s="93"/>
      <c r="CF388" s="93"/>
      <c r="CG388" s="93"/>
      <c r="CH388" s="93"/>
      <c r="CI388" s="93"/>
      <c r="CJ388" s="93"/>
      <c r="CK388" s="93"/>
      <c r="CL388" s="93"/>
      <c r="CM388" s="93"/>
    </row>
    <row r="389" spans="1:91" x14ac:dyDescent="0.2">
      <c r="A389" s="144"/>
      <c r="B389" s="144"/>
      <c r="C389" s="144"/>
      <c r="D389" s="144"/>
      <c r="E389" s="144"/>
      <c r="F389" s="144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S389" s="95"/>
      <c r="T389" s="95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  <c r="AZ389" s="93"/>
      <c r="BA389" s="93"/>
      <c r="BB389" s="93"/>
      <c r="BC389" s="93"/>
      <c r="BD389" s="93"/>
      <c r="BE389" s="93"/>
      <c r="BF389" s="93"/>
      <c r="BG389" s="93"/>
      <c r="BH389" s="93"/>
      <c r="BI389" s="93"/>
      <c r="BJ389" s="93"/>
      <c r="BK389" s="93"/>
      <c r="BL389" s="93"/>
      <c r="BM389" s="93"/>
      <c r="BN389" s="93"/>
      <c r="BO389" s="93"/>
      <c r="BP389" s="93"/>
      <c r="BQ389" s="93"/>
      <c r="BR389" s="93"/>
      <c r="BS389" s="93"/>
      <c r="BT389" s="93"/>
      <c r="BU389" s="93"/>
      <c r="BV389" s="93"/>
      <c r="BW389" s="93"/>
      <c r="BX389" s="93"/>
      <c r="BY389" s="93"/>
      <c r="BZ389" s="93"/>
      <c r="CA389" s="93"/>
      <c r="CB389" s="93"/>
      <c r="CC389" s="93"/>
      <c r="CD389" s="93"/>
      <c r="CE389" s="93"/>
      <c r="CF389" s="93"/>
      <c r="CG389" s="93"/>
      <c r="CH389" s="93"/>
      <c r="CI389" s="93"/>
      <c r="CJ389" s="93"/>
      <c r="CK389" s="93"/>
      <c r="CL389" s="93"/>
      <c r="CM389" s="93"/>
    </row>
    <row r="390" spans="1:91" x14ac:dyDescent="0.2">
      <c r="A390" s="144"/>
      <c r="B390" s="144"/>
      <c r="C390" s="144"/>
      <c r="D390" s="144"/>
      <c r="E390" s="144"/>
      <c r="F390" s="144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S390" s="95"/>
      <c r="T390" s="95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93"/>
      <c r="BI390" s="93"/>
      <c r="BJ390" s="93"/>
      <c r="BK390" s="93"/>
      <c r="BL390" s="93"/>
      <c r="BM390" s="93"/>
      <c r="BN390" s="93"/>
      <c r="BO390" s="93"/>
      <c r="BP390" s="93"/>
      <c r="BQ390" s="93"/>
      <c r="BR390" s="93"/>
      <c r="BS390" s="93"/>
      <c r="BT390" s="93"/>
      <c r="BU390" s="93"/>
      <c r="BV390" s="93"/>
      <c r="BW390" s="93"/>
      <c r="BX390" s="93"/>
      <c r="BY390" s="93"/>
      <c r="BZ390" s="93"/>
      <c r="CA390" s="93"/>
      <c r="CB390" s="93"/>
      <c r="CC390" s="93"/>
      <c r="CD390" s="93"/>
      <c r="CE390" s="93"/>
      <c r="CF390" s="93"/>
      <c r="CG390" s="93"/>
      <c r="CH390" s="93"/>
      <c r="CI390" s="93"/>
      <c r="CJ390" s="93"/>
      <c r="CK390" s="93"/>
      <c r="CL390" s="93"/>
      <c r="CM390" s="93"/>
    </row>
    <row r="391" spans="1:91" x14ac:dyDescent="0.2">
      <c r="A391" s="144"/>
      <c r="B391" s="144"/>
      <c r="C391" s="144"/>
      <c r="D391" s="144"/>
      <c r="E391" s="144"/>
      <c r="F391" s="144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S391" s="95"/>
      <c r="T391" s="95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  <c r="AZ391" s="93"/>
      <c r="BA391" s="93"/>
      <c r="BB391" s="93"/>
      <c r="BC391" s="93"/>
      <c r="BD391" s="93"/>
      <c r="BE391" s="93"/>
      <c r="BF391" s="93"/>
      <c r="BG391" s="93"/>
      <c r="BH391" s="93"/>
      <c r="BI391" s="93"/>
      <c r="BJ391" s="93"/>
      <c r="BK391" s="93"/>
      <c r="BL391" s="93"/>
      <c r="BM391" s="93"/>
      <c r="BN391" s="93"/>
      <c r="BO391" s="93"/>
      <c r="BP391" s="93"/>
      <c r="BQ391" s="93"/>
      <c r="BR391" s="93"/>
      <c r="BS391" s="93"/>
      <c r="BT391" s="93"/>
      <c r="BU391" s="93"/>
      <c r="BV391" s="93"/>
      <c r="BW391" s="93"/>
      <c r="BX391" s="93"/>
      <c r="BY391" s="93"/>
      <c r="BZ391" s="93"/>
      <c r="CA391" s="93"/>
      <c r="CB391" s="93"/>
      <c r="CC391" s="93"/>
      <c r="CD391" s="93"/>
      <c r="CE391" s="93"/>
      <c r="CF391" s="93"/>
      <c r="CG391" s="93"/>
      <c r="CH391" s="93"/>
      <c r="CI391" s="93"/>
      <c r="CJ391" s="93"/>
      <c r="CK391" s="93"/>
      <c r="CL391" s="93"/>
      <c r="CM391" s="93"/>
    </row>
    <row r="392" spans="1:91" x14ac:dyDescent="0.2">
      <c r="A392" s="144"/>
      <c r="B392" s="144"/>
      <c r="C392" s="144"/>
      <c r="D392" s="144"/>
      <c r="E392" s="144"/>
      <c r="F392" s="144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S392" s="95"/>
      <c r="T392" s="95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  <c r="AZ392" s="93"/>
      <c r="BA392" s="93"/>
      <c r="BB392" s="93"/>
      <c r="BC392" s="93"/>
      <c r="BD392" s="93"/>
      <c r="BE392" s="93"/>
      <c r="BF392" s="93"/>
      <c r="BG392" s="93"/>
      <c r="BH392" s="93"/>
      <c r="BI392" s="93"/>
      <c r="BJ392" s="93"/>
      <c r="BK392" s="93"/>
      <c r="BL392" s="93"/>
      <c r="BM392" s="93"/>
      <c r="BN392" s="93"/>
      <c r="BO392" s="93"/>
      <c r="BP392" s="93"/>
      <c r="BQ392" s="93"/>
      <c r="BR392" s="93"/>
      <c r="BS392" s="93"/>
      <c r="BT392" s="93"/>
      <c r="BU392" s="93"/>
      <c r="BV392" s="93"/>
      <c r="BW392" s="93"/>
      <c r="BX392" s="93"/>
      <c r="BY392" s="93"/>
      <c r="BZ392" s="93"/>
      <c r="CA392" s="93"/>
      <c r="CB392" s="93"/>
      <c r="CC392" s="93"/>
      <c r="CD392" s="93"/>
      <c r="CE392" s="93"/>
      <c r="CF392" s="93"/>
      <c r="CG392" s="93"/>
      <c r="CH392" s="93"/>
      <c r="CI392" s="93"/>
      <c r="CJ392" s="93"/>
      <c r="CK392" s="93"/>
      <c r="CL392" s="93"/>
      <c r="CM392" s="93"/>
    </row>
    <row r="393" spans="1:91" x14ac:dyDescent="0.2">
      <c r="A393" s="144"/>
      <c r="B393" s="144"/>
      <c r="C393" s="144"/>
      <c r="D393" s="144"/>
      <c r="E393" s="144"/>
      <c r="F393" s="144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S393" s="95"/>
      <c r="T393" s="95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  <c r="AZ393" s="93"/>
      <c r="BA393" s="93"/>
      <c r="BB393" s="93"/>
      <c r="BC393" s="93"/>
      <c r="BD393" s="93"/>
      <c r="BE393" s="93"/>
      <c r="BF393" s="93"/>
      <c r="BG393" s="93"/>
      <c r="BH393" s="93"/>
      <c r="BI393" s="93"/>
      <c r="BJ393" s="93"/>
      <c r="BK393" s="93"/>
      <c r="BL393" s="93"/>
      <c r="BM393" s="93"/>
      <c r="BN393" s="93"/>
      <c r="BO393" s="93"/>
      <c r="BP393" s="93"/>
      <c r="BQ393" s="93"/>
      <c r="BR393" s="93"/>
      <c r="BS393" s="93"/>
      <c r="BT393" s="93"/>
      <c r="BU393" s="93"/>
      <c r="BV393" s="93"/>
      <c r="BW393" s="93"/>
      <c r="BX393" s="93"/>
      <c r="BY393" s="93"/>
      <c r="BZ393" s="93"/>
      <c r="CA393" s="93"/>
      <c r="CB393" s="93"/>
      <c r="CC393" s="93"/>
      <c r="CD393" s="93"/>
      <c r="CE393" s="93"/>
      <c r="CF393" s="93"/>
      <c r="CG393" s="93"/>
      <c r="CH393" s="93"/>
      <c r="CI393" s="93"/>
      <c r="CJ393" s="93"/>
      <c r="CK393" s="93"/>
      <c r="CL393" s="93"/>
      <c r="CM393" s="93"/>
    </row>
    <row r="394" spans="1:91" x14ac:dyDescent="0.2">
      <c r="A394" s="144"/>
      <c r="B394" s="144"/>
      <c r="C394" s="144"/>
      <c r="D394" s="144"/>
      <c r="E394" s="144"/>
      <c r="F394" s="144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S394" s="95"/>
      <c r="T394" s="95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  <c r="AZ394" s="93"/>
      <c r="BA394" s="93"/>
      <c r="BB394" s="93"/>
      <c r="BC394" s="93"/>
      <c r="BD394" s="93"/>
      <c r="BE394" s="93"/>
      <c r="BF394" s="93"/>
      <c r="BG394" s="93"/>
      <c r="BH394" s="93"/>
      <c r="BI394" s="93"/>
      <c r="BJ394" s="93"/>
      <c r="BK394" s="93"/>
      <c r="BL394" s="93"/>
      <c r="BM394" s="93"/>
      <c r="BN394" s="93"/>
      <c r="BO394" s="93"/>
      <c r="BP394" s="93"/>
      <c r="BQ394" s="93"/>
      <c r="BR394" s="93"/>
      <c r="BS394" s="93"/>
      <c r="BT394" s="93"/>
      <c r="BU394" s="93"/>
      <c r="BV394" s="93"/>
      <c r="BW394" s="93"/>
      <c r="BX394" s="93"/>
      <c r="BY394" s="93"/>
      <c r="BZ394" s="93"/>
      <c r="CA394" s="93"/>
      <c r="CB394" s="93"/>
      <c r="CC394" s="93"/>
      <c r="CD394" s="93"/>
      <c r="CE394" s="93"/>
      <c r="CF394" s="93"/>
      <c r="CG394" s="93"/>
      <c r="CH394" s="93"/>
      <c r="CI394" s="93"/>
      <c r="CJ394" s="93"/>
      <c r="CK394" s="93"/>
      <c r="CL394" s="93"/>
      <c r="CM394" s="93"/>
    </row>
    <row r="395" spans="1:91" x14ac:dyDescent="0.2">
      <c r="A395" s="144"/>
      <c r="B395" s="144"/>
      <c r="C395" s="144"/>
      <c r="D395" s="144"/>
      <c r="E395" s="144"/>
      <c r="F395" s="144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S395" s="95"/>
      <c r="T395" s="95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  <c r="AZ395" s="93"/>
      <c r="BA395" s="93"/>
      <c r="BB395" s="93"/>
      <c r="BC395" s="93"/>
      <c r="BD395" s="93"/>
      <c r="BE395" s="93"/>
      <c r="BF395" s="93"/>
      <c r="BG395" s="93"/>
      <c r="BH395" s="93"/>
      <c r="BI395" s="93"/>
      <c r="BJ395" s="93"/>
      <c r="BK395" s="93"/>
      <c r="BL395" s="93"/>
      <c r="BM395" s="93"/>
      <c r="BN395" s="93"/>
      <c r="BO395" s="93"/>
      <c r="BP395" s="93"/>
      <c r="BQ395" s="93"/>
      <c r="BR395" s="93"/>
      <c r="BS395" s="93"/>
      <c r="BT395" s="93"/>
      <c r="BU395" s="93"/>
      <c r="BV395" s="93"/>
      <c r="BW395" s="93"/>
      <c r="BX395" s="93"/>
      <c r="BY395" s="93"/>
      <c r="BZ395" s="93"/>
      <c r="CA395" s="93"/>
      <c r="CB395" s="93"/>
      <c r="CC395" s="93"/>
      <c r="CD395" s="93"/>
      <c r="CE395" s="93"/>
      <c r="CF395" s="93"/>
      <c r="CG395" s="93"/>
      <c r="CH395" s="93"/>
      <c r="CI395" s="93"/>
      <c r="CJ395" s="93"/>
      <c r="CK395" s="93"/>
      <c r="CL395" s="93"/>
      <c r="CM395" s="93"/>
    </row>
    <row r="396" spans="1:91" x14ac:dyDescent="0.2">
      <c r="A396" s="144"/>
      <c r="B396" s="144"/>
      <c r="C396" s="144"/>
      <c r="D396" s="144"/>
      <c r="E396" s="144"/>
      <c r="F396" s="144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S396" s="95"/>
      <c r="T396" s="95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  <c r="AZ396" s="93"/>
      <c r="BA396" s="93"/>
      <c r="BB396" s="93"/>
      <c r="BC396" s="93"/>
      <c r="BD396" s="93"/>
      <c r="BE396" s="93"/>
      <c r="BF396" s="93"/>
      <c r="BG396" s="93"/>
      <c r="BH396" s="93"/>
      <c r="BI396" s="93"/>
      <c r="BJ396" s="93"/>
      <c r="BK396" s="93"/>
      <c r="BL396" s="93"/>
      <c r="BM396" s="93"/>
      <c r="BN396" s="93"/>
      <c r="BO396" s="93"/>
      <c r="BP396" s="93"/>
      <c r="BQ396" s="93"/>
      <c r="BR396" s="93"/>
      <c r="BS396" s="93"/>
      <c r="BT396" s="93"/>
      <c r="BU396" s="93"/>
      <c r="BV396" s="93"/>
      <c r="BW396" s="93"/>
      <c r="BX396" s="93"/>
      <c r="BY396" s="93"/>
      <c r="BZ396" s="93"/>
      <c r="CA396" s="93"/>
      <c r="CB396" s="93"/>
      <c r="CC396" s="93"/>
      <c r="CD396" s="93"/>
      <c r="CE396" s="93"/>
      <c r="CF396" s="93"/>
      <c r="CG396" s="93"/>
      <c r="CH396" s="93"/>
      <c r="CI396" s="93"/>
      <c r="CJ396" s="93"/>
      <c r="CK396" s="93"/>
      <c r="CL396" s="93"/>
      <c r="CM396" s="93"/>
    </row>
    <row r="397" spans="1:91" x14ac:dyDescent="0.2">
      <c r="A397" s="144"/>
      <c r="B397" s="144"/>
      <c r="C397" s="144"/>
      <c r="D397" s="144"/>
      <c r="E397" s="144"/>
      <c r="F397" s="144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S397" s="95"/>
      <c r="T397" s="95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  <c r="AZ397" s="93"/>
      <c r="BA397" s="93"/>
      <c r="BB397" s="93"/>
      <c r="BC397" s="93"/>
      <c r="BD397" s="93"/>
      <c r="BE397" s="93"/>
      <c r="BF397" s="93"/>
      <c r="BG397" s="93"/>
      <c r="BH397" s="93"/>
      <c r="BI397" s="93"/>
      <c r="BJ397" s="93"/>
      <c r="BK397" s="93"/>
      <c r="BL397" s="93"/>
      <c r="BM397" s="93"/>
      <c r="BN397" s="93"/>
      <c r="BO397" s="93"/>
      <c r="BP397" s="93"/>
      <c r="BQ397" s="93"/>
      <c r="BR397" s="93"/>
      <c r="BS397" s="93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93"/>
      <c r="CG397" s="93"/>
      <c r="CH397" s="93"/>
      <c r="CI397" s="93"/>
      <c r="CJ397" s="93"/>
      <c r="CK397" s="93"/>
      <c r="CL397" s="93"/>
      <c r="CM397" s="93"/>
    </row>
    <row r="398" spans="1:91" x14ac:dyDescent="0.2">
      <c r="A398" s="144"/>
      <c r="B398" s="144"/>
      <c r="C398" s="144"/>
      <c r="D398" s="144"/>
      <c r="E398" s="144"/>
      <c r="F398" s="144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S398" s="95"/>
      <c r="T398" s="95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  <c r="AZ398" s="93"/>
      <c r="BA398" s="93"/>
      <c r="BB398" s="93"/>
      <c r="BC398" s="93"/>
      <c r="BD398" s="93"/>
      <c r="BE398" s="93"/>
      <c r="BF398" s="93"/>
      <c r="BG398" s="93"/>
      <c r="BH398" s="93"/>
      <c r="BI398" s="93"/>
      <c r="BJ398" s="93"/>
      <c r="BK398" s="93"/>
      <c r="BL398" s="93"/>
      <c r="BM398" s="93"/>
      <c r="BN398" s="93"/>
      <c r="BO398" s="93"/>
      <c r="BP398" s="93"/>
      <c r="BQ398" s="93"/>
      <c r="BR398" s="93"/>
      <c r="BS398" s="93"/>
      <c r="BT398" s="93"/>
      <c r="BU398" s="93"/>
      <c r="BV398" s="93"/>
      <c r="BW398" s="93"/>
      <c r="BX398" s="93"/>
      <c r="BY398" s="93"/>
      <c r="BZ398" s="93"/>
      <c r="CA398" s="93"/>
      <c r="CB398" s="93"/>
      <c r="CC398" s="93"/>
      <c r="CD398" s="93"/>
      <c r="CE398" s="93"/>
      <c r="CF398" s="93"/>
      <c r="CG398" s="93"/>
      <c r="CH398" s="93"/>
      <c r="CI398" s="93"/>
      <c r="CJ398" s="93"/>
      <c r="CK398" s="93"/>
      <c r="CL398" s="93"/>
      <c r="CM398" s="93"/>
    </row>
    <row r="399" spans="1:91" x14ac:dyDescent="0.2">
      <c r="A399" s="144"/>
      <c r="B399" s="144"/>
      <c r="C399" s="144"/>
      <c r="D399" s="144"/>
      <c r="E399" s="144"/>
      <c r="F399" s="144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S399" s="95"/>
      <c r="T399" s="95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  <c r="AZ399" s="93"/>
      <c r="BA399" s="93"/>
      <c r="BB399" s="93"/>
      <c r="BC399" s="93"/>
      <c r="BD399" s="93"/>
      <c r="BE399" s="93"/>
      <c r="BF399" s="93"/>
      <c r="BG399" s="93"/>
      <c r="BH399" s="93"/>
      <c r="BI399" s="93"/>
      <c r="BJ399" s="93"/>
      <c r="BK399" s="93"/>
      <c r="BL399" s="93"/>
      <c r="BM399" s="93"/>
      <c r="BN399" s="93"/>
      <c r="BO399" s="93"/>
      <c r="BP399" s="93"/>
      <c r="BQ399" s="93"/>
      <c r="BR399" s="93"/>
      <c r="BS399" s="93"/>
      <c r="BT399" s="93"/>
      <c r="BU399" s="93"/>
      <c r="BV399" s="93"/>
      <c r="BW399" s="93"/>
      <c r="BX399" s="93"/>
      <c r="BY399" s="93"/>
      <c r="BZ399" s="93"/>
      <c r="CA399" s="93"/>
      <c r="CB399" s="93"/>
      <c r="CC399" s="93"/>
      <c r="CD399" s="93"/>
      <c r="CE399" s="93"/>
      <c r="CF399" s="93"/>
      <c r="CG399" s="93"/>
      <c r="CH399" s="93"/>
      <c r="CI399" s="93"/>
      <c r="CJ399" s="93"/>
      <c r="CK399" s="93"/>
      <c r="CL399" s="93"/>
      <c r="CM399" s="93"/>
    </row>
    <row r="400" spans="1:91" x14ac:dyDescent="0.2">
      <c r="A400" s="144"/>
      <c r="B400" s="144"/>
      <c r="C400" s="144"/>
      <c r="D400" s="144"/>
      <c r="E400" s="144"/>
      <c r="F400" s="144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S400" s="95"/>
      <c r="T400" s="95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93"/>
      <c r="BI400" s="93"/>
      <c r="BJ400" s="93"/>
      <c r="BK400" s="93"/>
      <c r="BL400" s="93"/>
      <c r="BM400" s="93"/>
      <c r="BN400" s="93"/>
      <c r="BO400" s="93"/>
      <c r="BP400" s="93"/>
      <c r="BQ400" s="93"/>
      <c r="BR400" s="93"/>
      <c r="BS400" s="93"/>
      <c r="BT400" s="93"/>
      <c r="BU400" s="93"/>
      <c r="BV400" s="93"/>
      <c r="BW400" s="93"/>
      <c r="BX400" s="93"/>
      <c r="BY400" s="93"/>
      <c r="BZ400" s="93"/>
      <c r="CA400" s="93"/>
      <c r="CB400" s="93"/>
      <c r="CC400" s="93"/>
      <c r="CD400" s="93"/>
      <c r="CE400" s="93"/>
      <c r="CF400" s="93"/>
      <c r="CG400" s="93"/>
      <c r="CH400" s="93"/>
      <c r="CI400" s="93"/>
      <c r="CJ400" s="93"/>
      <c r="CK400" s="93"/>
      <c r="CL400" s="93"/>
      <c r="CM400" s="93"/>
    </row>
    <row r="401" spans="1:91" x14ac:dyDescent="0.2">
      <c r="A401" s="144"/>
      <c r="B401" s="144"/>
      <c r="C401" s="144"/>
      <c r="D401" s="144"/>
      <c r="E401" s="144"/>
      <c r="F401" s="144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S401" s="95"/>
      <c r="T401" s="95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  <c r="AZ401" s="93"/>
      <c r="BA401" s="93"/>
      <c r="BB401" s="93"/>
      <c r="BC401" s="93"/>
      <c r="BD401" s="93"/>
      <c r="BE401" s="93"/>
      <c r="BF401" s="93"/>
      <c r="BG401" s="93"/>
      <c r="BH401" s="93"/>
      <c r="BI401" s="93"/>
      <c r="BJ401" s="93"/>
      <c r="BK401" s="93"/>
      <c r="BL401" s="93"/>
      <c r="BM401" s="93"/>
      <c r="BN401" s="93"/>
      <c r="BO401" s="93"/>
      <c r="BP401" s="93"/>
      <c r="BQ401" s="93"/>
      <c r="BR401" s="93"/>
      <c r="BS401" s="93"/>
      <c r="BT401" s="93"/>
      <c r="BU401" s="93"/>
      <c r="BV401" s="93"/>
      <c r="BW401" s="93"/>
      <c r="BX401" s="93"/>
      <c r="BY401" s="93"/>
      <c r="BZ401" s="93"/>
      <c r="CA401" s="93"/>
      <c r="CB401" s="93"/>
      <c r="CC401" s="93"/>
      <c r="CD401" s="93"/>
      <c r="CE401" s="93"/>
      <c r="CF401" s="93"/>
      <c r="CG401" s="93"/>
      <c r="CH401" s="93"/>
      <c r="CI401" s="93"/>
      <c r="CJ401" s="93"/>
      <c r="CK401" s="93"/>
      <c r="CL401" s="93"/>
      <c r="CM401" s="93"/>
    </row>
    <row r="402" spans="1:91" x14ac:dyDescent="0.2">
      <c r="A402" s="144"/>
      <c r="B402" s="144"/>
      <c r="C402" s="144"/>
      <c r="D402" s="144"/>
      <c r="E402" s="144"/>
      <c r="F402" s="144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S402" s="95"/>
      <c r="T402" s="95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  <c r="AZ402" s="93"/>
      <c r="BA402" s="93"/>
      <c r="BB402" s="93"/>
      <c r="BC402" s="93"/>
      <c r="BD402" s="93"/>
      <c r="BE402" s="93"/>
      <c r="BF402" s="93"/>
      <c r="BG402" s="93"/>
      <c r="BH402" s="93"/>
      <c r="BI402" s="93"/>
      <c r="BJ402" s="93"/>
      <c r="BK402" s="93"/>
      <c r="BL402" s="93"/>
      <c r="BM402" s="93"/>
      <c r="BN402" s="93"/>
      <c r="BO402" s="93"/>
      <c r="BP402" s="93"/>
      <c r="BQ402" s="93"/>
      <c r="BR402" s="93"/>
      <c r="BS402" s="93"/>
      <c r="BT402" s="93"/>
      <c r="BU402" s="93"/>
      <c r="BV402" s="93"/>
      <c r="BW402" s="93"/>
      <c r="BX402" s="93"/>
      <c r="BY402" s="93"/>
      <c r="BZ402" s="93"/>
      <c r="CA402" s="93"/>
      <c r="CB402" s="93"/>
      <c r="CC402" s="93"/>
      <c r="CD402" s="93"/>
      <c r="CE402" s="93"/>
      <c r="CF402" s="93"/>
      <c r="CG402" s="93"/>
      <c r="CH402" s="93"/>
      <c r="CI402" s="93"/>
      <c r="CJ402" s="93"/>
      <c r="CK402" s="93"/>
      <c r="CL402" s="93"/>
      <c r="CM402" s="93"/>
    </row>
    <row r="403" spans="1:91" x14ac:dyDescent="0.2">
      <c r="A403" s="144"/>
      <c r="B403" s="144"/>
      <c r="C403" s="144"/>
      <c r="D403" s="144"/>
      <c r="E403" s="144"/>
      <c r="F403" s="144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S403" s="95"/>
      <c r="T403" s="95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  <c r="AZ403" s="93"/>
      <c r="BA403" s="93"/>
      <c r="BB403" s="93"/>
      <c r="BC403" s="93"/>
      <c r="BD403" s="93"/>
      <c r="BE403" s="93"/>
      <c r="BF403" s="93"/>
      <c r="BG403" s="93"/>
      <c r="BH403" s="93"/>
      <c r="BI403" s="93"/>
      <c r="BJ403" s="93"/>
      <c r="BK403" s="93"/>
      <c r="BL403" s="93"/>
      <c r="BM403" s="93"/>
      <c r="BN403" s="93"/>
      <c r="BO403" s="93"/>
      <c r="BP403" s="93"/>
      <c r="BQ403" s="93"/>
      <c r="BR403" s="93"/>
      <c r="BS403" s="93"/>
      <c r="BT403" s="93"/>
      <c r="BU403" s="93"/>
      <c r="BV403" s="93"/>
      <c r="BW403" s="93"/>
      <c r="BX403" s="93"/>
      <c r="BY403" s="93"/>
      <c r="BZ403" s="93"/>
      <c r="CA403" s="93"/>
      <c r="CB403" s="93"/>
      <c r="CC403" s="93"/>
      <c r="CD403" s="93"/>
      <c r="CE403" s="93"/>
      <c r="CF403" s="93"/>
      <c r="CG403" s="93"/>
      <c r="CH403" s="93"/>
      <c r="CI403" s="93"/>
      <c r="CJ403" s="93"/>
      <c r="CK403" s="93"/>
      <c r="CL403" s="93"/>
      <c r="CM403" s="93"/>
    </row>
    <row r="404" spans="1:91" x14ac:dyDescent="0.2">
      <c r="A404" s="144"/>
      <c r="B404" s="144"/>
      <c r="C404" s="144"/>
      <c r="D404" s="144"/>
      <c r="E404" s="144"/>
      <c r="F404" s="144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S404" s="95"/>
      <c r="T404" s="95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93"/>
      <c r="BI404" s="93"/>
      <c r="BJ404" s="93"/>
      <c r="BK404" s="93"/>
      <c r="BL404" s="93"/>
      <c r="BM404" s="93"/>
      <c r="BN404" s="93"/>
      <c r="BO404" s="93"/>
      <c r="BP404" s="93"/>
      <c r="BQ404" s="93"/>
      <c r="BR404" s="93"/>
      <c r="BS404" s="93"/>
      <c r="BT404" s="93"/>
      <c r="BU404" s="93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  <c r="CG404" s="93"/>
      <c r="CH404" s="93"/>
      <c r="CI404" s="93"/>
      <c r="CJ404" s="93"/>
      <c r="CK404" s="93"/>
      <c r="CL404" s="93"/>
      <c r="CM404" s="93"/>
    </row>
    <row r="405" spans="1:91" x14ac:dyDescent="0.2">
      <c r="A405" s="144"/>
      <c r="B405" s="144"/>
      <c r="C405" s="144"/>
      <c r="D405" s="144"/>
      <c r="E405" s="144"/>
      <c r="F405" s="144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S405" s="95"/>
      <c r="T405" s="95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  <c r="AZ405" s="93"/>
      <c r="BA405" s="93"/>
      <c r="BB405" s="93"/>
      <c r="BC405" s="93"/>
      <c r="BD405" s="93"/>
      <c r="BE405" s="93"/>
      <c r="BF405" s="93"/>
      <c r="BG405" s="93"/>
      <c r="BH405" s="93"/>
      <c r="BI405" s="93"/>
      <c r="BJ405" s="93"/>
      <c r="BK405" s="93"/>
      <c r="BL405" s="93"/>
      <c r="BM405" s="93"/>
      <c r="BN405" s="93"/>
      <c r="BO405" s="93"/>
      <c r="BP405" s="93"/>
      <c r="BQ405" s="93"/>
      <c r="BR405" s="93"/>
      <c r="BS405" s="93"/>
      <c r="BT405" s="93"/>
      <c r="BU405" s="93"/>
      <c r="BV405" s="93"/>
      <c r="BW405" s="93"/>
      <c r="BX405" s="93"/>
      <c r="BY405" s="93"/>
      <c r="BZ405" s="93"/>
      <c r="CA405" s="93"/>
      <c r="CB405" s="93"/>
      <c r="CC405" s="93"/>
      <c r="CD405" s="93"/>
      <c r="CE405" s="93"/>
      <c r="CF405" s="93"/>
      <c r="CG405" s="93"/>
      <c r="CH405" s="93"/>
      <c r="CI405" s="93"/>
      <c r="CJ405" s="93"/>
      <c r="CK405" s="93"/>
      <c r="CL405" s="93"/>
      <c r="CM405" s="93"/>
    </row>
    <row r="406" spans="1:91" x14ac:dyDescent="0.2">
      <c r="A406" s="144"/>
      <c r="B406" s="144"/>
      <c r="C406" s="144"/>
      <c r="D406" s="144"/>
      <c r="E406" s="144"/>
      <c r="F406" s="144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S406" s="95"/>
      <c r="T406" s="95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  <c r="AZ406" s="93"/>
      <c r="BA406" s="93"/>
      <c r="BB406" s="93"/>
      <c r="BC406" s="93"/>
      <c r="BD406" s="93"/>
      <c r="BE406" s="93"/>
      <c r="BF406" s="93"/>
      <c r="BG406" s="93"/>
      <c r="BH406" s="93"/>
      <c r="BI406" s="93"/>
      <c r="BJ406" s="93"/>
      <c r="BK406" s="93"/>
      <c r="BL406" s="93"/>
      <c r="BM406" s="93"/>
      <c r="BN406" s="93"/>
      <c r="BO406" s="93"/>
      <c r="BP406" s="93"/>
      <c r="BQ406" s="93"/>
      <c r="BR406" s="93"/>
      <c r="BS406" s="93"/>
      <c r="BT406" s="93"/>
      <c r="BU406" s="93"/>
      <c r="BV406" s="93"/>
      <c r="BW406" s="93"/>
      <c r="BX406" s="93"/>
      <c r="BY406" s="93"/>
      <c r="BZ406" s="93"/>
      <c r="CA406" s="93"/>
      <c r="CB406" s="93"/>
      <c r="CC406" s="93"/>
      <c r="CD406" s="93"/>
      <c r="CE406" s="93"/>
      <c r="CF406" s="93"/>
      <c r="CG406" s="93"/>
      <c r="CH406" s="93"/>
      <c r="CI406" s="93"/>
      <c r="CJ406" s="93"/>
      <c r="CK406" s="93"/>
      <c r="CL406" s="93"/>
      <c r="CM406" s="93"/>
    </row>
    <row r="407" spans="1:91" x14ac:dyDescent="0.2">
      <c r="A407" s="144"/>
      <c r="B407" s="144"/>
      <c r="C407" s="144"/>
      <c r="D407" s="144"/>
      <c r="E407" s="144"/>
      <c r="F407" s="144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S407" s="95"/>
      <c r="T407" s="95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  <c r="AZ407" s="93"/>
      <c r="BA407" s="93"/>
      <c r="BB407" s="93"/>
      <c r="BC407" s="93"/>
      <c r="BD407" s="93"/>
      <c r="BE407" s="93"/>
      <c r="BF407" s="93"/>
      <c r="BG407" s="93"/>
      <c r="BH407" s="93"/>
      <c r="BI407" s="93"/>
      <c r="BJ407" s="93"/>
      <c r="BK407" s="93"/>
      <c r="BL407" s="93"/>
      <c r="BM407" s="93"/>
      <c r="BN407" s="93"/>
      <c r="BO407" s="93"/>
      <c r="BP407" s="93"/>
      <c r="BQ407" s="93"/>
      <c r="BR407" s="93"/>
      <c r="BS407" s="93"/>
      <c r="BT407" s="93"/>
      <c r="BU407" s="93"/>
      <c r="BV407" s="93"/>
      <c r="BW407" s="93"/>
      <c r="BX407" s="93"/>
      <c r="BY407" s="93"/>
      <c r="BZ407" s="93"/>
      <c r="CA407" s="93"/>
      <c r="CB407" s="93"/>
      <c r="CC407" s="93"/>
      <c r="CD407" s="93"/>
      <c r="CE407" s="93"/>
      <c r="CF407" s="93"/>
      <c r="CG407" s="93"/>
      <c r="CH407" s="93"/>
      <c r="CI407" s="93"/>
      <c r="CJ407" s="93"/>
      <c r="CK407" s="93"/>
      <c r="CL407" s="93"/>
      <c r="CM407" s="93"/>
    </row>
    <row r="408" spans="1:91" x14ac:dyDescent="0.2">
      <c r="A408" s="144"/>
      <c r="B408" s="144"/>
      <c r="C408" s="144"/>
      <c r="D408" s="144"/>
      <c r="E408" s="144"/>
      <c r="F408" s="144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S408" s="95"/>
      <c r="T408" s="95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  <c r="AZ408" s="93"/>
      <c r="BA408" s="93"/>
      <c r="BB408" s="93"/>
      <c r="BC408" s="93"/>
      <c r="BD408" s="93"/>
      <c r="BE408" s="93"/>
      <c r="BF408" s="93"/>
      <c r="BG408" s="93"/>
      <c r="BH408" s="93"/>
      <c r="BI408" s="93"/>
      <c r="BJ408" s="93"/>
      <c r="BK408" s="93"/>
      <c r="BL408" s="93"/>
      <c r="BM408" s="93"/>
      <c r="BN408" s="93"/>
      <c r="BO408" s="93"/>
      <c r="BP408" s="93"/>
      <c r="BQ408" s="93"/>
      <c r="BR408" s="93"/>
      <c r="BS408" s="93"/>
      <c r="BT408" s="93"/>
      <c r="BU408" s="93"/>
      <c r="BV408" s="93"/>
      <c r="BW408" s="93"/>
      <c r="BX408" s="93"/>
      <c r="BY408" s="93"/>
      <c r="BZ408" s="93"/>
      <c r="CA408" s="93"/>
      <c r="CB408" s="93"/>
      <c r="CC408" s="93"/>
      <c r="CD408" s="93"/>
      <c r="CE408" s="93"/>
      <c r="CF408" s="93"/>
      <c r="CG408" s="93"/>
      <c r="CH408" s="93"/>
      <c r="CI408" s="93"/>
      <c r="CJ408" s="93"/>
      <c r="CK408" s="93"/>
      <c r="CL408" s="93"/>
      <c r="CM408" s="93"/>
    </row>
    <row r="409" spans="1:91" x14ac:dyDescent="0.2">
      <c r="A409" s="144"/>
      <c r="B409" s="144"/>
      <c r="C409" s="144"/>
      <c r="D409" s="144"/>
      <c r="E409" s="144"/>
      <c r="F409" s="144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S409" s="95"/>
      <c r="T409" s="95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  <c r="AZ409" s="93"/>
      <c r="BA409" s="93"/>
      <c r="BB409" s="93"/>
      <c r="BC409" s="93"/>
      <c r="BD409" s="93"/>
      <c r="BE409" s="93"/>
      <c r="BF409" s="93"/>
      <c r="BG409" s="93"/>
      <c r="BH409" s="93"/>
      <c r="BI409" s="93"/>
      <c r="BJ409" s="93"/>
      <c r="BK409" s="93"/>
      <c r="BL409" s="93"/>
      <c r="BM409" s="93"/>
      <c r="BN409" s="93"/>
      <c r="BO409" s="93"/>
      <c r="BP409" s="93"/>
      <c r="BQ409" s="93"/>
      <c r="BR409" s="93"/>
      <c r="BS409" s="93"/>
      <c r="BT409" s="93"/>
      <c r="BU409" s="93"/>
      <c r="BV409" s="93"/>
      <c r="BW409" s="93"/>
      <c r="BX409" s="93"/>
      <c r="BY409" s="93"/>
      <c r="BZ409" s="93"/>
      <c r="CA409" s="93"/>
      <c r="CB409" s="93"/>
      <c r="CC409" s="93"/>
      <c r="CD409" s="93"/>
      <c r="CE409" s="93"/>
      <c r="CF409" s="93"/>
      <c r="CG409" s="93"/>
      <c r="CH409" s="93"/>
      <c r="CI409" s="93"/>
      <c r="CJ409" s="93"/>
      <c r="CK409" s="93"/>
      <c r="CL409" s="93"/>
      <c r="CM409" s="93"/>
    </row>
    <row r="410" spans="1:91" x14ac:dyDescent="0.2">
      <c r="A410" s="144"/>
      <c r="B410" s="144"/>
      <c r="C410" s="144"/>
      <c r="D410" s="144"/>
      <c r="E410" s="144"/>
      <c r="F410" s="144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S410" s="95"/>
      <c r="T410" s="95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  <c r="AZ410" s="93"/>
      <c r="BA410" s="93"/>
      <c r="BB410" s="93"/>
      <c r="BC410" s="93"/>
      <c r="BD410" s="93"/>
      <c r="BE410" s="93"/>
      <c r="BF410" s="93"/>
      <c r="BG410" s="93"/>
      <c r="BH410" s="93"/>
      <c r="BI410" s="93"/>
      <c r="BJ410" s="93"/>
      <c r="BK410" s="93"/>
      <c r="BL410" s="93"/>
      <c r="BM410" s="93"/>
      <c r="BN410" s="93"/>
      <c r="BO410" s="93"/>
      <c r="BP410" s="93"/>
      <c r="BQ410" s="93"/>
      <c r="BR410" s="93"/>
      <c r="BS410" s="93"/>
      <c r="BT410" s="93"/>
      <c r="BU410" s="93"/>
      <c r="BV410" s="93"/>
      <c r="BW410" s="93"/>
      <c r="BX410" s="93"/>
      <c r="BY410" s="93"/>
      <c r="BZ410" s="93"/>
      <c r="CA410" s="93"/>
      <c r="CB410" s="93"/>
      <c r="CC410" s="93"/>
      <c r="CD410" s="93"/>
      <c r="CE410" s="93"/>
      <c r="CF410" s="93"/>
      <c r="CG410" s="93"/>
      <c r="CH410" s="93"/>
      <c r="CI410" s="93"/>
      <c r="CJ410" s="93"/>
      <c r="CK410" s="93"/>
      <c r="CL410" s="93"/>
      <c r="CM410" s="93"/>
    </row>
    <row r="411" spans="1:91" x14ac:dyDescent="0.2">
      <c r="A411" s="144"/>
      <c r="B411" s="144"/>
      <c r="C411" s="144"/>
      <c r="D411" s="144"/>
      <c r="E411" s="144"/>
      <c r="F411" s="144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S411" s="95"/>
      <c r="T411" s="95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  <c r="AZ411" s="93"/>
      <c r="BA411" s="93"/>
      <c r="BB411" s="93"/>
      <c r="BC411" s="93"/>
      <c r="BD411" s="93"/>
      <c r="BE411" s="93"/>
      <c r="BF411" s="93"/>
      <c r="BG411" s="93"/>
      <c r="BH411" s="93"/>
      <c r="BI411" s="93"/>
      <c r="BJ411" s="93"/>
      <c r="BK411" s="93"/>
      <c r="BL411" s="93"/>
      <c r="BM411" s="93"/>
      <c r="BN411" s="93"/>
      <c r="BO411" s="93"/>
      <c r="BP411" s="93"/>
      <c r="BQ411" s="93"/>
      <c r="BR411" s="93"/>
      <c r="BS411" s="93"/>
      <c r="BT411" s="93"/>
      <c r="BU411" s="93"/>
      <c r="BV411" s="93"/>
      <c r="BW411" s="93"/>
      <c r="BX411" s="93"/>
      <c r="BY411" s="93"/>
      <c r="BZ411" s="93"/>
      <c r="CA411" s="93"/>
      <c r="CB411" s="93"/>
      <c r="CC411" s="93"/>
      <c r="CD411" s="93"/>
      <c r="CE411" s="93"/>
      <c r="CF411" s="93"/>
      <c r="CG411" s="93"/>
      <c r="CH411" s="93"/>
      <c r="CI411" s="93"/>
      <c r="CJ411" s="93"/>
      <c r="CK411" s="93"/>
      <c r="CL411" s="93"/>
      <c r="CM411" s="93"/>
    </row>
    <row r="412" spans="1:91" x14ac:dyDescent="0.2">
      <c r="A412" s="144"/>
      <c r="B412" s="144"/>
      <c r="C412" s="144"/>
      <c r="D412" s="144"/>
      <c r="E412" s="144"/>
      <c r="F412" s="144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S412" s="95"/>
      <c r="T412" s="95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  <c r="AZ412" s="93"/>
      <c r="BA412" s="93"/>
      <c r="BB412" s="93"/>
      <c r="BC412" s="93"/>
      <c r="BD412" s="93"/>
      <c r="BE412" s="93"/>
      <c r="BF412" s="93"/>
      <c r="BG412" s="93"/>
      <c r="BH412" s="93"/>
      <c r="BI412" s="93"/>
      <c r="BJ412" s="93"/>
      <c r="BK412" s="93"/>
      <c r="BL412" s="93"/>
      <c r="BM412" s="93"/>
      <c r="BN412" s="93"/>
      <c r="BO412" s="93"/>
      <c r="BP412" s="93"/>
      <c r="BQ412" s="93"/>
      <c r="BR412" s="93"/>
      <c r="BS412" s="93"/>
      <c r="BT412" s="93"/>
      <c r="BU412" s="93"/>
      <c r="BV412" s="93"/>
      <c r="BW412" s="93"/>
      <c r="BX412" s="93"/>
      <c r="BY412" s="93"/>
      <c r="BZ412" s="93"/>
      <c r="CA412" s="93"/>
      <c r="CB412" s="93"/>
      <c r="CC412" s="93"/>
      <c r="CD412" s="93"/>
      <c r="CE412" s="93"/>
      <c r="CF412" s="93"/>
      <c r="CG412" s="93"/>
      <c r="CH412" s="93"/>
      <c r="CI412" s="93"/>
      <c r="CJ412" s="93"/>
      <c r="CK412" s="93"/>
      <c r="CL412" s="93"/>
      <c r="CM412" s="93"/>
    </row>
    <row r="413" spans="1:91" x14ac:dyDescent="0.2">
      <c r="A413" s="144"/>
      <c r="B413" s="144"/>
      <c r="C413" s="144"/>
      <c r="D413" s="144"/>
      <c r="E413" s="144"/>
      <c r="F413" s="144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S413" s="95"/>
      <c r="T413" s="95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3"/>
      <c r="BF413" s="93"/>
      <c r="BG413" s="93"/>
      <c r="BH413" s="93"/>
      <c r="BI413" s="93"/>
      <c r="BJ413" s="93"/>
      <c r="BK413" s="93"/>
      <c r="BL413" s="93"/>
      <c r="BM413" s="93"/>
      <c r="BN413" s="93"/>
      <c r="BO413" s="93"/>
      <c r="BP413" s="93"/>
      <c r="BQ413" s="93"/>
      <c r="BR413" s="93"/>
      <c r="BS413" s="93"/>
      <c r="BT413" s="93"/>
      <c r="BU413" s="93"/>
      <c r="BV413" s="93"/>
      <c r="BW413" s="93"/>
      <c r="BX413" s="93"/>
      <c r="BY413" s="93"/>
      <c r="BZ413" s="93"/>
      <c r="CA413" s="93"/>
      <c r="CB413" s="93"/>
      <c r="CC413" s="93"/>
      <c r="CD413" s="93"/>
      <c r="CE413" s="93"/>
      <c r="CF413" s="93"/>
      <c r="CG413" s="93"/>
      <c r="CH413" s="93"/>
      <c r="CI413" s="93"/>
      <c r="CJ413" s="93"/>
      <c r="CK413" s="93"/>
      <c r="CL413" s="93"/>
      <c r="CM413" s="93"/>
    </row>
    <row r="414" spans="1:91" x14ac:dyDescent="0.2">
      <c r="A414" s="144"/>
      <c r="B414" s="144"/>
      <c r="C414" s="144"/>
      <c r="D414" s="144"/>
      <c r="E414" s="144"/>
      <c r="F414" s="144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S414" s="95"/>
      <c r="T414" s="95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  <c r="AZ414" s="93"/>
      <c r="BA414" s="93"/>
      <c r="BB414" s="93"/>
      <c r="BC414" s="93"/>
      <c r="BD414" s="93"/>
      <c r="BE414" s="93"/>
      <c r="BF414" s="93"/>
      <c r="BG414" s="93"/>
      <c r="BH414" s="93"/>
      <c r="BI414" s="93"/>
      <c r="BJ414" s="93"/>
      <c r="BK414" s="93"/>
      <c r="BL414" s="93"/>
      <c r="BM414" s="93"/>
      <c r="BN414" s="93"/>
      <c r="BO414" s="93"/>
      <c r="BP414" s="93"/>
      <c r="BQ414" s="93"/>
      <c r="BR414" s="93"/>
      <c r="BS414" s="93"/>
      <c r="BT414" s="93"/>
      <c r="BU414" s="93"/>
      <c r="BV414" s="93"/>
      <c r="BW414" s="93"/>
      <c r="BX414" s="93"/>
      <c r="BY414" s="93"/>
      <c r="BZ414" s="93"/>
      <c r="CA414" s="93"/>
      <c r="CB414" s="93"/>
      <c r="CC414" s="93"/>
      <c r="CD414" s="93"/>
      <c r="CE414" s="93"/>
      <c r="CF414" s="93"/>
      <c r="CG414" s="93"/>
      <c r="CH414" s="93"/>
      <c r="CI414" s="93"/>
      <c r="CJ414" s="93"/>
      <c r="CK414" s="93"/>
      <c r="CL414" s="93"/>
      <c r="CM414" s="93"/>
    </row>
    <row r="415" spans="1:91" x14ac:dyDescent="0.2">
      <c r="A415" s="144"/>
      <c r="B415" s="144"/>
      <c r="C415" s="144"/>
      <c r="D415" s="144"/>
      <c r="E415" s="144"/>
      <c r="F415" s="144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S415" s="95"/>
      <c r="T415" s="95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  <c r="AZ415" s="93"/>
      <c r="BA415" s="93"/>
      <c r="BB415" s="93"/>
      <c r="BC415" s="93"/>
      <c r="BD415" s="93"/>
      <c r="BE415" s="93"/>
      <c r="BF415" s="93"/>
      <c r="BG415" s="93"/>
      <c r="BH415" s="93"/>
      <c r="BI415" s="93"/>
      <c r="BJ415" s="93"/>
      <c r="BK415" s="93"/>
      <c r="BL415" s="93"/>
      <c r="BM415" s="93"/>
      <c r="BN415" s="93"/>
      <c r="BO415" s="93"/>
      <c r="BP415" s="93"/>
      <c r="BQ415" s="93"/>
      <c r="BR415" s="93"/>
      <c r="BS415" s="93"/>
      <c r="BT415" s="93"/>
      <c r="BU415" s="93"/>
      <c r="BV415" s="93"/>
      <c r="BW415" s="93"/>
      <c r="BX415" s="93"/>
      <c r="BY415" s="93"/>
      <c r="BZ415" s="93"/>
      <c r="CA415" s="93"/>
      <c r="CB415" s="93"/>
      <c r="CC415" s="93"/>
      <c r="CD415" s="93"/>
      <c r="CE415" s="93"/>
      <c r="CF415" s="93"/>
      <c r="CG415" s="93"/>
      <c r="CH415" s="93"/>
      <c r="CI415" s="93"/>
      <c r="CJ415" s="93"/>
      <c r="CK415" s="93"/>
      <c r="CL415" s="93"/>
      <c r="CM415" s="93"/>
    </row>
    <row r="416" spans="1:91" x14ac:dyDescent="0.2">
      <c r="A416" s="144"/>
      <c r="B416" s="144"/>
      <c r="C416" s="144"/>
      <c r="D416" s="144"/>
      <c r="E416" s="144"/>
      <c r="F416" s="144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S416" s="95"/>
      <c r="T416" s="95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  <c r="AZ416" s="93"/>
      <c r="BA416" s="93"/>
      <c r="BB416" s="93"/>
      <c r="BC416" s="93"/>
      <c r="BD416" s="93"/>
      <c r="BE416" s="93"/>
      <c r="BF416" s="93"/>
      <c r="BG416" s="93"/>
      <c r="BH416" s="93"/>
      <c r="BI416" s="93"/>
      <c r="BJ416" s="93"/>
      <c r="BK416" s="93"/>
      <c r="BL416" s="93"/>
      <c r="BM416" s="93"/>
      <c r="BN416" s="93"/>
      <c r="BO416" s="93"/>
      <c r="BP416" s="93"/>
      <c r="BQ416" s="93"/>
      <c r="BR416" s="93"/>
      <c r="BS416" s="93"/>
      <c r="BT416" s="93"/>
      <c r="BU416" s="93"/>
      <c r="BV416" s="93"/>
      <c r="BW416" s="93"/>
      <c r="BX416" s="93"/>
      <c r="BY416" s="93"/>
      <c r="BZ416" s="93"/>
      <c r="CA416" s="93"/>
      <c r="CB416" s="93"/>
      <c r="CC416" s="93"/>
      <c r="CD416" s="93"/>
      <c r="CE416" s="93"/>
      <c r="CF416" s="93"/>
      <c r="CG416" s="93"/>
      <c r="CH416" s="93"/>
      <c r="CI416" s="93"/>
      <c r="CJ416" s="93"/>
      <c r="CK416" s="93"/>
      <c r="CL416" s="93"/>
      <c r="CM416" s="93"/>
    </row>
    <row r="417" spans="1:91" x14ac:dyDescent="0.2">
      <c r="A417" s="144"/>
      <c r="B417" s="144"/>
      <c r="C417" s="144"/>
      <c r="D417" s="144"/>
      <c r="E417" s="144"/>
      <c r="F417" s="144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S417" s="95"/>
      <c r="T417" s="95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  <c r="AZ417" s="93"/>
      <c r="BA417" s="93"/>
      <c r="BB417" s="93"/>
      <c r="BC417" s="93"/>
      <c r="BD417" s="93"/>
      <c r="BE417" s="93"/>
      <c r="BF417" s="93"/>
      <c r="BG417" s="93"/>
      <c r="BH417" s="93"/>
      <c r="BI417" s="93"/>
      <c r="BJ417" s="93"/>
      <c r="BK417" s="93"/>
      <c r="BL417" s="93"/>
      <c r="BM417" s="93"/>
      <c r="BN417" s="93"/>
      <c r="BO417" s="93"/>
      <c r="BP417" s="93"/>
      <c r="BQ417" s="93"/>
      <c r="BR417" s="93"/>
      <c r="BS417" s="93"/>
      <c r="BT417" s="93"/>
      <c r="BU417" s="93"/>
      <c r="BV417" s="93"/>
      <c r="BW417" s="93"/>
      <c r="BX417" s="93"/>
      <c r="BY417" s="93"/>
      <c r="BZ417" s="93"/>
      <c r="CA417" s="93"/>
      <c r="CB417" s="93"/>
      <c r="CC417" s="93"/>
      <c r="CD417" s="93"/>
      <c r="CE417" s="93"/>
      <c r="CF417" s="93"/>
      <c r="CG417" s="93"/>
      <c r="CH417" s="93"/>
      <c r="CI417" s="93"/>
      <c r="CJ417" s="93"/>
      <c r="CK417" s="93"/>
      <c r="CL417" s="93"/>
      <c r="CM417" s="93"/>
    </row>
    <row r="418" spans="1:91" x14ac:dyDescent="0.2">
      <c r="A418" s="144"/>
      <c r="B418" s="144"/>
      <c r="C418" s="144"/>
      <c r="D418" s="144"/>
      <c r="E418" s="144"/>
      <c r="F418" s="144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S418" s="95"/>
      <c r="T418" s="95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  <c r="AZ418" s="93"/>
      <c r="BA418" s="93"/>
      <c r="BB418" s="93"/>
      <c r="BC418" s="93"/>
      <c r="BD418" s="93"/>
      <c r="BE418" s="93"/>
      <c r="BF418" s="93"/>
      <c r="BG418" s="93"/>
      <c r="BH418" s="93"/>
      <c r="BI418" s="93"/>
      <c r="BJ418" s="93"/>
      <c r="BK418" s="93"/>
      <c r="BL418" s="93"/>
      <c r="BM418" s="93"/>
      <c r="BN418" s="93"/>
      <c r="BO418" s="93"/>
      <c r="BP418" s="93"/>
      <c r="BQ418" s="93"/>
      <c r="BR418" s="93"/>
      <c r="BS418" s="93"/>
      <c r="BT418" s="93"/>
      <c r="BU418" s="93"/>
      <c r="BV418" s="93"/>
      <c r="BW418" s="93"/>
      <c r="BX418" s="93"/>
      <c r="BY418" s="93"/>
      <c r="BZ418" s="93"/>
      <c r="CA418" s="93"/>
      <c r="CB418" s="93"/>
      <c r="CC418" s="93"/>
      <c r="CD418" s="93"/>
      <c r="CE418" s="93"/>
      <c r="CF418" s="93"/>
      <c r="CG418" s="93"/>
      <c r="CH418" s="93"/>
      <c r="CI418" s="93"/>
      <c r="CJ418" s="93"/>
      <c r="CK418" s="93"/>
      <c r="CL418" s="93"/>
      <c r="CM418" s="93"/>
    </row>
    <row r="419" spans="1:91" x14ac:dyDescent="0.2">
      <c r="A419" s="144"/>
      <c r="B419" s="144"/>
      <c r="C419" s="144"/>
      <c r="D419" s="144"/>
      <c r="E419" s="144"/>
      <c r="F419" s="144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S419" s="95"/>
      <c r="T419" s="95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  <c r="AZ419" s="93"/>
      <c r="BA419" s="93"/>
      <c r="BB419" s="93"/>
      <c r="BC419" s="93"/>
      <c r="BD419" s="93"/>
      <c r="BE419" s="93"/>
      <c r="BF419" s="93"/>
      <c r="BG419" s="93"/>
      <c r="BH419" s="93"/>
      <c r="BI419" s="93"/>
      <c r="BJ419" s="93"/>
      <c r="BK419" s="93"/>
      <c r="BL419" s="93"/>
      <c r="BM419" s="93"/>
      <c r="BN419" s="93"/>
      <c r="BO419" s="93"/>
      <c r="BP419" s="93"/>
      <c r="BQ419" s="93"/>
      <c r="BR419" s="93"/>
      <c r="BS419" s="93"/>
      <c r="BT419" s="93"/>
      <c r="BU419" s="93"/>
      <c r="BV419" s="93"/>
      <c r="BW419" s="93"/>
      <c r="BX419" s="93"/>
      <c r="BY419" s="93"/>
      <c r="BZ419" s="93"/>
      <c r="CA419" s="93"/>
      <c r="CB419" s="93"/>
      <c r="CC419" s="93"/>
      <c r="CD419" s="93"/>
      <c r="CE419" s="93"/>
      <c r="CF419" s="93"/>
      <c r="CG419" s="93"/>
      <c r="CH419" s="93"/>
      <c r="CI419" s="93"/>
      <c r="CJ419" s="93"/>
      <c r="CK419" s="93"/>
      <c r="CL419" s="93"/>
      <c r="CM419" s="93"/>
    </row>
    <row r="420" spans="1:91" x14ac:dyDescent="0.2">
      <c r="A420" s="144"/>
      <c r="B420" s="144"/>
      <c r="C420" s="144"/>
      <c r="D420" s="144"/>
      <c r="E420" s="144"/>
      <c r="F420" s="144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S420" s="95"/>
      <c r="T420" s="95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  <c r="AZ420" s="93"/>
      <c r="BA420" s="93"/>
      <c r="BB420" s="93"/>
      <c r="BC420" s="93"/>
      <c r="BD420" s="93"/>
      <c r="BE420" s="93"/>
      <c r="BF420" s="93"/>
      <c r="BG420" s="93"/>
      <c r="BH420" s="93"/>
      <c r="BI420" s="93"/>
      <c r="BJ420" s="93"/>
      <c r="BK420" s="93"/>
      <c r="BL420" s="93"/>
      <c r="BM420" s="93"/>
      <c r="BN420" s="93"/>
      <c r="BO420" s="93"/>
      <c r="BP420" s="93"/>
      <c r="BQ420" s="93"/>
      <c r="BR420" s="93"/>
      <c r="BS420" s="93"/>
      <c r="BT420" s="93"/>
      <c r="BU420" s="93"/>
      <c r="BV420" s="93"/>
      <c r="BW420" s="93"/>
      <c r="BX420" s="93"/>
      <c r="BY420" s="93"/>
      <c r="BZ420" s="93"/>
      <c r="CA420" s="93"/>
      <c r="CB420" s="93"/>
      <c r="CC420" s="93"/>
      <c r="CD420" s="93"/>
      <c r="CE420" s="93"/>
      <c r="CF420" s="93"/>
      <c r="CG420" s="93"/>
      <c r="CH420" s="93"/>
      <c r="CI420" s="93"/>
      <c r="CJ420" s="93"/>
      <c r="CK420" s="93"/>
      <c r="CL420" s="93"/>
      <c r="CM420" s="93"/>
    </row>
    <row r="421" spans="1:91" x14ac:dyDescent="0.2">
      <c r="A421" s="144"/>
      <c r="B421" s="144"/>
      <c r="C421" s="144"/>
      <c r="D421" s="144"/>
      <c r="E421" s="144"/>
      <c r="F421" s="144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S421" s="95"/>
      <c r="T421" s="95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  <c r="BI421" s="93"/>
      <c r="BJ421" s="93"/>
      <c r="BK421" s="93"/>
      <c r="BL421" s="93"/>
      <c r="BM421" s="93"/>
      <c r="BN421" s="93"/>
      <c r="BO421" s="93"/>
      <c r="BP421" s="93"/>
      <c r="BQ421" s="93"/>
      <c r="BR421" s="93"/>
      <c r="BS421" s="93"/>
      <c r="BT421" s="93"/>
      <c r="BU421" s="93"/>
      <c r="BV421" s="93"/>
      <c r="BW421" s="93"/>
      <c r="BX421" s="93"/>
      <c r="BY421" s="93"/>
      <c r="BZ421" s="93"/>
      <c r="CA421" s="93"/>
      <c r="CB421" s="93"/>
      <c r="CC421" s="93"/>
      <c r="CD421" s="93"/>
      <c r="CE421" s="93"/>
      <c r="CF421" s="93"/>
      <c r="CG421" s="93"/>
      <c r="CH421" s="93"/>
      <c r="CI421" s="93"/>
      <c r="CJ421" s="93"/>
      <c r="CK421" s="93"/>
      <c r="CL421" s="93"/>
      <c r="CM421" s="93"/>
    </row>
    <row r="422" spans="1:91" x14ac:dyDescent="0.2">
      <c r="A422" s="144"/>
      <c r="B422" s="144"/>
      <c r="C422" s="144"/>
      <c r="D422" s="144"/>
      <c r="E422" s="144"/>
      <c r="F422" s="144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S422" s="95"/>
      <c r="T422" s="95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3"/>
      <c r="BF422" s="93"/>
      <c r="BG422" s="93"/>
      <c r="BH422" s="93"/>
      <c r="BI422" s="93"/>
      <c r="BJ422" s="93"/>
      <c r="BK422" s="93"/>
      <c r="BL422" s="93"/>
      <c r="BM422" s="93"/>
      <c r="BN422" s="93"/>
      <c r="BO422" s="93"/>
      <c r="BP422" s="93"/>
      <c r="BQ422" s="93"/>
      <c r="BR422" s="93"/>
      <c r="BS422" s="93"/>
      <c r="BT422" s="93"/>
      <c r="BU422" s="93"/>
      <c r="BV422" s="93"/>
      <c r="BW422" s="93"/>
      <c r="BX422" s="93"/>
      <c r="BY422" s="93"/>
      <c r="BZ422" s="93"/>
      <c r="CA422" s="93"/>
      <c r="CB422" s="93"/>
      <c r="CC422" s="93"/>
      <c r="CD422" s="93"/>
      <c r="CE422" s="93"/>
      <c r="CF422" s="93"/>
      <c r="CG422" s="93"/>
      <c r="CH422" s="93"/>
      <c r="CI422" s="93"/>
      <c r="CJ422" s="93"/>
      <c r="CK422" s="93"/>
      <c r="CL422" s="93"/>
      <c r="CM422" s="93"/>
    </row>
    <row r="423" spans="1:91" x14ac:dyDescent="0.2">
      <c r="A423" s="144"/>
      <c r="B423" s="144"/>
      <c r="C423" s="144"/>
      <c r="D423" s="144"/>
      <c r="E423" s="144"/>
      <c r="F423" s="144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S423" s="95"/>
      <c r="T423" s="95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  <c r="AZ423" s="93"/>
      <c r="BA423" s="93"/>
      <c r="BB423" s="93"/>
      <c r="BC423" s="93"/>
      <c r="BD423" s="93"/>
      <c r="BE423" s="93"/>
      <c r="BF423" s="93"/>
      <c r="BG423" s="93"/>
      <c r="BH423" s="93"/>
      <c r="BI423" s="93"/>
      <c r="BJ423" s="93"/>
      <c r="BK423" s="93"/>
      <c r="BL423" s="93"/>
      <c r="BM423" s="93"/>
      <c r="BN423" s="93"/>
      <c r="BO423" s="93"/>
      <c r="BP423" s="93"/>
      <c r="BQ423" s="93"/>
      <c r="BR423" s="93"/>
      <c r="BS423" s="93"/>
      <c r="BT423" s="93"/>
      <c r="BU423" s="93"/>
      <c r="BV423" s="93"/>
      <c r="BW423" s="93"/>
      <c r="BX423" s="93"/>
      <c r="BY423" s="93"/>
      <c r="BZ423" s="93"/>
      <c r="CA423" s="93"/>
      <c r="CB423" s="93"/>
      <c r="CC423" s="93"/>
      <c r="CD423" s="93"/>
      <c r="CE423" s="93"/>
      <c r="CF423" s="93"/>
      <c r="CG423" s="93"/>
      <c r="CH423" s="93"/>
      <c r="CI423" s="93"/>
      <c r="CJ423" s="93"/>
      <c r="CK423" s="93"/>
      <c r="CL423" s="93"/>
      <c r="CM423" s="93"/>
    </row>
    <row r="424" spans="1:91" x14ac:dyDescent="0.2">
      <c r="A424" s="144"/>
      <c r="B424" s="144"/>
      <c r="C424" s="144"/>
      <c r="D424" s="144"/>
      <c r="E424" s="144"/>
      <c r="F424" s="144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S424" s="95"/>
      <c r="T424" s="95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  <c r="AZ424" s="93"/>
      <c r="BA424" s="93"/>
      <c r="BB424" s="93"/>
      <c r="BC424" s="93"/>
      <c r="BD424" s="93"/>
      <c r="BE424" s="93"/>
      <c r="BF424" s="93"/>
      <c r="BG424" s="93"/>
      <c r="BH424" s="93"/>
      <c r="BI424" s="93"/>
      <c r="BJ424" s="93"/>
      <c r="BK424" s="93"/>
      <c r="BL424" s="93"/>
      <c r="BM424" s="93"/>
      <c r="BN424" s="93"/>
      <c r="BO424" s="93"/>
      <c r="BP424" s="93"/>
      <c r="BQ424" s="93"/>
      <c r="BR424" s="93"/>
      <c r="BS424" s="93"/>
      <c r="BT424" s="93"/>
      <c r="BU424" s="93"/>
      <c r="BV424" s="93"/>
      <c r="BW424" s="93"/>
      <c r="BX424" s="93"/>
      <c r="BY424" s="93"/>
      <c r="BZ424" s="93"/>
      <c r="CA424" s="93"/>
      <c r="CB424" s="93"/>
      <c r="CC424" s="93"/>
      <c r="CD424" s="93"/>
      <c r="CE424" s="93"/>
      <c r="CF424" s="93"/>
      <c r="CG424" s="93"/>
      <c r="CH424" s="93"/>
      <c r="CI424" s="93"/>
      <c r="CJ424" s="93"/>
      <c r="CK424" s="93"/>
      <c r="CL424" s="93"/>
      <c r="CM424" s="93"/>
    </row>
    <row r="425" spans="1:91" x14ac:dyDescent="0.2">
      <c r="A425" s="144"/>
      <c r="B425" s="144"/>
      <c r="C425" s="144"/>
      <c r="D425" s="144"/>
      <c r="E425" s="144"/>
      <c r="F425" s="144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S425" s="95"/>
      <c r="T425" s="95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  <c r="BI425" s="93"/>
      <c r="BJ425" s="93"/>
      <c r="BK425" s="93"/>
      <c r="BL425" s="93"/>
      <c r="BM425" s="93"/>
      <c r="BN425" s="93"/>
      <c r="BO425" s="93"/>
      <c r="BP425" s="93"/>
      <c r="BQ425" s="93"/>
      <c r="BR425" s="93"/>
      <c r="BS425" s="93"/>
      <c r="BT425" s="93"/>
      <c r="BU425" s="93"/>
      <c r="BV425" s="93"/>
      <c r="BW425" s="93"/>
      <c r="BX425" s="93"/>
      <c r="BY425" s="93"/>
      <c r="BZ425" s="93"/>
      <c r="CA425" s="93"/>
      <c r="CB425" s="93"/>
      <c r="CC425" s="93"/>
      <c r="CD425" s="93"/>
      <c r="CE425" s="93"/>
      <c r="CF425" s="93"/>
      <c r="CG425" s="93"/>
      <c r="CH425" s="93"/>
      <c r="CI425" s="93"/>
      <c r="CJ425" s="93"/>
      <c r="CK425" s="93"/>
      <c r="CL425" s="93"/>
      <c r="CM425" s="93"/>
    </row>
    <row r="426" spans="1:91" x14ac:dyDescent="0.2">
      <c r="A426" s="144"/>
      <c r="B426" s="144"/>
      <c r="C426" s="144"/>
      <c r="D426" s="144"/>
      <c r="E426" s="144"/>
      <c r="F426" s="144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S426" s="95"/>
      <c r="T426" s="95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  <c r="BI426" s="93"/>
      <c r="BJ426" s="93"/>
      <c r="BK426" s="93"/>
      <c r="BL426" s="93"/>
      <c r="BM426" s="93"/>
      <c r="BN426" s="93"/>
      <c r="BO426" s="93"/>
      <c r="BP426" s="93"/>
      <c r="BQ426" s="93"/>
      <c r="BR426" s="93"/>
      <c r="BS426" s="93"/>
      <c r="BT426" s="93"/>
      <c r="BU426" s="93"/>
      <c r="BV426" s="93"/>
      <c r="BW426" s="93"/>
      <c r="BX426" s="93"/>
      <c r="BY426" s="93"/>
      <c r="BZ426" s="93"/>
      <c r="CA426" s="93"/>
      <c r="CB426" s="93"/>
      <c r="CC426" s="93"/>
      <c r="CD426" s="93"/>
      <c r="CE426" s="93"/>
      <c r="CF426" s="93"/>
      <c r="CG426" s="93"/>
      <c r="CH426" s="93"/>
      <c r="CI426" s="93"/>
      <c r="CJ426" s="93"/>
      <c r="CK426" s="93"/>
      <c r="CL426" s="93"/>
      <c r="CM426" s="93"/>
    </row>
    <row r="427" spans="1:91" x14ac:dyDescent="0.2">
      <c r="A427" s="144"/>
      <c r="B427" s="144"/>
      <c r="C427" s="144"/>
      <c r="D427" s="144"/>
      <c r="E427" s="144"/>
      <c r="F427" s="144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S427" s="95"/>
      <c r="T427" s="95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  <c r="BI427" s="93"/>
      <c r="BJ427" s="93"/>
      <c r="BK427" s="93"/>
      <c r="BL427" s="93"/>
      <c r="BM427" s="93"/>
      <c r="BN427" s="93"/>
      <c r="BO427" s="93"/>
      <c r="BP427" s="93"/>
      <c r="BQ427" s="93"/>
      <c r="BR427" s="93"/>
      <c r="BS427" s="93"/>
      <c r="BT427" s="93"/>
      <c r="BU427" s="93"/>
      <c r="BV427" s="93"/>
      <c r="BW427" s="93"/>
      <c r="BX427" s="93"/>
      <c r="BY427" s="93"/>
      <c r="BZ427" s="93"/>
      <c r="CA427" s="93"/>
      <c r="CB427" s="93"/>
      <c r="CC427" s="93"/>
      <c r="CD427" s="93"/>
      <c r="CE427" s="93"/>
      <c r="CF427" s="93"/>
      <c r="CG427" s="93"/>
      <c r="CH427" s="93"/>
      <c r="CI427" s="93"/>
      <c r="CJ427" s="93"/>
      <c r="CK427" s="93"/>
      <c r="CL427" s="93"/>
      <c r="CM427" s="93"/>
    </row>
    <row r="428" spans="1:91" x14ac:dyDescent="0.2">
      <c r="A428" s="144"/>
      <c r="B428" s="144"/>
      <c r="C428" s="144"/>
      <c r="D428" s="144"/>
      <c r="E428" s="144"/>
      <c r="F428" s="144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S428" s="95"/>
      <c r="T428" s="95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  <c r="BI428" s="93"/>
      <c r="BJ428" s="93"/>
      <c r="BK428" s="93"/>
      <c r="BL428" s="93"/>
      <c r="BM428" s="93"/>
      <c r="BN428" s="93"/>
      <c r="BO428" s="93"/>
      <c r="BP428" s="93"/>
      <c r="BQ428" s="93"/>
      <c r="BR428" s="93"/>
      <c r="BS428" s="93"/>
      <c r="BT428" s="93"/>
      <c r="BU428" s="93"/>
      <c r="BV428" s="93"/>
      <c r="BW428" s="93"/>
      <c r="BX428" s="93"/>
      <c r="BY428" s="93"/>
      <c r="BZ428" s="93"/>
      <c r="CA428" s="93"/>
      <c r="CB428" s="93"/>
      <c r="CC428" s="93"/>
      <c r="CD428" s="93"/>
      <c r="CE428" s="93"/>
      <c r="CF428" s="93"/>
      <c r="CG428" s="93"/>
      <c r="CH428" s="93"/>
      <c r="CI428" s="93"/>
      <c r="CJ428" s="93"/>
      <c r="CK428" s="93"/>
      <c r="CL428" s="93"/>
      <c r="CM428" s="93"/>
    </row>
    <row r="429" spans="1:91" x14ac:dyDescent="0.2">
      <c r="A429" s="144"/>
      <c r="B429" s="144"/>
      <c r="C429" s="144"/>
      <c r="D429" s="144"/>
      <c r="E429" s="144"/>
      <c r="F429" s="144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S429" s="95"/>
      <c r="T429" s="95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  <c r="BI429" s="93"/>
      <c r="BJ429" s="93"/>
      <c r="BK429" s="93"/>
      <c r="BL429" s="93"/>
      <c r="BM429" s="93"/>
      <c r="BN429" s="93"/>
      <c r="BO429" s="93"/>
      <c r="BP429" s="93"/>
      <c r="BQ429" s="93"/>
      <c r="BR429" s="93"/>
      <c r="BS429" s="93"/>
      <c r="BT429" s="93"/>
      <c r="BU429" s="93"/>
      <c r="BV429" s="93"/>
      <c r="BW429" s="93"/>
      <c r="BX429" s="93"/>
      <c r="BY429" s="93"/>
      <c r="BZ429" s="93"/>
      <c r="CA429" s="93"/>
      <c r="CB429" s="93"/>
      <c r="CC429" s="93"/>
      <c r="CD429" s="93"/>
      <c r="CE429" s="93"/>
      <c r="CF429" s="93"/>
      <c r="CG429" s="93"/>
      <c r="CH429" s="93"/>
      <c r="CI429" s="93"/>
      <c r="CJ429" s="93"/>
      <c r="CK429" s="93"/>
      <c r="CL429" s="93"/>
      <c r="CM429" s="93"/>
    </row>
    <row r="430" spans="1:91" x14ac:dyDescent="0.2">
      <c r="A430" s="144"/>
      <c r="B430" s="144"/>
      <c r="C430" s="144"/>
      <c r="D430" s="144"/>
      <c r="E430" s="144"/>
      <c r="F430" s="144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S430" s="95"/>
      <c r="T430" s="95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  <c r="BI430" s="93"/>
      <c r="BJ430" s="93"/>
      <c r="BK430" s="93"/>
      <c r="BL430" s="93"/>
      <c r="BM430" s="93"/>
      <c r="BN430" s="93"/>
      <c r="BO430" s="93"/>
      <c r="BP430" s="93"/>
      <c r="BQ430" s="93"/>
      <c r="BR430" s="93"/>
      <c r="BS430" s="93"/>
      <c r="BT430" s="93"/>
      <c r="BU430" s="93"/>
      <c r="BV430" s="93"/>
      <c r="BW430" s="93"/>
      <c r="BX430" s="93"/>
      <c r="BY430" s="93"/>
      <c r="BZ430" s="93"/>
      <c r="CA430" s="93"/>
      <c r="CB430" s="93"/>
      <c r="CC430" s="93"/>
      <c r="CD430" s="93"/>
      <c r="CE430" s="93"/>
      <c r="CF430" s="93"/>
      <c r="CG430" s="93"/>
      <c r="CH430" s="93"/>
      <c r="CI430" s="93"/>
      <c r="CJ430" s="93"/>
      <c r="CK430" s="93"/>
      <c r="CL430" s="93"/>
      <c r="CM430" s="93"/>
    </row>
    <row r="431" spans="1:91" x14ac:dyDescent="0.2">
      <c r="A431" s="144"/>
      <c r="B431" s="144"/>
      <c r="C431" s="144"/>
      <c r="D431" s="144"/>
      <c r="E431" s="144"/>
      <c r="F431" s="144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S431" s="95"/>
      <c r="T431" s="95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  <c r="BI431" s="93"/>
      <c r="BJ431" s="93"/>
      <c r="BK431" s="93"/>
      <c r="BL431" s="93"/>
      <c r="BM431" s="93"/>
      <c r="BN431" s="93"/>
      <c r="BO431" s="93"/>
      <c r="BP431" s="93"/>
      <c r="BQ431" s="93"/>
      <c r="BR431" s="93"/>
      <c r="BS431" s="93"/>
      <c r="BT431" s="93"/>
      <c r="BU431" s="93"/>
      <c r="BV431" s="93"/>
      <c r="BW431" s="93"/>
      <c r="BX431" s="93"/>
      <c r="BY431" s="93"/>
      <c r="BZ431" s="93"/>
      <c r="CA431" s="93"/>
      <c r="CB431" s="93"/>
      <c r="CC431" s="93"/>
      <c r="CD431" s="93"/>
      <c r="CE431" s="93"/>
      <c r="CF431" s="93"/>
      <c r="CG431" s="93"/>
      <c r="CH431" s="93"/>
      <c r="CI431" s="93"/>
      <c r="CJ431" s="93"/>
      <c r="CK431" s="93"/>
      <c r="CL431" s="93"/>
      <c r="CM431" s="93"/>
    </row>
    <row r="432" spans="1:91" x14ac:dyDescent="0.2">
      <c r="A432" s="144"/>
      <c r="B432" s="144"/>
      <c r="C432" s="144"/>
      <c r="D432" s="144"/>
      <c r="E432" s="144"/>
      <c r="F432" s="144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S432" s="95"/>
      <c r="T432" s="95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  <c r="BI432" s="93"/>
      <c r="BJ432" s="93"/>
      <c r="BK432" s="93"/>
      <c r="BL432" s="93"/>
      <c r="BM432" s="93"/>
      <c r="BN432" s="93"/>
      <c r="BO432" s="93"/>
      <c r="BP432" s="93"/>
      <c r="BQ432" s="93"/>
      <c r="BR432" s="93"/>
      <c r="BS432" s="93"/>
      <c r="BT432" s="93"/>
      <c r="BU432" s="93"/>
      <c r="BV432" s="93"/>
      <c r="BW432" s="93"/>
      <c r="BX432" s="93"/>
      <c r="BY432" s="93"/>
      <c r="BZ432" s="93"/>
      <c r="CA432" s="93"/>
      <c r="CB432" s="93"/>
      <c r="CC432" s="93"/>
      <c r="CD432" s="93"/>
      <c r="CE432" s="93"/>
      <c r="CF432" s="93"/>
      <c r="CG432" s="93"/>
      <c r="CH432" s="93"/>
      <c r="CI432" s="93"/>
      <c r="CJ432" s="93"/>
      <c r="CK432" s="93"/>
      <c r="CL432" s="93"/>
      <c r="CM432" s="93"/>
    </row>
    <row r="433" spans="1:91" x14ac:dyDescent="0.2">
      <c r="A433" s="144"/>
      <c r="B433" s="144"/>
      <c r="C433" s="144"/>
      <c r="D433" s="144"/>
      <c r="E433" s="144"/>
      <c r="F433" s="144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S433" s="95"/>
      <c r="T433" s="95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  <c r="BI433" s="93"/>
      <c r="BJ433" s="93"/>
      <c r="BK433" s="93"/>
      <c r="BL433" s="93"/>
      <c r="BM433" s="93"/>
      <c r="BN433" s="93"/>
      <c r="BO433" s="93"/>
      <c r="BP433" s="93"/>
      <c r="BQ433" s="93"/>
      <c r="BR433" s="93"/>
      <c r="BS433" s="93"/>
      <c r="BT433" s="93"/>
      <c r="BU433" s="93"/>
      <c r="BV433" s="93"/>
      <c r="BW433" s="93"/>
      <c r="BX433" s="93"/>
      <c r="BY433" s="93"/>
      <c r="BZ433" s="93"/>
      <c r="CA433" s="93"/>
      <c r="CB433" s="93"/>
      <c r="CC433" s="93"/>
      <c r="CD433" s="93"/>
      <c r="CE433" s="93"/>
      <c r="CF433" s="93"/>
      <c r="CG433" s="93"/>
      <c r="CH433" s="93"/>
      <c r="CI433" s="93"/>
      <c r="CJ433" s="93"/>
      <c r="CK433" s="93"/>
      <c r="CL433" s="93"/>
      <c r="CM433" s="93"/>
    </row>
    <row r="434" spans="1:91" x14ac:dyDescent="0.2">
      <c r="A434" s="144"/>
      <c r="B434" s="144"/>
      <c r="C434" s="144"/>
      <c r="D434" s="144"/>
      <c r="E434" s="144"/>
      <c r="F434" s="144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S434" s="95"/>
      <c r="T434" s="95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  <c r="BI434" s="93"/>
      <c r="BJ434" s="93"/>
      <c r="BK434" s="93"/>
      <c r="BL434" s="93"/>
      <c r="BM434" s="93"/>
      <c r="BN434" s="93"/>
      <c r="BO434" s="93"/>
      <c r="BP434" s="93"/>
      <c r="BQ434" s="93"/>
      <c r="BR434" s="93"/>
      <c r="BS434" s="93"/>
      <c r="BT434" s="93"/>
      <c r="BU434" s="93"/>
      <c r="BV434" s="93"/>
      <c r="BW434" s="93"/>
      <c r="BX434" s="93"/>
      <c r="BY434" s="93"/>
      <c r="BZ434" s="93"/>
      <c r="CA434" s="93"/>
      <c r="CB434" s="93"/>
      <c r="CC434" s="93"/>
      <c r="CD434" s="93"/>
      <c r="CE434" s="93"/>
      <c r="CF434" s="93"/>
      <c r="CG434" s="93"/>
      <c r="CH434" s="93"/>
      <c r="CI434" s="93"/>
      <c r="CJ434" s="93"/>
      <c r="CK434" s="93"/>
      <c r="CL434" s="93"/>
      <c r="CM434" s="93"/>
    </row>
    <row r="435" spans="1:91" x14ac:dyDescent="0.2">
      <c r="A435" s="144"/>
      <c r="B435" s="144"/>
      <c r="C435" s="144"/>
      <c r="D435" s="144"/>
      <c r="E435" s="144"/>
      <c r="F435" s="144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S435" s="95"/>
      <c r="T435" s="95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  <c r="BI435" s="93"/>
      <c r="BJ435" s="93"/>
      <c r="BK435" s="93"/>
      <c r="BL435" s="93"/>
      <c r="BM435" s="93"/>
      <c r="BN435" s="93"/>
      <c r="BO435" s="93"/>
      <c r="BP435" s="93"/>
      <c r="BQ435" s="93"/>
      <c r="BR435" s="93"/>
      <c r="BS435" s="93"/>
      <c r="BT435" s="93"/>
      <c r="BU435" s="93"/>
      <c r="BV435" s="93"/>
      <c r="BW435" s="93"/>
      <c r="BX435" s="93"/>
      <c r="BY435" s="93"/>
      <c r="BZ435" s="93"/>
      <c r="CA435" s="93"/>
      <c r="CB435" s="93"/>
      <c r="CC435" s="93"/>
      <c r="CD435" s="93"/>
      <c r="CE435" s="93"/>
      <c r="CF435" s="93"/>
      <c r="CG435" s="93"/>
      <c r="CH435" s="93"/>
      <c r="CI435" s="93"/>
      <c r="CJ435" s="93"/>
      <c r="CK435" s="93"/>
      <c r="CL435" s="93"/>
      <c r="CM435" s="93"/>
    </row>
    <row r="436" spans="1:91" x14ac:dyDescent="0.2">
      <c r="A436" s="144"/>
      <c r="B436" s="144"/>
      <c r="C436" s="144"/>
      <c r="D436" s="144"/>
      <c r="E436" s="144"/>
      <c r="F436" s="144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S436" s="95"/>
      <c r="T436" s="95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  <c r="BI436" s="93"/>
      <c r="BJ436" s="93"/>
      <c r="BK436" s="93"/>
      <c r="BL436" s="93"/>
      <c r="BM436" s="93"/>
      <c r="BN436" s="93"/>
      <c r="BO436" s="93"/>
      <c r="BP436" s="93"/>
      <c r="BQ436" s="93"/>
      <c r="BR436" s="93"/>
      <c r="BS436" s="93"/>
      <c r="BT436" s="93"/>
      <c r="BU436" s="93"/>
      <c r="BV436" s="93"/>
      <c r="BW436" s="93"/>
      <c r="BX436" s="93"/>
      <c r="BY436" s="93"/>
      <c r="BZ436" s="93"/>
      <c r="CA436" s="93"/>
      <c r="CB436" s="93"/>
      <c r="CC436" s="93"/>
      <c r="CD436" s="93"/>
      <c r="CE436" s="93"/>
      <c r="CF436" s="93"/>
      <c r="CG436" s="93"/>
      <c r="CH436" s="93"/>
      <c r="CI436" s="93"/>
      <c r="CJ436" s="93"/>
      <c r="CK436" s="93"/>
      <c r="CL436" s="93"/>
      <c r="CM436" s="93"/>
    </row>
    <row r="437" spans="1:91" x14ac:dyDescent="0.2">
      <c r="A437" s="144"/>
      <c r="B437" s="144"/>
      <c r="C437" s="144"/>
      <c r="D437" s="144"/>
      <c r="E437" s="144"/>
      <c r="F437" s="144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S437" s="95"/>
      <c r="T437" s="95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  <c r="BI437" s="93"/>
      <c r="BJ437" s="93"/>
      <c r="BK437" s="93"/>
      <c r="BL437" s="93"/>
      <c r="BM437" s="93"/>
      <c r="BN437" s="93"/>
      <c r="BO437" s="93"/>
      <c r="BP437" s="93"/>
      <c r="BQ437" s="93"/>
      <c r="BR437" s="93"/>
      <c r="BS437" s="93"/>
      <c r="BT437" s="93"/>
      <c r="BU437" s="93"/>
      <c r="BV437" s="93"/>
      <c r="BW437" s="93"/>
      <c r="BX437" s="93"/>
      <c r="BY437" s="93"/>
      <c r="BZ437" s="93"/>
      <c r="CA437" s="93"/>
      <c r="CB437" s="93"/>
      <c r="CC437" s="93"/>
      <c r="CD437" s="93"/>
      <c r="CE437" s="93"/>
      <c r="CF437" s="93"/>
      <c r="CG437" s="93"/>
      <c r="CH437" s="93"/>
      <c r="CI437" s="93"/>
      <c r="CJ437" s="93"/>
      <c r="CK437" s="93"/>
      <c r="CL437" s="93"/>
      <c r="CM437" s="93"/>
    </row>
    <row r="438" spans="1:91" x14ac:dyDescent="0.2">
      <c r="A438" s="144"/>
      <c r="B438" s="144"/>
      <c r="C438" s="144"/>
      <c r="D438" s="144"/>
      <c r="E438" s="144"/>
      <c r="F438" s="144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S438" s="95"/>
      <c r="T438" s="95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  <c r="BI438" s="93"/>
      <c r="BJ438" s="93"/>
      <c r="BK438" s="93"/>
      <c r="BL438" s="93"/>
      <c r="BM438" s="93"/>
      <c r="BN438" s="93"/>
      <c r="BO438" s="93"/>
      <c r="BP438" s="93"/>
      <c r="BQ438" s="93"/>
      <c r="BR438" s="93"/>
      <c r="BS438" s="93"/>
      <c r="BT438" s="93"/>
      <c r="BU438" s="93"/>
      <c r="BV438" s="93"/>
      <c r="BW438" s="93"/>
      <c r="BX438" s="93"/>
      <c r="BY438" s="93"/>
      <c r="BZ438" s="93"/>
      <c r="CA438" s="93"/>
      <c r="CB438" s="93"/>
      <c r="CC438" s="93"/>
      <c r="CD438" s="93"/>
      <c r="CE438" s="93"/>
      <c r="CF438" s="93"/>
      <c r="CG438" s="93"/>
      <c r="CH438" s="93"/>
      <c r="CI438" s="93"/>
      <c r="CJ438" s="93"/>
      <c r="CK438" s="93"/>
      <c r="CL438" s="93"/>
      <c r="CM438" s="93"/>
    </row>
    <row r="439" spans="1:91" x14ac:dyDescent="0.2">
      <c r="A439" s="144"/>
      <c r="B439" s="144"/>
      <c r="C439" s="144"/>
      <c r="D439" s="144"/>
      <c r="E439" s="144"/>
      <c r="F439" s="144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S439" s="95"/>
      <c r="T439" s="95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  <c r="BI439" s="93"/>
      <c r="BJ439" s="93"/>
      <c r="BK439" s="93"/>
      <c r="BL439" s="93"/>
      <c r="BM439" s="93"/>
      <c r="BN439" s="93"/>
      <c r="BO439" s="93"/>
      <c r="BP439" s="93"/>
      <c r="BQ439" s="93"/>
      <c r="BR439" s="93"/>
      <c r="BS439" s="93"/>
      <c r="BT439" s="93"/>
      <c r="BU439" s="93"/>
      <c r="BV439" s="93"/>
      <c r="BW439" s="93"/>
      <c r="BX439" s="93"/>
      <c r="BY439" s="93"/>
      <c r="BZ439" s="93"/>
      <c r="CA439" s="93"/>
      <c r="CB439" s="93"/>
      <c r="CC439" s="93"/>
      <c r="CD439" s="93"/>
      <c r="CE439" s="93"/>
      <c r="CF439" s="93"/>
      <c r="CG439" s="93"/>
      <c r="CH439" s="93"/>
      <c r="CI439" s="93"/>
      <c r="CJ439" s="93"/>
      <c r="CK439" s="93"/>
      <c r="CL439" s="93"/>
      <c r="CM439" s="93"/>
    </row>
    <row r="440" spans="1:91" x14ac:dyDescent="0.2">
      <c r="A440" s="144"/>
      <c r="B440" s="144"/>
      <c r="C440" s="144"/>
      <c r="D440" s="144"/>
      <c r="E440" s="144"/>
      <c r="F440" s="144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S440" s="95"/>
      <c r="T440" s="95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  <c r="BI440" s="93"/>
      <c r="BJ440" s="93"/>
      <c r="BK440" s="93"/>
      <c r="BL440" s="93"/>
      <c r="BM440" s="93"/>
      <c r="BN440" s="93"/>
      <c r="BO440" s="93"/>
      <c r="BP440" s="93"/>
      <c r="BQ440" s="93"/>
      <c r="BR440" s="93"/>
      <c r="BS440" s="93"/>
      <c r="BT440" s="93"/>
      <c r="BU440" s="93"/>
      <c r="BV440" s="93"/>
      <c r="BW440" s="93"/>
      <c r="BX440" s="93"/>
      <c r="BY440" s="93"/>
      <c r="BZ440" s="93"/>
      <c r="CA440" s="93"/>
      <c r="CB440" s="93"/>
      <c r="CC440" s="93"/>
      <c r="CD440" s="93"/>
      <c r="CE440" s="93"/>
      <c r="CF440" s="93"/>
      <c r="CG440" s="93"/>
      <c r="CH440" s="93"/>
      <c r="CI440" s="93"/>
      <c r="CJ440" s="93"/>
      <c r="CK440" s="93"/>
      <c r="CL440" s="93"/>
      <c r="CM440" s="93"/>
    </row>
    <row r="441" spans="1:91" x14ac:dyDescent="0.2">
      <c r="A441" s="144"/>
      <c r="B441" s="144"/>
      <c r="C441" s="144"/>
      <c r="D441" s="144"/>
      <c r="E441" s="144"/>
      <c r="F441" s="144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S441" s="95"/>
      <c r="T441" s="95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  <c r="BI441" s="93"/>
      <c r="BJ441" s="93"/>
      <c r="BK441" s="93"/>
      <c r="BL441" s="93"/>
      <c r="BM441" s="93"/>
      <c r="BN441" s="93"/>
      <c r="BO441" s="93"/>
      <c r="BP441" s="93"/>
      <c r="BQ441" s="93"/>
      <c r="BR441" s="93"/>
      <c r="BS441" s="93"/>
      <c r="BT441" s="93"/>
      <c r="BU441" s="93"/>
      <c r="BV441" s="93"/>
      <c r="BW441" s="93"/>
      <c r="BX441" s="93"/>
      <c r="BY441" s="93"/>
      <c r="BZ441" s="93"/>
      <c r="CA441" s="93"/>
      <c r="CB441" s="93"/>
      <c r="CC441" s="93"/>
      <c r="CD441" s="93"/>
      <c r="CE441" s="93"/>
      <c r="CF441" s="93"/>
      <c r="CG441" s="93"/>
      <c r="CH441" s="93"/>
      <c r="CI441" s="93"/>
      <c r="CJ441" s="93"/>
      <c r="CK441" s="93"/>
      <c r="CL441" s="93"/>
      <c r="CM441" s="93"/>
    </row>
    <row r="442" spans="1:91" x14ac:dyDescent="0.2">
      <c r="A442" s="144"/>
      <c r="B442" s="144"/>
      <c r="C442" s="144"/>
      <c r="D442" s="144"/>
      <c r="E442" s="144"/>
      <c r="F442" s="144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S442" s="95"/>
      <c r="T442" s="95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  <c r="BI442" s="93"/>
      <c r="BJ442" s="93"/>
      <c r="BK442" s="93"/>
      <c r="BL442" s="93"/>
      <c r="BM442" s="93"/>
      <c r="BN442" s="93"/>
      <c r="BO442" s="93"/>
      <c r="BP442" s="93"/>
      <c r="BQ442" s="93"/>
      <c r="BR442" s="93"/>
      <c r="BS442" s="93"/>
      <c r="BT442" s="93"/>
      <c r="BU442" s="93"/>
      <c r="BV442" s="93"/>
      <c r="BW442" s="93"/>
      <c r="BX442" s="93"/>
      <c r="BY442" s="93"/>
      <c r="BZ442" s="93"/>
      <c r="CA442" s="93"/>
      <c r="CB442" s="93"/>
      <c r="CC442" s="93"/>
      <c r="CD442" s="93"/>
      <c r="CE442" s="93"/>
      <c r="CF442" s="93"/>
      <c r="CG442" s="93"/>
      <c r="CH442" s="93"/>
      <c r="CI442" s="93"/>
      <c r="CJ442" s="93"/>
      <c r="CK442" s="93"/>
      <c r="CL442" s="93"/>
      <c r="CM442" s="93"/>
    </row>
    <row r="443" spans="1:91" x14ac:dyDescent="0.2">
      <c r="A443" s="144"/>
      <c r="B443" s="144"/>
      <c r="C443" s="144"/>
      <c r="D443" s="144"/>
      <c r="E443" s="144"/>
      <c r="F443" s="144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S443" s="95"/>
      <c r="T443" s="95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  <c r="BI443" s="93"/>
      <c r="BJ443" s="93"/>
      <c r="BK443" s="93"/>
      <c r="BL443" s="93"/>
      <c r="BM443" s="93"/>
      <c r="BN443" s="93"/>
      <c r="BO443" s="93"/>
      <c r="BP443" s="93"/>
      <c r="BQ443" s="93"/>
      <c r="BR443" s="93"/>
      <c r="BS443" s="93"/>
      <c r="BT443" s="93"/>
      <c r="BU443" s="93"/>
      <c r="BV443" s="93"/>
      <c r="BW443" s="93"/>
      <c r="BX443" s="93"/>
      <c r="BY443" s="93"/>
      <c r="BZ443" s="93"/>
      <c r="CA443" s="93"/>
      <c r="CB443" s="93"/>
      <c r="CC443" s="93"/>
      <c r="CD443" s="93"/>
      <c r="CE443" s="93"/>
      <c r="CF443" s="93"/>
      <c r="CG443" s="93"/>
      <c r="CH443" s="93"/>
      <c r="CI443" s="93"/>
      <c r="CJ443" s="93"/>
      <c r="CK443" s="93"/>
      <c r="CL443" s="93"/>
      <c r="CM443" s="93"/>
    </row>
    <row r="444" spans="1:91" x14ac:dyDescent="0.2">
      <c r="A444" s="144"/>
      <c r="B444" s="144"/>
      <c r="C444" s="144"/>
      <c r="D444" s="144"/>
      <c r="E444" s="144"/>
      <c r="F444" s="144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S444" s="95"/>
      <c r="T444" s="95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  <c r="BI444" s="93"/>
      <c r="BJ444" s="93"/>
      <c r="BK444" s="93"/>
      <c r="BL444" s="93"/>
      <c r="BM444" s="93"/>
      <c r="BN444" s="93"/>
      <c r="BO444" s="93"/>
      <c r="BP444" s="93"/>
      <c r="BQ444" s="93"/>
      <c r="BR444" s="93"/>
      <c r="BS444" s="93"/>
      <c r="BT444" s="93"/>
      <c r="BU444" s="93"/>
      <c r="BV444" s="93"/>
      <c r="BW444" s="93"/>
      <c r="BX444" s="93"/>
      <c r="BY444" s="93"/>
      <c r="BZ444" s="93"/>
      <c r="CA444" s="93"/>
      <c r="CB444" s="93"/>
      <c r="CC444" s="93"/>
      <c r="CD444" s="93"/>
      <c r="CE444" s="93"/>
      <c r="CF444" s="93"/>
      <c r="CG444" s="93"/>
      <c r="CH444" s="93"/>
      <c r="CI444" s="93"/>
      <c r="CJ444" s="93"/>
      <c r="CK444" s="93"/>
      <c r="CL444" s="93"/>
      <c r="CM444" s="93"/>
    </row>
    <row r="445" spans="1:91" x14ac:dyDescent="0.2">
      <c r="A445" s="144"/>
      <c r="B445" s="144"/>
      <c r="C445" s="144"/>
      <c r="D445" s="144"/>
      <c r="E445" s="144"/>
      <c r="F445" s="144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S445" s="95"/>
      <c r="T445" s="95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  <c r="BI445" s="93"/>
      <c r="BJ445" s="93"/>
      <c r="BK445" s="93"/>
      <c r="BL445" s="93"/>
      <c r="BM445" s="93"/>
      <c r="BN445" s="93"/>
      <c r="BO445" s="93"/>
      <c r="BP445" s="93"/>
      <c r="BQ445" s="93"/>
      <c r="BR445" s="93"/>
      <c r="BS445" s="93"/>
      <c r="BT445" s="93"/>
      <c r="BU445" s="93"/>
      <c r="BV445" s="93"/>
      <c r="BW445" s="93"/>
      <c r="BX445" s="93"/>
      <c r="BY445" s="93"/>
      <c r="BZ445" s="93"/>
      <c r="CA445" s="93"/>
      <c r="CB445" s="93"/>
      <c r="CC445" s="93"/>
      <c r="CD445" s="93"/>
      <c r="CE445" s="93"/>
      <c r="CF445" s="93"/>
      <c r="CG445" s="93"/>
      <c r="CH445" s="93"/>
      <c r="CI445" s="93"/>
      <c r="CJ445" s="93"/>
      <c r="CK445" s="93"/>
      <c r="CL445" s="93"/>
      <c r="CM445" s="93"/>
    </row>
    <row r="446" spans="1:91" x14ac:dyDescent="0.2">
      <c r="A446" s="144"/>
      <c r="B446" s="144"/>
      <c r="C446" s="144"/>
      <c r="D446" s="144"/>
      <c r="E446" s="144"/>
      <c r="F446" s="144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S446" s="95"/>
      <c r="T446" s="95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  <c r="BI446" s="93"/>
      <c r="BJ446" s="93"/>
      <c r="BK446" s="93"/>
      <c r="BL446" s="93"/>
      <c r="BM446" s="93"/>
      <c r="BN446" s="93"/>
      <c r="BO446" s="93"/>
      <c r="BP446" s="93"/>
      <c r="BQ446" s="93"/>
      <c r="BR446" s="93"/>
      <c r="BS446" s="93"/>
      <c r="BT446" s="93"/>
      <c r="BU446" s="93"/>
      <c r="BV446" s="93"/>
      <c r="BW446" s="93"/>
      <c r="BX446" s="93"/>
      <c r="BY446" s="93"/>
      <c r="BZ446" s="93"/>
      <c r="CA446" s="93"/>
      <c r="CB446" s="93"/>
      <c r="CC446" s="93"/>
      <c r="CD446" s="93"/>
      <c r="CE446" s="93"/>
      <c r="CF446" s="93"/>
      <c r="CG446" s="93"/>
      <c r="CH446" s="93"/>
      <c r="CI446" s="93"/>
      <c r="CJ446" s="93"/>
      <c r="CK446" s="93"/>
      <c r="CL446" s="93"/>
      <c r="CM446" s="93"/>
    </row>
    <row r="447" spans="1:91" x14ac:dyDescent="0.2">
      <c r="A447" s="144"/>
      <c r="B447" s="144"/>
      <c r="C447" s="144"/>
      <c r="D447" s="144"/>
      <c r="E447" s="144"/>
      <c r="F447" s="144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S447" s="95"/>
      <c r="T447" s="95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  <c r="BI447" s="93"/>
      <c r="BJ447" s="93"/>
      <c r="BK447" s="93"/>
      <c r="BL447" s="93"/>
      <c r="BM447" s="93"/>
      <c r="BN447" s="93"/>
      <c r="BO447" s="93"/>
      <c r="BP447" s="93"/>
      <c r="BQ447" s="93"/>
      <c r="BR447" s="93"/>
      <c r="BS447" s="93"/>
      <c r="BT447" s="93"/>
      <c r="BU447" s="93"/>
      <c r="BV447" s="93"/>
      <c r="BW447" s="93"/>
      <c r="BX447" s="93"/>
      <c r="BY447" s="93"/>
      <c r="BZ447" s="93"/>
      <c r="CA447" s="93"/>
      <c r="CB447" s="93"/>
      <c r="CC447" s="93"/>
      <c r="CD447" s="93"/>
      <c r="CE447" s="93"/>
      <c r="CF447" s="93"/>
      <c r="CG447" s="93"/>
      <c r="CH447" s="93"/>
      <c r="CI447" s="93"/>
      <c r="CJ447" s="93"/>
      <c r="CK447" s="93"/>
      <c r="CL447" s="93"/>
      <c r="CM447" s="93"/>
    </row>
    <row r="448" spans="1:91" x14ac:dyDescent="0.2">
      <c r="A448" s="144"/>
      <c r="B448" s="144"/>
      <c r="C448" s="144"/>
      <c r="D448" s="144"/>
      <c r="E448" s="144"/>
      <c r="F448" s="144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S448" s="95"/>
      <c r="T448" s="95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  <c r="BI448" s="93"/>
      <c r="BJ448" s="93"/>
      <c r="BK448" s="93"/>
      <c r="BL448" s="93"/>
      <c r="BM448" s="93"/>
      <c r="BN448" s="93"/>
      <c r="BO448" s="93"/>
      <c r="BP448" s="93"/>
      <c r="BQ448" s="93"/>
      <c r="BR448" s="93"/>
      <c r="BS448" s="93"/>
      <c r="BT448" s="93"/>
      <c r="BU448" s="93"/>
      <c r="BV448" s="93"/>
      <c r="BW448" s="93"/>
      <c r="BX448" s="93"/>
      <c r="BY448" s="93"/>
      <c r="BZ448" s="93"/>
      <c r="CA448" s="93"/>
      <c r="CB448" s="93"/>
      <c r="CC448" s="93"/>
      <c r="CD448" s="93"/>
      <c r="CE448" s="93"/>
      <c r="CF448" s="93"/>
      <c r="CG448" s="93"/>
      <c r="CH448" s="93"/>
      <c r="CI448" s="93"/>
      <c r="CJ448" s="93"/>
      <c r="CK448" s="93"/>
      <c r="CL448" s="93"/>
      <c r="CM448" s="93"/>
    </row>
    <row r="449" spans="1:91" x14ac:dyDescent="0.2">
      <c r="A449" s="144"/>
      <c r="B449" s="144"/>
      <c r="C449" s="144"/>
      <c r="D449" s="144"/>
      <c r="E449" s="144"/>
      <c r="F449" s="144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S449" s="95"/>
      <c r="T449" s="95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  <c r="BI449" s="93"/>
      <c r="BJ449" s="93"/>
      <c r="BK449" s="93"/>
      <c r="BL449" s="93"/>
      <c r="BM449" s="93"/>
      <c r="BN449" s="93"/>
      <c r="BO449" s="93"/>
      <c r="BP449" s="93"/>
      <c r="BQ449" s="93"/>
      <c r="BR449" s="93"/>
      <c r="BS449" s="93"/>
      <c r="BT449" s="93"/>
      <c r="BU449" s="93"/>
      <c r="BV449" s="93"/>
      <c r="BW449" s="93"/>
      <c r="BX449" s="93"/>
      <c r="BY449" s="93"/>
      <c r="BZ449" s="93"/>
      <c r="CA449" s="93"/>
      <c r="CB449" s="93"/>
      <c r="CC449" s="93"/>
      <c r="CD449" s="93"/>
      <c r="CE449" s="93"/>
      <c r="CF449" s="93"/>
      <c r="CG449" s="93"/>
      <c r="CH449" s="93"/>
      <c r="CI449" s="93"/>
      <c r="CJ449" s="93"/>
      <c r="CK449" s="93"/>
      <c r="CL449" s="93"/>
      <c r="CM449" s="93"/>
    </row>
    <row r="450" spans="1:91" x14ac:dyDescent="0.2">
      <c r="A450" s="144"/>
      <c r="B450" s="144"/>
      <c r="C450" s="144"/>
      <c r="D450" s="144"/>
      <c r="E450" s="144"/>
      <c r="F450" s="144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S450" s="95"/>
      <c r="T450" s="95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  <c r="BI450" s="93"/>
      <c r="BJ450" s="93"/>
      <c r="BK450" s="93"/>
      <c r="BL450" s="93"/>
      <c r="BM450" s="93"/>
      <c r="BN450" s="93"/>
      <c r="BO450" s="93"/>
      <c r="BP450" s="93"/>
      <c r="BQ450" s="93"/>
      <c r="BR450" s="93"/>
      <c r="BS450" s="93"/>
      <c r="BT450" s="93"/>
      <c r="BU450" s="93"/>
      <c r="BV450" s="93"/>
      <c r="BW450" s="93"/>
      <c r="BX450" s="93"/>
      <c r="BY450" s="93"/>
      <c r="BZ450" s="93"/>
      <c r="CA450" s="93"/>
      <c r="CB450" s="93"/>
      <c r="CC450" s="93"/>
      <c r="CD450" s="93"/>
      <c r="CE450" s="93"/>
      <c r="CF450" s="93"/>
      <c r="CG450" s="93"/>
      <c r="CH450" s="93"/>
      <c r="CI450" s="93"/>
      <c r="CJ450" s="93"/>
      <c r="CK450" s="93"/>
      <c r="CL450" s="93"/>
      <c r="CM450" s="93"/>
    </row>
    <row r="451" spans="1:91" x14ac:dyDescent="0.2">
      <c r="A451" s="144"/>
      <c r="B451" s="144"/>
      <c r="C451" s="144"/>
      <c r="D451" s="144"/>
      <c r="E451" s="144"/>
      <c r="F451" s="144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S451" s="95"/>
      <c r="T451" s="95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  <c r="BI451" s="93"/>
      <c r="BJ451" s="93"/>
      <c r="BK451" s="93"/>
      <c r="BL451" s="93"/>
      <c r="BM451" s="93"/>
      <c r="BN451" s="93"/>
      <c r="BO451" s="93"/>
      <c r="BP451" s="93"/>
      <c r="BQ451" s="93"/>
      <c r="BR451" s="93"/>
      <c r="BS451" s="93"/>
      <c r="BT451" s="93"/>
      <c r="BU451" s="93"/>
      <c r="BV451" s="93"/>
      <c r="BW451" s="93"/>
      <c r="BX451" s="93"/>
      <c r="BY451" s="93"/>
      <c r="BZ451" s="93"/>
      <c r="CA451" s="93"/>
      <c r="CB451" s="93"/>
      <c r="CC451" s="93"/>
      <c r="CD451" s="93"/>
      <c r="CE451" s="93"/>
      <c r="CF451" s="93"/>
      <c r="CG451" s="93"/>
      <c r="CH451" s="93"/>
      <c r="CI451" s="93"/>
      <c r="CJ451" s="93"/>
      <c r="CK451" s="93"/>
      <c r="CL451" s="93"/>
      <c r="CM451" s="93"/>
    </row>
    <row r="452" spans="1:91" x14ac:dyDescent="0.2">
      <c r="A452" s="144"/>
      <c r="B452" s="144"/>
      <c r="C452" s="144"/>
      <c r="D452" s="144"/>
      <c r="E452" s="144"/>
      <c r="F452" s="144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S452" s="95"/>
      <c r="T452" s="95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  <c r="BI452" s="93"/>
      <c r="BJ452" s="93"/>
      <c r="BK452" s="93"/>
      <c r="BL452" s="93"/>
      <c r="BM452" s="93"/>
      <c r="BN452" s="93"/>
      <c r="BO452" s="93"/>
      <c r="BP452" s="93"/>
      <c r="BQ452" s="93"/>
      <c r="BR452" s="93"/>
      <c r="BS452" s="93"/>
      <c r="BT452" s="93"/>
      <c r="BU452" s="93"/>
      <c r="BV452" s="93"/>
      <c r="BW452" s="93"/>
      <c r="BX452" s="93"/>
      <c r="BY452" s="93"/>
      <c r="BZ452" s="93"/>
      <c r="CA452" s="93"/>
      <c r="CB452" s="93"/>
      <c r="CC452" s="93"/>
      <c r="CD452" s="93"/>
      <c r="CE452" s="93"/>
      <c r="CF452" s="93"/>
      <c r="CG452" s="93"/>
      <c r="CH452" s="93"/>
      <c r="CI452" s="93"/>
      <c r="CJ452" s="93"/>
      <c r="CK452" s="93"/>
      <c r="CL452" s="93"/>
      <c r="CM452" s="93"/>
    </row>
    <row r="453" spans="1:91" x14ac:dyDescent="0.2">
      <c r="A453" s="144"/>
      <c r="B453" s="144"/>
      <c r="C453" s="144"/>
      <c r="D453" s="144"/>
      <c r="E453" s="144"/>
      <c r="F453" s="144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S453" s="95"/>
      <c r="T453" s="95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  <c r="BI453" s="93"/>
      <c r="BJ453" s="93"/>
      <c r="BK453" s="93"/>
      <c r="BL453" s="93"/>
      <c r="BM453" s="93"/>
      <c r="BN453" s="93"/>
      <c r="BO453" s="93"/>
      <c r="BP453" s="93"/>
      <c r="BQ453" s="93"/>
      <c r="BR453" s="93"/>
      <c r="BS453" s="93"/>
      <c r="BT453" s="93"/>
      <c r="BU453" s="93"/>
      <c r="BV453" s="93"/>
      <c r="BW453" s="93"/>
      <c r="BX453" s="93"/>
      <c r="BY453" s="93"/>
      <c r="BZ453" s="93"/>
      <c r="CA453" s="93"/>
      <c r="CB453" s="93"/>
      <c r="CC453" s="93"/>
      <c r="CD453" s="93"/>
      <c r="CE453" s="93"/>
      <c r="CF453" s="93"/>
      <c r="CG453" s="93"/>
      <c r="CH453" s="93"/>
      <c r="CI453" s="93"/>
      <c r="CJ453" s="93"/>
      <c r="CK453" s="93"/>
      <c r="CL453" s="93"/>
      <c r="CM453" s="93"/>
    </row>
    <row r="454" spans="1:91" x14ac:dyDescent="0.2">
      <c r="A454" s="144"/>
      <c r="B454" s="144"/>
      <c r="C454" s="144"/>
      <c r="D454" s="144"/>
      <c r="E454" s="144"/>
      <c r="F454" s="144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S454" s="95"/>
      <c r="T454" s="95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  <c r="BI454" s="93"/>
      <c r="BJ454" s="93"/>
      <c r="BK454" s="93"/>
      <c r="BL454" s="93"/>
      <c r="BM454" s="93"/>
      <c r="BN454" s="93"/>
      <c r="BO454" s="93"/>
      <c r="BP454" s="93"/>
      <c r="BQ454" s="93"/>
      <c r="BR454" s="93"/>
      <c r="BS454" s="93"/>
      <c r="BT454" s="93"/>
      <c r="BU454" s="93"/>
      <c r="BV454" s="93"/>
      <c r="BW454" s="93"/>
      <c r="BX454" s="93"/>
      <c r="BY454" s="93"/>
      <c r="BZ454" s="93"/>
      <c r="CA454" s="93"/>
      <c r="CB454" s="93"/>
      <c r="CC454" s="93"/>
      <c r="CD454" s="93"/>
      <c r="CE454" s="93"/>
      <c r="CF454" s="93"/>
      <c r="CG454" s="93"/>
      <c r="CH454" s="93"/>
      <c r="CI454" s="93"/>
      <c r="CJ454" s="93"/>
      <c r="CK454" s="93"/>
      <c r="CL454" s="93"/>
      <c r="CM454" s="93"/>
    </row>
    <row r="455" spans="1:91" x14ac:dyDescent="0.2">
      <c r="A455" s="144"/>
      <c r="B455" s="144"/>
      <c r="C455" s="144"/>
      <c r="D455" s="144"/>
      <c r="E455" s="144"/>
      <c r="F455" s="144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S455" s="95"/>
      <c r="T455" s="95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  <c r="BI455" s="93"/>
      <c r="BJ455" s="93"/>
      <c r="BK455" s="93"/>
      <c r="BL455" s="93"/>
      <c r="BM455" s="93"/>
      <c r="BN455" s="93"/>
      <c r="BO455" s="93"/>
      <c r="BP455" s="93"/>
      <c r="BQ455" s="93"/>
      <c r="BR455" s="93"/>
      <c r="BS455" s="93"/>
      <c r="BT455" s="93"/>
      <c r="BU455" s="93"/>
      <c r="BV455" s="93"/>
      <c r="BW455" s="93"/>
      <c r="BX455" s="93"/>
      <c r="BY455" s="93"/>
      <c r="BZ455" s="93"/>
      <c r="CA455" s="93"/>
      <c r="CB455" s="93"/>
      <c r="CC455" s="93"/>
      <c r="CD455" s="93"/>
      <c r="CE455" s="93"/>
      <c r="CF455" s="93"/>
      <c r="CG455" s="93"/>
      <c r="CH455" s="93"/>
      <c r="CI455" s="93"/>
      <c r="CJ455" s="93"/>
      <c r="CK455" s="93"/>
      <c r="CL455" s="93"/>
      <c r="CM455" s="93"/>
    </row>
    <row r="456" spans="1:91" x14ac:dyDescent="0.2">
      <c r="A456" s="144"/>
      <c r="B456" s="144"/>
      <c r="C456" s="144"/>
      <c r="D456" s="144"/>
      <c r="E456" s="144"/>
      <c r="F456" s="144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S456" s="95"/>
      <c r="T456" s="95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  <c r="AZ456" s="93"/>
      <c r="BA456" s="93"/>
      <c r="BB456" s="93"/>
      <c r="BC456" s="93"/>
      <c r="BD456" s="93"/>
      <c r="BE456" s="93"/>
      <c r="BF456" s="93"/>
      <c r="BG456" s="93"/>
      <c r="BH456" s="93"/>
      <c r="BI456" s="93"/>
      <c r="BJ456" s="93"/>
      <c r="BK456" s="93"/>
      <c r="BL456" s="93"/>
      <c r="BM456" s="93"/>
      <c r="BN456" s="93"/>
      <c r="BO456" s="93"/>
      <c r="BP456" s="93"/>
      <c r="BQ456" s="93"/>
      <c r="BR456" s="93"/>
      <c r="BS456" s="93"/>
      <c r="BT456" s="93"/>
      <c r="BU456" s="93"/>
      <c r="BV456" s="93"/>
      <c r="BW456" s="93"/>
      <c r="BX456" s="93"/>
      <c r="BY456" s="93"/>
      <c r="BZ456" s="93"/>
      <c r="CA456" s="93"/>
      <c r="CB456" s="93"/>
      <c r="CC456" s="93"/>
      <c r="CD456" s="93"/>
      <c r="CE456" s="93"/>
      <c r="CF456" s="93"/>
      <c r="CG456" s="93"/>
      <c r="CH456" s="93"/>
      <c r="CI456" s="93"/>
      <c r="CJ456" s="93"/>
      <c r="CK456" s="93"/>
      <c r="CL456" s="93"/>
      <c r="CM456" s="93"/>
    </row>
    <row r="457" spans="1:91" x14ac:dyDescent="0.2">
      <c r="A457" s="144"/>
      <c r="B457" s="144"/>
      <c r="C457" s="144"/>
      <c r="D457" s="144"/>
      <c r="E457" s="144"/>
      <c r="F457" s="144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S457" s="95"/>
      <c r="T457" s="95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  <c r="AZ457" s="93"/>
      <c r="BA457" s="93"/>
      <c r="BB457" s="93"/>
      <c r="BC457" s="93"/>
      <c r="BD457" s="93"/>
      <c r="BE457" s="93"/>
      <c r="BF457" s="93"/>
      <c r="BG457" s="93"/>
      <c r="BH457" s="93"/>
      <c r="BI457" s="93"/>
      <c r="BJ457" s="93"/>
      <c r="BK457" s="93"/>
      <c r="BL457" s="93"/>
      <c r="BM457" s="93"/>
      <c r="BN457" s="93"/>
      <c r="BO457" s="93"/>
      <c r="BP457" s="93"/>
      <c r="BQ457" s="93"/>
      <c r="BR457" s="93"/>
      <c r="BS457" s="93"/>
      <c r="BT457" s="93"/>
      <c r="BU457" s="93"/>
      <c r="BV457" s="93"/>
      <c r="BW457" s="93"/>
      <c r="BX457" s="93"/>
      <c r="BY457" s="93"/>
      <c r="BZ457" s="93"/>
      <c r="CA457" s="93"/>
      <c r="CB457" s="93"/>
      <c r="CC457" s="93"/>
      <c r="CD457" s="93"/>
      <c r="CE457" s="93"/>
      <c r="CF457" s="93"/>
      <c r="CG457" s="93"/>
      <c r="CH457" s="93"/>
      <c r="CI457" s="93"/>
      <c r="CJ457" s="93"/>
      <c r="CK457" s="93"/>
      <c r="CL457" s="93"/>
      <c r="CM457" s="93"/>
    </row>
    <row r="458" spans="1:91" x14ac:dyDescent="0.2">
      <c r="A458" s="144"/>
      <c r="B458" s="144"/>
      <c r="C458" s="144"/>
      <c r="D458" s="144"/>
      <c r="E458" s="144"/>
      <c r="F458" s="144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S458" s="95"/>
      <c r="T458" s="95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  <c r="AZ458" s="93"/>
      <c r="BA458" s="93"/>
      <c r="BB458" s="93"/>
      <c r="BC458" s="93"/>
      <c r="BD458" s="93"/>
      <c r="BE458" s="93"/>
      <c r="BF458" s="93"/>
      <c r="BG458" s="93"/>
      <c r="BH458" s="93"/>
      <c r="BI458" s="93"/>
      <c r="BJ458" s="93"/>
      <c r="BK458" s="93"/>
      <c r="BL458" s="93"/>
      <c r="BM458" s="93"/>
      <c r="BN458" s="93"/>
      <c r="BO458" s="93"/>
      <c r="BP458" s="93"/>
      <c r="BQ458" s="93"/>
      <c r="BR458" s="93"/>
      <c r="BS458" s="93"/>
      <c r="BT458" s="93"/>
      <c r="BU458" s="93"/>
      <c r="BV458" s="93"/>
      <c r="BW458" s="93"/>
      <c r="BX458" s="93"/>
      <c r="BY458" s="93"/>
      <c r="BZ458" s="93"/>
      <c r="CA458" s="93"/>
      <c r="CB458" s="93"/>
      <c r="CC458" s="93"/>
      <c r="CD458" s="93"/>
      <c r="CE458" s="93"/>
      <c r="CF458" s="93"/>
      <c r="CG458" s="93"/>
      <c r="CH458" s="93"/>
      <c r="CI458" s="93"/>
      <c r="CJ458" s="93"/>
      <c r="CK458" s="93"/>
      <c r="CL458" s="93"/>
      <c r="CM458" s="93"/>
    </row>
    <row r="459" spans="1:91" x14ac:dyDescent="0.2">
      <c r="A459" s="144"/>
      <c r="B459" s="144"/>
      <c r="C459" s="144"/>
      <c r="D459" s="144"/>
      <c r="E459" s="144"/>
      <c r="F459" s="144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S459" s="95"/>
      <c r="T459" s="95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  <c r="AZ459" s="93"/>
      <c r="BA459" s="93"/>
      <c r="BB459" s="93"/>
      <c r="BC459" s="93"/>
      <c r="BD459" s="93"/>
      <c r="BE459" s="93"/>
      <c r="BF459" s="93"/>
      <c r="BG459" s="93"/>
      <c r="BH459" s="93"/>
      <c r="BI459" s="93"/>
      <c r="BJ459" s="93"/>
      <c r="BK459" s="93"/>
      <c r="BL459" s="93"/>
      <c r="BM459" s="93"/>
      <c r="BN459" s="93"/>
      <c r="BO459" s="93"/>
      <c r="BP459" s="93"/>
      <c r="BQ459" s="93"/>
      <c r="BR459" s="93"/>
      <c r="BS459" s="93"/>
      <c r="BT459" s="93"/>
      <c r="BU459" s="93"/>
      <c r="BV459" s="93"/>
      <c r="BW459" s="93"/>
      <c r="BX459" s="93"/>
      <c r="BY459" s="93"/>
      <c r="BZ459" s="93"/>
      <c r="CA459" s="93"/>
      <c r="CB459" s="93"/>
      <c r="CC459" s="93"/>
      <c r="CD459" s="93"/>
      <c r="CE459" s="93"/>
      <c r="CF459" s="93"/>
      <c r="CG459" s="93"/>
      <c r="CH459" s="93"/>
      <c r="CI459" s="93"/>
      <c r="CJ459" s="93"/>
      <c r="CK459" s="93"/>
      <c r="CL459" s="93"/>
      <c r="CM459" s="93"/>
    </row>
    <row r="460" spans="1:91" x14ac:dyDescent="0.2">
      <c r="A460" s="144"/>
      <c r="B460" s="144"/>
      <c r="C460" s="144"/>
      <c r="D460" s="144"/>
      <c r="E460" s="144"/>
      <c r="F460" s="144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S460" s="95"/>
      <c r="T460" s="95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  <c r="AZ460" s="93"/>
      <c r="BA460" s="93"/>
      <c r="BB460" s="93"/>
      <c r="BC460" s="93"/>
      <c r="BD460" s="93"/>
      <c r="BE460" s="93"/>
      <c r="BF460" s="93"/>
      <c r="BG460" s="93"/>
      <c r="BH460" s="93"/>
      <c r="BI460" s="93"/>
      <c r="BJ460" s="93"/>
      <c r="BK460" s="93"/>
      <c r="BL460" s="93"/>
      <c r="BM460" s="93"/>
      <c r="BN460" s="93"/>
      <c r="BO460" s="93"/>
      <c r="BP460" s="93"/>
      <c r="BQ460" s="93"/>
      <c r="BR460" s="93"/>
      <c r="BS460" s="93"/>
      <c r="BT460" s="93"/>
      <c r="BU460" s="93"/>
      <c r="BV460" s="93"/>
      <c r="BW460" s="93"/>
      <c r="BX460" s="93"/>
      <c r="BY460" s="93"/>
      <c r="BZ460" s="93"/>
      <c r="CA460" s="93"/>
      <c r="CB460" s="93"/>
      <c r="CC460" s="93"/>
      <c r="CD460" s="93"/>
      <c r="CE460" s="93"/>
      <c r="CF460" s="93"/>
      <c r="CG460" s="93"/>
      <c r="CH460" s="93"/>
      <c r="CI460" s="93"/>
      <c r="CJ460" s="93"/>
      <c r="CK460" s="93"/>
      <c r="CL460" s="93"/>
      <c r="CM460" s="93"/>
    </row>
    <row r="461" spans="1:91" x14ac:dyDescent="0.2">
      <c r="A461" s="144"/>
      <c r="B461" s="144"/>
      <c r="C461" s="144"/>
      <c r="D461" s="144"/>
      <c r="E461" s="144"/>
      <c r="F461" s="144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S461" s="95"/>
      <c r="T461" s="95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  <c r="AZ461" s="93"/>
      <c r="BA461" s="93"/>
      <c r="BB461" s="93"/>
      <c r="BC461" s="93"/>
      <c r="BD461" s="93"/>
      <c r="BE461" s="93"/>
      <c r="BF461" s="93"/>
      <c r="BG461" s="93"/>
      <c r="BH461" s="93"/>
      <c r="BI461" s="93"/>
      <c r="BJ461" s="93"/>
      <c r="BK461" s="93"/>
      <c r="BL461" s="93"/>
      <c r="BM461" s="93"/>
      <c r="BN461" s="93"/>
      <c r="BO461" s="93"/>
      <c r="BP461" s="93"/>
      <c r="BQ461" s="93"/>
      <c r="BR461" s="93"/>
      <c r="BS461" s="93"/>
      <c r="BT461" s="93"/>
      <c r="BU461" s="93"/>
      <c r="BV461" s="93"/>
      <c r="BW461" s="93"/>
      <c r="BX461" s="93"/>
      <c r="BY461" s="93"/>
      <c r="BZ461" s="93"/>
      <c r="CA461" s="93"/>
      <c r="CB461" s="93"/>
      <c r="CC461" s="93"/>
      <c r="CD461" s="93"/>
      <c r="CE461" s="93"/>
      <c r="CF461" s="93"/>
      <c r="CG461" s="93"/>
      <c r="CH461" s="93"/>
      <c r="CI461" s="93"/>
      <c r="CJ461" s="93"/>
      <c r="CK461" s="93"/>
      <c r="CL461" s="93"/>
      <c r="CM461" s="93"/>
    </row>
    <row r="462" spans="1:91" x14ac:dyDescent="0.2">
      <c r="A462" s="144"/>
      <c r="B462" s="144"/>
      <c r="C462" s="144"/>
      <c r="D462" s="144"/>
      <c r="E462" s="144"/>
      <c r="F462" s="144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S462" s="95"/>
      <c r="T462" s="95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  <c r="AZ462" s="93"/>
      <c r="BA462" s="93"/>
      <c r="BB462" s="93"/>
      <c r="BC462" s="93"/>
      <c r="BD462" s="93"/>
      <c r="BE462" s="93"/>
      <c r="BF462" s="93"/>
      <c r="BG462" s="93"/>
      <c r="BH462" s="93"/>
      <c r="BI462" s="93"/>
      <c r="BJ462" s="93"/>
      <c r="BK462" s="93"/>
      <c r="BL462" s="93"/>
      <c r="BM462" s="93"/>
      <c r="BN462" s="93"/>
      <c r="BO462" s="93"/>
      <c r="BP462" s="93"/>
      <c r="BQ462" s="93"/>
      <c r="BR462" s="93"/>
      <c r="BS462" s="93"/>
      <c r="BT462" s="93"/>
      <c r="BU462" s="93"/>
      <c r="BV462" s="93"/>
      <c r="BW462" s="93"/>
      <c r="BX462" s="93"/>
      <c r="BY462" s="93"/>
      <c r="BZ462" s="93"/>
      <c r="CA462" s="93"/>
      <c r="CB462" s="93"/>
      <c r="CC462" s="93"/>
      <c r="CD462" s="93"/>
      <c r="CE462" s="93"/>
      <c r="CF462" s="93"/>
      <c r="CG462" s="93"/>
      <c r="CH462" s="93"/>
      <c r="CI462" s="93"/>
      <c r="CJ462" s="93"/>
      <c r="CK462" s="93"/>
      <c r="CL462" s="93"/>
      <c r="CM462" s="93"/>
    </row>
    <row r="463" spans="1:91" x14ac:dyDescent="0.2">
      <c r="A463" s="144"/>
      <c r="B463" s="144"/>
      <c r="C463" s="144"/>
      <c r="D463" s="144"/>
      <c r="E463" s="144"/>
      <c r="F463" s="144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S463" s="95"/>
      <c r="T463" s="95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  <c r="AZ463" s="93"/>
      <c r="BA463" s="93"/>
      <c r="BB463" s="93"/>
      <c r="BC463" s="93"/>
      <c r="BD463" s="93"/>
      <c r="BE463" s="93"/>
      <c r="BF463" s="93"/>
      <c r="BG463" s="93"/>
      <c r="BH463" s="93"/>
      <c r="BI463" s="93"/>
      <c r="BJ463" s="93"/>
      <c r="BK463" s="93"/>
      <c r="BL463" s="93"/>
      <c r="BM463" s="93"/>
      <c r="BN463" s="93"/>
      <c r="BO463" s="93"/>
      <c r="BP463" s="93"/>
      <c r="BQ463" s="93"/>
      <c r="BR463" s="93"/>
      <c r="BS463" s="93"/>
      <c r="BT463" s="93"/>
      <c r="BU463" s="93"/>
      <c r="BV463" s="93"/>
      <c r="BW463" s="93"/>
      <c r="BX463" s="93"/>
      <c r="BY463" s="93"/>
      <c r="BZ463" s="93"/>
      <c r="CA463" s="93"/>
      <c r="CB463" s="93"/>
      <c r="CC463" s="93"/>
      <c r="CD463" s="93"/>
      <c r="CE463" s="93"/>
      <c r="CF463" s="93"/>
      <c r="CG463" s="93"/>
      <c r="CH463" s="93"/>
      <c r="CI463" s="93"/>
      <c r="CJ463" s="93"/>
      <c r="CK463" s="93"/>
      <c r="CL463" s="93"/>
      <c r="CM463" s="93"/>
    </row>
    <row r="464" spans="1:91" x14ac:dyDescent="0.2">
      <c r="A464" s="144"/>
      <c r="B464" s="144"/>
      <c r="C464" s="144"/>
      <c r="D464" s="144"/>
      <c r="E464" s="144"/>
      <c r="F464" s="144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S464" s="95"/>
      <c r="T464" s="95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  <c r="AZ464" s="93"/>
      <c r="BA464" s="93"/>
      <c r="BB464" s="93"/>
      <c r="BC464" s="93"/>
      <c r="BD464" s="93"/>
      <c r="BE464" s="93"/>
      <c r="BF464" s="93"/>
      <c r="BG464" s="93"/>
      <c r="BH464" s="93"/>
      <c r="BI464" s="93"/>
      <c r="BJ464" s="93"/>
      <c r="BK464" s="93"/>
      <c r="BL464" s="93"/>
      <c r="BM464" s="93"/>
      <c r="BN464" s="93"/>
      <c r="BO464" s="93"/>
      <c r="BP464" s="93"/>
      <c r="BQ464" s="93"/>
      <c r="BR464" s="93"/>
      <c r="BS464" s="93"/>
      <c r="BT464" s="93"/>
      <c r="BU464" s="93"/>
      <c r="BV464" s="93"/>
      <c r="BW464" s="93"/>
      <c r="BX464" s="93"/>
      <c r="BY464" s="93"/>
      <c r="BZ464" s="93"/>
      <c r="CA464" s="93"/>
      <c r="CB464" s="93"/>
      <c r="CC464" s="93"/>
      <c r="CD464" s="93"/>
      <c r="CE464" s="93"/>
      <c r="CF464" s="93"/>
      <c r="CG464" s="93"/>
      <c r="CH464" s="93"/>
      <c r="CI464" s="93"/>
      <c r="CJ464" s="93"/>
      <c r="CK464" s="93"/>
      <c r="CL464" s="93"/>
      <c r="CM464" s="93"/>
    </row>
    <row r="465" spans="1:91" x14ac:dyDescent="0.2">
      <c r="A465" s="144"/>
      <c r="B465" s="144"/>
      <c r="C465" s="144"/>
      <c r="D465" s="144"/>
      <c r="E465" s="144"/>
      <c r="F465" s="144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S465" s="95"/>
      <c r="T465" s="95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  <c r="AZ465" s="93"/>
      <c r="BA465" s="93"/>
      <c r="BB465" s="93"/>
      <c r="BC465" s="93"/>
      <c r="BD465" s="93"/>
      <c r="BE465" s="93"/>
      <c r="BF465" s="93"/>
      <c r="BG465" s="93"/>
      <c r="BH465" s="93"/>
      <c r="BI465" s="93"/>
      <c r="BJ465" s="93"/>
      <c r="BK465" s="93"/>
      <c r="BL465" s="93"/>
      <c r="BM465" s="93"/>
      <c r="BN465" s="93"/>
      <c r="BO465" s="93"/>
      <c r="BP465" s="93"/>
      <c r="BQ465" s="93"/>
      <c r="BR465" s="93"/>
      <c r="BS465" s="93"/>
      <c r="BT465" s="93"/>
      <c r="BU465" s="93"/>
      <c r="BV465" s="93"/>
      <c r="BW465" s="93"/>
      <c r="BX465" s="93"/>
      <c r="BY465" s="93"/>
      <c r="BZ465" s="93"/>
      <c r="CA465" s="93"/>
      <c r="CB465" s="93"/>
      <c r="CC465" s="93"/>
      <c r="CD465" s="93"/>
      <c r="CE465" s="93"/>
      <c r="CF465" s="93"/>
      <c r="CG465" s="93"/>
      <c r="CH465" s="93"/>
      <c r="CI465" s="93"/>
      <c r="CJ465" s="93"/>
      <c r="CK465" s="93"/>
      <c r="CL465" s="93"/>
      <c r="CM465" s="93"/>
    </row>
    <row r="466" spans="1:91" x14ac:dyDescent="0.2">
      <c r="A466" s="144"/>
      <c r="B466" s="144"/>
      <c r="C466" s="144"/>
      <c r="D466" s="144"/>
      <c r="E466" s="144"/>
      <c r="F466" s="144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S466" s="95"/>
      <c r="T466" s="95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  <c r="AZ466" s="93"/>
      <c r="BA466" s="93"/>
      <c r="BB466" s="93"/>
      <c r="BC466" s="93"/>
      <c r="BD466" s="93"/>
      <c r="BE466" s="93"/>
      <c r="BF466" s="93"/>
      <c r="BG466" s="93"/>
      <c r="BH466" s="93"/>
      <c r="BI466" s="93"/>
      <c r="BJ466" s="93"/>
      <c r="BK466" s="93"/>
      <c r="BL466" s="93"/>
      <c r="BM466" s="93"/>
      <c r="BN466" s="93"/>
      <c r="BO466" s="93"/>
      <c r="BP466" s="93"/>
      <c r="BQ466" s="93"/>
      <c r="BR466" s="93"/>
      <c r="BS466" s="93"/>
      <c r="BT466" s="93"/>
      <c r="BU466" s="93"/>
      <c r="BV466" s="93"/>
      <c r="BW466" s="93"/>
      <c r="BX466" s="93"/>
      <c r="BY466" s="93"/>
      <c r="BZ466" s="93"/>
      <c r="CA466" s="93"/>
      <c r="CB466" s="93"/>
      <c r="CC466" s="93"/>
      <c r="CD466" s="93"/>
      <c r="CE466" s="93"/>
      <c r="CF466" s="93"/>
      <c r="CG466" s="93"/>
      <c r="CH466" s="93"/>
      <c r="CI466" s="93"/>
      <c r="CJ466" s="93"/>
      <c r="CK466" s="93"/>
      <c r="CL466" s="93"/>
      <c r="CM466" s="93"/>
    </row>
    <row r="467" spans="1:91" x14ac:dyDescent="0.2">
      <c r="A467" s="144"/>
      <c r="B467" s="144"/>
      <c r="C467" s="144"/>
      <c r="D467" s="144"/>
      <c r="E467" s="144"/>
      <c r="F467" s="144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S467" s="95"/>
      <c r="T467" s="95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  <c r="AZ467" s="93"/>
      <c r="BA467" s="93"/>
      <c r="BB467" s="93"/>
      <c r="BC467" s="93"/>
      <c r="BD467" s="93"/>
      <c r="BE467" s="93"/>
      <c r="BF467" s="93"/>
      <c r="BG467" s="93"/>
      <c r="BH467" s="93"/>
      <c r="BI467" s="93"/>
      <c r="BJ467" s="93"/>
      <c r="BK467" s="93"/>
      <c r="BL467" s="93"/>
      <c r="BM467" s="93"/>
      <c r="BN467" s="93"/>
      <c r="BO467" s="93"/>
      <c r="BP467" s="93"/>
      <c r="BQ467" s="93"/>
      <c r="BR467" s="93"/>
      <c r="BS467" s="93"/>
      <c r="BT467" s="93"/>
      <c r="BU467" s="93"/>
      <c r="BV467" s="93"/>
      <c r="BW467" s="93"/>
      <c r="BX467" s="93"/>
      <c r="BY467" s="93"/>
      <c r="BZ467" s="93"/>
      <c r="CA467" s="93"/>
      <c r="CB467" s="93"/>
      <c r="CC467" s="93"/>
      <c r="CD467" s="93"/>
      <c r="CE467" s="93"/>
      <c r="CF467" s="93"/>
      <c r="CG467" s="93"/>
      <c r="CH467" s="93"/>
      <c r="CI467" s="93"/>
      <c r="CJ467" s="93"/>
      <c r="CK467" s="93"/>
      <c r="CL467" s="93"/>
      <c r="CM467" s="93"/>
    </row>
    <row r="468" spans="1:91" x14ac:dyDescent="0.2">
      <c r="A468" s="144"/>
      <c r="B468" s="144"/>
      <c r="C468" s="144"/>
      <c r="D468" s="144"/>
      <c r="E468" s="144"/>
      <c r="F468" s="144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S468" s="95"/>
      <c r="T468" s="95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  <c r="AZ468" s="93"/>
      <c r="BA468" s="93"/>
      <c r="BB468" s="93"/>
      <c r="BC468" s="93"/>
      <c r="BD468" s="93"/>
      <c r="BE468" s="93"/>
      <c r="BF468" s="93"/>
      <c r="BG468" s="93"/>
      <c r="BH468" s="93"/>
      <c r="BI468" s="93"/>
      <c r="BJ468" s="93"/>
      <c r="BK468" s="93"/>
      <c r="BL468" s="93"/>
      <c r="BM468" s="93"/>
      <c r="BN468" s="93"/>
      <c r="BO468" s="93"/>
      <c r="BP468" s="93"/>
      <c r="BQ468" s="93"/>
      <c r="BR468" s="93"/>
      <c r="BS468" s="93"/>
      <c r="BT468" s="93"/>
      <c r="BU468" s="93"/>
      <c r="BV468" s="93"/>
      <c r="BW468" s="93"/>
      <c r="BX468" s="93"/>
      <c r="BY468" s="93"/>
      <c r="BZ468" s="93"/>
      <c r="CA468" s="93"/>
      <c r="CB468" s="93"/>
      <c r="CC468" s="93"/>
      <c r="CD468" s="93"/>
      <c r="CE468" s="93"/>
      <c r="CF468" s="93"/>
      <c r="CG468" s="93"/>
      <c r="CH468" s="93"/>
      <c r="CI468" s="93"/>
      <c r="CJ468" s="93"/>
      <c r="CK468" s="93"/>
      <c r="CL468" s="93"/>
      <c r="CM468" s="93"/>
    </row>
    <row r="469" spans="1:91" x14ac:dyDescent="0.2">
      <c r="A469" s="144"/>
      <c r="B469" s="144"/>
      <c r="C469" s="144"/>
      <c r="D469" s="144"/>
      <c r="E469" s="144"/>
      <c r="F469" s="144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S469" s="95"/>
      <c r="T469" s="95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93"/>
      <c r="BI469" s="93"/>
      <c r="BJ469" s="93"/>
      <c r="BK469" s="93"/>
      <c r="BL469" s="93"/>
      <c r="BM469" s="93"/>
      <c r="BN469" s="93"/>
      <c r="BO469" s="93"/>
      <c r="BP469" s="93"/>
      <c r="BQ469" s="93"/>
      <c r="BR469" s="93"/>
      <c r="BS469" s="93"/>
      <c r="BT469" s="93"/>
      <c r="BU469" s="93"/>
      <c r="BV469" s="93"/>
      <c r="BW469" s="93"/>
      <c r="BX469" s="93"/>
      <c r="BY469" s="93"/>
      <c r="BZ469" s="93"/>
      <c r="CA469" s="93"/>
      <c r="CB469" s="93"/>
      <c r="CC469" s="93"/>
      <c r="CD469" s="93"/>
      <c r="CE469" s="93"/>
      <c r="CF469" s="93"/>
      <c r="CG469" s="93"/>
      <c r="CH469" s="93"/>
      <c r="CI469" s="93"/>
      <c r="CJ469" s="93"/>
      <c r="CK469" s="93"/>
      <c r="CL469" s="93"/>
      <c r="CM469" s="93"/>
    </row>
    <row r="470" spans="1:91" x14ac:dyDescent="0.2">
      <c r="A470" s="144"/>
      <c r="B470" s="144"/>
      <c r="C470" s="144"/>
      <c r="D470" s="144"/>
      <c r="E470" s="144"/>
      <c r="F470" s="144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S470" s="95"/>
      <c r="T470" s="95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  <c r="AZ470" s="93"/>
      <c r="BA470" s="93"/>
      <c r="BB470" s="93"/>
      <c r="BC470" s="93"/>
      <c r="BD470" s="93"/>
      <c r="BE470" s="93"/>
      <c r="BF470" s="93"/>
      <c r="BG470" s="93"/>
      <c r="BH470" s="93"/>
      <c r="BI470" s="93"/>
      <c r="BJ470" s="93"/>
      <c r="BK470" s="93"/>
      <c r="BL470" s="93"/>
      <c r="BM470" s="93"/>
      <c r="BN470" s="93"/>
      <c r="BO470" s="93"/>
      <c r="BP470" s="93"/>
      <c r="BQ470" s="93"/>
      <c r="BR470" s="93"/>
      <c r="BS470" s="93"/>
      <c r="BT470" s="93"/>
      <c r="BU470" s="93"/>
      <c r="BV470" s="93"/>
      <c r="BW470" s="93"/>
      <c r="BX470" s="93"/>
      <c r="BY470" s="93"/>
      <c r="BZ470" s="93"/>
      <c r="CA470" s="93"/>
      <c r="CB470" s="93"/>
      <c r="CC470" s="93"/>
      <c r="CD470" s="93"/>
      <c r="CE470" s="93"/>
      <c r="CF470" s="93"/>
      <c r="CG470" s="93"/>
      <c r="CH470" s="93"/>
      <c r="CI470" s="93"/>
      <c r="CJ470" s="93"/>
      <c r="CK470" s="93"/>
      <c r="CL470" s="93"/>
      <c r="CM470" s="93"/>
    </row>
    <row r="471" spans="1:91" x14ac:dyDescent="0.2">
      <c r="A471" s="144"/>
      <c r="B471" s="144"/>
      <c r="C471" s="144"/>
      <c r="D471" s="144"/>
      <c r="E471" s="144"/>
      <c r="F471" s="144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S471" s="95"/>
      <c r="T471" s="95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  <c r="AZ471" s="93"/>
      <c r="BA471" s="93"/>
      <c r="BB471" s="93"/>
      <c r="BC471" s="93"/>
      <c r="BD471" s="93"/>
      <c r="BE471" s="93"/>
      <c r="BF471" s="93"/>
      <c r="BG471" s="93"/>
      <c r="BH471" s="93"/>
      <c r="BI471" s="93"/>
      <c r="BJ471" s="93"/>
      <c r="BK471" s="93"/>
      <c r="BL471" s="93"/>
      <c r="BM471" s="93"/>
      <c r="BN471" s="93"/>
      <c r="BO471" s="93"/>
      <c r="BP471" s="93"/>
      <c r="BQ471" s="93"/>
      <c r="BR471" s="93"/>
      <c r="BS471" s="93"/>
      <c r="BT471" s="93"/>
      <c r="BU471" s="93"/>
      <c r="BV471" s="93"/>
      <c r="BW471" s="93"/>
      <c r="BX471" s="93"/>
      <c r="BY471" s="93"/>
      <c r="BZ471" s="93"/>
      <c r="CA471" s="93"/>
      <c r="CB471" s="93"/>
      <c r="CC471" s="93"/>
      <c r="CD471" s="93"/>
      <c r="CE471" s="93"/>
      <c r="CF471" s="93"/>
      <c r="CG471" s="93"/>
      <c r="CH471" s="93"/>
      <c r="CI471" s="93"/>
      <c r="CJ471" s="93"/>
      <c r="CK471" s="93"/>
      <c r="CL471" s="93"/>
      <c r="CM471" s="93"/>
    </row>
    <row r="472" spans="1:91" x14ac:dyDescent="0.2">
      <c r="A472" s="144"/>
      <c r="B472" s="144"/>
      <c r="C472" s="144"/>
      <c r="D472" s="144"/>
      <c r="E472" s="144"/>
      <c r="F472" s="144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S472" s="95"/>
      <c r="T472" s="95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  <c r="AZ472" s="93"/>
      <c r="BA472" s="93"/>
      <c r="BB472" s="93"/>
      <c r="BC472" s="93"/>
      <c r="BD472" s="93"/>
      <c r="BE472" s="93"/>
      <c r="BF472" s="93"/>
      <c r="BG472" s="93"/>
      <c r="BH472" s="93"/>
      <c r="BI472" s="93"/>
      <c r="BJ472" s="93"/>
      <c r="BK472" s="93"/>
      <c r="BL472" s="93"/>
      <c r="BM472" s="93"/>
      <c r="BN472" s="93"/>
      <c r="BO472" s="93"/>
      <c r="BP472" s="93"/>
      <c r="BQ472" s="93"/>
      <c r="BR472" s="93"/>
      <c r="BS472" s="93"/>
      <c r="BT472" s="93"/>
      <c r="BU472" s="93"/>
      <c r="BV472" s="93"/>
      <c r="BW472" s="93"/>
      <c r="BX472" s="93"/>
      <c r="BY472" s="93"/>
      <c r="BZ472" s="93"/>
      <c r="CA472" s="93"/>
      <c r="CB472" s="93"/>
      <c r="CC472" s="93"/>
      <c r="CD472" s="93"/>
      <c r="CE472" s="93"/>
      <c r="CF472" s="93"/>
      <c r="CG472" s="93"/>
      <c r="CH472" s="93"/>
      <c r="CI472" s="93"/>
      <c r="CJ472" s="93"/>
      <c r="CK472" s="93"/>
      <c r="CL472" s="93"/>
      <c r="CM472" s="93"/>
    </row>
    <row r="473" spans="1:91" x14ac:dyDescent="0.2">
      <c r="A473" s="144"/>
      <c r="B473" s="144"/>
      <c r="C473" s="144"/>
      <c r="D473" s="144"/>
      <c r="E473" s="144"/>
      <c r="F473" s="144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S473" s="95"/>
      <c r="T473" s="95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  <c r="AZ473" s="93"/>
      <c r="BA473" s="93"/>
      <c r="BB473" s="93"/>
      <c r="BC473" s="93"/>
      <c r="BD473" s="93"/>
      <c r="BE473" s="93"/>
      <c r="BF473" s="93"/>
      <c r="BG473" s="93"/>
      <c r="BH473" s="93"/>
      <c r="BI473" s="93"/>
      <c r="BJ473" s="93"/>
      <c r="BK473" s="93"/>
      <c r="BL473" s="93"/>
      <c r="BM473" s="93"/>
      <c r="BN473" s="93"/>
      <c r="BO473" s="93"/>
      <c r="BP473" s="93"/>
      <c r="BQ473" s="93"/>
      <c r="BR473" s="93"/>
      <c r="BS473" s="93"/>
      <c r="BT473" s="93"/>
      <c r="BU473" s="93"/>
      <c r="BV473" s="93"/>
      <c r="BW473" s="93"/>
      <c r="BX473" s="93"/>
      <c r="BY473" s="93"/>
      <c r="BZ473" s="93"/>
      <c r="CA473" s="93"/>
      <c r="CB473" s="93"/>
      <c r="CC473" s="93"/>
      <c r="CD473" s="93"/>
      <c r="CE473" s="93"/>
      <c r="CF473" s="93"/>
      <c r="CG473" s="93"/>
      <c r="CH473" s="93"/>
      <c r="CI473" s="93"/>
      <c r="CJ473" s="93"/>
      <c r="CK473" s="93"/>
      <c r="CL473" s="93"/>
      <c r="CM473" s="93"/>
    </row>
    <row r="474" spans="1:91" x14ac:dyDescent="0.2">
      <c r="A474" s="144"/>
      <c r="B474" s="144"/>
      <c r="C474" s="144"/>
      <c r="D474" s="144"/>
      <c r="E474" s="144"/>
      <c r="F474" s="144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S474" s="95"/>
      <c r="T474" s="95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93"/>
      <c r="BI474" s="93"/>
      <c r="BJ474" s="93"/>
      <c r="BK474" s="93"/>
      <c r="BL474" s="93"/>
      <c r="BM474" s="93"/>
      <c r="BN474" s="93"/>
      <c r="BO474" s="93"/>
      <c r="BP474" s="93"/>
      <c r="BQ474" s="93"/>
      <c r="BR474" s="93"/>
      <c r="BS474" s="93"/>
      <c r="BT474" s="93"/>
      <c r="BU474" s="93"/>
      <c r="BV474" s="93"/>
      <c r="BW474" s="93"/>
      <c r="BX474" s="93"/>
      <c r="BY474" s="93"/>
      <c r="BZ474" s="93"/>
      <c r="CA474" s="93"/>
      <c r="CB474" s="93"/>
      <c r="CC474" s="93"/>
      <c r="CD474" s="93"/>
      <c r="CE474" s="93"/>
      <c r="CF474" s="93"/>
      <c r="CG474" s="93"/>
      <c r="CH474" s="93"/>
      <c r="CI474" s="93"/>
      <c r="CJ474" s="93"/>
      <c r="CK474" s="93"/>
      <c r="CL474" s="93"/>
      <c r="CM474" s="93"/>
    </row>
    <row r="475" spans="1:91" x14ac:dyDescent="0.2">
      <c r="A475" s="144"/>
      <c r="B475" s="144"/>
      <c r="C475" s="144"/>
      <c r="D475" s="144"/>
      <c r="E475" s="144"/>
      <c r="F475" s="144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S475" s="95"/>
      <c r="T475" s="95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  <c r="AZ475" s="93"/>
      <c r="BA475" s="93"/>
      <c r="BB475" s="93"/>
      <c r="BC475" s="93"/>
      <c r="BD475" s="93"/>
      <c r="BE475" s="93"/>
      <c r="BF475" s="93"/>
      <c r="BG475" s="93"/>
      <c r="BH475" s="93"/>
      <c r="BI475" s="93"/>
      <c r="BJ475" s="93"/>
      <c r="BK475" s="93"/>
      <c r="BL475" s="93"/>
      <c r="BM475" s="93"/>
      <c r="BN475" s="93"/>
      <c r="BO475" s="93"/>
      <c r="BP475" s="93"/>
      <c r="BQ475" s="93"/>
      <c r="BR475" s="93"/>
      <c r="BS475" s="93"/>
      <c r="BT475" s="93"/>
      <c r="BU475" s="93"/>
      <c r="BV475" s="93"/>
      <c r="BW475" s="93"/>
      <c r="BX475" s="93"/>
      <c r="BY475" s="93"/>
      <c r="BZ475" s="93"/>
      <c r="CA475" s="93"/>
      <c r="CB475" s="93"/>
      <c r="CC475" s="93"/>
      <c r="CD475" s="93"/>
      <c r="CE475" s="93"/>
      <c r="CF475" s="93"/>
      <c r="CG475" s="93"/>
      <c r="CH475" s="93"/>
      <c r="CI475" s="93"/>
      <c r="CJ475" s="93"/>
      <c r="CK475" s="93"/>
      <c r="CL475" s="93"/>
      <c r="CM475" s="93"/>
    </row>
    <row r="476" spans="1:91" x14ac:dyDescent="0.2">
      <c r="A476" s="144"/>
      <c r="B476" s="144"/>
      <c r="C476" s="144"/>
      <c r="D476" s="144"/>
      <c r="E476" s="144"/>
      <c r="F476" s="144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S476" s="95"/>
      <c r="T476" s="95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3"/>
      <c r="BF476" s="93"/>
      <c r="BG476" s="93"/>
      <c r="BH476" s="93"/>
      <c r="BI476" s="93"/>
      <c r="BJ476" s="93"/>
      <c r="BK476" s="93"/>
      <c r="BL476" s="93"/>
      <c r="BM476" s="93"/>
      <c r="BN476" s="93"/>
      <c r="BO476" s="93"/>
      <c r="BP476" s="93"/>
      <c r="BQ476" s="93"/>
      <c r="BR476" s="93"/>
      <c r="BS476" s="93"/>
      <c r="BT476" s="93"/>
      <c r="BU476" s="93"/>
      <c r="BV476" s="93"/>
      <c r="BW476" s="93"/>
      <c r="BX476" s="93"/>
      <c r="BY476" s="93"/>
      <c r="BZ476" s="93"/>
      <c r="CA476" s="93"/>
      <c r="CB476" s="93"/>
      <c r="CC476" s="93"/>
      <c r="CD476" s="93"/>
      <c r="CE476" s="93"/>
      <c r="CF476" s="93"/>
      <c r="CG476" s="93"/>
      <c r="CH476" s="93"/>
      <c r="CI476" s="93"/>
      <c r="CJ476" s="93"/>
      <c r="CK476" s="93"/>
      <c r="CL476" s="93"/>
      <c r="CM476" s="93"/>
    </row>
    <row r="477" spans="1:91" x14ac:dyDescent="0.2">
      <c r="A477" s="144"/>
      <c r="B477" s="144"/>
      <c r="C477" s="144"/>
      <c r="D477" s="144"/>
      <c r="E477" s="144"/>
      <c r="F477" s="144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S477" s="95"/>
      <c r="T477" s="95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  <c r="AZ477" s="93"/>
      <c r="BA477" s="93"/>
      <c r="BB477" s="93"/>
      <c r="BC477" s="93"/>
      <c r="BD477" s="93"/>
      <c r="BE477" s="93"/>
      <c r="BF477" s="93"/>
      <c r="BG477" s="93"/>
      <c r="BH477" s="93"/>
      <c r="BI477" s="93"/>
      <c r="BJ477" s="93"/>
      <c r="BK477" s="93"/>
      <c r="BL477" s="93"/>
      <c r="BM477" s="93"/>
      <c r="BN477" s="93"/>
      <c r="BO477" s="93"/>
      <c r="BP477" s="93"/>
      <c r="BQ477" s="93"/>
      <c r="BR477" s="93"/>
      <c r="BS477" s="93"/>
      <c r="BT477" s="93"/>
      <c r="BU477" s="93"/>
      <c r="BV477" s="93"/>
      <c r="BW477" s="93"/>
      <c r="BX477" s="93"/>
      <c r="BY477" s="93"/>
      <c r="BZ477" s="93"/>
      <c r="CA477" s="93"/>
      <c r="CB477" s="93"/>
      <c r="CC477" s="93"/>
      <c r="CD477" s="93"/>
      <c r="CE477" s="93"/>
      <c r="CF477" s="93"/>
      <c r="CG477" s="93"/>
      <c r="CH477" s="93"/>
      <c r="CI477" s="93"/>
      <c r="CJ477" s="93"/>
      <c r="CK477" s="93"/>
      <c r="CL477" s="93"/>
      <c r="CM477" s="93"/>
    </row>
    <row r="478" spans="1:91" x14ac:dyDescent="0.2">
      <c r="A478" s="144"/>
      <c r="B478" s="144"/>
      <c r="C478" s="144"/>
      <c r="D478" s="144"/>
      <c r="E478" s="144"/>
      <c r="F478" s="144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S478" s="95"/>
      <c r="T478" s="95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  <c r="AZ478" s="93"/>
      <c r="BA478" s="93"/>
      <c r="BB478" s="93"/>
      <c r="BC478" s="93"/>
      <c r="BD478" s="93"/>
      <c r="BE478" s="93"/>
      <c r="BF478" s="93"/>
      <c r="BG478" s="93"/>
      <c r="BH478" s="93"/>
      <c r="BI478" s="93"/>
      <c r="BJ478" s="93"/>
      <c r="BK478" s="93"/>
      <c r="BL478" s="93"/>
      <c r="BM478" s="93"/>
      <c r="BN478" s="93"/>
      <c r="BO478" s="93"/>
      <c r="BP478" s="93"/>
      <c r="BQ478" s="93"/>
      <c r="BR478" s="93"/>
      <c r="BS478" s="93"/>
      <c r="BT478" s="93"/>
      <c r="BU478" s="93"/>
      <c r="BV478" s="93"/>
      <c r="BW478" s="93"/>
      <c r="BX478" s="93"/>
      <c r="BY478" s="93"/>
      <c r="BZ478" s="93"/>
      <c r="CA478" s="93"/>
      <c r="CB478" s="93"/>
      <c r="CC478" s="93"/>
      <c r="CD478" s="93"/>
      <c r="CE478" s="93"/>
      <c r="CF478" s="93"/>
      <c r="CG478" s="93"/>
      <c r="CH478" s="93"/>
      <c r="CI478" s="93"/>
      <c r="CJ478" s="93"/>
      <c r="CK478" s="93"/>
      <c r="CL478" s="93"/>
      <c r="CM478" s="93"/>
    </row>
    <row r="479" spans="1:91" x14ac:dyDescent="0.2">
      <c r="A479" s="144"/>
      <c r="B479" s="144"/>
      <c r="C479" s="144"/>
      <c r="D479" s="144"/>
      <c r="E479" s="144"/>
      <c r="F479" s="144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S479" s="95"/>
      <c r="T479" s="95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3"/>
      <c r="BF479" s="93"/>
      <c r="BG479" s="93"/>
      <c r="BH479" s="93"/>
      <c r="BI479" s="93"/>
      <c r="BJ479" s="93"/>
      <c r="BK479" s="93"/>
      <c r="BL479" s="93"/>
      <c r="BM479" s="93"/>
      <c r="BN479" s="93"/>
      <c r="BO479" s="93"/>
      <c r="BP479" s="93"/>
      <c r="BQ479" s="93"/>
      <c r="BR479" s="93"/>
      <c r="BS479" s="93"/>
      <c r="BT479" s="93"/>
      <c r="BU479" s="93"/>
      <c r="BV479" s="93"/>
      <c r="BW479" s="93"/>
      <c r="BX479" s="93"/>
      <c r="BY479" s="93"/>
      <c r="BZ479" s="93"/>
      <c r="CA479" s="93"/>
      <c r="CB479" s="93"/>
      <c r="CC479" s="93"/>
      <c r="CD479" s="93"/>
      <c r="CE479" s="93"/>
      <c r="CF479" s="93"/>
      <c r="CG479" s="93"/>
      <c r="CH479" s="93"/>
      <c r="CI479" s="93"/>
      <c r="CJ479" s="93"/>
      <c r="CK479" s="93"/>
      <c r="CL479" s="93"/>
      <c r="CM479" s="93"/>
    </row>
    <row r="480" spans="1:91" x14ac:dyDescent="0.2">
      <c r="A480" s="144"/>
      <c r="B480" s="144"/>
      <c r="C480" s="144"/>
      <c r="D480" s="144"/>
      <c r="E480" s="144"/>
      <c r="F480" s="144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S480" s="95"/>
      <c r="T480" s="95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  <c r="AZ480" s="93"/>
      <c r="BA480" s="93"/>
      <c r="BB480" s="93"/>
      <c r="BC480" s="93"/>
      <c r="BD480" s="93"/>
      <c r="BE480" s="93"/>
      <c r="BF480" s="93"/>
      <c r="BG480" s="93"/>
      <c r="BH480" s="93"/>
      <c r="BI480" s="93"/>
      <c r="BJ480" s="93"/>
      <c r="BK480" s="93"/>
      <c r="BL480" s="93"/>
      <c r="BM480" s="93"/>
      <c r="BN480" s="93"/>
      <c r="BO480" s="93"/>
      <c r="BP480" s="93"/>
      <c r="BQ480" s="93"/>
      <c r="BR480" s="93"/>
      <c r="BS480" s="93"/>
      <c r="BT480" s="93"/>
      <c r="BU480" s="93"/>
      <c r="BV480" s="93"/>
      <c r="BW480" s="93"/>
      <c r="BX480" s="93"/>
      <c r="BY480" s="93"/>
      <c r="BZ480" s="93"/>
      <c r="CA480" s="93"/>
      <c r="CB480" s="93"/>
      <c r="CC480" s="93"/>
      <c r="CD480" s="93"/>
      <c r="CE480" s="93"/>
      <c r="CF480" s="93"/>
      <c r="CG480" s="93"/>
      <c r="CH480" s="93"/>
      <c r="CI480" s="93"/>
      <c r="CJ480" s="93"/>
      <c r="CK480" s="93"/>
      <c r="CL480" s="93"/>
      <c r="CM480" s="93"/>
    </row>
    <row r="481" spans="1:91" x14ac:dyDescent="0.2">
      <c r="A481" s="144"/>
      <c r="B481" s="144"/>
      <c r="C481" s="144"/>
      <c r="D481" s="144"/>
      <c r="E481" s="144"/>
      <c r="F481" s="144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S481" s="95"/>
      <c r="T481" s="95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  <c r="AZ481" s="93"/>
      <c r="BA481" s="93"/>
      <c r="BB481" s="93"/>
      <c r="BC481" s="93"/>
      <c r="BD481" s="93"/>
      <c r="BE481" s="93"/>
      <c r="BF481" s="93"/>
      <c r="BG481" s="93"/>
      <c r="BH481" s="93"/>
      <c r="BI481" s="93"/>
      <c r="BJ481" s="93"/>
      <c r="BK481" s="93"/>
      <c r="BL481" s="93"/>
      <c r="BM481" s="93"/>
      <c r="BN481" s="93"/>
      <c r="BO481" s="93"/>
      <c r="BP481" s="93"/>
      <c r="BQ481" s="93"/>
      <c r="BR481" s="93"/>
      <c r="BS481" s="93"/>
      <c r="BT481" s="93"/>
      <c r="BU481" s="93"/>
      <c r="BV481" s="93"/>
      <c r="BW481" s="93"/>
      <c r="BX481" s="93"/>
      <c r="BY481" s="93"/>
      <c r="BZ481" s="93"/>
      <c r="CA481" s="93"/>
      <c r="CB481" s="93"/>
      <c r="CC481" s="93"/>
      <c r="CD481" s="93"/>
      <c r="CE481" s="93"/>
      <c r="CF481" s="93"/>
      <c r="CG481" s="93"/>
      <c r="CH481" s="93"/>
      <c r="CI481" s="93"/>
      <c r="CJ481" s="93"/>
      <c r="CK481" s="93"/>
      <c r="CL481" s="93"/>
      <c r="CM481" s="93"/>
    </row>
    <row r="482" spans="1:91" x14ac:dyDescent="0.2">
      <c r="A482" s="144"/>
      <c r="B482" s="144"/>
      <c r="C482" s="144"/>
      <c r="D482" s="144"/>
      <c r="E482" s="144"/>
      <c r="F482" s="144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S482" s="95"/>
      <c r="T482" s="95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3"/>
      <c r="BF482" s="93"/>
      <c r="BG482" s="93"/>
      <c r="BH482" s="93"/>
      <c r="BI482" s="93"/>
      <c r="BJ482" s="93"/>
      <c r="BK482" s="93"/>
      <c r="BL482" s="93"/>
      <c r="BM482" s="93"/>
      <c r="BN482" s="93"/>
      <c r="BO482" s="93"/>
      <c r="BP482" s="93"/>
      <c r="BQ482" s="93"/>
      <c r="BR482" s="93"/>
      <c r="BS482" s="93"/>
      <c r="BT482" s="93"/>
      <c r="BU482" s="93"/>
      <c r="BV482" s="93"/>
      <c r="BW482" s="93"/>
      <c r="BX482" s="93"/>
      <c r="BY482" s="93"/>
      <c r="BZ482" s="93"/>
      <c r="CA482" s="93"/>
      <c r="CB482" s="93"/>
      <c r="CC482" s="93"/>
      <c r="CD482" s="93"/>
      <c r="CE482" s="93"/>
      <c r="CF482" s="93"/>
      <c r="CG482" s="93"/>
      <c r="CH482" s="93"/>
      <c r="CI482" s="93"/>
      <c r="CJ482" s="93"/>
      <c r="CK482" s="93"/>
      <c r="CL482" s="93"/>
      <c r="CM482" s="93"/>
    </row>
    <row r="483" spans="1:91" x14ac:dyDescent="0.2">
      <c r="A483" s="144"/>
      <c r="B483" s="144"/>
      <c r="C483" s="144"/>
      <c r="D483" s="144"/>
      <c r="E483" s="144"/>
      <c r="F483" s="144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S483" s="95"/>
      <c r="T483" s="95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  <c r="AZ483" s="93"/>
      <c r="BA483" s="93"/>
      <c r="BB483" s="93"/>
      <c r="BC483" s="93"/>
      <c r="BD483" s="93"/>
      <c r="BE483" s="93"/>
      <c r="BF483" s="93"/>
      <c r="BG483" s="93"/>
      <c r="BH483" s="93"/>
      <c r="BI483" s="93"/>
      <c r="BJ483" s="93"/>
      <c r="BK483" s="93"/>
      <c r="BL483" s="93"/>
      <c r="BM483" s="93"/>
      <c r="BN483" s="93"/>
      <c r="BO483" s="93"/>
      <c r="BP483" s="93"/>
      <c r="BQ483" s="93"/>
      <c r="BR483" s="93"/>
      <c r="BS483" s="93"/>
      <c r="BT483" s="93"/>
      <c r="BU483" s="93"/>
      <c r="BV483" s="93"/>
      <c r="BW483" s="93"/>
      <c r="BX483" s="93"/>
      <c r="BY483" s="93"/>
      <c r="BZ483" s="93"/>
      <c r="CA483" s="93"/>
      <c r="CB483" s="93"/>
      <c r="CC483" s="93"/>
      <c r="CD483" s="93"/>
      <c r="CE483" s="93"/>
      <c r="CF483" s="93"/>
      <c r="CG483" s="93"/>
      <c r="CH483" s="93"/>
      <c r="CI483" s="93"/>
      <c r="CJ483" s="93"/>
      <c r="CK483" s="93"/>
      <c r="CL483" s="93"/>
      <c r="CM483" s="93"/>
    </row>
    <row r="484" spans="1:91" x14ac:dyDescent="0.2">
      <c r="A484" s="144"/>
      <c r="B484" s="144"/>
      <c r="C484" s="144"/>
      <c r="D484" s="144"/>
      <c r="E484" s="144"/>
      <c r="F484" s="144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S484" s="95"/>
      <c r="T484" s="95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  <c r="AZ484" s="93"/>
      <c r="BA484" s="93"/>
      <c r="BB484" s="93"/>
      <c r="BC484" s="93"/>
      <c r="BD484" s="93"/>
      <c r="BE484" s="93"/>
      <c r="BF484" s="93"/>
      <c r="BG484" s="93"/>
      <c r="BH484" s="93"/>
      <c r="BI484" s="93"/>
      <c r="BJ484" s="93"/>
      <c r="BK484" s="93"/>
      <c r="BL484" s="93"/>
      <c r="BM484" s="93"/>
      <c r="BN484" s="93"/>
      <c r="BO484" s="93"/>
      <c r="BP484" s="93"/>
      <c r="BQ484" s="93"/>
      <c r="BR484" s="93"/>
      <c r="BS484" s="93"/>
      <c r="BT484" s="93"/>
      <c r="BU484" s="93"/>
      <c r="BV484" s="93"/>
      <c r="BW484" s="93"/>
      <c r="BX484" s="93"/>
      <c r="BY484" s="93"/>
      <c r="BZ484" s="93"/>
      <c r="CA484" s="93"/>
      <c r="CB484" s="93"/>
      <c r="CC484" s="93"/>
      <c r="CD484" s="93"/>
      <c r="CE484" s="93"/>
      <c r="CF484" s="93"/>
      <c r="CG484" s="93"/>
      <c r="CH484" s="93"/>
      <c r="CI484" s="93"/>
      <c r="CJ484" s="93"/>
      <c r="CK484" s="93"/>
      <c r="CL484" s="93"/>
      <c r="CM484" s="93"/>
    </row>
    <row r="485" spans="1:91" x14ac:dyDescent="0.2">
      <c r="A485" s="144"/>
      <c r="B485" s="144"/>
      <c r="C485" s="144"/>
      <c r="D485" s="144"/>
      <c r="E485" s="144"/>
      <c r="F485" s="144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S485" s="95"/>
      <c r="T485" s="95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3"/>
      <c r="BF485" s="93"/>
      <c r="BG485" s="93"/>
      <c r="BH485" s="93"/>
      <c r="BI485" s="93"/>
      <c r="BJ485" s="93"/>
      <c r="BK485" s="93"/>
      <c r="BL485" s="93"/>
      <c r="BM485" s="93"/>
      <c r="BN485" s="93"/>
      <c r="BO485" s="93"/>
      <c r="BP485" s="93"/>
      <c r="BQ485" s="93"/>
      <c r="BR485" s="93"/>
      <c r="BS485" s="93"/>
      <c r="BT485" s="93"/>
      <c r="BU485" s="93"/>
      <c r="BV485" s="93"/>
      <c r="BW485" s="93"/>
      <c r="BX485" s="93"/>
      <c r="BY485" s="93"/>
      <c r="BZ485" s="93"/>
      <c r="CA485" s="93"/>
      <c r="CB485" s="93"/>
      <c r="CC485" s="93"/>
      <c r="CD485" s="93"/>
      <c r="CE485" s="93"/>
      <c r="CF485" s="93"/>
      <c r="CG485" s="93"/>
      <c r="CH485" s="93"/>
      <c r="CI485" s="93"/>
      <c r="CJ485" s="93"/>
      <c r="CK485" s="93"/>
      <c r="CL485" s="93"/>
      <c r="CM485" s="93"/>
    </row>
    <row r="486" spans="1:91" x14ac:dyDescent="0.2">
      <c r="A486" s="144"/>
      <c r="B486" s="144"/>
      <c r="C486" s="144"/>
      <c r="D486" s="144"/>
      <c r="E486" s="144"/>
      <c r="F486" s="144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S486" s="95"/>
      <c r="T486" s="95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  <c r="AZ486" s="93"/>
      <c r="BA486" s="93"/>
      <c r="BB486" s="93"/>
      <c r="BC486" s="93"/>
      <c r="BD486" s="93"/>
      <c r="BE486" s="93"/>
      <c r="BF486" s="93"/>
      <c r="BG486" s="93"/>
      <c r="BH486" s="93"/>
      <c r="BI486" s="93"/>
      <c r="BJ486" s="93"/>
      <c r="BK486" s="93"/>
      <c r="BL486" s="93"/>
      <c r="BM486" s="93"/>
      <c r="BN486" s="93"/>
      <c r="BO486" s="93"/>
      <c r="BP486" s="93"/>
      <c r="BQ486" s="93"/>
      <c r="BR486" s="93"/>
      <c r="BS486" s="93"/>
      <c r="BT486" s="93"/>
      <c r="BU486" s="93"/>
      <c r="BV486" s="93"/>
      <c r="BW486" s="93"/>
      <c r="BX486" s="93"/>
      <c r="BY486" s="93"/>
      <c r="BZ486" s="93"/>
      <c r="CA486" s="93"/>
      <c r="CB486" s="93"/>
      <c r="CC486" s="93"/>
      <c r="CD486" s="93"/>
      <c r="CE486" s="93"/>
      <c r="CF486" s="93"/>
      <c r="CG486" s="93"/>
      <c r="CH486" s="93"/>
      <c r="CI486" s="93"/>
      <c r="CJ486" s="93"/>
      <c r="CK486" s="93"/>
      <c r="CL486" s="93"/>
      <c r="CM486" s="93"/>
    </row>
    <row r="487" spans="1:91" x14ac:dyDescent="0.2">
      <c r="A487" s="144"/>
      <c r="B487" s="144"/>
      <c r="C487" s="144"/>
      <c r="D487" s="144"/>
      <c r="E487" s="144"/>
      <c r="F487" s="144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S487" s="95"/>
      <c r="T487" s="95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93"/>
      <c r="BI487" s="93"/>
      <c r="BJ487" s="93"/>
      <c r="BK487" s="93"/>
      <c r="BL487" s="93"/>
      <c r="BM487" s="93"/>
      <c r="BN487" s="93"/>
      <c r="BO487" s="93"/>
      <c r="BP487" s="93"/>
      <c r="BQ487" s="93"/>
      <c r="BR487" s="93"/>
      <c r="BS487" s="93"/>
      <c r="BT487" s="93"/>
      <c r="BU487" s="93"/>
      <c r="BV487" s="93"/>
      <c r="BW487" s="93"/>
      <c r="BX487" s="93"/>
      <c r="BY487" s="93"/>
      <c r="BZ487" s="93"/>
      <c r="CA487" s="93"/>
      <c r="CB487" s="93"/>
      <c r="CC487" s="93"/>
      <c r="CD487" s="93"/>
      <c r="CE487" s="93"/>
      <c r="CF487" s="93"/>
      <c r="CG487" s="93"/>
      <c r="CH487" s="93"/>
      <c r="CI487" s="93"/>
      <c r="CJ487" s="93"/>
      <c r="CK487" s="93"/>
      <c r="CL487" s="93"/>
      <c r="CM487" s="93"/>
    </row>
    <row r="488" spans="1:91" x14ac:dyDescent="0.2">
      <c r="A488" s="144"/>
      <c r="B488" s="144"/>
      <c r="C488" s="144"/>
      <c r="D488" s="144"/>
      <c r="E488" s="144"/>
      <c r="F488" s="144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S488" s="95"/>
      <c r="T488" s="95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93"/>
      <c r="BI488" s="93"/>
      <c r="BJ488" s="93"/>
      <c r="BK488" s="93"/>
      <c r="BL488" s="93"/>
      <c r="BM488" s="93"/>
      <c r="BN488" s="93"/>
      <c r="BO488" s="93"/>
      <c r="BP488" s="93"/>
      <c r="BQ488" s="93"/>
      <c r="BR488" s="93"/>
      <c r="BS488" s="93"/>
      <c r="BT488" s="93"/>
      <c r="BU488" s="93"/>
      <c r="BV488" s="93"/>
      <c r="BW488" s="93"/>
      <c r="BX488" s="93"/>
      <c r="BY488" s="93"/>
      <c r="BZ488" s="93"/>
      <c r="CA488" s="93"/>
      <c r="CB488" s="93"/>
      <c r="CC488" s="93"/>
      <c r="CD488" s="93"/>
      <c r="CE488" s="93"/>
      <c r="CF488" s="93"/>
      <c r="CG488" s="93"/>
      <c r="CH488" s="93"/>
      <c r="CI488" s="93"/>
      <c r="CJ488" s="93"/>
      <c r="CK488" s="93"/>
      <c r="CL488" s="93"/>
      <c r="CM488" s="93"/>
    </row>
    <row r="489" spans="1:91" x14ac:dyDescent="0.2">
      <c r="A489" s="144"/>
      <c r="B489" s="144"/>
      <c r="C489" s="144"/>
      <c r="D489" s="144"/>
      <c r="E489" s="144"/>
      <c r="F489" s="144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S489" s="95"/>
      <c r="T489" s="95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93"/>
      <c r="BI489" s="93"/>
      <c r="BJ489" s="93"/>
      <c r="BK489" s="93"/>
      <c r="BL489" s="93"/>
      <c r="BM489" s="93"/>
      <c r="BN489" s="93"/>
      <c r="BO489" s="93"/>
      <c r="BP489" s="93"/>
      <c r="BQ489" s="93"/>
      <c r="BR489" s="93"/>
      <c r="BS489" s="93"/>
      <c r="BT489" s="93"/>
      <c r="BU489" s="93"/>
      <c r="BV489" s="93"/>
      <c r="BW489" s="93"/>
      <c r="BX489" s="93"/>
      <c r="BY489" s="93"/>
      <c r="BZ489" s="93"/>
      <c r="CA489" s="93"/>
      <c r="CB489" s="93"/>
      <c r="CC489" s="93"/>
      <c r="CD489" s="93"/>
      <c r="CE489" s="93"/>
      <c r="CF489" s="93"/>
      <c r="CG489" s="93"/>
      <c r="CH489" s="93"/>
      <c r="CI489" s="93"/>
      <c r="CJ489" s="93"/>
      <c r="CK489" s="93"/>
      <c r="CL489" s="93"/>
      <c r="CM489" s="93"/>
    </row>
    <row r="490" spans="1:91" x14ac:dyDescent="0.2">
      <c r="A490" s="144"/>
      <c r="B490" s="144"/>
      <c r="C490" s="144"/>
      <c r="D490" s="144"/>
      <c r="E490" s="144"/>
      <c r="F490" s="144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S490" s="95"/>
      <c r="T490" s="95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93"/>
      <c r="BI490" s="93"/>
      <c r="BJ490" s="93"/>
      <c r="BK490" s="93"/>
      <c r="BL490" s="93"/>
      <c r="BM490" s="93"/>
      <c r="BN490" s="93"/>
      <c r="BO490" s="93"/>
      <c r="BP490" s="93"/>
      <c r="BQ490" s="93"/>
      <c r="BR490" s="93"/>
      <c r="BS490" s="93"/>
      <c r="BT490" s="93"/>
      <c r="BU490" s="93"/>
      <c r="BV490" s="93"/>
      <c r="BW490" s="93"/>
      <c r="BX490" s="93"/>
      <c r="BY490" s="93"/>
      <c r="BZ490" s="93"/>
      <c r="CA490" s="93"/>
      <c r="CB490" s="93"/>
      <c r="CC490" s="93"/>
      <c r="CD490" s="93"/>
      <c r="CE490" s="93"/>
      <c r="CF490" s="93"/>
      <c r="CG490" s="93"/>
      <c r="CH490" s="93"/>
      <c r="CI490" s="93"/>
      <c r="CJ490" s="93"/>
      <c r="CK490" s="93"/>
      <c r="CL490" s="93"/>
      <c r="CM490" s="93"/>
    </row>
    <row r="491" spans="1:91" x14ac:dyDescent="0.2">
      <c r="A491" s="144"/>
      <c r="B491" s="144"/>
      <c r="C491" s="144"/>
      <c r="D491" s="144"/>
      <c r="E491" s="144"/>
      <c r="F491" s="144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S491" s="95"/>
      <c r="T491" s="95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93"/>
      <c r="BI491" s="93"/>
      <c r="BJ491" s="93"/>
      <c r="BK491" s="93"/>
      <c r="BL491" s="93"/>
      <c r="BM491" s="93"/>
      <c r="BN491" s="93"/>
      <c r="BO491" s="93"/>
      <c r="BP491" s="93"/>
      <c r="BQ491" s="93"/>
      <c r="BR491" s="93"/>
      <c r="BS491" s="93"/>
      <c r="BT491" s="93"/>
      <c r="BU491" s="93"/>
      <c r="BV491" s="93"/>
      <c r="BW491" s="93"/>
      <c r="BX491" s="93"/>
      <c r="BY491" s="93"/>
      <c r="BZ491" s="93"/>
      <c r="CA491" s="93"/>
      <c r="CB491" s="93"/>
      <c r="CC491" s="93"/>
      <c r="CD491" s="93"/>
      <c r="CE491" s="93"/>
      <c r="CF491" s="93"/>
      <c r="CG491" s="93"/>
      <c r="CH491" s="93"/>
      <c r="CI491" s="93"/>
      <c r="CJ491" s="93"/>
      <c r="CK491" s="93"/>
      <c r="CL491" s="93"/>
      <c r="CM491" s="93"/>
    </row>
    <row r="492" spans="1:91" x14ac:dyDescent="0.2">
      <c r="A492" s="144"/>
      <c r="B492" s="144"/>
      <c r="C492" s="144"/>
      <c r="D492" s="144"/>
      <c r="E492" s="144"/>
      <c r="F492" s="144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S492" s="95"/>
      <c r="T492" s="95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93"/>
      <c r="BI492" s="93"/>
      <c r="BJ492" s="93"/>
      <c r="BK492" s="93"/>
      <c r="BL492" s="93"/>
      <c r="BM492" s="93"/>
      <c r="BN492" s="93"/>
      <c r="BO492" s="93"/>
      <c r="BP492" s="93"/>
      <c r="BQ492" s="93"/>
      <c r="BR492" s="93"/>
      <c r="BS492" s="93"/>
      <c r="BT492" s="93"/>
      <c r="BU492" s="93"/>
      <c r="BV492" s="93"/>
      <c r="BW492" s="93"/>
      <c r="BX492" s="93"/>
      <c r="BY492" s="93"/>
      <c r="BZ492" s="93"/>
      <c r="CA492" s="93"/>
      <c r="CB492" s="93"/>
      <c r="CC492" s="93"/>
      <c r="CD492" s="93"/>
      <c r="CE492" s="93"/>
      <c r="CF492" s="93"/>
      <c r="CG492" s="93"/>
      <c r="CH492" s="93"/>
      <c r="CI492" s="93"/>
      <c r="CJ492" s="93"/>
      <c r="CK492" s="93"/>
      <c r="CL492" s="93"/>
      <c r="CM492" s="93"/>
    </row>
    <row r="493" spans="1:91" x14ac:dyDescent="0.2">
      <c r="A493" s="144"/>
      <c r="B493" s="144"/>
      <c r="C493" s="144"/>
      <c r="D493" s="144"/>
      <c r="E493" s="144"/>
      <c r="F493" s="144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S493" s="95"/>
      <c r="T493" s="95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93"/>
      <c r="BI493" s="93"/>
      <c r="BJ493" s="93"/>
      <c r="BK493" s="93"/>
      <c r="BL493" s="93"/>
      <c r="BM493" s="93"/>
      <c r="BN493" s="93"/>
      <c r="BO493" s="93"/>
      <c r="BP493" s="93"/>
      <c r="BQ493" s="93"/>
      <c r="BR493" s="93"/>
      <c r="BS493" s="93"/>
      <c r="BT493" s="93"/>
      <c r="BU493" s="93"/>
      <c r="BV493" s="93"/>
      <c r="BW493" s="93"/>
      <c r="BX493" s="93"/>
      <c r="BY493" s="93"/>
      <c r="BZ493" s="93"/>
      <c r="CA493" s="93"/>
      <c r="CB493" s="93"/>
      <c r="CC493" s="93"/>
      <c r="CD493" s="93"/>
      <c r="CE493" s="93"/>
      <c r="CF493" s="93"/>
      <c r="CG493" s="93"/>
      <c r="CH493" s="93"/>
      <c r="CI493" s="93"/>
      <c r="CJ493" s="93"/>
      <c r="CK493" s="93"/>
      <c r="CL493" s="93"/>
      <c r="CM493" s="93"/>
    </row>
    <row r="494" spans="1:91" x14ac:dyDescent="0.2">
      <c r="A494" s="144"/>
      <c r="B494" s="144"/>
      <c r="C494" s="144"/>
      <c r="D494" s="144"/>
      <c r="E494" s="144"/>
      <c r="F494" s="144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S494" s="95"/>
      <c r="T494" s="95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93"/>
      <c r="BI494" s="93"/>
      <c r="BJ494" s="93"/>
      <c r="BK494" s="93"/>
      <c r="BL494" s="93"/>
      <c r="BM494" s="93"/>
      <c r="BN494" s="93"/>
      <c r="BO494" s="93"/>
      <c r="BP494" s="93"/>
      <c r="BQ494" s="93"/>
      <c r="BR494" s="93"/>
      <c r="BS494" s="93"/>
      <c r="BT494" s="93"/>
      <c r="BU494" s="93"/>
      <c r="BV494" s="93"/>
      <c r="BW494" s="93"/>
      <c r="BX494" s="93"/>
      <c r="BY494" s="93"/>
      <c r="BZ494" s="93"/>
      <c r="CA494" s="93"/>
      <c r="CB494" s="93"/>
      <c r="CC494" s="93"/>
      <c r="CD494" s="93"/>
      <c r="CE494" s="93"/>
      <c r="CF494" s="93"/>
      <c r="CG494" s="93"/>
      <c r="CH494" s="93"/>
      <c r="CI494" s="93"/>
      <c r="CJ494" s="93"/>
      <c r="CK494" s="93"/>
      <c r="CL494" s="93"/>
      <c r="CM494" s="93"/>
    </row>
    <row r="495" spans="1:91" x14ac:dyDescent="0.2">
      <c r="A495" s="144"/>
      <c r="B495" s="144"/>
      <c r="C495" s="144"/>
      <c r="D495" s="144"/>
      <c r="E495" s="144"/>
      <c r="F495" s="144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S495" s="95"/>
      <c r="T495" s="95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93"/>
      <c r="BI495" s="93"/>
      <c r="BJ495" s="93"/>
      <c r="BK495" s="93"/>
      <c r="BL495" s="93"/>
      <c r="BM495" s="93"/>
      <c r="BN495" s="93"/>
      <c r="BO495" s="93"/>
      <c r="BP495" s="93"/>
      <c r="BQ495" s="93"/>
      <c r="BR495" s="93"/>
      <c r="BS495" s="93"/>
      <c r="BT495" s="93"/>
      <c r="BU495" s="93"/>
      <c r="BV495" s="93"/>
      <c r="BW495" s="93"/>
      <c r="BX495" s="93"/>
      <c r="BY495" s="93"/>
      <c r="BZ495" s="93"/>
      <c r="CA495" s="93"/>
      <c r="CB495" s="93"/>
      <c r="CC495" s="93"/>
      <c r="CD495" s="93"/>
      <c r="CE495" s="93"/>
      <c r="CF495" s="93"/>
      <c r="CG495" s="93"/>
      <c r="CH495" s="93"/>
      <c r="CI495" s="93"/>
      <c r="CJ495" s="93"/>
      <c r="CK495" s="93"/>
      <c r="CL495" s="93"/>
      <c r="CM495" s="93"/>
    </row>
    <row r="496" spans="1:91" x14ac:dyDescent="0.2">
      <c r="A496" s="144"/>
      <c r="B496" s="144"/>
      <c r="C496" s="144"/>
      <c r="D496" s="144"/>
      <c r="E496" s="144"/>
      <c r="F496" s="144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S496" s="95"/>
      <c r="T496" s="95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93"/>
      <c r="BK496" s="93"/>
      <c r="BL496" s="93"/>
      <c r="BM496" s="93"/>
      <c r="BN496" s="93"/>
      <c r="BO496" s="93"/>
      <c r="BP496" s="93"/>
      <c r="BQ496" s="93"/>
      <c r="BR496" s="93"/>
      <c r="BS496" s="93"/>
      <c r="BT496" s="93"/>
      <c r="BU496" s="93"/>
      <c r="BV496" s="93"/>
      <c r="BW496" s="93"/>
      <c r="BX496" s="93"/>
      <c r="BY496" s="93"/>
      <c r="BZ496" s="93"/>
      <c r="CA496" s="93"/>
      <c r="CB496" s="93"/>
      <c r="CC496" s="93"/>
      <c r="CD496" s="93"/>
      <c r="CE496" s="93"/>
      <c r="CF496" s="93"/>
      <c r="CG496" s="93"/>
      <c r="CH496" s="93"/>
      <c r="CI496" s="93"/>
      <c r="CJ496" s="93"/>
      <c r="CK496" s="93"/>
      <c r="CL496" s="93"/>
      <c r="CM496" s="93"/>
    </row>
    <row r="497" spans="1:91" x14ac:dyDescent="0.2">
      <c r="A497" s="144"/>
      <c r="B497" s="144"/>
      <c r="C497" s="144"/>
      <c r="D497" s="144"/>
      <c r="E497" s="144"/>
      <c r="F497" s="144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S497" s="95"/>
      <c r="T497" s="95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93"/>
      <c r="BK497" s="93"/>
      <c r="BL497" s="93"/>
      <c r="BM497" s="93"/>
      <c r="BN497" s="93"/>
      <c r="BO497" s="93"/>
      <c r="BP497" s="93"/>
      <c r="BQ497" s="93"/>
      <c r="BR497" s="93"/>
      <c r="BS497" s="93"/>
      <c r="BT497" s="93"/>
      <c r="BU497" s="93"/>
      <c r="BV497" s="93"/>
      <c r="BW497" s="93"/>
      <c r="BX497" s="93"/>
      <c r="BY497" s="93"/>
      <c r="BZ497" s="93"/>
      <c r="CA497" s="93"/>
      <c r="CB497" s="93"/>
      <c r="CC497" s="93"/>
      <c r="CD497" s="93"/>
      <c r="CE497" s="93"/>
      <c r="CF497" s="93"/>
      <c r="CG497" s="93"/>
      <c r="CH497" s="93"/>
      <c r="CI497" s="93"/>
      <c r="CJ497" s="93"/>
      <c r="CK497" s="93"/>
      <c r="CL497" s="93"/>
      <c r="CM497" s="93"/>
    </row>
    <row r="498" spans="1:91" x14ac:dyDescent="0.2">
      <c r="A498" s="144"/>
      <c r="B498" s="144"/>
      <c r="C498" s="144"/>
      <c r="D498" s="144"/>
      <c r="E498" s="144"/>
      <c r="F498" s="144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S498" s="95"/>
      <c r="T498" s="95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93"/>
      <c r="BK498" s="93"/>
      <c r="BL498" s="93"/>
      <c r="BM498" s="93"/>
      <c r="BN498" s="93"/>
      <c r="BO498" s="93"/>
      <c r="BP498" s="93"/>
      <c r="BQ498" s="93"/>
      <c r="BR498" s="93"/>
      <c r="BS498" s="93"/>
      <c r="BT498" s="93"/>
      <c r="BU498" s="93"/>
      <c r="BV498" s="93"/>
      <c r="BW498" s="93"/>
      <c r="BX498" s="93"/>
      <c r="BY498" s="93"/>
      <c r="BZ498" s="93"/>
      <c r="CA498" s="93"/>
      <c r="CB498" s="93"/>
      <c r="CC498" s="93"/>
      <c r="CD498" s="93"/>
      <c r="CE498" s="93"/>
      <c r="CF498" s="93"/>
      <c r="CG498" s="93"/>
      <c r="CH498" s="93"/>
      <c r="CI498" s="93"/>
      <c r="CJ498" s="93"/>
      <c r="CK498" s="93"/>
      <c r="CL498" s="93"/>
      <c r="CM498" s="93"/>
    </row>
    <row r="499" spans="1:91" x14ac:dyDescent="0.2">
      <c r="A499" s="144"/>
      <c r="B499" s="144"/>
      <c r="C499" s="144"/>
      <c r="D499" s="144"/>
      <c r="E499" s="144"/>
      <c r="F499" s="144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S499" s="95"/>
      <c r="T499" s="95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93"/>
      <c r="BI499" s="93"/>
      <c r="BJ499" s="93"/>
      <c r="BK499" s="93"/>
      <c r="BL499" s="93"/>
      <c r="BM499" s="93"/>
      <c r="BN499" s="93"/>
      <c r="BO499" s="93"/>
      <c r="BP499" s="93"/>
      <c r="BQ499" s="93"/>
      <c r="BR499" s="93"/>
      <c r="BS499" s="93"/>
      <c r="BT499" s="93"/>
      <c r="BU499" s="93"/>
      <c r="BV499" s="93"/>
      <c r="BW499" s="93"/>
      <c r="BX499" s="93"/>
      <c r="BY499" s="93"/>
      <c r="BZ499" s="93"/>
      <c r="CA499" s="93"/>
      <c r="CB499" s="93"/>
      <c r="CC499" s="93"/>
      <c r="CD499" s="93"/>
      <c r="CE499" s="93"/>
      <c r="CF499" s="93"/>
      <c r="CG499" s="93"/>
      <c r="CH499" s="93"/>
      <c r="CI499" s="93"/>
      <c r="CJ499" s="93"/>
      <c r="CK499" s="93"/>
      <c r="CL499" s="93"/>
      <c r="CM499" s="93"/>
    </row>
    <row r="500" spans="1:91" x14ac:dyDescent="0.2">
      <c r="A500" s="144"/>
      <c r="B500" s="144"/>
      <c r="C500" s="144"/>
      <c r="D500" s="144"/>
      <c r="E500" s="144"/>
      <c r="F500" s="144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S500" s="95"/>
      <c r="T500" s="95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93"/>
      <c r="BI500" s="93"/>
      <c r="BJ500" s="93"/>
      <c r="BK500" s="93"/>
      <c r="BL500" s="93"/>
      <c r="BM500" s="93"/>
      <c r="BN500" s="93"/>
      <c r="BO500" s="93"/>
      <c r="BP500" s="93"/>
      <c r="BQ500" s="93"/>
      <c r="BR500" s="93"/>
      <c r="BS500" s="93"/>
      <c r="BT500" s="93"/>
      <c r="BU500" s="93"/>
      <c r="BV500" s="93"/>
      <c r="BW500" s="93"/>
      <c r="BX500" s="93"/>
      <c r="BY500" s="93"/>
      <c r="BZ500" s="93"/>
      <c r="CA500" s="93"/>
      <c r="CB500" s="93"/>
      <c r="CC500" s="93"/>
      <c r="CD500" s="93"/>
      <c r="CE500" s="93"/>
      <c r="CF500" s="93"/>
      <c r="CG500" s="93"/>
      <c r="CH500" s="93"/>
      <c r="CI500" s="93"/>
      <c r="CJ500" s="93"/>
      <c r="CK500" s="93"/>
      <c r="CL500" s="93"/>
      <c r="CM500" s="93"/>
    </row>
    <row r="501" spans="1:91" x14ac:dyDescent="0.2">
      <c r="A501" s="144"/>
      <c r="B501" s="144"/>
      <c r="C501" s="144"/>
      <c r="D501" s="144"/>
      <c r="E501" s="144"/>
      <c r="F501" s="144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S501" s="95"/>
      <c r="T501" s="95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93"/>
      <c r="BI501" s="93"/>
      <c r="BJ501" s="93"/>
      <c r="BK501" s="93"/>
      <c r="BL501" s="93"/>
      <c r="BM501" s="93"/>
      <c r="BN501" s="93"/>
      <c r="BO501" s="93"/>
      <c r="BP501" s="93"/>
      <c r="BQ501" s="93"/>
      <c r="BR501" s="93"/>
      <c r="BS501" s="93"/>
      <c r="BT501" s="93"/>
      <c r="BU501" s="93"/>
      <c r="BV501" s="93"/>
      <c r="BW501" s="93"/>
      <c r="BX501" s="93"/>
      <c r="BY501" s="93"/>
      <c r="BZ501" s="93"/>
      <c r="CA501" s="93"/>
      <c r="CB501" s="93"/>
      <c r="CC501" s="93"/>
      <c r="CD501" s="93"/>
      <c r="CE501" s="93"/>
      <c r="CF501" s="93"/>
      <c r="CG501" s="93"/>
      <c r="CH501" s="93"/>
      <c r="CI501" s="93"/>
      <c r="CJ501" s="93"/>
      <c r="CK501" s="93"/>
      <c r="CL501" s="93"/>
      <c r="CM501" s="93"/>
    </row>
    <row r="502" spans="1:91" x14ac:dyDescent="0.2">
      <c r="A502" s="144"/>
      <c r="B502" s="144"/>
      <c r="C502" s="144"/>
      <c r="D502" s="144"/>
      <c r="E502" s="144"/>
      <c r="F502" s="144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S502" s="95"/>
      <c r="T502" s="95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93"/>
      <c r="BI502" s="93"/>
      <c r="BJ502" s="93"/>
      <c r="BK502" s="93"/>
      <c r="BL502" s="93"/>
      <c r="BM502" s="93"/>
      <c r="BN502" s="93"/>
      <c r="BO502" s="93"/>
      <c r="BP502" s="93"/>
      <c r="BQ502" s="93"/>
      <c r="BR502" s="93"/>
      <c r="BS502" s="93"/>
      <c r="BT502" s="93"/>
      <c r="BU502" s="93"/>
      <c r="BV502" s="93"/>
      <c r="BW502" s="93"/>
      <c r="BX502" s="93"/>
      <c r="BY502" s="93"/>
      <c r="BZ502" s="93"/>
      <c r="CA502" s="93"/>
      <c r="CB502" s="93"/>
      <c r="CC502" s="93"/>
      <c r="CD502" s="93"/>
      <c r="CE502" s="93"/>
      <c r="CF502" s="93"/>
      <c r="CG502" s="93"/>
      <c r="CH502" s="93"/>
      <c r="CI502" s="93"/>
      <c r="CJ502" s="93"/>
      <c r="CK502" s="93"/>
      <c r="CL502" s="93"/>
      <c r="CM502" s="93"/>
    </row>
    <row r="503" spans="1:91" x14ac:dyDescent="0.2">
      <c r="A503" s="144"/>
      <c r="B503" s="144"/>
      <c r="C503" s="144"/>
      <c r="D503" s="144"/>
      <c r="E503" s="144"/>
      <c r="F503" s="144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S503" s="95"/>
      <c r="T503" s="95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93"/>
      <c r="BI503" s="93"/>
      <c r="BJ503" s="93"/>
      <c r="BK503" s="93"/>
      <c r="BL503" s="93"/>
      <c r="BM503" s="93"/>
      <c r="BN503" s="93"/>
      <c r="BO503" s="93"/>
      <c r="BP503" s="93"/>
      <c r="BQ503" s="93"/>
      <c r="BR503" s="93"/>
      <c r="BS503" s="93"/>
      <c r="BT503" s="93"/>
      <c r="BU503" s="93"/>
      <c r="BV503" s="93"/>
      <c r="BW503" s="93"/>
      <c r="BX503" s="93"/>
      <c r="BY503" s="93"/>
      <c r="BZ503" s="93"/>
      <c r="CA503" s="93"/>
      <c r="CB503" s="93"/>
      <c r="CC503" s="93"/>
      <c r="CD503" s="93"/>
      <c r="CE503" s="93"/>
      <c r="CF503" s="93"/>
      <c r="CG503" s="93"/>
      <c r="CH503" s="93"/>
      <c r="CI503" s="93"/>
      <c r="CJ503" s="93"/>
      <c r="CK503" s="93"/>
      <c r="CL503" s="93"/>
      <c r="CM503" s="93"/>
    </row>
    <row r="504" spans="1:91" x14ac:dyDescent="0.2">
      <c r="A504" s="144"/>
      <c r="B504" s="144"/>
      <c r="C504" s="144"/>
      <c r="D504" s="144"/>
      <c r="E504" s="144"/>
      <c r="F504" s="144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S504" s="95"/>
      <c r="T504" s="95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93"/>
      <c r="BI504" s="93"/>
      <c r="BJ504" s="93"/>
      <c r="BK504" s="93"/>
      <c r="BL504" s="93"/>
      <c r="BM504" s="93"/>
      <c r="BN504" s="93"/>
      <c r="BO504" s="93"/>
      <c r="BP504" s="93"/>
      <c r="BQ504" s="93"/>
      <c r="BR504" s="93"/>
      <c r="BS504" s="93"/>
      <c r="BT504" s="93"/>
      <c r="BU504" s="93"/>
      <c r="BV504" s="93"/>
      <c r="BW504" s="93"/>
      <c r="BX504" s="93"/>
      <c r="BY504" s="93"/>
      <c r="BZ504" s="93"/>
      <c r="CA504" s="93"/>
      <c r="CB504" s="93"/>
      <c r="CC504" s="93"/>
      <c r="CD504" s="93"/>
      <c r="CE504" s="93"/>
      <c r="CF504" s="93"/>
      <c r="CG504" s="93"/>
      <c r="CH504" s="93"/>
      <c r="CI504" s="93"/>
      <c r="CJ504" s="93"/>
      <c r="CK504" s="93"/>
      <c r="CL504" s="93"/>
      <c r="CM504" s="93"/>
    </row>
    <row r="505" spans="1:91" x14ac:dyDescent="0.2">
      <c r="A505" s="144"/>
      <c r="B505" s="144"/>
      <c r="C505" s="144"/>
      <c r="D505" s="144"/>
      <c r="E505" s="144"/>
      <c r="F505" s="144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S505" s="95"/>
      <c r="T505" s="95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93"/>
      <c r="BI505" s="93"/>
      <c r="BJ505" s="93"/>
      <c r="BK505" s="93"/>
      <c r="BL505" s="93"/>
      <c r="BM505" s="93"/>
      <c r="BN505" s="93"/>
      <c r="BO505" s="93"/>
      <c r="BP505" s="93"/>
      <c r="BQ505" s="93"/>
      <c r="BR505" s="93"/>
      <c r="BS505" s="93"/>
      <c r="BT505" s="93"/>
      <c r="BU505" s="93"/>
      <c r="BV505" s="93"/>
      <c r="BW505" s="93"/>
      <c r="BX505" s="93"/>
      <c r="BY505" s="93"/>
      <c r="BZ505" s="93"/>
      <c r="CA505" s="93"/>
      <c r="CB505" s="93"/>
      <c r="CC505" s="93"/>
      <c r="CD505" s="93"/>
      <c r="CE505" s="93"/>
      <c r="CF505" s="93"/>
      <c r="CG505" s="93"/>
      <c r="CH505" s="93"/>
      <c r="CI505" s="93"/>
      <c r="CJ505" s="93"/>
      <c r="CK505" s="93"/>
      <c r="CL505" s="93"/>
      <c r="CM505" s="93"/>
    </row>
    <row r="506" spans="1:91" x14ac:dyDescent="0.2">
      <c r="A506" s="144"/>
      <c r="B506" s="144"/>
      <c r="C506" s="144"/>
      <c r="D506" s="144"/>
      <c r="E506" s="144"/>
      <c r="F506" s="144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S506" s="95"/>
      <c r="T506" s="95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93"/>
      <c r="BI506" s="93"/>
      <c r="BJ506" s="93"/>
      <c r="BK506" s="93"/>
      <c r="BL506" s="93"/>
      <c r="BM506" s="93"/>
      <c r="BN506" s="93"/>
      <c r="BO506" s="93"/>
      <c r="BP506" s="93"/>
      <c r="BQ506" s="93"/>
      <c r="BR506" s="93"/>
      <c r="BS506" s="93"/>
      <c r="BT506" s="93"/>
      <c r="BU506" s="93"/>
      <c r="BV506" s="93"/>
      <c r="BW506" s="93"/>
      <c r="BX506" s="93"/>
      <c r="BY506" s="93"/>
      <c r="BZ506" s="93"/>
      <c r="CA506" s="93"/>
      <c r="CB506" s="93"/>
      <c r="CC506" s="93"/>
      <c r="CD506" s="93"/>
      <c r="CE506" s="93"/>
      <c r="CF506" s="93"/>
      <c r="CG506" s="93"/>
      <c r="CH506" s="93"/>
      <c r="CI506" s="93"/>
      <c r="CJ506" s="93"/>
      <c r="CK506" s="93"/>
      <c r="CL506" s="93"/>
      <c r="CM506" s="93"/>
    </row>
    <row r="507" spans="1:91" x14ac:dyDescent="0.2">
      <c r="A507" s="144"/>
      <c r="B507" s="144"/>
      <c r="C507" s="144"/>
      <c r="D507" s="144"/>
      <c r="E507" s="144"/>
      <c r="F507" s="144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S507" s="95"/>
      <c r="T507" s="95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93"/>
      <c r="BI507" s="93"/>
      <c r="BJ507" s="93"/>
      <c r="BK507" s="93"/>
      <c r="BL507" s="93"/>
      <c r="BM507" s="93"/>
      <c r="BN507" s="93"/>
      <c r="BO507" s="93"/>
      <c r="BP507" s="93"/>
      <c r="BQ507" s="93"/>
      <c r="BR507" s="93"/>
      <c r="BS507" s="93"/>
      <c r="BT507" s="93"/>
      <c r="BU507" s="93"/>
      <c r="BV507" s="93"/>
      <c r="BW507" s="93"/>
      <c r="BX507" s="93"/>
      <c r="BY507" s="93"/>
      <c r="BZ507" s="93"/>
      <c r="CA507" s="93"/>
      <c r="CB507" s="93"/>
      <c r="CC507" s="93"/>
      <c r="CD507" s="93"/>
      <c r="CE507" s="93"/>
      <c r="CF507" s="93"/>
      <c r="CG507" s="93"/>
      <c r="CH507" s="93"/>
      <c r="CI507" s="93"/>
      <c r="CJ507" s="93"/>
      <c r="CK507" s="93"/>
      <c r="CL507" s="93"/>
      <c r="CM507" s="93"/>
    </row>
    <row r="508" spans="1:91" x14ac:dyDescent="0.2">
      <c r="A508" s="144"/>
      <c r="B508" s="144"/>
      <c r="C508" s="144"/>
      <c r="D508" s="144"/>
      <c r="E508" s="144"/>
      <c r="F508" s="144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S508" s="95"/>
      <c r="T508" s="95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93"/>
      <c r="BI508" s="93"/>
      <c r="BJ508" s="93"/>
      <c r="BK508" s="93"/>
      <c r="BL508" s="93"/>
      <c r="BM508" s="93"/>
      <c r="BN508" s="93"/>
      <c r="BO508" s="93"/>
      <c r="BP508" s="93"/>
      <c r="BQ508" s="93"/>
      <c r="BR508" s="93"/>
      <c r="BS508" s="93"/>
      <c r="BT508" s="93"/>
      <c r="BU508" s="93"/>
      <c r="BV508" s="93"/>
      <c r="BW508" s="93"/>
      <c r="BX508" s="93"/>
      <c r="BY508" s="93"/>
      <c r="BZ508" s="93"/>
      <c r="CA508" s="93"/>
      <c r="CB508" s="93"/>
      <c r="CC508" s="93"/>
      <c r="CD508" s="93"/>
      <c r="CE508" s="93"/>
      <c r="CF508" s="93"/>
      <c r="CG508" s="93"/>
      <c r="CH508" s="93"/>
      <c r="CI508" s="93"/>
      <c r="CJ508" s="93"/>
      <c r="CK508" s="93"/>
      <c r="CL508" s="93"/>
      <c r="CM508" s="93"/>
    </row>
    <row r="509" spans="1:91" x14ac:dyDescent="0.2">
      <c r="A509" s="144"/>
      <c r="B509" s="144"/>
      <c r="C509" s="144"/>
      <c r="D509" s="144"/>
      <c r="E509" s="144"/>
      <c r="F509" s="144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S509" s="95"/>
      <c r="T509" s="95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93"/>
      <c r="BI509" s="93"/>
      <c r="BJ509" s="93"/>
      <c r="BK509" s="93"/>
      <c r="BL509" s="93"/>
      <c r="BM509" s="93"/>
      <c r="BN509" s="93"/>
      <c r="BO509" s="93"/>
      <c r="BP509" s="93"/>
      <c r="BQ509" s="93"/>
      <c r="BR509" s="93"/>
      <c r="BS509" s="93"/>
      <c r="BT509" s="93"/>
      <c r="BU509" s="93"/>
      <c r="BV509" s="93"/>
      <c r="BW509" s="93"/>
      <c r="BX509" s="93"/>
      <c r="BY509" s="93"/>
      <c r="BZ509" s="93"/>
      <c r="CA509" s="93"/>
      <c r="CB509" s="93"/>
      <c r="CC509" s="93"/>
      <c r="CD509" s="93"/>
      <c r="CE509" s="93"/>
      <c r="CF509" s="93"/>
      <c r="CG509" s="93"/>
      <c r="CH509" s="93"/>
      <c r="CI509" s="93"/>
      <c r="CJ509" s="93"/>
      <c r="CK509" s="93"/>
      <c r="CL509" s="93"/>
      <c r="CM509" s="93"/>
    </row>
    <row r="510" spans="1:91" x14ac:dyDescent="0.2">
      <c r="A510" s="144"/>
      <c r="B510" s="144"/>
      <c r="C510" s="144"/>
      <c r="D510" s="144"/>
      <c r="E510" s="144"/>
      <c r="F510" s="144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S510" s="95"/>
      <c r="T510" s="95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93"/>
      <c r="BI510" s="93"/>
      <c r="BJ510" s="93"/>
      <c r="BK510" s="93"/>
      <c r="BL510" s="93"/>
      <c r="BM510" s="93"/>
      <c r="BN510" s="93"/>
      <c r="BO510" s="93"/>
      <c r="BP510" s="93"/>
      <c r="BQ510" s="93"/>
      <c r="BR510" s="93"/>
      <c r="BS510" s="93"/>
      <c r="BT510" s="93"/>
      <c r="BU510" s="93"/>
      <c r="BV510" s="93"/>
      <c r="BW510" s="93"/>
      <c r="BX510" s="93"/>
      <c r="BY510" s="93"/>
      <c r="BZ510" s="93"/>
      <c r="CA510" s="93"/>
      <c r="CB510" s="93"/>
      <c r="CC510" s="93"/>
      <c r="CD510" s="93"/>
      <c r="CE510" s="93"/>
      <c r="CF510" s="93"/>
      <c r="CG510" s="93"/>
      <c r="CH510" s="93"/>
      <c r="CI510" s="93"/>
      <c r="CJ510" s="93"/>
      <c r="CK510" s="93"/>
      <c r="CL510" s="93"/>
      <c r="CM510" s="93"/>
    </row>
    <row r="511" spans="1:91" x14ac:dyDescent="0.2">
      <c r="A511" s="144"/>
      <c r="B511" s="144"/>
      <c r="C511" s="144"/>
      <c r="D511" s="144"/>
      <c r="E511" s="144"/>
      <c r="F511" s="144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S511" s="95"/>
      <c r="T511" s="95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93"/>
      <c r="BI511" s="93"/>
      <c r="BJ511" s="93"/>
      <c r="BK511" s="93"/>
      <c r="BL511" s="93"/>
      <c r="BM511" s="93"/>
      <c r="BN511" s="93"/>
      <c r="BO511" s="93"/>
      <c r="BP511" s="93"/>
      <c r="BQ511" s="93"/>
      <c r="BR511" s="93"/>
      <c r="BS511" s="93"/>
      <c r="BT511" s="93"/>
      <c r="BU511" s="93"/>
      <c r="BV511" s="93"/>
      <c r="BW511" s="93"/>
      <c r="BX511" s="93"/>
      <c r="BY511" s="93"/>
      <c r="BZ511" s="93"/>
      <c r="CA511" s="93"/>
      <c r="CB511" s="93"/>
      <c r="CC511" s="93"/>
      <c r="CD511" s="93"/>
      <c r="CE511" s="93"/>
      <c r="CF511" s="93"/>
      <c r="CG511" s="93"/>
      <c r="CH511" s="93"/>
      <c r="CI511" s="93"/>
      <c r="CJ511" s="93"/>
      <c r="CK511" s="93"/>
      <c r="CL511" s="93"/>
      <c r="CM511" s="93"/>
    </row>
    <row r="512" spans="1:91" x14ac:dyDescent="0.2">
      <c r="A512" s="144"/>
      <c r="B512" s="144"/>
      <c r="C512" s="144"/>
      <c r="D512" s="144"/>
      <c r="E512" s="144"/>
      <c r="F512" s="144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S512" s="95"/>
      <c r="T512" s="95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93"/>
      <c r="BI512" s="93"/>
      <c r="BJ512" s="93"/>
      <c r="BK512" s="93"/>
      <c r="BL512" s="93"/>
      <c r="BM512" s="93"/>
      <c r="BN512" s="93"/>
      <c r="BO512" s="93"/>
      <c r="BP512" s="93"/>
      <c r="BQ512" s="93"/>
      <c r="BR512" s="93"/>
      <c r="BS512" s="93"/>
      <c r="BT512" s="93"/>
      <c r="BU512" s="93"/>
      <c r="BV512" s="93"/>
      <c r="BW512" s="93"/>
      <c r="BX512" s="93"/>
      <c r="BY512" s="93"/>
      <c r="BZ512" s="93"/>
      <c r="CA512" s="93"/>
      <c r="CB512" s="93"/>
      <c r="CC512" s="93"/>
      <c r="CD512" s="93"/>
      <c r="CE512" s="93"/>
      <c r="CF512" s="93"/>
      <c r="CG512" s="93"/>
      <c r="CH512" s="93"/>
      <c r="CI512" s="93"/>
      <c r="CJ512" s="93"/>
      <c r="CK512" s="93"/>
      <c r="CL512" s="93"/>
      <c r="CM512" s="93"/>
    </row>
    <row r="513" spans="1:91" x14ac:dyDescent="0.2">
      <c r="A513" s="144"/>
      <c r="B513" s="144"/>
      <c r="C513" s="144"/>
      <c r="D513" s="144"/>
      <c r="E513" s="144"/>
      <c r="F513" s="144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S513" s="95"/>
      <c r="T513" s="95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93"/>
      <c r="BI513" s="93"/>
      <c r="BJ513" s="93"/>
      <c r="BK513" s="93"/>
      <c r="BL513" s="93"/>
      <c r="BM513" s="93"/>
      <c r="BN513" s="93"/>
      <c r="BO513" s="93"/>
      <c r="BP513" s="93"/>
      <c r="BQ513" s="93"/>
      <c r="BR513" s="93"/>
      <c r="BS513" s="93"/>
      <c r="BT513" s="93"/>
      <c r="BU513" s="93"/>
      <c r="BV513" s="93"/>
      <c r="BW513" s="93"/>
      <c r="BX513" s="93"/>
      <c r="BY513" s="93"/>
      <c r="BZ513" s="93"/>
      <c r="CA513" s="93"/>
      <c r="CB513" s="93"/>
      <c r="CC513" s="93"/>
      <c r="CD513" s="93"/>
      <c r="CE513" s="93"/>
      <c r="CF513" s="93"/>
      <c r="CG513" s="93"/>
      <c r="CH513" s="93"/>
      <c r="CI513" s="93"/>
      <c r="CJ513" s="93"/>
      <c r="CK513" s="93"/>
      <c r="CL513" s="93"/>
      <c r="CM513" s="93"/>
    </row>
    <row r="514" spans="1:91" x14ac:dyDescent="0.2">
      <c r="A514" s="144"/>
      <c r="B514" s="144"/>
      <c r="C514" s="144"/>
      <c r="D514" s="144"/>
      <c r="E514" s="144"/>
      <c r="F514" s="144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S514" s="95"/>
      <c r="T514" s="95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93"/>
      <c r="BI514" s="93"/>
      <c r="BJ514" s="93"/>
      <c r="BK514" s="93"/>
      <c r="BL514" s="93"/>
      <c r="BM514" s="93"/>
      <c r="BN514" s="93"/>
      <c r="BO514" s="93"/>
      <c r="BP514" s="93"/>
      <c r="BQ514" s="93"/>
      <c r="BR514" s="93"/>
      <c r="BS514" s="93"/>
      <c r="BT514" s="93"/>
      <c r="BU514" s="93"/>
      <c r="BV514" s="93"/>
      <c r="BW514" s="93"/>
      <c r="BX514" s="93"/>
      <c r="BY514" s="93"/>
      <c r="BZ514" s="93"/>
      <c r="CA514" s="93"/>
      <c r="CB514" s="93"/>
      <c r="CC514" s="93"/>
      <c r="CD514" s="93"/>
      <c r="CE514" s="93"/>
      <c r="CF514" s="93"/>
      <c r="CG514" s="93"/>
      <c r="CH514" s="93"/>
      <c r="CI514" s="93"/>
      <c r="CJ514" s="93"/>
      <c r="CK514" s="93"/>
      <c r="CL514" s="93"/>
      <c r="CM514" s="93"/>
    </row>
    <row r="515" spans="1:91" x14ac:dyDescent="0.2">
      <c r="A515" s="144"/>
      <c r="B515" s="144"/>
      <c r="C515" s="144"/>
      <c r="D515" s="144"/>
      <c r="E515" s="144"/>
      <c r="F515" s="144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S515" s="95"/>
      <c r="T515" s="95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93"/>
      <c r="BI515" s="93"/>
      <c r="BJ515" s="93"/>
      <c r="BK515" s="93"/>
      <c r="BL515" s="93"/>
      <c r="BM515" s="93"/>
      <c r="BN515" s="93"/>
      <c r="BO515" s="93"/>
      <c r="BP515" s="93"/>
      <c r="BQ515" s="93"/>
      <c r="BR515" s="93"/>
      <c r="BS515" s="93"/>
      <c r="BT515" s="93"/>
      <c r="BU515" s="93"/>
      <c r="BV515" s="93"/>
      <c r="BW515" s="93"/>
      <c r="BX515" s="93"/>
      <c r="BY515" s="93"/>
      <c r="BZ515" s="93"/>
      <c r="CA515" s="93"/>
      <c r="CB515" s="93"/>
      <c r="CC515" s="93"/>
      <c r="CD515" s="93"/>
      <c r="CE515" s="93"/>
      <c r="CF515" s="93"/>
      <c r="CG515" s="93"/>
      <c r="CH515" s="93"/>
      <c r="CI515" s="93"/>
      <c r="CJ515" s="93"/>
      <c r="CK515" s="93"/>
      <c r="CL515" s="93"/>
      <c r="CM515" s="93"/>
    </row>
    <row r="516" spans="1:91" x14ac:dyDescent="0.2">
      <c r="A516" s="144"/>
      <c r="B516" s="144"/>
      <c r="C516" s="144"/>
      <c r="D516" s="144"/>
      <c r="E516" s="144"/>
      <c r="F516" s="144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S516" s="95"/>
      <c r="T516" s="95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93"/>
      <c r="BI516" s="93"/>
      <c r="BJ516" s="93"/>
      <c r="BK516" s="93"/>
      <c r="BL516" s="93"/>
      <c r="BM516" s="93"/>
      <c r="BN516" s="93"/>
      <c r="BO516" s="93"/>
      <c r="BP516" s="93"/>
      <c r="BQ516" s="93"/>
      <c r="BR516" s="93"/>
      <c r="BS516" s="93"/>
      <c r="BT516" s="93"/>
      <c r="BU516" s="93"/>
      <c r="BV516" s="93"/>
      <c r="BW516" s="93"/>
      <c r="BX516" s="93"/>
      <c r="BY516" s="93"/>
      <c r="BZ516" s="93"/>
      <c r="CA516" s="93"/>
      <c r="CB516" s="93"/>
      <c r="CC516" s="93"/>
      <c r="CD516" s="93"/>
      <c r="CE516" s="93"/>
      <c r="CF516" s="93"/>
      <c r="CG516" s="93"/>
      <c r="CH516" s="93"/>
      <c r="CI516" s="93"/>
      <c r="CJ516" s="93"/>
      <c r="CK516" s="93"/>
      <c r="CL516" s="93"/>
      <c r="CM516" s="93"/>
    </row>
    <row r="517" spans="1:91" x14ac:dyDescent="0.2">
      <c r="A517" s="144"/>
      <c r="B517" s="144"/>
      <c r="C517" s="144"/>
      <c r="D517" s="144"/>
      <c r="E517" s="144"/>
      <c r="F517" s="144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S517" s="95"/>
      <c r="T517" s="95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93"/>
      <c r="BI517" s="93"/>
      <c r="BJ517" s="93"/>
      <c r="BK517" s="93"/>
      <c r="BL517" s="93"/>
      <c r="BM517" s="93"/>
      <c r="BN517" s="93"/>
      <c r="BO517" s="93"/>
      <c r="BP517" s="93"/>
      <c r="BQ517" s="93"/>
      <c r="BR517" s="93"/>
      <c r="BS517" s="93"/>
      <c r="BT517" s="93"/>
      <c r="BU517" s="93"/>
      <c r="BV517" s="93"/>
      <c r="BW517" s="93"/>
      <c r="BX517" s="93"/>
      <c r="BY517" s="93"/>
      <c r="BZ517" s="93"/>
      <c r="CA517" s="93"/>
      <c r="CB517" s="93"/>
      <c r="CC517" s="93"/>
      <c r="CD517" s="93"/>
      <c r="CE517" s="93"/>
      <c r="CF517" s="93"/>
      <c r="CG517" s="93"/>
      <c r="CH517" s="93"/>
      <c r="CI517" s="93"/>
      <c r="CJ517" s="93"/>
      <c r="CK517" s="93"/>
      <c r="CL517" s="93"/>
      <c r="CM517" s="93"/>
    </row>
    <row r="518" spans="1:91" x14ac:dyDescent="0.2">
      <c r="A518" s="144"/>
      <c r="B518" s="144"/>
      <c r="C518" s="144"/>
      <c r="D518" s="144"/>
      <c r="E518" s="144"/>
      <c r="F518" s="144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S518" s="95"/>
      <c r="T518" s="95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93"/>
      <c r="BI518" s="93"/>
      <c r="BJ518" s="93"/>
      <c r="BK518" s="93"/>
      <c r="BL518" s="93"/>
      <c r="BM518" s="93"/>
      <c r="BN518" s="93"/>
      <c r="BO518" s="93"/>
      <c r="BP518" s="93"/>
      <c r="BQ518" s="93"/>
      <c r="BR518" s="93"/>
      <c r="BS518" s="93"/>
      <c r="BT518" s="93"/>
      <c r="BU518" s="93"/>
      <c r="BV518" s="93"/>
      <c r="BW518" s="93"/>
      <c r="BX518" s="93"/>
      <c r="BY518" s="93"/>
      <c r="BZ518" s="93"/>
      <c r="CA518" s="93"/>
      <c r="CB518" s="93"/>
      <c r="CC518" s="93"/>
      <c r="CD518" s="93"/>
      <c r="CE518" s="93"/>
      <c r="CF518" s="93"/>
      <c r="CG518" s="93"/>
      <c r="CH518" s="93"/>
      <c r="CI518" s="93"/>
      <c r="CJ518" s="93"/>
      <c r="CK518" s="93"/>
      <c r="CL518" s="93"/>
      <c r="CM518" s="93"/>
    </row>
    <row r="519" spans="1:91" x14ac:dyDescent="0.2">
      <c r="A519" s="144"/>
      <c r="B519" s="144"/>
      <c r="C519" s="144"/>
      <c r="D519" s="144"/>
      <c r="E519" s="144"/>
      <c r="F519" s="144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S519" s="95"/>
      <c r="T519" s="95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93"/>
      <c r="BI519" s="93"/>
      <c r="BJ519" s="93"/>
      <c r="BK519" s="93"/>
      <c r="BL519" s="93"/>
      <c r="BM519" s="93"/>
      <c r="BN519" s="93"/>
      <c r="BO519" s="93"/>
      <c r="BP519" s="93"/>
      <c r="BQ519" s="93"/>
      <c r="BR519" s="93"/>
      <c r="BS519" s="93"/>
      <c r="BT519" s="93"/>
      <c r="BU519" s="93"/>
      <c r="BV519" s="93"/>
      <c r="BW519" s="93"/>
      <c r="BX519" s="93"/>
      <c r="BY519" s="93"/>
      <c r="BZ519" s="93"/>
      <c r="CA519" s="93"/>
      <c r="CB519" s="93"/>
      <c r="CC519" s="93"/>
      <c r="CD519" s="93"/>
      <c r="CE519" s="93"/>
      <c r="CF519" s="93"/>
      <c r="CG519" s="93"/>
      <c r="CH519" s="93"/>
      <c r="CI519" s="93"/>
      <c r="CJ519" s="93"/>
      <c r="CK519" s="93"/>
      <c r="CL519" s="93"/>
      <c r="CM519" s="93"/>
    </row>
    <row r="520" spans="1:91" x14ac:dyDescent="0.2">
      <c r="A520" s="144"/>
      <c r="B520" s="144"/>
      <c r="C520" s="144"/>
      <c r="D520" s="144"/>
      <c r="E520" s="144"/>
      <c r="F520" s="144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S520" s="95"/>
      <c r="T520" s="95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93"/>
      <c r="BI520" s="93"/>
      <c r="BJ520" s="93"/>
      <c r="BK520" s="93"/>
      <c r="BL520" s="93"/>
      <c r="BM520" s="93"/>
      <c r="BN520" s="93"/>
      <c r="BO520" s="93"/>
      <c r="BP520" s="93"/>
      <c r="BQ520" s="93"/>
      <c r="BR520" s="93"/>
      <c r="BS520" s="93"/>
      <c r="BT520" s="93"/>
      <c r="BU520" s="93"/>
      <c r="BV520" s="93"/>
      <c r="BW520" s="93"/>
      <c r="BX520" s="93"/>
      <c r="BY520" s="93"/>
      <c r="BZ520" s="93"/>
      <c r="CA520" s="93"/>
      <c r="CB520" s="93"/>
      <c r="CC520" s="93"/>
      <c r="CD520" s="93"/>
      <c r="CE520" s="93"/>
      <c r="CF520" s="93"/>
      <c r="CG520" s="93"/>
      <c r="CH520" s="93"/>
      <c r="CI520" s="93"/>
      <c r="CJ520" s="93"/>
      <c r="CK520" s="93"/>
      <c r="CL520" s="93"/>
      <c r="CM520" s="93"/>
    </row>
    <row r="521" spans="1:91" x14ac:dyDescent="0.2">
      <c r="A521" s="144"/>
      <c r="B521" s="144"/>
      <c r="C521" s="144"/>
      <c r="D521" s="144"/>
      <c r="E521" s="144"/>
      <c r="F521" s="144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S521" s="95"/>
      <c r="T521" s="95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93"/>
      <c r="BI521" s="93"/>
      <c r="BJ521" s="93"/>
      <c r="BK521" s="93"/>
      <c r="BL521" s="93"/>
      <c r="BM521" s="93"/>
      <c r="BN521" s="93"/>
      <c r="BO521" s="93"/>
      <c r="BP521" s="93"/>
      <c r="BQ521" s="93"/>
      <c r="BR521" s="93"/>
      <c r="BS521" s="93"/>
      <c r="BT521" s="93"/>
      <c r="BU521" s="93"/>
      <c r="BV521" s="93"/>
      <c r="BW521" s="93"/>
      <c r="BX521" s="93"/>
      <c r="BY521" s="93"/>
      <c r="BZ521" s="93"/>
      <c r="CA521" s="93"/>
      <c r="CB521" s="93"/>
      <c r="CC521" s="93"/>
      <c r="CD521" s="93"/>
      <c r="CE521" s="93"/>
      <c r="CF521" s="93"/>
      <c r="CG521" s="93"/>
      <c r="CH521" s="93"/>
      <c r="CI521" s="93"/>
      <c r="CJ521" s="93"/>
      <c r="CK521" s="93"/>
      <c r="CL521" s="93"/>
      <c r="CM521" s="93"/>
    </row>
    <row r="522" spans="1:91" x14ac:dyDescent="0.2">
      <c r="A522" s="144"/>
      <c r="B522" s="144"/>
      <c r="C522" s="144"/>
      <c r="D522" s="144"/>
      <c r="E522" s="144"/>
      <c r="F522" s="144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S522" s="95"/>
      <c r="T522" s="95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93"/>
      <c r="BI522" s="93"/>
      <c r="BJ522" s="93"/>
      <c r="BK522" s="93"/>
      <c r="BL522" s="93"/>
      <c r="BM522" s="93"/>
      <c r="BN522" s="93"/>
      <c r="BO522" s="93"/>
      <c r="BP522" s="93"/>
      <c r="BQ522" s="93"/>
      <c r="BR522" s="93"/>
      <c r="BS522" s="93"/>
      <c r="BT522" s="93"/>
      <c r="BU522" s="93"/>
      <c r="BV522" s="93"/>
      <c r="BW522" s="93"/>
      <c r="BX522" s="93"/>
      <c r="BY522" s="93"/>
      <c r="BZ522" s="93"/>
      <c r="CA522" s="93"/>
      <c r="CB522" s="93"/>
      <c r="CC522" s="93"/>
      <c r="CD522" s="93"/>
      <c r="CE522" s="93"/>
      <c r="CF522" s="93"/>
      <c r="CG522" s="93"/>
      <c r="CH522" s="93"/>
      <c r="CI522" s="93"/>
      <c r="CJ522" s="93"/>
      <c r="CK522" s="93"/>
      <c r="CL522" s="93"/>
      <c r="CM522" s="93"/>
    </row>
    <row r="523" spans="1:91" x14ac:dyDescent="0.2">
      <c r="A523" s="144"/>
      <c r="B523" s="144"/>
      <c r="C523" s="144"/>
      <c r="D523" s="144"/>
      <c r="E523" s="144"/>
      <c r="F523" s="144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S523" s="95"/>
      <c r="T523" s="95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93"/>
      <c r="BI523" s="93"/>
      <c r="BJ523" s="93"/>
      <c r="BK523" s="93"/>
      <c r="BL523" s="93"/>
      <c r="BM523" s="93"/>
      <c r="BN523" s="93"/>
      <c r="BO523" s="93"/>
      <c r="BP523" s="93"/>
      <c r="BQ523" s="93"/>
      <c r="BR523" s="93"/>
      <c r="BS523" s="93"/>
      <c r="BT523" s="93"/>
      <c r="BU523" s="93"/>
      <c r="BV523" s="93"/>
      <c r="BW523" s="93"/>
      <c r="BX523" s="93"/>
      <c r="BY523" s="93"/>
      <c r="BZ523" s="93"/>
      <c r="CA523" s="93"/>
      <c r="CB523" s="93"/>
      <c r="CC523" s="93"/>
      <c r="CD523" s="93"/>
      <c r="CE523" s="93"/>
      <c r="CF523" s="93"/>
      <c r="CG523" s="93"/>
      <c r="CH523" s="93"/>
      <c r="CI523" s="93"/>
      <c r="CJ523" s="93"/>
      <c r="CK523" s="93"/>
      <c r="CL523" s="93"/>
      <c r="CM523" s="93"/>
    </row>
    <row r="524" spans="1:91" x14ac:dyDescent="0.2">
      <c r="A524" s="144"/>
      <c r="B524" s="144"/>
      <c r="C524" s="144"/>
      <c r="D524" s="144"/>
      <c r="E524" s="144"/>
      <c r="F524" s="144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S524" s="95"/>
      <c r="T524" s="95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93"/>
      <c r="BI524" s="93"/>
      <c r="BJ524" s="93"/>
      <c r="BK524" s="93"/>
      <c r="BL524" s="93"/>
      <c r="BM524" s="93"/>
      <c r="BN524" s="93"/>
      <c r="BO524" s="93"/>
      <c r="BP524" s="93"/>
      <c r="BQ524" s="93"/>
      <c r="BR524" s="93"/>
      <c r="BS524" s="93"/>
      <c r="BT524" s="93"/>
      <c r="BU524" s="93"/>
      <c r="BV524" s="93"/>
      <c r="BW524" s="93"/>
      <c r="BX524" s="93"/>
      <c r="BY524" s="93"/>
      <c r="BZ524" s="93"/>
      <c r="CA524" s="93"/>
      <c r="CB524" s="93"/>
      <c r="CC524" s="93"/>
      <c r="CD524" s="93"/>
      <c r="CE524" s="93"/>
      <c r="CF524" s="93"/>
      <c r="CG524" s="93"/>
      <c r="CH524" s="93"/>
      <c r="CI524" s="93"/>
      <c r="CJ524" s="93"/>
      <c r="CK524" s="93"/>
      <c r="CL524" s="93"/>
      <c r="CM524" s="93"/>
    </row>
    <row r="525" spans="1:91" x14ac:dyDescent="0.2">
      <c r="A525" s="144"/>
      <c r="B525" s="144"/>
      <c r="C525" s="144"/>
      <c r="D525" s="144"/>
      <c r="E525" s="144"/>
      <c r="F525" s="144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S525" s="95"/>
      <c r="T525" s="95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93"/>
      <c r="BI525" s="93"/>
      <c r="BJ525" s="93"/>
      <c r="BK525" s="93"/>
      <c r="BL525" s="93"/>
      <c r="BM525" s="93"/>
      <c r="BN525" s="93"/>
      <c r="BO525" s="93"/>
      <c r="BP525" s="93"/>
      <c r="BQ525" s="93"/>
      <c r="BR525" s="93"/>
      <c r="BS525" s="93"/>
      <c r="BT525" s="93"/>
      <c r="BU525" s="93"/>
      <c r="BV525" s="93"/>
      <c r="BW525" s="93"/>
      <c r="BX525" s="93"/>
      <c r="BY525" s="93"/>
      <c r="BZ525" s="93"/>
      <c r="CA525" s="93"/>
      <c r="CB525" s="93"/>
      <c r="CC525" s="93"/>
      <c r="CD525" s="93"/>
      <c r="CE525" s="93"/>
      <c r="CF525" s="93"/>
      <c r="CG525" s="93"/>
      <c r="CH525" s="93"/>
      <c r="CI525" s="93"/>
      <c r="CJ525" s="93"/>
      <c r="CK525" s="93"/>
      <c r="CL525" s="93"/>
      <c r="CM525" s="93"/>
    </row>
    <row r="526" spans="1:91" x14ac:dyDescent="0.2">
      <c r="A526" s="144"/>
      <c r="B526" s="144"/>
      <c r="C526" s="144"/>
      <c r="D526" s="144"/>
      <c r="E526" s="144"/>
      <c r="F526" s="144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S526" s="95"/>
      <c r="T526" s="95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93"/>
      <c r="BI526" s="93"/>
      <c r="BJ526" s="93"/>
      <c r="BK526" s="93"/>
      <c r="BL526" s="93"/>
      <c r="BM526" s="93"/>
      <c r="BN526" s="93"/>
      <c r="BO526" s="93"/>
      <c r="BP526" s="93"/>
      <c r="BQ526" s="93"/>
      <c r="BR526" s="93"/>
      <c r="BS526" s="93"/>
      <c r="BT526" s="93"/>
      <c r="BU526" s="93"/>
      <c r="BV526" s="93"/>
      <c r="BW526" s="93"/>
      <c r="BX526" s="93"/>
      <c r="BY526" s="93"/>
      <c r="BZ526" s="93"/>
      <c r="CA526" s="93"/>
      <c r="CB526" s="93"/>
      <c r="CC526" s="93"/>
      <c r="CD526" s="93"/>
      <c r="CE526" s="93"/>
      <c r="CF526" s="93"/>
      <c r="CG526" s="93"/>
      <c r="CH526" s="93"/>
      <c r="CI526" s="93"/>
      <c r="CJ526" s="93"/>
      <c r="CK526" s="93"/>
      <c r="CL526" s="93"/>
      <c r="CM526" s="93"/>
    </row>
    <row r="527" spans="1:91" x14ac:dyDescent="0.2">
      <c r="A527" s="144"/>
      <c r="B527" s="144"/>
      <c r="C527" s="144"/>
      <c r="D527" s="144"/>
      <c r="E527" s="144"/>
      <c r="F527" s="144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S527" s="95"/>
      <c r="T527" s="95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93"/>
      <c r="BI527" s="93"/>
      <c r="BJ527" s="93"/>
      <c r="BK527" s="93"/>
      <c r="BL527" s="93"/>
      <c r="BM527" s="93"/>
      <c r="BN527" s="93"/>
      <c r="BO527" s="93"/>
      <c r="BP527" s="93"/>
      <c r="BQ527" s="93"/>
      <c r="BR527" s="93"/>
      <c r="BS527" s="93"/>
      <c r="BT527" s="93"/>
      <c r="BU527" s="93"/>
      <c r="BV527" s="93"/>
      <c r="BW527" s="93"/>
      <c r="BX527" s="93"/>
      <c r="BY527" s="93"/>
      <c r="BZ527" s="93"/>
      <c r="CA527" s="93"/>
      <c r="CB527" s="93"/>
      <c r="CC527" s="93"/>
      <c r="CD527" s="93"/>
      <c r="CE527" s="93"/>
      <c r="CF527" s="93"/>
      <c r="CG527" s="93"/>
      <c r="CH527" s="93"/>
      <c r="CI527" s="93"/>
      <c r="CJ527" s="93"/>
      <c r="CK527" s="93"/>
      <c r="CL527" s="93"/>
      <c r="CM527" s="93"/>
    </row>
    <row r="528" spans="1:91" x14ac:dyDescent="0.2">
      <c r="A528" s="144"/>
      <c r="B528" s="144"/>
      <c r="C528" s="144"/>
      <c r="D528" s="144"/>
      <c r="E528" s="144"/>
      <c r="F528" s="144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S528" s="95"/>
      <c r="T528" s="95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93"/>
      <c r="BI528" s="93"/>
      <c r="BJ528" s="93"/>
      <c r="BK528" s="93"/>
      <c r="BL528" s="93"/>
      <c r="BM528" s="93"/>
      <c r="BN528" s="93"/>
      <c r="BO528" s="93"/>
      <c r="BP528" s="93"/>
      <c r="BQ528" s="93"/>
      <c r="BR528" s="93"/>
      <c r="BS528" s="93"/>
      <c r="BT528" s="93"/>
      <c r="BU528" s="93"/>
      <c r="BV528" s="93"/>
      <c r="BW528" s="93"/>
      <c r="BX528" s="93"/>
      <c r="BY528" s="93"/>
      <c r="BZ528" s="93"/>
      <c r="CA528" s="93"/>
      <c r="CB528" s="93"/>
      <c r="CC528" s="93"/>
      <c r="CD528" s="93"/>
      <c r="CE528" s="93"/>
      <c r="CF528" s="93"/>
      <c r="CG528" s="93"/>
      <c r="CH528" s="93"/>
      <c r="CI528" s="93"/>
      <c r="CJ528" s="93"/>
      <c r="CK528" s="93"/>
      <c r="CL528" s="93"/>
      <c r="CM528" s="93"/>
    </row>
    <row r="529" spans="1:91" x14ac:dyDescent="0.2">
      <c r="A529" s="144"/>
      <c r="B529" s="144"/>
      <c r="C529" s="144"/>
      <c r="D529" s="144"/>
      <c r="E529" s="144"/>
      <c r="F529" s="144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S529" s="95"/>
      <c r="T529" s="95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93"/>
      <c r="BI529" s="93"/>
      <c r="BJ529" s="93"/>
      <c r="BK529" s="93"/>
      <c r="BL529" s="93"/>
      <c r="BM529" s="93"/>
      <c r="BN529" s="93"/>
      <c r="BO529" s="93"/>
      <c r="BP529" s="93"/>
      <c r="BQ529" s="93"/>
      <c r="BR529" s="93"/>
      <c r="BS529" s="93"/>
      <c r="BT529" s="93"/>
      <c r="BU529" s="93"/>
      <c r="BV529" s="93"/>
      <c r="BW529" s="93"/>
      <c r="BX529" s="93"/>
      <c r="BY529" s="93"/>
      <c r="BZ529" s="93"/>
      <c r="CA529" s="93"/>
      <c r="CB529" s="93"/>
      <c r="CC529" s="93"/>
      <c r="CD529" s="93"/>
      <c r="CE529" s="93"/>
      <c r="CF529" s="93"/>
      <c r="CG529" s="93"/>
      <c r="CH529" s="93"/>
      <c r="CI529" s="93"/>
      <c r="CJ529" s="93"/>
      <c r="CK529" s="93"/>
      <c r="CL529" s="93"/>
      <c r="CM529" s="93"/>
    </row>
    <row r="530" spans="1:91" x14ac:dyDescent="0.2">
      <c r="A530" s="144"/>
      <c r="B530" s="144"/>
      <c r="C530" s="144"/>
      <c r="D530" s="144"/>
      <c r="E530" s="144"/>
      <c r="F530" s="144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S530" s="95"/>
      <c r="T530" s="95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93"/>
      <c r="BI530" s="93"/>
      <c r="BJ530" s="93"/>
      <c r="BK530" s="93"/>
      <c r="BL530" s="93"/>
      <c r="BM530" s="93"/>
      <c r="BN530" s="93"/>
      <c r="BO530" s="93"/>
      <c r="BP530" s="93"/>
      <c r="BQ530" s="93"/>
      <c r="BR530" s="93"/>
      <c r="BS530" s="93"/>
      <c r="BT530" s="93"/>
      <c r="BU530" s="93"/>
      <c r="BV530" s="93"/>
      <c r="BW530" s="93"/>
      <c r="BX530" s="93"/>
      <c r="BY530" s="93"/>
      <c r="BZ530" s="93"/>
      <c r="CA530" s="93"/>
      <c r="CB530" s="93"/>
      <c r="CC530" s="93"/>
      <c r="CD530" s="93"/>
      <c r="CE530" s="93"/>
      <c r="CF530" s="93"/>
      <c r="CG530" s="93"/>
      <c r="CH530" s="93"/>
      <c r="CI530" s="93"/>
      <c r="CJ530" s="93"/>
      <c r="CK530" s="93"/>
      <c r="CL530" s="93"/>
      <c r="CM530" s="93"/>
    </row>
    <row r="531" spans="1:91" x14ac:dyDescent="0.2">
      <c r="A531" s="144"/>
      <c r="B531" s="144"/>
      <c r="C531" s="144"/>
      <c r="D531" s="144"/>
      <c r="E531" s="144"/>
      <c r="F531" s="144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S531" s="95"/>
      <c r="T531" s="95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93"/>
      <c r="BI531" s="93"/>
      <c r="BJ531" s="93"/>
      <c r="BK531" s="93"/>
      <c r="BL531" s="93"/>
      <c r="BM531" s="93"/>
      <c r="BN531" s="93"/>
      <c r="BO531" s="93"/>
      <c r="BP531" s="93"/>
      <c r="BQ531" s="93"/>
      <c r="BR531" s="93"/>
      <c r="BS531" s="93"/>
      <c r="BT531" s="93"/>
      <c r="BU531" s="93"/>
      <c r="BV531" s="93"/>
      <c r="BW531" s="93"/>
      <c r="BX531" s="93"/>
      <c r="BY531" s="93"/>
      <c r="BZ531" s="93"/>
      <c r="CA531" s="93"/>
      <c r="CB531" s="93"/>
      <c r="CC531" s="93"/>
      <c r="CD531" s="93"/>
      <c r="CE531" s="93"/>
      <c r="CF531" s="93"/>
      <c r="CG531" s="93"/>
      <c r="CH531" s="93"/>
      <c r="CI531" s="93"/>
      <c r="CJ531" s="93"/>
      <c r="CK531" s="93"/>
      <c r="CL531" s="93"/>
      <c r="CM531" s="93"/>
    </row>
    <row r="532" spans="1:91" x14ac:dyDescent="0.2">
      <c r="A532" s="144"/>
      <c r="B532" s="144"/>
      <c r="C532" s="144"/>
      <c r="D532" s="144"/>
      <c r="E532" s="144"/>
      <c r="F532" s="144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S532" s="95"/>
      <c r="T532" s="95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93"/>
      <c r="BI532" s="93"/>
      <c r="BJ532" s="93"/>
      <c r="BK532" s="93"/>
      <c r="BL532" s="93"/>
      <c r="BM532" s="93"/>
      <c r="BN532" s="93"/>
      <c r="BO532" s="93"/>
      <c r="BP532" s="93"/>
      <c r="BQ532" s="93"/>
      <c r="BR532" s="93"/>
      <c r="BS532" s="93"/>
      <c r="BT532" s="93"/>
      <c r="BU532" s="93"/>
      <c r="BV532" s="93"/>
      <c r="BW532" s="93"/>
      <c r="BX532" s="93"/>
      <c r="BY532" s="93"/>
      <c r="BZ532" s="93"/>
      <c r="CA532" s="93"/>
      <c r="CB532" s="93"/>
      <c r="CC532" s="93"/>
      <c r="CD532" s="93"/>
      <c r="CE532" s="93"/>
      <c r="CF532" s="93"/>
      <c r="CG532" s="93"/>
      <c r="CH532" s="93"/>
      <c r="CI532" s="93"/>
      <c r="CJ532" s="93"/>
      <c r="CK532" s="93"/>
      <c r="CL532" s="93"/>
      <c r="CM532" s="93"/>
    </row>
    <row r="533" spans="1:91" x14ac:dyDescent="0.2">
      <c r="A533" s="144"/>
      <c r="B533" s="144"/>
      <c r="C533" s="144"/>
      <c r="D533" s="144"/>
      <c r="E533" s="144"/>
      <c r="F533" s="144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S533" s="95"/>
      <c r="T533" s="95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93"/>
      <c r="BI533" s="93"/>
      <c r="BJ533" s="93"/>
      <c r="BK533" s="93"/>
      <c r="BL533" s="93"/>
      <c r="BM533" s="93"/>
      <c r="BN533" s="93"/>
      <c r="BO533" s="93"/>
      <c r="BP533" s="93"/>
      <c r="BQ533" s="93"/>
      <c r="BR533" s="93"/>
      <c r="BS533" s="93"/>
      <c r="BT533" s="93"/>
      <c r="BU533" s="93"/>
      <c r="BV533" s="93"/>
      <c r="BW533" s="93"/>
      <c r="BX533" s="93"/>
      <c r="BY533" s="93"/>
      <c r="BZ533" s="93"/>
      <c r="CA533" s="93"/>
      <c r="CB533" s="93"/>
      <c r="CC533" s="93"/>
      <c r="CD533" s="93"/>
      <c r="CE533" s="93"/>
      <c r="CF533" s="93"/>
      <c r="CG533" s="93"/>
      <c r="CH533" s="93"/>
      <c r="CI533" s="93"/>
      <c r="CJ533" s="93"/>
      <c r="CK533" s="93"/>
      <c r="CL533" s="93"/>
      <c r="CM533" s="93"/>
    </row>
    <row r="534" spans="1:91" x14ac:dyDescent="0.2">
      <c r="A534" s="144"/>
      <c r="B534" s="144"/>
      <c r="C534" s="144"/>
      <c r="D534" s="144"/>
      <c r="E534" s="144"/>
      <c r="F534" s="144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S534" s="95"/>
      <c r="T534" s="95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93"/>
      <c r="BI534" s="93"/>
      <c r="BJ534" s="93"/>
      <c r="BK534" s="93"/>
      <c r="BL534" s="93"/>
      <c r="BM534" s="93"/>
      <c r="BN534" s="93"/>
      <c r="BO534" s="93"/>
      <c r="BP534" s="93"/>
      <c r="BQ534" s="93"/>
      <c r="BR534" s="93"/>
      <c r="BS534" s="93"/>
      <c r="BT534" s="93"/>
      <c r="BU534" s="93"/>
      <c r="BV534" s="93"/>
      <c r="BW534" s="93"/>
      <c r="BX534" s="93"/>
      <c r="BY534" s="93"/>
      <c r="BZ534" s="93"/>
      <c r="CA534" s="93"/>
      <c r="CB534" s="93"/>
      <c r="CC534" s="93"/>
      <c r="CD534" s="93"/>
      <c r="CE534" s="93"/>
      <c r="CF534" s="93"/>
      <c r="CG534" s="93"/>
      <c r="CH534" s="93"/>
      <c r="CI534" s="93"/>
      <c r="CJ534" s="93"/>
      <c r="CK534" s="93"/>
      <c r="CL534" s="93"/>
      <c r="CM534" s="93"/>
    </row>
    <row r="535" spans="1:91" x14ac:dyDescent="0.2">
      <c r="A535" s="144"/>
      <c r="B535" s="144"/>
      <c r="C535" s="144"/>
      <c r="D535" s="144"/>
      <c r="E535" s="144"/>
      <c r="F535" s="144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S535" s="95"/>
      <c r="T535" s="95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93"/>
      <c r="BI535" s="93"/>
      <c r="BJ535" s="93"/>
      <c r="BK535" s="93"/>
      <c r="BL535" s="93"/>
      <c r="BM535" s="93"/>
      <c r="BN535" s="93"/>
      <c r="BO535" s="93"/>
      <c r="BP535" s="93"/>
      <c r="BQ535" s="93"/>
      <c r="BR535" s="93"/>
      <c r="BS535" s="93"/>
      <c r="BT535" s="93"/>
      <c r="BU535" s="93"/>
      <c r="BV535" s="93"/>
      <c r="BW535" s="93"/>
      <c r="BX535" s="93"/>
      <c r="BY535" s="93"/>
      <c r="BZ535" s="93"/>
      <c r="CA535" s="93"/>
      <c r="CB535" s="93"/>
      <c r="CC535" s="93"/>
      <c r="CD535" s="93"/>
      <c r="CE535" s="93"/>
      <c r="CF535" s="93"/>
      <c r="CG535" s="93"/>
      <c r="CH535" s="93"/>
      <c r="CI535" s="93"/>
      <c r="CJ535" s="93"/>
      <c r="CK535" s="93"/>
      <c r="CL535" s="93"/>
      <c r="CM535" s="93"/>
    </row>
    <row r="536" spans="1:91" x14ac:dyDescent="0.2">
      <c r="A536" s="144"/>
      <c r="B536" s="144"/>
      <c r="C536" s="144"/>
      <c r="D536" s="144"/>
      <c r="E536" s="144"/>
      <c r="F536" s="144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S536" s="95"/>
      <c r="T536" s="95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93"/>
      <c r="BI536" s="93"/>
      <c r="BJ536" s="93"/>
      <c r="BK536" s="93"/>
      <c r="BL536" s="93"/>
      <c r="BM536" s="93"/>
      <c r="BN536" s="93"/>
      <c r="BO536" s="93"/>
      <c r="BP536" s="93"/>
      <c r="BQ536" s="93"/>
      <c r="BR536" s="93"/>
      <c r="BS536" s="93"/>
      <c r="BT536" s="93"/>
      <c r="BU536" s="93"/>
      <c r="BV536" s="93"/>
      <c r="BW536" s="93"/>
      <c r="BX536" s="93"/>
      <c r="BY536" s="93"/>
      <c r="BZ536" s="93"/>
      <c r="CA536" s="93"/>
      <c r="CB536" s="93"/>
      <c r="CC536" s="93"/>
      <c r="CD536" s="93"/>
      <c r="CE536" s="93"/>
      <c r="CF536" s="93"/>
      <c r="CG536" s="93"/>
      <c r="CH536" s="93"/>
      <c r="CI536" s="93"/>
      <c r="CJ536" s="93"/>
      <c r="CK536" s="93"/>
      <c r="CL536" s="93"/>
      <c r="CM536" s="93"/>
    </row>
    <row r="537" spans="1:91" x14ac:dyDescent="0.2">
      <c r="A537" s="144"/>
      <c r="B537" s="144"/>
      <c r="C537" s="144"/>
      <c r="D537" s="144"/>
      <c r="E537" s="144"/>
      <c r="F537" s="144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S537" s="95"/>
      <c r="T537" s="95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93"/>
      <c r="BI537" s="93"/>
      <c r="BJ537" s="93"/>
      <c r="BK537" s="93"/>
      <c r="BL537" s="93"/>
      <c r="BM537" s="93"/>
      <c r="BN537" s="93"/>
      <c r="BO537" s="93"/>
      <c r="BP537" s="93"/>
      <c r="BQ537" s="93"/>
      <c r="BR537" s="93"/>
      <c r="BS537" s="93"/>
      <c r="BT537" s="93"/>
      <c r="BU537" s="93"/>
      <c r="BV537" s="93"/>
      <c r="BW537" s="93"/>
      <c r="BX537" s="93"/>
      <c r="BY537" s="93"/>
      <c r="BZ537" s="93"/>
      <c r="CA537" s="93"/>
      <c r="CB537" s="93"/>
      <c r="CC537" s="93"/>
      <c r="CD537" s="93"/>
      <c r="CE537" s="93"/>
      <c r="CF537" s="93"/>
      <c r="CG537" s="93"/>
      <c r="CH537" s="93"/>
      <c r="CI537" s="93"/>
      <c r="CJ537" s="93"/>
      <c r="CK537" s="93"/>
      <c r="CL537" s="93"/>
      <c r="CM537" s="93"/>
    </row>
    <row r="538" spans="1:91" x14ac:dyDescent="0.2">
      <c r="A538" s="144"/>
      <c r="B538" s="144"/>
      <c r="C538" s="144"/>
      <c r="D538" s="144"/>
      <c r="E538" s="144"/>
      <c r="F538" s="144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S538" s="95"/>
      <c r="T538" s="95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93"/>
      <c r="BI538" s="93"/>
      <c r="BJ538" s="93"/>
      <c r="BK538" s="93"/>
      <c r="BL538" s="93"/>
      <c r="BM538" s="93"/>
      <c r="BN538" s="93"/>
      <c r="BO538" s="93"/>
      <c r="BP538" s="93"/>
      <c r="BQ538" s="93"/>
      <c r="BR538" s="93"/>
      <c r="BS538" s="93"/>
      <c r="BT538" s="93"/>
      <c r="BU538" s="93"/>
      <c r="BV538" s="93"/>
      <c r="BW538" s="93"/>
      <c r="BX538" s="93"/>
      <c r="BY538" s="93"/>
      <c r="BZ538" s="93"/>
      <c r="CA538" s="93"/>
      <c r="CB538" s="93"/>
      <c r="CC538" s="93"/>
      <c r="CD538" s="93"/>
      <c r="CE538" s="93"/>
      <c r="CF538" s="93"/>
      <c r="CG538" s="93"/>
      <c r="CH538" s="93"/>
      <c r="CI538" s="93"/>
      <c r="CJ538" s="93"/>
      <c r="CK538" s="93"/>
      <c r="CL538" s="93"/>
      <c r="CM538" s="93"/>
    </row>
    <row r="539" spans="1:91" x14ac:dyDescent="0.2">
      <c r="A539" s="144"/>
      <c r="B539" s="144"/>
      <c r="C539" s="144"/>
      <c r="D539" s="144"/>
      <c r="E539" s="144"/>
      <c r="F539" s="144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S539" s="95"/>
      <c r="T539" s="95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93"/>
      <c r="BI539" s="93"/>
      <c r="BJ539" s="93"/>
      <c r="BK539" s="93"/>
      <c r="BL539" s="93"/>
      <c r="BM539" s="93"/>
      <c r="BN539" s="93"/>
      <c r="BO539" s="93"/>
      <c r="BP539" s="93"/>
      <c r="BQ539" s="93"/>
      <c r="BR539" s="93"/>
      <c r="BS539" s="93"/>
      <c r="BT539" s="93"/>
      <c r="BU539" s="93"/>
      <c r="BV539" s="93"/>
      <c r="BW539" s="93"/>
      <c r="BX539" s="93"/>
      <c r="BY539" s="93"/>
      <c r="BZ539" s="93"/>
      <c r="CA539" s="93"/>
      <c r="CB539" s="93"/>
      <c r="CC539" s="93"/>
      <c r="CD539" s="93"/>
      <c r="CE539" s="93"/>
      <c r="CF539" s="93"/>
      <c r="CG539" s="93"/>
      <c r="CH539" s="93"/>
      <c r="CI539" s="93"/>
      <c r="CJ539" s="93"/>
      <c r="CK539" s="93"/>
      <c r="CL539" s="93"/>
      <c r="CM539" s="93"/>
    </row>
    <row r="540" spans="1:91" x14ac:dyDescent="0.2">
      <c r="A540" s="144"/>
      <c r="B540" s="144"/>
      <c r="C540" s="144"/>
      <c r="D540" s="144"/>
      <c r="E540" s="144"/>
      <c r="F540" s="144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S540" s="95"/>
      <c r="T540" s="95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93"/>
      <c r="BI540" s="93"/>
      <c r="BJ540" s="93"/>
      <c r="BK540" s="93"/>
      <c r="BL540" s="93"/>
      <c r="BM540" s="93"/>
      <c r="BN540" s="93"/>
      <c r="BO540" s="93"/>
      <c r="BP540" s="93"/>
      <c r="BQ540" s="93"/>
      <c r="BR540" s="93"/>
      <c r="BS540" s="93"/>
      <c r="BT540" s="93"/>
      <c r="BU540" s="93"/>
      <c r="BV540" s="93"/>
      <c r="BW540" s="93"/>
      <c r="BX540" s="93"/>
      <c r="BY540" s="93"/>
      <c r="BZ540" s="93"/>
      <c r="CA540" s="93"/>
      <c r="CB540" s="93"/>
      <c r="CC540" s="93"/>
      <c r="CD540" s="93"/>
      <c r="CE540" s="93"/>
      <c r="CF540" s="93"/>
      <c r="CG540" s="93"/>
      <c r="CH540" s="93"/>
      <c r="CI540" s="93"/>
      <c r="CJ540" s="93"/>
      <c r="CK540" s="93"/>
      <c r="CL540" s="93"/>
      <c r="CM540" s="93"/>
    </row>
    <row r="541" spans="1:91" x14ac:dyDescent="0.2">
      <c r="A541" s="144"/>
      <c r="B541" s="144"/>
      <c r="C541" s="144"/>
      <c r="D541" s="144"/>
      <c r="E541" s="144"/>
      <c r="F541" s="144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S541" s="95"/>
      <c r="T541" s="95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93"/>
      <c r="BI541" s="93"/>
      <c r="BJ541" s="93"/>
      <c r="BK541" s="93"/>
      <c r="BL541" s="93"/>
      <c r="BM541" s="93"/>
      <c r="BN541" s="93"/>
      <c r="BO541" s="93"/>
      <c r="BP541" s="93"/>
      <c r="BQ541" s="93"/>
      <c r="BR541" s="93"/>
      <c r="BS541" s="93"/>
      <c r="BT541" s="93"/>
      <c r="BU541" s="93"/>
      <c r="BV541" s="93"/>
      <c r="BW541" s="93"/>
      <c r="BX541" s="93"/>
      <c r="BY541" s="93"/>
      <c r="BZ541" s="93"/>
      <c r="CA541" s="93"/>
      <c r="CB541" s="93"/>
      <c r="CC541" s="93"/>
      <c r="CD541" s="93"/>
      <c r="CE541" s="93"/>
      <c r="CF541" s="93"/>
      <c r="CG541" s="93"/>
      <c r="CH541" s="93"/>
      <c r="CI541" s="93"/>
      <c r="CJ541" s="93"/>
      <c r="CK541" s="93"/>
      <c r="CL541" s="93"/>
      <c r="CM541" s="93"/>
    </row>
    <row r="542" spans="1:91" x14ac:dyDescent="0.2">
      <c r="A542" s="144"/>
      <c r="B542" s="144"/>
      <c r="C542" s="144"/>
      <c r="D542" s="144"/>
      <c r="E542" s="144"/>
      <c r="F542" s="144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S542" s="95"/>
      <c r="T542" s="95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93"/>
      <c r="BI542" s="93"/>
      <c r="BJ542" s="93"/>
      <c r="BK542" s="93"/>
      <c r="BL542" s="93"/>
      <c r="BM542" s="93"/>
      <c r="BN542" s="93"/>
      <c r="BO542" s="93"/>
      <c r="BP542" s="93"/>
      <c r="BQ542" s="93"/>
      <c r="BR542" s="93"/>
      <c r="BS542" s="93"/>
      <c r="BT542" s="93"/>
      <c r="BU542" s="93"/>
      <c r="BV542" s="93"/>
      <c r="BW542" s="93"/>
      <c r="BX542" s="93"/>
      <c r="BY542" s="93"/>
      <c r="BZ542" s="93"/>
      <c r="CA542" s="93"/>
      <c r="CB542" s="93"/>
      <c r="CC542" s="93"/>
      <c r="CD542" s="93"/>
      <c r="CE542" s="93"/>
      <c r="CF542" s="93"/>
      <c r="CG542" s="93"/>
      <c r="CH542" s="93"/>
      <c r="CI542" s="93"/>
      <c r="CJ542" s="93"/>
      <c r="CK542" s="93"/>
      <c r="CL542" s="93"/>
      <c r="CM542" s="93"/>
    </row>
    <row r="543" spans="1:91" x14ac:dyDescent="0.2">
      <c r="A543" s="144"/>
      <c r="B543" s="144"/>
      <c r="C543" s="144"/>
      <c r="D543" s="144"/>
      <c r="E543" s="144"/>
      <c r="F543" s="144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S543" s="95"/>
      <c r="T543" s="95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93"/>
      <c r="BI543" s="93"/>
      <c r="BJ543" s="93"/>
      <c r="BK543" s="93"/>
      <c r="BL543" s="93"/>
      <c r="BM543" s="93"/>
      <c r="BN543" s="93"/>
      <c r="BO543" s="93"/>
      <c r="BP543" s="93"/>
      <c r="BQ543" s="93"/>
      <c r="BR543" s="93"/>
      <c r="BS543" s="93"/>
      <c r="BT543" s="93"/>
      <c r="BU543" s="93"/>
      <c r="BV543" s="93"/>
      <c r="BW543" s="93"/>
      <c r="BX543" s="93"/>
      <c r="BY543" s="93"/>
      <c r="BZ543" s="93"/>
      <c r="CA543" s="93"/>
      <c r="CB543" s="93"/>
      <c r="CC543" s="93"/>
      <c r="CD543" s="93"/>
      <c r="CE543" s="93"/>
      <c r="CF543" s="93"/>
      <c r="CG543" s="93"/>
      <c r="CH543" s="93"/>
      <c r="CI543" s="93"/>
      <c r="CJ543" s="93"/>
      <c r="CK543" s="93"/>
      <c r="CL543" s="93"/>
      <c r="CM543" s="93"/>
    </row>
    <row r="544" spans="1:91" x14ac:dyDescent="0.2">
      <c r="A544" s="144"/>
      <c r="B544" s="144"/>
      <c r="C544" s="144"/>
      <c r="D544" s="144"/>
      <c r="E544" s="144"/>
      <c r="F544" s="144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S544" s="95"/>
      <c r="T544" s="95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93"/>
      <c r="BI544" s="93"/>
      <c r="BJ544" s="93"/>
      <c r="BK544" s="93"/>
      <c r="BL544" s="93"/>
      <c r="BM544" s="93"/>
      <c r="BN544" s="93"/>
      <c r="BO544" s="93"/>
      <c r="BP544" s="93"/>
      <c r="BQ544" s="93"/>
      <c r="BR544" s="93"/>
      <c r="BS544" s="93"/>
      <c r="BT544" s="93"/>
      <c r="BU544" s="93"/>
      <c r="BV544" s="93"/>
      <c r="BW544" s="93"/>
      <c r="BX544" s="93"/>
      <c r="BY544" s="93"/>
      <c r="BZ544" s="93"/>
      <c r="CA544" s="93"/>
      <c r="CB544" s="93"/>
      <c r="CC544" s="93"/>
      <c r="CD544" s="93"/>
      <c r="CE544" s="93"/>
      <c r="CF544" s="93"/>
      <c r="CG544" s="93"/>
      <c r="CH544" s="93"/>
      <c r="CI544" s="93"/>
      <c r="CJ544" s="93"/>
      <c r="CK544" s="93"/>
      <c r="CL544" s="93"/>
      <c r="CM544" s="93"/>
    </row>
    <row r="545" spans="1:91" x14ac:dyDescent="0.2">
      <c r="A545" s="144"/>
      <c r="B545" s="144"/>
      <c r="C545" s="144"/>
      <c r="D545" s="144"/>
      <c r="E545" s="144"/>
      <c r="F545" s="144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S545" s="95"/>
      <c r="T545" s="95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93"/>
      <c r="BI545" s="93"/>
      <c r="BJ545" s="93"/>
      <c r="BK545" s="93"/>
      <c r="BL545" s="93"/>
      <c r="BM545" s="93"/>
      <c r="BN545" s="93"/>
      <c r="BO545" s="93"/>
      <c r="BP545" s="93"/>
      <c r="BQ545" s="93"/>
      <c r="BR545" s="93"/>
      <c r="BS545" s="93"/>
      <c r="BT545" s="93"/>
      <c r="BU545" s="93"/>
      <c r="BV545" s="93"/>
      <c r="BW545" s="93"/>
      <c r="BX545" s="93"/>
      <c r="BY545" s="93"/>
      <c r="BZ545" s="93"/>
      <c r="CA545" s="93"/>
      <c r="CB545" s="93"/>
      <c r="CC545" s="93"/>
      <c r="CD545" s="93"/>
      <c r="CE545" s="93"/>
      <c r="CF545" s="93"/>
      <c r="CG545" s="93"/>
      <c r="CH545" s="93"/>
      <c r="CI545" s="93"/>
      <c r="CJ545" s="93"/>
      <c r="CK545" s="93"/>
      <c r="CL545" s="93"/>
      <c r="CM545" s="93"/>
    </row>
    <row r="546" spans="1:91" x14ac:dyDescent="0.2">
      <c r="A546" s="144"/>
      <c r="B546" s="144"/>
      <c r="C546" s="144"/>
      <c r="D546" s="144"/>
      <c r="E546" s="144"/>
      <c r="F546" s="144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S546" s="95"/>
      <c r="T546" s="95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93"/>
      <c r="BI546" s="93"/>
      <c r="BJ546" s="93"/>
      <c r="BK546" s="93"/>
      <c r="BL546" s="93"/>
      <c r="BM546" s="93"/>
      <c r="BN546" s="93"/>
      <c r="BO546" s="93"/>
      <c r="BP546" s="93"/>
      <c r="BQ546" s="93"/>
      <c r="BR546" s="93"/>
      <c r="BS546" s="93"/>
      <c r="BT546" s="93"/>
      <c r="BU546" s="93"/>
      <c r="BV546" s="93"/>
      <c r="BW546" s="93"/>
      <c r="BX546" s="93"/>
      <c r="BY546" s="93"/>
      <c r="BZ546" s="93"/>
      <c r="CA546" s="93"/>
      <c r="CB546" s="93"/>
      <c r="CC546" s="93"/>
      <c r="CD546" s="93"/>
      <c r="CE546" s="93"/>
      <c r="CF546" s="93"/>
      <c r="CG546" s="93"/>
      <c r="CH546" s="93"/>
      <c r="CI546" s="93"/>
      <c r="CJ546" s="93"/>
      <c r="CK546" s="93"/>
      <c r="CL546" s="93"/>
      <c r="CM546" s="93"/>
    </row>
    <row r="547" spans="1:91" x14ac:dyDescent="0.2">
      <c r="A547" s="144"/>
      <c r="B547" s="144"/>
      <c r="C547" s="144"/>
      <c r="D547" s="144"/>
      <c r="E547" s="144"/>
      <c r="F547" s="144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S547" s="95"/>
      <c r="T547" s="95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93"/>
      <c r="BI547" s="93"/>
      <c r="BJ547" s="93"/>
      <c r="BK547" s="93"/>
      <c r="BL547" s="93"/>
      <c r="BM547" s="93"/>
      <c r="BN547" s="93"/>
      <c r="BO547" s="93"/>
      <c r="BP547" s="93"/>
      <c r="BQ547" s="93"/>
      <c r="BR547" s="93"/>
      <c r="BS547" s="93"/>
      <c r="BT547" s="93"/>
      <c r="BU547" s="93"/>
      <c r="BV547" s="93"/>
      <c r="BW547" s="93"/>
      <c r="BX547" s="93"/>
      <c r="BY547" s="93"/>
      <c r="BZ547" s="93"/>
      <c r="CA547" s="93"/>
      <c r="CB547" s="93"/>
      <c r="CC547" s="93"/>
      <c r="CD547" s="93"/>
      <c r="CE547" s="93"/>
      <c r="CF547" s="93"/>
      <c r="CG547" s="93"/>
      <c r="CH547" s="93"/>
      <c r="CI547" s="93"/>
      <c r="CJ547" s="93"/>
      <c r="CK547" s="93"/>
      <c r="CL547" s="93"/>
      <c r="CM547" s="93"/>
    </row>
    <row r="548" spans="1:91" x14ac:dyDescent="0.2">
      <c r="A548" s="144"/>
      <c r="B548" s="144"/>
      <c r="C548" s="144"/>
      <c r="D548" s="144"/>
      <c r="E548" s="144"/>
      <c r="F548" s="144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S548" s="95"/>
      <c r="T548" s="95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  <c r="AZ548" s="93"/>
      <c r="BA548" s="93"/>
      <c r="BB548" s="93"/>
      <c r="BC548" s="93"/>
      <c r="BD548" s="93"/>
      <c r="BE548" s="93"/>
      <c r="BF548" s="93"/>
      <c r="BG548" s="93"/>
      <c r="BH548" s="93"/>
      <c r="BI548" s="93"/>
      <c r="BJ548" s="93"/>
      <c r="BK548" s="93"/>
      <c r="BL548" s="93"/>
      <c r="BM548" s="93"/>
      <c r="BN548" s="93"/>
      <c r="BO548" s="93"/>
      <c r="BP548" s="93"/>
      <c r="BQ548" s="93"/>
      <c r="BR548" s="93"/>
      <c r="BS548" s="93"/>
      <c r="BT548" s="93"/>
      <c r="BU548" s="93"/>
      <c r="BV548" s="93"/>
      <c r="BW548" s="93"/>
      <c r="BX548" s="93"/>
      <c r="BY548" s="93"/>
      <c r="BZ548" s="93"/>
      <c r="CA548" s="93"/>
      <c r="CB548" s="93"/>
      <c r="CC548" s="93"/>
      <c r="CD548" s="93"/>
      <c r="CE548" s="93"/>
      <c r="CF548" s="93"/>
      <c r="CG548" s="93"/>
      <c r="CH548" s="93"/>
      <c r="CI548" s="93"/>
      <c r="CJ548" s="93"/>
      <c r="CK548" s="93"/>
      <c r="CL548" s="93"/>
      <c r="CM548" s="93"/>
    </row>
    <row r="549" spans="1:91" x14ac:dyDescent="0.2">
      <c r="A549" s="144"/>
      <c r="B549" s="144"/>
      <c r="C549" s="144"/>
      <c r="D549" s="144"/>
      <c r="E549" s="144"/>
      <c r="F549" s="144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S549" s="95"/>
      <c r="T549" s="95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93"/>
      <c r="BK549" s="93"/>
      <c r="BL549" s="93"/>
      <c r="BM549" s="93"/>
      <c r="BN549" s="93"/>
      <c r="BO549" s="93"/>
      <c r="BP549" s="93"/>
      <c r="BQ549" s="93"/>
      <c r="BR549" s="93"/>
      <c r="BS549" s="93"/>
      <c r="BT549" s="93"/>
      <c r="BU549" s="93"/>
      <c r="BV549" s="93"/>
      <c r="BW549" s="93"/>
      <c r="BX549" s="93"/>
      <c r="BY549" s="93"/>
      <c r="BZ549" s="93"/>
      <c r="CA549" s="93"/>
      <c r="CB549" s="93"/>
      <c r="CC549" s="93"/>
      <c r="CD549" s="93"/>
      <c r="CE549" s="93"/>
      <c r="CF549" s="93"/>
      <c r="CG549" s="93"/>
      <c r="CH549" s="93"/>
      <c r="CI549" s="93"/>
      <c r="CJ549" s="93"/>
      <c r="CK549" s="93"/>
      <c r="CL549" s="93"/>
      <c r="CM549" s="93"/>
    </row>
    <row r="550" spans="1:91" x14ac:dyDescent="0.2">
      <c r="A550" s="144"/>
      <c r="B550" s="144"/>
      <c r="C550" s="144"/>
      <c r="D550" s="144"/>
      <c r="E550" s="144"/>
      <c r="F550" s="144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S550" s="95"/>
      <c r="T550" s="95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93"/>
      <c r="BI550" s="93"/>
      <c r="BJ550" s="93"/>
      <c r="BK550" s="93"/>
      <c r="BL550" s="93"/>
      <c r="BM550" s="93"/>
      <c r="BN550" s="93"/>
      <c r="BO550" s="93"/>
      <c r="BP550" s="93"/>
      <c r="BQ550" s="93"/>
      <c r="BR550" s="93"/>
      <c r="BS550" s="93"/>
      <c r="BT550" s="93"/>
      <c r="BU550" s="93"/>
      <c r="BV550" s="93"/>
      <c r="BW550" s="93"/>
      <c r="BX550" s="93"/>
      <c r="BY550" s="93"/>
      <c r="BZ550" s="93"/>
      <c r="CA550" s="93"/>
      <c r="CB550" s="93"/>
      <c r="CC550" s="93"/>
      <c r="CD550" s="93"/>
      <c r="CE550" s="93"/>
      <c r="CF550" s="93"/>
      <c r="CG550" s="93"/>
      <c r="CH550" s="93"/>
      <c r="CI550" s="93"/>
      <c r="CJ550" s="93"/>
      <c r="CK550" s="93"/>
      <c r="CL550" s="93"/>
      <c r="CM550" s="93"/>
    </row>
    <row r="551" spans="1:91" x14ac:dyDescent="0.2">
      <c r="A551" s="144"/>
      <c r="B551" s="144"/>
      <c r="C551" s="144"/>
      <c r="D551" s="144"/>
      <c r="E551" s="144"/>
      <c r="F551" s="144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S551" s="95"/>
      <c r="T551" s="95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93"/>
      <c r="BI551" s="93"/>
      <c r="BJ551" s="93"/>
      <c r="BK551" s="93"/>
      <c r="BL551" s="93"/>
      <c r="BM551" s="93"/>
      <c r="BN551" s="93"/>
      <c r="BO551" s="93"/>
      <c r="BP551" s="93"/>
      <c r="BQ551" s="93"/>
      <c r="BR551" s="93"/>
      <c r="BS551" s="93"/>
      <c r="BT551" s="93"/>
      <c r="BU551" s="93"/>
      <c r="BV551" s="93"/>
      <c r="BW551" s="93"/>
      <c r="BX551" s="93"/>
      <c r="BY551" s="93"/>
      <c r="BZ551" s="93"/>
      <c r="CA551" s="93"/>
      <c r="CB551" s="93"/>
      <c r="CC551" s="93"/>
      <c r="CD551" s="93"/>
      <c r="CE551" s="93"/>
      <c r="CF551" s="93"/>
      <c r="CG551" s="93"/>
      <c r="CH551" s="93"/>
      <c r="CI551" s="93"/>
      <c r="CJ551" s="93"/>
      <c r="CK551" s="93"/>
      <c r="CL551" s="93"/>
      <c r="CM551" s="93"/>
    </row>
    <row r="552" spans="1:91" x14ac:dyDescent="0.2">
      <c r="A552" s="144"/>
      <c r="B552" s="144"/>
      <c r="C552" s="144"/>
      <c r="D552" s="144"/>
      <c r="E552" s="144"/>
      <c r="F552" s="144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S552" s="95"/>
      <c r="T552" s="95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93"/>
      <c r="BI552" s="93"/>
      <c r="BJ552" s="93"/>
      <c r="BK552" s="93"/>
      <c r="BL552" s="93"/>
      <c r="BM552" s="93"/>
      <c r="BN552" s="93"/>
      <c r="BO552" s="93"/>
      <c r="BP552" s="93"/>
      <c r="BQ552" s="93"/>
      <c r="BR552" s="93"/>
      <c r="BS552" s="93"/>
      <c r="BT552" s="93"/>
      <c r="BU552" s="93"/>
      <c r="BV552" s="93"/>
      <c r="BW552" s="93"/>
      <c r="BX552" s="93"/>
      <c r="BY552" s="93"/>
      <c r="BZ552" s="93"/>
      <c r="CA552" s="93"/>
      <c r="CB552" s="93"/>
      <c r="CC552" s="93"/>
      <c r="CD552" s="93"/>
      <c r="CE552" s="93"/>
      <c r="CF552" s="93"/>
      <c r="CG552" s="93"/>
      <c r="CH552" s="93"/>
      <c r="CI552" s="93"/>
      <c r="CJ552" s="93"/>
      <c r="CK552" s="93"/>
      <c r="CL552" s="93"/>
      <c r="CM552" s="93"/>
    </row>
    <row r="553" spans="1:91" x14ac:dyDescent="0.2">
      <c r="A553" s="144"/>
      <c r="B553" s="144"/>
      <c r="C553" s="144"/>
      <c r="D553" s="144"/>
      <c r="E553" s="144"/>
      <c r="F553" s="144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S553" s="95"/>
      <c r="T553" s="95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93"/>
      <c r="BI553" s="93"/>
      <c r="BJ553" s="93"/>
      <c r="BK553" s="93"/>
      <c r="BL553" s="93"/>
      <c r="BM553" s="93"/>
      <c r="BN553" s="93"/>
      <c r="BO553" s="93"/>
      <c r="BP553" s="93"/>
      <c r="BQ553" s="93"/>
      <c r="BR553" s="93"/>
      <c r="BS553" s="93"/>
      <c r="BT553" s="93"/>
      <c r="BU553" s="93"/>
      <c r="BV553" s="93"/>
      <c r="BW553" s="93"/>
      <c r="BX553" s="93"/>
      <c r="BY553" s="93"/>
      <c r="BZ553" s="93"/>
      <c r="CA553" s="93"/>
      <c r="CB553" s="93"/>
      <c r="CC553" s="93"/>
      <c r="CD553" s="93"/>
      <c r="CE553" s="93"/>
      <c r="CF553" s="93"/>
      <c r="CG553" s="93"/>
      <c r="CH553" s="93"/>
      <c r="CI553" s="93"/>
      <c r="CJ553" s="93"/>
      <c r="CK553" s="93"/>
      <c r="CL553" s="93"/>
      <c r="CM553" s="93"/>
    </row>
    <row r="554" spans="1:91" x14ac:dyDescent="0.2">
      <c r="A554" s="144"/>
      <c r="B554" s="144"/>
      <c r="C554" s="144"/>
      <c r="D554" s="144"/>
      <c r="E554" s="144"/>
      <c r="F554" s="144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S554" s="95"/>
      <c r="T554" s="95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93"/>
      <c r="BI554" s="93"/>
      <c r="BJ554" s="93"/>
      <c r="BK554" s="93"/>
      <c r="BL554" s="93"/>
      <c r="BM554" s="93"/>
      <c r="BN554" s="93"/>
      <c r="BO554" s="93"/>
      <c r="BP554" s="93"/>
      <c r="BQ554" s="93"/>
      <c r="BR554" s="93"/>
      <c r="BS554" s="93"/>
      <c r="BT554" s="93"/>
      <c r="BU554" s="93"/>
      <c r="BV554" s="93"/>
      <c r="BW554" s="93"/>
      <c r="BX554" s="93"/>
      <c r="BY554" s="93"/>
      <c r="BZ554" s="93"/>
      <c r="CA554" s="93"/>
      <c r="CB554" s="93"/>
      <c r="CC554" s="93"/>
      <c r="CD554" s="93"/>
      <c r="CE554" s="93"/>
      <c r="CF554" s="93"/>
      <c r="CG554" s="93"/>
      <c r="CH554" s="93"/>
      <c r="CI554" s="93"/>
      <c r="CJ554" s="93"/>
      <c r="CK554" s="93"/>
      <c r="CL554" s="93"/>
      <c r="CM554" s="93"/>
    </row>
    <row r="555" spans="1:91" x14ac:dyDescent="0.2">
      <c r="A555" s="144"/>
      <c r="B555" s="144"/>
      <c r="C555" s="144"/>
      <c r="D555" s="144"/>
      <c r="E555" s="144"/>
      <c r="F555" s="144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S555" s="95"/>
      <c r="T555" s="95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93"/>
      <c r="BI555" s="93"/>
      <c r="BJ555" s="93"/>
      <c r="BK555" s="93"/>
      <c r="BL555" s="93"/>
      <c r="BM555" s="93"/>
      <c r="BN555" s="93"/>
      <c r="BO555" s="93"/>
      <c r="BP555" s="93"/>
      <c r="BQ555" s="93"/>
      <c r="BR555" s="93"/>
      <c r="BS555" s="93"/>
      <c r="BT555" s="93"/>
      <c r="BU555" s="93"/>
      <c r="BV555" s="93"/>
      <c r="BW555" s="93"/>
      <c r="BX555" s="93"/>
      <c r="BY555" s="93"/>
      <c r="BZ555" s="93"/>
      <c r="CA555" s="93"/>
      <c r="CB555" s="93"/>
      <c r="CC555" s="93"/>
      <c r="CD555" s="93"/>
      <c r="CE555" s="93"/>
      <c r="CF555" s="93"/>
      <c r="CG555" s="93"/>
      <c r="CH555" s="93"/>
      <c r="CI555" s="93"/>
      <c r="CJ555" s="93"/>
      <c r="CK555" s="93"/>
      <c r="CL555" s="93"/>
      <c r="CM555" s="93"/>
    </row>
    <row r="556" spans="1:91" x14ac:dyDescent="0.2">
      <c r="A556" s="144"/>
      <c r="B556" s="144"/>
      <c r="C556" s="144"/>
      <c r="D556" s="144"/>
      <c r="E556" s="144"/>
      <c r="F556" s="144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S556" s="95"/>
      <c r="T556" s="95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93"/>
      <c r="BI556" s="93"/>
      <c r="BJ556" s="93"/>
      <c r="BK556" s="93"/>
      <c r="BL556" s="93"/>
      <c r="BM556" s="93"/>
      <c r="BN556" s="93"/>
      <c r="BO556" s="93"/>
      <c r="BP556" s="93"/>
      <c r="BQ556" s="93"/>
      <c r="BR556" s="93"/>
      <c r="BS556" s="93"/>
      <c r="BT556" s="93"/>
      <c r="BU556" s="93"/>
      <c r="BV556" s="93"/>
      <c r="BW556" s="93"/>
      <c r="BX556" s="93"/>
      <c r="BY556" s="93"/>
      <c r="BZ556" s="93"/>
      <c r="CA556" s="93"/>
      <c r="CB556" s="93"/>
      <c r="CC556" s="93"/>
      <c r="CD556" s="93"/>
      <c r="CE556" s="93"/>
      <c r="CF556" s="93"/>
      <c r="CG556" s="93"/>
      <c r="CH556" s="93"/>
      <c r="CI556" s="93"/>
      <c r="CJ556" s="93"/>
      <c r="CK556" s="93"/>
      <c r="CL556" s="93"/>
      <c r="CM556" s="93"/>
    </row>
    <row r="557" spans="1:91" x14ac:dyDescent="0.2">
      <c r="A557" s="144"/>
      <c r="B557" s="144"/>
      <c r="C557" s="144"/>
      <c r="D557" s="144"/>
      <c r="E557" s="144"/>
      <c r="F557" s="144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S557" s="95"/>
      <c r="T557" s="95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93"/>
      <c r="BI557" s="93"/>
      <c r="BJ557" s="93"/>
      <c r="BK557" s="93"/>
      <c r="BL557" s="93"/>
      <c r="BM557" s="93"/>
      <c r="BN557" s="93"/>
      <c r="BO557" s="93"/>
      <c r="BP557" s="93"/>
      <c r="BQ557" s="93"/>
      <c r="BR557" s="93"/>
      <c r="BS557" s="93"/>
      <c r="BT557" s="93"/>
      <c r="BU557" s="93"/>
      <c r="BV557" s="93"/>
      <c r="BW557" s="93"/>
      <c r="BX557" s="93"/>
      <c r="BY557" s="93"/>
      <c r="BZ557" s="93"/>
      <c r="CA557" s="93"/>
      <c r="CB557" s="93"/>
      <c r="CC557" s="93"/>
      <c r="CD557" s="93"/>
      <c r="CE557" s="93"/>
      <c r="CF557" s="93"/>
      <c r="CG557" s="93"/>
      <c r="CH557" s="93"/>
      <c r="CI557" s="93"/>
      <c r="CJ557" s="93"/>
      <c r="CK557" s="93"/>
      <c r="CL557" s="93"/>
      <c r="CM557" s="93"/>
    </row>
    <row r="558" spans="1:91" x14ac:dyDescent="0.2">
      <c r="A558" s="144"/>
      <c r="B558" s="144"/>
      <c r="C558" s="144"/>
      <c r="D558" s="144"/>
      <c r="E558" s="144"/>
      <c r="F558" s="144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S558" s="95"/>
      <c r="T558" s="95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93"/>
      <c r="BI558" s="93"/>
      <c r="BJ558" s="93"/>
      <c r="BK558" s="93"/>
      <c r="BL558" s="93"/>
      <c r="BM558" s="93"/>
      <c r="BN558" s="93"/>
      <c r="BO558" s="93"/>
      <c r="BP558" s="93"/>
      <c r="BQ558" s="93"/>
      <c r="BR558" s="93"/>
      <c r="BS558" s="93"/>
      <c r="BT558" s="93"/>
      <c r="BU558" s="93"/>
      <c r="BV558" s="93"/>
      <c r="BW558" s="93"/>
      <c r="BX558" s="93"/>
      <c r="BY558" s="93"/>
      <c r="BZ558" s="93"/>
      <c r="CA558" s="93"/>
      <c r="CB558" s="93"/>
      <c r="CC558" s="93"/>
      <c r="CD558" s="93"/>
      <c r="CE558" s="93"/>
      <c r="CF558" s="93"/>
      <c r="CG558" s="93"/>
      <c r="CH558" s="93"/>
      <c r="CI558" s="93"/>
      <c r="CJ558" s="93"/>
      <c r="CK558" s="93"/>
      <c r="CL558" s="93"/>
      <c r="CM558" s="93"/>
    </row>
  </sheetData>
  <mergeCells count="14">
    <mergeCell ref="A23:R23"/>
    <mergeCell ref="A1:R1"/>
    <mergeCell ref="P3:R3"/>
    <mergeCell ref="P4:R4"/>
    <mergeCell ref="A5:D5"/>
    <mergeCell ref="A7:R7"/>
    <mergeCell ref="A105:R105"/>
    <mergeCell ref="A122:R122"/>
    <mergeCell ref="A24:R24"/>
    <mergeCell ref="A50:R50"/>
    <mergeCell ref="A51:R51"/>
    <mergeCell ref="A74:R74"/>
    <mergeCell ref="A75:R75"/>
    <mergeCell ref="A89:R89"/>
  </mergeCells>
  <printOptions horizontalCentered="1"/>
  <pageMargins left="0.19685039370078741" right="0.19685039370078741" top="0.59055118110236227" bottom="0.39370078740157483" header="0.51181102362204722" footer="0"/>
  <pageSetup paperSize="9" orientation="landscape" horizontalDpi="36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3">
    <tabColor rgb="FF92D050"/>
  </sheetPr>
  <dimension ref="A1:H145"/>
  <sheetViews>
    <sheetView showGridLines="0" zoomScale="110" zoomScaleNormal="110" workbookViewId="0">
      <selection activeCell="C11" sqref="C11"/>
    </sheetView>
  </sheetViews>
  <sheetFormatPr defaultColWidth="9.140625" defaultRowHeight="12.75" x14ac:dyDescent="0.2"/>
  <cols>
    <col min="1" max="1" width="18.5703125" style="15" customWidth="1"/>
    <col min="2" max="2" width="66.85546875" style="77" customWidth="1"/>
    <col min="3" max="8" width="6.85546875" style="15" customWidth="1"/>
    <col min="9" max="16384" width="9.140625" style="15"/>
  </cols>
  <sheetData>
    <row r="1" spans="1:8" s="2" customFormat="1" ht="14.25" customHeight="1" x14ac:dyDescent="0.2">
      <c r="A1" s="376"/>
      <c r="B1" s="195" t="s">
        <v>28</v>
      </c>
      <c r="C1" s="20"/>
      <c r="D1" s="20"/>
      <c r="E1" s="20"/>
      <c r="H1" s="21"/>
    </row>
    <row r="2" spans="1:8" s="2" customFormat="1" ht="14.25" customHeight="1" x14ac:dyDescent="0.2">
      <c r="A2" s="405"/>
      <c r="B2" s="232" t="s">
        <v>13</v>
      </c>
      <c r="C2" s="7"/>
      <c r="D2" s="7"/>
      <c r="E2" s="7"/>
      <c r="F2" s="7"/>
      <c r="G2" s="7"/>
      <c r="H2" s="7"/>
    </row>
    <row r="3" spans="1:8" s="2" customFormat="1" ht="14.25" customHeight="1" x14ac:dyDescent="0.2">
      <c r="A3" s="405"/>
      <c r="B3" s="232" t="s">
        <v>533</v>
      </c>
      <c r="C3" s="7"/>
      <c r="D3" s="7"/>
      <c r="E3" s="7"/>
      <c r="F3" s="7"/>
      <c r="G3" s="7"/>
      <c r="H3" s="7"/>
    </row>
    <row r="4" spans="1:8" s="2" customFormat="1" ht="14.25" customHeight="1" x14ac:dyDescent="0.2">
      <c r="A4" s="406"/>
      <c r="B4" s="233" t="s">
        <v>1104</v>
      </c>
      <c r="C4" s="4"/>
    </row>
    <row r="5" spans="1:8" s="2" customFormat="1" ht="3" customHeight="1" x14ac:dyDescent="0.2">
      <c r="B5" s="75"/>
      <c r="C5" s="14"/>
      <c r="G5" s="14"/>
      <c r="H5" s="14"/>
    </row>
    <row r="6" spans="1:8" s="22" customFormat="1" ht="15" customHeight="1" x14ac:dyDescent="0.2">
      <c r="A6" s="404" t="s">
        <v>29</v>
      </c>
      <c r="B6" s="404"/>
    </row>
    <row r="7" spans="1:8" s="2" customFormat="1" ht="3" customHeight="1" x14ac:dyDescent="0.2">
      <c r="A7" s="182"/>
      <c r="B7" s="183"/>
      <c r="C7" s="14"/>
      <c r="G7" s="14"/>
      <c r="H7" s="14"/>
    </row>
    <row r="8" spans="1:8" s="12" customFormat="1" ht="15" customHeight="1" x14ac:dyDescent="0.2">
      <c r="A8" s="17" t="s">
        <v>30</v>
      </c>
      <c r="B8" s="176" t="s">
        <v>29</v>
      </c>
    </row>
    <row r="9" spans="1:8" s="12" customFormat="1" ht="15" customHeight="1" x14ac:dyDescent="0.2">
      <c r="A9" s="17" t="s">
        <v>31</v>
      </c>
      <c r="B9" s="176"/>
    </row>
    <row r="10" spans="1:8" s="12" customFormat="1" ht="15" customHeight="1" x14ac:dyDescent="0.2">
      <c r="A10" s="17" t="s">
        <v>32</v>
      </c>
      <c r="B10" s="176"/>
    </row>
    <row r="11" spans="1:8" s="12" customFormat="1" ht="15" customHeight="1" x14ac:dyDescent="0.2">
      <c r="A11" s="17" t="s">
        <v>33</v>
      </c>
      <c r="B11" s="176"/>
    </row>
    <row r="12" spans="1:8" s="12" customFormat="1" ht="15" customHeight="1" x14ac:dyDescent="0.2">
      <c r="A12" s="17" t="s">
        <v>34</v>
      </c>
      <c r="B12" s="176"/>
    </row>
    <row r="13" spans="1:8" s="12" customFormat="1" ht="15" customHeight="1" x14ac:dyDescent="0.2">
      <c r="A13" s="17" t="s">
        <v>35</v>
      </c>
      <c r="B13" s="176"/>
    </row>
    <row r="14" spans="1:8" s="12" customFormat="1" ht="15" customHeight="1" x14ac:dyDescent="0.2">
      <c r="A14" s="17" t="s">
        <v>36</v>
      </c>
      <c r="B14" s="176"/>
    </row>
    <row r="15" spans="1:8" s="12" customFormat="1" ht="15" customHeight="1" x14ac:dyDescent="0.2">
      <c r="A15" s="17" t="s">
        <v>37</v>
      </c>
      <c r="B15" s="176"/>
    </row>
    <row r="16" spans="1:8" s="12" customFormat="1" ht="15" customHeight="1" x14ac:dyDescent="0.2">
      <c r="A16" s="17" t="s">
        <v>38</v>
      </c>
      <c r="B16" s="176"/>
    </row>
    <row r="17" spans="1:8" s="12" customFormat="1" ht="15" customHeight="1" x14ac:dyDescent="0.2">
      <c r="A17" s="17" t="s">
        <v>39</v>
      </c>
      <c r="B17" s="176"/>
    </row>
    <row r="18" spans="1:8" s="12" customFormat="1" ht="15" customHeight="1" x14ac:dyDescent="0.2">
      <c r="A18" s="17" t="s">
        <v>40</v>
      </c>
      <c r="B18" s="176"/>
    </row>
    <row r="19" spans="1:8" s="19" customFormat="1" ht="15" customHeight="1" x14ac:dyDescent="0.2">
      <c r="A19" s="17" t="s">
        <v>41</v>
      </c>
      <c r="B19" s="176"/>
      <c r="D19" s="24"/>
      <c r="E19" s="25"/>
      <c r="F19" s="26"/>
      <c r="G19" s="26"/>
      <c r="H19" s="23"/>
    </row>
    <row r="20" spans="1:8" s="19" customFormat="1" ht="15" customHeight="1" x14ac:dyDescent="0.2">
      <c r="A20" s="17" t="s">
        <v>42</v>
      </c>
      <c r="B20" s="177"/>
      <c r="D20" s="24"/>
      <c r="E20" s="25"/>
      <c r="F20" s="26"/>
      <c r="G20" s="26"/>
      <c r="H20" s="23"/>
    </row>
    <row r="21" spans="1:8" s="19" customFormat="1" ht="15" customHeight="1" x14ac:dyDescent="0.2">
      <c r="A21" s="17" t="s">
        <v>43</v>
      </c>
      <c r="B21" s="177"/>
      <c r="D21" s="24"/>
      <c r="E21" s="25"/>
      <c r="F21" s="26"/>
      <c r="G21" s="26"/>
      <c r="H21" s="23"/>
    </row>
    <row r="22" spans="1:8" s="19" customFormat="1" ht="15" customHeight="1" x14ac:dyDescent="0.2">
      <c r="A22" s="17" t="s">
        <v>44</v>
      </c>
      <c r="B22" s="176"/>
      <c r="D22" s="24"/>
      <c r="E22" s="25"/>
      <c r="F22" s="26"/>
      <c r="G22" s="26"/>
      <c r="H22" s="23"/>
    </row>
    <row r="23" spans="1:8" s="19" customFormat="1" ht="15" customHeight="1" x14ac:dyDescent="0.2">
      <c r="A23" s="17" t="s">
        <v>45</v>
      </c>
      <c r="B23" s="176"/>
      <c r="D23" s="24"/>
      <c r="E23" s="25"/>
      <c r="F23" s="26"/>
      <c r="G23" s="26"/>
      <c r="H23" s="23"/>
    </row>
    <row r="24" spans="1:8" s="19" customFormat="1" ht="15" customHeight="1" x14ac:dyDescent="0.2">
      <c r="A24" s="17" t="s">
        <v>46</v>
      </c>
      <c r="B24" s="176"/>
      <c r="D24" s="24"/>
      <c r="E24" s="25"/>
      <c r="F24" s="26"/>
      <c r="G24" s="26"/>
      <c r="H24" s="23"/>
    </row>
    <row r="25" spans="1:8" s="19" customFormat="1" ht="15" customHeight="1" x14ac:dyDescent="0.2">
      <c r="A25" s="17" t="s">
        <v>47</v>
      </c>
      <c r="B25" s="176"/>
      <c r="D25" s="24"/>
      <c r="E25" s="25"/>
      <c r="F25" s="26"/>
      <c r="G25" s="26"/>
      <c r="H25" s="23"/>
    </row>
    <row r="26" spans="1:8" s="19" customFormat="1" ht="15" customHeight="1" x14ac:dyDescent="0.2">
      <c r="A26" s="17" t="s">
        <v>48</v>
      </c>
      <c r="B26" s="176"/>
      <c r="D26" s="24"/>
      <c r="E26" s="25"/>
      <c r="F26" s="26"/>
      <c r="G26" s="26"/>
      <c r="H26" s="23"/>
    </row>
    <row r="27" spans="1:8" s="19" customFormat="1" ht="15" customHeight="1" x14ac:dyDescent="0.2">
      <c r="A27" s="18" t="s">
        <v>49</v>
      </c>
      <c r="B27" s="176"/>
      <c r="D27" s="24"/>
      <c r="E27" s="25"/>
      <c r="F27" s="26"/>
      <c r="G27" s="26"/>
      <c r="H27" s="23"/>
    </row>
    <row r="28" spans="1:8" s="2" customFormat="1" ht="3" customHeight="1" x14ac:dyDescent="0.2">
      <c r="A28" s="182"/>
      <c r="B28" s="183"/>
      <c r="C28" s="14"/>
      <c r="G28" s="14"/>
      <c r="H28" s="14"/>
    </row>
    <row r="29" spans="1:8" s="22" customFormat="1" ht="15" customHeight="1" x14ac:dyDescent="0.2">
      <c r="A29" s="404" t="s">
        <v>50</v>
      </c>
      <c r="B29" s="404"/>
    </row>
    <row r="30" spans="1:8" s="2" customFormat="1" ht="3" customHeight="1" x14ac:dyDescent="0.2">
      <c r="A30" s="182"/>
      <c r="B30" s="183"/>
      <c r="C30" s="14"/>
      <c r="G30" s="14"/>
      <c r="H30" s="14"/>
    </row>
    <row r="31" spans="1:8" s="12" customFormat="1" ht="15" customHeight="1" x14ac:dyDescent="0.2">
      <c r="A31" s="17" t="s">
        <v>51</v>
      </c>
      <c r="B31" s="176" t="s">
        <v>50</v>
      </c>
    </row>
    <row r="32" spans="1:8" s="12" customFormat="1" ht="15" customHeight="1" x14ac:dyDescent="0.2">
      <c r="A32" s="17" t="s">
        <v>16</v>
      </c>
      <c r="B32" s="176"/>
    </row>
    <row r="33" spans="1:8" s="12" customFormat="1" ht="15" customHeight="1" x14ac:dyDescent="0.2">
      <c r="A33" s="17" t="s">
        <v>52</v>
      </c>
      <c r="B33" s="176"/>
    </row>
    <row r="34" spans="1:8" s="12" customFormat="1" ht="15" customHeight="1" x14ac:dyDescent="0.2">
      <c r="A34" s="17" t="s">
        <v>53</v>
      </c>
      <c r="B34" s="176"/>
    </row>
    <row r="35" spans="1:8" s="12" customFormat="1" ht="15" customHeight="1" x14ac:dyDescent="0.2">
      <c r="A35" s="17" t="s">
        <v>54</v>
      </c>
      <c r="B35" s="176"/>
    </row>
    <row r="36" spans="1:8" s="12" customFormat="1" ht="15" customHeight="1" x14ac:dyDescent="0.2">
      <c r="A36" s="17" t="s">
        <v>55</v>
      </c>
      <c r="B36" s="176"/>
    </row>
    <row r="37" spans="1:8" s="19" customFormat="1" ht="15" customHeight="1" x14ac:dyDescent="0.2">
      <c r="A37" s="17" t="s">
        <v>56</v>
      </c>
      <c r="B37" s="176"/>
      <c r="D37" s="24"/>
      <c r="E37" s="25"/>
      <c r="F37" s="26"/>
      <c r="G37" s="26"/>
      <c r="H37" s="23"/>
    </row>
    <row r="38" spans="1:8" s="19" customFormat="1" ht="15" customHeight="1" x14ac:dyDescent="0.2">
      <c r="A38" s="17" t="s">
        <v>57</v>
      </c>
      <c r="B38" s="176"/>
      <c r="D38" s="24"/>
      <c r="E38" s="25"/>
      <c r="F38" s="26"/>
      <c r="G38" s="26"/>
      <c r="H38" s="23"/>
    </row>
    <row r="39" spans="1:8" s="19" customFormat="1" ht="15" customHeight="1" x14ac:dyDescent="0.2">
      <c r="A39" s="17" t="s">
        <v>58</v>
      </c>
      <c r="B39" s="176"/>
      <c r="D39" s="24"/>
      <c r="E39" s="25"/>
      <c r="F39" s="26"/>
      <c r="G39" s="26"/>
      <c r="H39" s="23"/>
    </row>
    <row r="40" spans="1:8" s="19" customFormat="1" ht="15" customHeight="1" x14ac:dyDescent="0.2">
      <c r="A40" s="17" t="s">
        <v>1097</v>
      </c>
      <c r="B40" s="176"/>
      <c r="D40" s="24"/>
      <c r="E40" s="25"/>
      <c r="F40" s="26"/>
      <c r="G40" s="26"/>
      <c r="H40" s="23"/>
    </row>
    <row r="41" spans="1:8" s="19" customFormat="1" ht="15" customHeight="1" x14ac:dyDescent="0.2">
      <c r="A41" s="17" t="s">
        <v>1098</v>
      </c>
      <c r="B41" s="176"/>
      <c r="D41" s="24"/>
      <c r="E41" s="25"/>
      <c r="F41" s="26"/>
      <c r="G41" s="26"/>
      <c r="H41" s="23"/>
    </row>
    <row r="42" spans="1:8" s="19" customFormat="1" ht="15" customHeight="1" x14ac:dyDescent="0.2">
      <c r="A42" s="17" t="s">
        <v>1099</v>
      </c>
      <c r="B42" s="176"/>
      <c r="D42" s="24"/>
      <c r="E42" s="25"/>
      <c r="F42" s="26"/>
      <c r="G42" s="26"/>
      <c r="H42" s="23"/>
    </row>
    <row r="43" spans="1:8" s="19" customFormat="1" ht="15" customHeight="1" x14ac:dyDescent="0.2">
      <c r="A43" s="17" t="s">
        <v>1100</v>
      </c>
      <c r="B43" s="176"/>
      <c r="D43" s="24"/>
      <c r="E43" s="25"/>
      <c r="F43" s="26"/>
      <c r="G43" s="26"/>
      <c r="H43" s="23"/>
    </row>
    <row r="44" spans="1:8" s="19" customFormat="1" ht="15" customHeight="1" x14ac:dyDescent="0.2">
      <c r="A44" s="17" t="s">
        <v>1101</v>
      </c>
      <c r="B44" s="176"/>
      <c r="D44" s="24"/>
      <c r="E44" s="25"/>
      <c r="F44" s="26"/>
      <c r="G44" s="26"/>
      <c r="H44" s="23"/>
    </row>
    <row r="45" spans="1:8" s="19" customFormat="1" ht="15" customHeight="1" x14ac:dyDescent="0.2">
      <c r="A45" s="17" t="s">
        <v>1102</v>
      </c>
      <c r="B45" s="176"/>
      <c r="D45" s="24"/>
      <c r="E45" s="25"/>
      <c r="F45" s="26"/>
      <c r="G45" s="26"/>
      <c r="H45" s="23"/>
    </row>
    <row r="46" spans="1:8" s="19" customFormat="1" ht="15" customHeight="1" x14ac:dyDescent="0.2">
      <c r="A46" s="17" t="s">
        <v>1103</v>
      </c>
      <c r="B46" s="176"/>
      <c r="D46" s="24"/>
      <c r="E46" s="25"/>
      <c r="F46" s="26"/>
      <c r="G46" s="26"/>
      <c r="H46" s="23"/>
    </row>
    <row r="47" spans="1:8" s="2" customFormat="1" ht="3" customHeight="1" x14ac:dyDescent="0.2">
      <c r="A47" s="182"/>
      <c r="B47" s="183"/>
      <c r="C47" s="14"/>
      <c r="G47" s="14"/>
      <c r="H47" s="14"/>
    </row>
    <row r="48" spans="1:8" s="22" customFormat="1" ht="15" customHeight="1" x14ac:dyDescent="0.2">
      <c r="A48" s="404" t="s">
        <v>59</v>
      </c>
      <c r="B48" s="404"/>
    </row>
    <row r="49" spans="1:8" s="2" customFormat="1" ht="3" customHeight="1" x14ac:dyDescent="0.2">
      <c r="A49" s="182"/>
      <c r="B49" s="183"/>
      <c r="C49" s="14"/>
      <c r="G49" s="14"/>
      <c r="H49" s="14"/>
    </row>
    <row r="50" spans="1:8" s="19" customFormat="1" ht="15" customHeight="1" x14ac:dyDescent="0.2">
      <c r="A50" s="16" t="s">
        <v>60</v>
      </c>
      <c r="B50" s="181" t="s">
        <v>59</v>
      </c>
      <c r="D50" s="24"/>
      <c r="E50" s="25"/>
      <c r="F50" s="26"/>
      <c r="G50" s="26"/>
      <c r="H50" s="23"/>
    </row>
    <row r="51" spans="1:8" s="19" customFormat="1" x14ac:dyDescent="0.2">
      <c r="A51" s="17" t="s">
        <v>61</v>
      </c>
      <c r="B51" s="176"/>
      <c r="D51" s="24"/>
      <c r="E51" s="25"/>
      <c r="F51" s="26"/>
      <c r="G51" s="26"/>
      <c r="H51" s="23"/>
    </row>
    <row r="52" spans="1:8" s="19" customFormat="1" ht="15" customHeight="1" x14ac:dyDescent="0.2">
      <c r="A52" s="17" t="s">
        <v>62</v>
      </c>
      <c r="B52" s="176"/>
      <c r="D52" s="24"/>
      <c r="E52" s="25"/>
      <c r="F52" s="26"/>
      <c r="G52" s="26"/>
      <c r="H52" s="23"/>
    </row>
    <row r="53" spans="1:8" s="19" customFormat="1" ht="15" customHeight="1" x14ac:dyDescent="0.2">
      <c r="A53" s="17" t="s">
        <v>63</v>
      </c>
      <c r="B53" s="176"/>
      <c r="D53" s="24"/>
      <c r="E53" s="25"/>
      <c r="F53" s="26"/>
      <c r="G53" s="26"/>
      <c r="H53" s="23"/>
    </row>
    <row r="54" spans="1:8" s="19" customFormat="1" ht="15" customHeight="1" x14ac:dyDescent="0.2">
      <c r="A54" s="17" t="s">
        <v>64</v>
      </c>
      <c r="B54" s="176"/>
      <c r="D54" s="24"/>
      <c r="E54" s="25"/>
      <c r="F54" s="26"/>
      <c r="G54" s="26"/>
      <c r="H54" s="23"/>
    </row>
    <row r="55" spans="1:8" s="19" customFormat="1" ht="15" customHeight="1" x14ac:dyDescent="0.2">
      <c r="A55" s="17" t="s">
        <v>65</v>
      </c>
      <c r="B55" s="176"/>
      <c r="D55" s="24"/>
      <c r="E55" s="25"/>
      <c r="F55" s="26"/>
      <c r="G55" s="26"/>
      <c r="H55" s="23"/>
    </row>
    <row r="56" spans="1:8" s="19" customFormat="1" ht="15" customHeight="1" x14ac:dyDescent="0.2">
      <c r="A56" s="17" t="s">
        <v>66</v>
      </c>
      <c r="B56" s="176"/>
      <c r="D56" s="24"/>
      <c r="E56" s="25"/>
      <c r="F56" s="26"/>
      <c r="G56" s="26"/>
      <c r="H56" s="23"/>
    </row>
    <row r="57" spans="1:8" s="19" customFormat="1" ht="15" customHeight="1" x14ac:dyDescent="0.2">
      <c r="A57" s="17" t="s">
        <v>67</v>
      </c>
      <c r="B57" s="176"/>
      <c r="D57" s="24"/>
      <c r="E57" s="25"/>
      <c r="F57" s="26"/>
      <c r="G57" s="26"/>
      <c r="H57" s="23"/>
    </row>
    <row r="58" spans="1:8" s="19" customFormat="1" ht="15" customHeight="1" x14ac:dyDescent="0.2">
      <c r="A58" s="17" t="s">
        <v>68</v>
      </c>
      <c r="B58" s="176"/>
      <c r="D58" s="24"/>
      <c r="E58" s="25"/>
      <c r="F58" s="26"/>
      <c r="G58" s="26"/>
      <c r="H58" s="23"/>
    </row>
    <row r="59" spans="1:8" s="19" customFormat="1" ht="15" customHeight="1" x14ac:dyDescent="0.2">
      <c r="A59" s="17" t="s">
        <v>69</v>
      </c>
      <c r="B59" s="176"/>
      <c r="D59" s="24"/>
      <c r="E59" s="25"/>
      <c r="F59" s="26"/>
      <c r="G59" s="26"/>
      <c r="H59" s="23"/>
    </row>
    <row r="60" spans="1:8" s="19" customFormat="1" ht="15" customHeight="1" x14ac:dyDescent="0.2">
      <c r="A60" s="17" t="s">
        <v>70</v>
      </c>
      <c r="B60" s="176"/>
      <c r="D60" s="24"/>
      <c r="E60" s="25"/>
      <c r="F60" s="26"/>
      <c r="G60" s="26"/>
      <c r="H60" s="23"/>
    </row>
    <row r="61" spans="1:8" s="19" customFormat="1" ht="15" customHeight="1" x14ac:dyDescent="0.2">
      <c r="A61" s="17" t="s">
        <v>71</v>
      </c>
      <c r="B61" s="176"/>
      <c r="D61" s="24"/>
      <c r="E61" s="25"/>
      <c r="F61" s="26"/>
      <c r="G61" s="26"/>
      <c r="H61" s="23"/>
    </row>
    <row r="62" spans="1:8" s="19" customFormat="1" ht="15" customHeight="1" x14ac:dyDescent="0.2">
      <c r="A62" s="17" t="s">
        <v>72</v>
      </c>
      <c r="B62" s="176"/>
      <c r="D62" s="24"/>
      <c r="E62" s="25"/>
      <c r="F62" s="26"/>
      <c r="G62" s="26"/>
      <c r="H62" s="23"/>
    </row>
    <row r="63" spans="1:8" s="19" customFormat="1" ht="15" customHeight="1" x14ac:dyDescent="0.2">
      <c r="A63" s="17" t="s">
        <v>73</v>
      </c>
      <c r="B63" s="176"/>
      <c r="D63" s="24"/>
      <c r="E63" s="25"/>
      <c r="F63" s="26"/>
      <c r="G63" s="26"/>
      <c r="H63" s="23"/>
    </row>
    <row r="64" spans="1:8" s="19" customFormat="1" ht="15" customHeight="1" x14ac:dyDescent="0.2">
      <c r="A64" s="17" t="s">
        <v>74</v>
      </c>
      <c r="B64" s="176"/>
      <c r="D64" s="24"/>
      <c r="E64" s="25"/>
      <c r="F64" s="26"/>
      <c r="G64" s="26"/>
      <c r="H64" s="23"/>
    </row>
    <row r="65" spans="1:8" s="19" customFormat="1" ht="15" customHeight="1" x14ac:dyDescent="0.2">
      <c r="A65" s="17" t="s">
        <v>75</v>
      </c>
      <c r="B65" s="176"/>
      <c r="D65" s="24"/>
      <c r="E65" s="25"/>
      <c r="F65" s="26"/>
      <c r="G65" s="26"/>
      <c r="H65" s="23"/>
    </row>
    <row r="66" spans="1:8" s="19" customFormat="1" ht="15" customHeight="1" x14ac:dyDescent="0.2">
      <c r="A66" s="17" t="s">
        <v>76</v>
      </c>
      <c r="B66" s="176"/>
      <c r="D66" s="24"/>
      <c r="E66" s="25"/>
      <c r="F66" s="26"/>
      <c r="G66" s="26"/>
      <c r="H66" s="23"/>
    </row>
    <row r="67" spans="1:8" s="19" customFormat="1" ht="15" customHeight="1" x14ac:dyDescent="0.2">
      <c r="A67" s="17" t="s">
        <v>77</v>
      </c>
      <c r="B67" s="176"/>
      <c r="D67" s="24"/>
      <c r="E67" s="25"/>
      <c r="F67" s="26"/>
      <c r="G67" s="26"/>
      <c r="H67" s="23"/>
    </row>
    <row r="68" spans="1:8" s="19" customFormat="1" ht="15" customHeight="1" x14ac:dyDescent="0.2">
      <c r="A68" s="17" t="s">
        <v>78</v>
      </c>
      <c r="B68" s="176"/>
      <c r="D68" s="24"/>
      <c r="E68" s="25"/>
      <c r="F68" s="26"/>
      <c r="G68" s="26"/>
      <c r="H68" s="23"/>
    </row>
    <row r="69" spans="1:8" s="19" customFormat="1" ht="15" customHeight="1" x14ac:dyDescent="0.2">
      <c r="A69" s="18" t="s">
        <v>79</v>
      </c>
      <c r="B69" s="180"/>
      <c r="D69" s="24"/>
      <c r="E69" s="25"/>
      <c r="F69" s="26"/>
      <c r="G69" s="26"/>
      <c r="H69" s="23"/>
    </row>
    <row r="70" spans="1:8" s="2" customFormat="1" ht="3" customHeight="1" x14ac:dyDescent="0.2">
      <c r="A70" s="182"/>
      <c r="B70" s="183"/>
      <c r="C70" s="14"/>
      <c r="G70" s="14"/>
      <c r="H70" s="14"/>
    </row>
    <row r="71" spans="1:8" s="22" customFormat="1" ht="15" customHeight="1" x14ac:dyDescent="0.2">
      <c r="A71" s="403" t="s">
        <v>80</v>
      </c>
      <c r="B71" s="403"/>
    </row>
    <row r="72" spans="1:8" s="2" customFormat="1" ht="3" customHeight="1" x14ac:dyDescent="0.2">
      <c r="A72" s="182"/>
      <c r="B72" s="183"/>
      <c r="C72" s="14"/>
      <c r="G72" s="14"/>
      <c r="H72" s="14"/>
    </row>
    <row r="73" spans="1:8" s="19" customFormat="1" ht="15" customHeight="1" x14ac:dyDescent="0.2">
      <c r="A73" s="17" t="s">
        <v>81</v>
      </c>
      <c r="B73" s="176" t="s">
        <v>106</v>
      </c>
      <c r="D73" s="24"/>
      <c r="E73" s="25"/>
      <c r="F73" s="26"/>
      <c r="G73" s="26"/>
      <c r="H73" s="23"/>
    </row>
    <row r="74" spans="1:8" s="19" customFormat="1" ht="15" customHeight="1" x14ac:dyDescent="0.2">
      <c r="A74" s="17" t="s">
        <v>82</v>
      </c>
      <c r="B74" s="176"/>
      <c r="D74" s="24"/>
      <c r="E74" s="25"/>
      <c r="F74" s="26"/>
      <c r="G74" s="26"/>
      <c r="H74" s="23"/>
    </row>
    <row r="75" spans="1:8" s="19" customFormat="1" ht="15" customHeight="1" x14ac:dyDescent="0.2">
      <c r="A75" s="17" t="s">
        <v>82</v>
      </c>
      <c r="B75" s="176"/>
      <c r="D75" s="24"/>
      <c r="E75" s="25"/>
      <c r="F75" s="26"/>
      <c r="G75" s="26"/>
      <c r="H75" s="23"/>
    </row>
    <row r="76" spans="1:8" s="19" customFormat="1" ht="15" customHeight="1" x14ac:dyDescent="0.2">
      <c r="A76" s="17" t="s">
        <v>82</v>
      </c>
      <c r="B76" s="176"/>
      <c r="D76" s="24"/>
      <c r="E76" s="25"/>
      <c r="F76" s="26"/>
      <c r="G76" s="26"/>
      <c r="H76" s="23"/>
    </row>
    <row r="77" spans="1:8" s="19" customFormat="1" ht="15" customHeight="1" x14ac:dyDescent="0.2">
      <c r="A77" s="17" t="s">
        <v>82</v>
      </c>
      <c r="B77" s="176"/>
      <c r="D77" s="24"/>
      <c r="E77" s="25"/>
      <c r="F77" s="26"/>
      <c r="G77" s="26"/>
      <c r="H77" s="23"/>
    </row>
    <row r="78" spans="1:8" s="19" customFormat="1" ht="15" customHeight="1" x14ac:dyDescent="0.2">
      <c r="A78" s="17" t="s">
        <v>82</v>
      </c>
      <c r="B78" s="176"/>
      <c r="D78" s="24"/>
      <c r="E78" s="25"/>
      <c r="F78" s="26"/>
      <c r="G78" s="26"/>
      <c r="H78" s="23"/>
    </row>
    <row r="79" spans="1:8" s="19" customFormat="1" ht="15" customHeight="1" x14ac:dyDescent="0.2">
      <c r="A79" s="17" t="s">
        <v>82</v>
      </c>
      <c r="B79" s="176"/>
      <c r="D79" s="24"/>
      <c r="E79" s="25"/>
      <c r="F79" s="26"/>
      <c r="G79" s="26"/>
      <c r="H79" s="23"/>
    </row>
    <row r="80" spans="1:8" s="19" customFormat="1" ht="15" customHeight="1" x14ac:dyDescent="0.2">
      <c r="A80" s="17" t="s">
        <v>82</v>
      </c>
      <c r="B80" s="176"/>
      <c r="D80" s="24"/>
      <c r="E80" s="25"/>
      <c r="F80" s="26"/>
      <c r="G80" s="26"/>
      <c r="H80" s="23"/>
    </row>
    <row r="81" spans="1:8" s="19" customFormat="1" ht="15" customHeight="1" x14ac:dyDescent="0.2">
      <c r="A81" s="17" t="s">
        <v>82</v>
      </c>
      <c r="B81" s="176"/>
      <c r="D81" s="24"/>
      <c r="E81" s="25"/>
      <c r="F81" s="26"/>
      <c r="G81" s="26"/>
      <c r="H81" s="23"/>
    </row>
    <row r="82" spans="1:8" s="19" customFormat="1" ht="15" customHeight="1" x14ac:dyDescent="0.2">
      <c r="A82" s="17" t="s">
        <v>83</v>
      </c>
      <c r="B82" s="180"/>
      <c r="D82" s="24"/>
      <c r="E82" s="25"/>
      <c r="F82" s="26"/>
      <c r="G82" s="26"/>
      <c r="H82" s="23"/>
    </row>
    <row r="83" spans="1:8" s="2" customFormat="1" ht="3" customHeight="1" x14ac:dyDescent="0.2">
      <c r="A83" s="182"/>
      <c r="B83" s="183"/>
      <c r="C83" s="14"/>
      <c r="G83" s="14"/>
      <c r="H83" s="14"/>
    </row>
    <row r="84" spans="1:8" s="22" customFormat="1" ht="15" customHeight="1" x14ac:dyDescent="0.2">
      <c r="A84" s="403" t="s">
        <v>84</v>
      </c>
      <c r="B84" s="403"/>
    </row>
    <row r="85" spans="1:8" s="2" customFormat="1" ht="3" customHeight="1" x14ac:dyDescent="0.2">
      <c r="A85" s="182"/>
      <c r="B85" s="183"/>
      <c r="C85" s="14"/>
      <c r="G85" s="14"/>
      <c r="H85" s="14"/>
    </row>
    <row r="86" spans="1:8" s="19" customFormat="1" ht="15" customHeight="1" x14ac:dyDescent="0.2">
      <c r="A86" s="17" t="s">
        <v>85</v>
      </c>
      <c r="B86" s="176" t="s">
        <v>84</v>
      </c>
      <c r="D86" s="24"/>
      <c r="E86" s="25"/>
      <c r="F86" s="26"/>
      <c r="G86" s="26"/>
      <c r="H86" s="23"/>
    </row>
    <row r="87" spans="1:8" s="19" customFormat="1" ht="15" customHeight="1" x14ac:dyDescent="0.2">
      <c r="A87" s="17" t="s">
        <v>86</v>
      </c>
      <c r="B87" s="176"/>
      <c r="D87" s="24"/>
      <c r="E87" s="25"/>
      <c r="F87" s="26"/>
      <c r="G87" s="26"/>
      <c r="H87" s="23"/>
    </row>
    <row r="88" spans="1:8" s="19" customFormat="1" ht="15" customHeight="1" x14ac:dyDescent="0.2">
      <c r="A88" s="17" t="s">
        <v>87</v>
      </c>
      <c r="B88" s="176"/>
      <c r="D88" s="24"/>
      <c r="E88" s="25"/>
      <c r="F88" s="26"/>
      <c r="G88" s="26"/>
      <c r="H88" s="23"/>
    </row>
    <row r="89" spans="1:8" s="19" customFormat="1" ht="15" customHeight="1" x14ac:dyDescent="0.2">
      <c r="A89" s="17" t="s">
        <v>88</v>
      </c>
      <c r="B89" s="176"/>
      <c r="D89" s="24"/>
      <c r="E89" s="25"/>
      <c r="F89" s="26"/>
      <c r="G89" s="26"/>
      <c r="H89" s="23"/>
    </row>
    <row r="90" spans="1:8" s="19" customFormat="1" ht="15" customHeight="1" x14ac:dyDescent="0.2">
      <c r="A90" s="17" t="s">
        <v>89</v>
      </c>
      <c r="B90" s="176"/>
      <c r="D90" s="24"/>
      <c r="E90" s="25"/>
      <c r="F90" s="26"/>
      <c r="G90" s="26"/>
      <c r="H90" s="23"/>
    </row>
    <row r="91" spans="1:8" s="19" customFormat="1" ht="15" customHeight="1" x14ac:dyDescent="0.2">
      <c r="A91" s="17" t="s">
        <v>1105</v>
      </c>
      <c r="B91" s="176"/>
      <c r="D91" s="24"/>
      <c r="E91" s="25"/>
      <c r="F91" s="26"/>
      <c r="G91" s="26"/>
      <c r="H91" s="23"/>
    </row>
    <row r="92" spans="1:8" s="19" customFormat="1" ht="15" customHeight="1" x14ac:dyDescent="0.2">
      <c r="A92" s="17" t="s">
        <v>1106</v>
      </c>
      <c r="B92" s="176"/>
      <c r="D92" s="24"/>
      <c r="E92" s="25"/>
      <c r="F92" s="26"/>
      <c r="G92" s="26"/>
      <c r="H92" s="23"/>
    </row>
    <row r="93" spans="1:8" s="2" customFormat="1" ht="3" customHeight="1" x14ac:dyDescent="0.2">
      <c r="A93" s="182"/>
      <c r="B93" s="176"/>
      <c r="C93" s="14"/>
      <c r="G93" s="14"/>
      <c r="H93" s="14"/>
    </row>
    <row r="94" spans="1:8" s="22" customFormat="1" ht="15" customHeight="1" x14ac:dyDescent="0.2">
      <c r="A94" s="403" t="s">
        <v>90</v>
      </c>
      <c r="B94" s="403"/>
    </row>
    <row r="95" spans="1:8" s="2" customFormat="1" ht="3" customHeight="1" x14ac:dyDescent="0.2">
      <c r="A95" s="182"/>
      <c r="B95" s="183"/>
      <c r="C95" s="14"/>
      <c r="G95" s="14"/>
      <c r="H95" s="14"/>
    </row>
    <row r="96" spans="1:8" s="19" customFormat="1" ht="15" customHeight="1" x14ac:dyDescent="0.2">
      <c r="A96" s="27" t="s">
        <v>1005</v>
      </c>
      <c r="B96" s="176" t="s">
        <v>90</v>
      </c>
      <c r="D96" s="24"/>
      <c r="E96" s="25"/>
      <c r="F96" s="26"/>
      <c r="G96" s="26"/>
      <c r="H96" s="23"/>
    </row>
    <row r="97" spans="1:8" s="19" customFormat="1" ht="15" customHeight="1" x14ac:dyDescent="0.2">
      <c r="A97" s="27" t="s">
        <v>1006</v>
      </c>
      <c r="B97" s="176"/>
      <c r="D97" s="24"/>
      <c r="E97" s="25"/>
      <c r="F97" s="26"/>
      <c r="G97" s="26"/>
      <c r="H97" s="23"/>
    </row>
    <row r="98" spans="1:8" s="19" customFormat="1" ht="15" customHeight="1" x14ac:dyDescent="0.2">
      <c r="A98" s="27" t="s">
        <v>1107</v>
      </c>
      <c r="B98" s="176"/>
      <c r="D98" s="24"/>
      <c r="E98" s="25"/>
      <c r="F98" s="26"/>
      <c r="G98" s="26"/>
      <c r="H98" s="23"/>
    </row>
    <row r="99" spans="1:8" s="19" customFormat="1" ht="15" customHeight="1" x14ac:dyDescent="0.2">
      <c r="A99" s="27" t="s">
        <v>1108</v>
      </c>
      <c r="B99" s="176"/>
      <c r="D99" s="24"/>
      <c r="E99" s="25"/>
      <c r="F99" s="26"/>
      <c r="G99" s="26"/>
      <c r="H99" s="23"/>
    </row>
    <row r="100" spans="1:8" s="19" customFormat="1" ht="15" customHeight="1" x14ac:dyDescent="0.2">
      <c r="A100" s="27" t="s">
        <v>1109</v>
      </c>
      <c r="B100" s="176"/>
      <c r="D100" s="24"/>
      <c r="E100" s="25"/>
      <c r="F100" s="26"/>
      <c r="G100" s="26"/>
      <c r="H100" s="23"/>
    </row>
    <row r="101" spans="1:8" s="19" customFormat="1" ht="15" customHeight="1" x14ac:dyDescent="0.2">
      <c r="A101" s="27" t="s">
        <v>1110</v>
      </c>
      <c r="B101" s="176"/>
      <c r="D101" s="24"/>
      <c r="E101" s="25"/>
      <c r="F101" s="26"/>
      <c r="G101" s="26"/>
      <c r="H101" s="23"/>
    </row>
    <row r="102" spans="1:8" s="19" customFormat="1" ht="15" customHeight="1" x14ac:dyDescent="0.2">
      <c r="A102" s="27" t="s">
        <v>1111</v>
      </c>
      <c r="B102" s="176"/>
      <c r="D102" s="24"/>
      <c r="E102" s="25"/>
      <c r="F102" s="26"/>
      <c r="G102" s="26"/>
      <c r="H102" s="23"/>
    </row>
    <row r="103" spans="1:8" s="2" customFormat="1" ht="3" customHeight="1" x14ac:dyDescent="0.2">
      <c r="A103" s="182"/>
      <c r="B103" s="183"/>
      <c r="C103" s="14"/>
      <c r="G103" s="14"/>
      <c r="H103" s="14"/>
    </row>
    <row r="104" spans="1:8" s="22" customFormat="1" ht="15" customHeight="1" x14ac:dyDescent="0.2">
      <c r="A104" s="400" t="s">
        <v>95</v>
      </c>
      <c r="B104" s="400"/>
    </row>
    <row r="105" spans="1:8" s="2" customFormat="1" ht="3" customHeight="1" x14ac:dyDescent="0.2">
      <c r="A105" s="182"/>
      <c r="B105" s="183"/>
      <c r="C105" s="14"/>
      <c r="G105" s="14"/>
      <c r="H105" s="14"/>
    </row>
    <row r="106" spans="1:8" s="19" customFormat="1" ht="15" customHeight="1" x14ac:dyDescent="0.2">
      <c r="A106" s="27" t="s">
        <v>96</v>
      </c>
      <c r="B106" s="176" t="s">
        <v>1115</v>
      </c>
      <c r="D106" s="24"/>
      <c r="E106" s="25"/>
      <c r="F106" s="26"/>
      <c r="G106" s="26"/>
      <c r="H106" s="23"/>
    </row>
    <row r="107" spans="1:8" s="19" customFormat="1" ht="15" customHeight="1" x14ac:dyDescent="0.2">
      <c r="A107" s="17" t="s">
        <v>97</v>
      </c>
      <c r="B107" s="176"/>
      <c r="D107" s="24"/>
      <c r="E107" s="25"/>
      <c r="F107" s="26"/>
      <c r="G107" s="26"/>
      <c r="H107" s="23"/>
    </row>
    <row r="108" spans="1:8" s="19" customFormat="1" ht="15" customHeight="1" x14ac:dyDescent="0.2">
      <c r="A108" s="17" t="s">
        <v>98</v>
      </c>
      <c r="B108" s="176"/>
      <c r="D108" s="24"/>
      <c r="E108" s="25"/>
      <c r="F108" s="26"/>
      <c r="G108" s="26"/>
      <c r="H108" s="23"/>
    </row>
    <row r="109" spans="1:8" s="19" customFormat="1" ht="15" customHeight="1" x14ac:dyDescent="0.2">
      <c r="A109" s="17" t="s">
        <v>99</v>
      </c>
      <c r="B109" s="176"/>
      <c r="D109" s="24"/>
      <c r="E109" s="25"/>
      <c r="F109" s="26"/>
      <c r="G109" s="26"/>
      <c r="H109" s="23"/>
    </row>
    <row r="110" spans="1:8" s="19" customFormat="1" ht="15" customHeight="1" x14ac:dyDescent="0.2">
      <c r="A110" s="17" t="s">
        <v>100</v>
      </c>
      <c r="B110" s="176"/>
      <c r="D110" s="24"/>
      <c r="E110" s="25"/>
      <c r="F110" s="26"/>
      <c r="G110" s="26"/>
      <c r="H110" s="23"/>
    </row>
    <row r="111" spans="1:8" s="19" customFormat="1" ht="15" customHeight="1" x14ac:dyDescent="0.2">
      <c r="A111" s="17" t="s">
        <v>101</v>
      </c>
      <c r="B111" s="176"/>
      <c r="D111" s="24"/>
      <c r="E111" s="25"/>
      <c r="F111" s="26"/>
      <c r="G111" s="26"/>
      <c r="H111" s="23"/>
    </row>
    <row r="112" spans="1:8" s="19" customFormat="1" ht="15" customHeight="1" x14ac:dyDescent="0.2">
      <c r="A112" s="17" t="s">
        <v>102</v>
      </c>
      <c r="B112" s="176"/>
      <c r="D112" s="24"/>
      <c r="E112" s="25"/>
      <c r="F112" s="26"/>
      <c r="G112" s="26"/>
      <c r="H112" s="23"/>
    </row>
    <row r="113" spans="1:8" s="19" customFormat="1" ht="15" customHeight="1" x14ac:dyDescent="0.2">
      <c r="A113" s="17" t="s">
        <v>103</v>
      </c>
      <c r="B113" s="176"/>
      <c r="D113" s="24"/>
      <c r="E113" s="25"/>
      <c r="F113" s="26"/>
      <c r="G113" s="26"/>
      <c r="H113" s="23"/>
    </row>
    <row r="114" spans="1:8" s="19" customFormat="1" ht="15" customHeight="1" x14ac:dyDescent="0.2">
      <c r="A114" s="17" t="s">
        <v>104</v>
      </c>
      <c r="B114" s="176"/>
      <c r="D114" s="24"/>
      <c r="E114" s="25"/>
      <c r="F114" s="26"/>
      <c r="G114" s="26"/>
      <c r="H114" s="23"/>
    </row>
    <row r="115" spans="1:8" s="19" customFormat="1" ht="15" customHeight="1" x14ac:dyDescent="0.2">
      <c r="A115" s="18" t="s">
        <v>105</v>
      </c>
      <c r="B115" s="180"/>
      <c r="D115" s="24"/>
      <c r="E115" s="25"/>
      <c r="F115" s="26"/>
      <c r="G115" s="26"/>
      <c r="H115" s="23"/>
    </row>
    <row r="116" spans="1:8" s="2" customFormat="1" ht="3.75" customHeight="1" x14ac:dyDescent="0.2">
      <c r="A116" s="182"/>
      <c r="B116" s="183"/>
      <c r="C116" s="14"/>
      <c r="G116" s="14"/>
      <c r="H116" s="14"/>
    </row>
    <row r="117" spans="1:8" s="22" customFormat="1" ht="15" customHeight="1" x14ac:dyDescent="0.2">
      <c r="A117" s="403" t="s">
        <v>1029</v>
      </c>
      <c r="B117" s="403"/>
    </row>
    <row r="118" spans="1:8" s="2" customFormat="1" ht="3" customHeight="1" x14ac:dyDescent="0.2">
      <c r="A118" s="182"/>
      <c r="B118" s="183"/>
      <c r="C118" s="14"/>
      <c r="G118" s="14"/>
      <c r="H118" s="14"/>
    </row>
    <row r="119" spans="1:8" s="19" customFormat="1" ht="15" customHeight="1" x14ac:dyDescent="0.2">
      <c r="A119" s="27" t="s">
        <v>91</v>
      </c>
      <c r="B119" s="176"/>
      <c r="D119" s="24"/>
      <c r="E119" s="25"/>
      <c r="F119" s="26"/>
      <c r="G119" s="26"/>
      <c r="H119" s="23"/>
    </row>
    <row r="120" spans="1:8" s="19" customFormat="1" ht="15" customHeight="1" x14ac:dyDescent="0.2">
      <c r="A120" s="27" t="s">
        <v>92</v>
      </c>
      <c r="B120" s="176"/>
      <c r="D120" s="24"/>
      <c r="E120" s="25"/>
      <c r="F120" s="26"/>
      <c r="G120" s="26"/>
      <c r="H120" s="23"/>
    </row>
    <row r="121" spans="1:8" s="2" customFormat="1" ht="3" customHeight="1" x14ac:dyDescent="0.2">
      <c r="A121" s="182"/>
      <c r="B121" s="183"/>
      <c r="C121" s="14"/>
      <c r="G121" s="14"/>
      <c r="H121" s="14"/>
    </row>
    <row r="122" spans="1:8" s="22" customFormat="1" ht="15" customHeight="1" x14ac:dyDescent="0.2">
      <c r="A122" s="403" t="s">
        <v>1053</v>
      </c>
      <c r="B122" s="403"/>
    </row>
    <row r="123" spans="1:8" s="2" customFormat="1" ht="3" customHeight="1" x14ac:dyDescent="0.2">
      <c r="A123" s="182"/>
      <c r="B123" s="183"/>
      <c r="C123" s="14"/>
      <c r="G123" s="14"/>
      <c r="H123" s="14"/>
    </row>
    <row r="124" spans="1:8" s="19" customFormat="1" ht="15" customHeight="1" x14ac:dyDescent="0.2">
      <c r="A124" s="27" t="s">
        <v>1054</v>
      </c>
      <c r="B124" s="176"/>
      <c r="D124" s="24"/>
      <c r="E124" s="25"/>
      <c r="F124" s="26"/>
      <c r="G124" s="26"/>
      <c r="H124" s="23"/>
    </row>
    <row r="125" spans="1:8" s="19" customFormat="1" ht="15" customHeight="1" x14ac:dyDescent="0.2">
      <c r="A125" s="27" t="s">
        <v>1112</v>
      </c>
      <c r="B125" s="176"/>
      <c r="D125" s="24"/>
      <c r="E125" s="25"/>
      <c r="F125" s="26"/>
      <c r="G125" s="26"/>
      <c r="H125" s="23"/>
    </row>
    <row r="126" spans="1:8" s="19" customFormat="1" ht="15" customHeight="1" x14ac:dyDescent="0.2">
      <c r="A126" s="27" t="s">
        <v>1113</v>
      </c>
      <c r="B126" s="176"/>
      <c r="D126" s="24"/>
      <c r="E126" s="25"/>
      <c r="F126" s="26"/>
      <c r="G126" s="26"/>
      <c r="H126" s="23"/>
    </row>
    <row r="127" spans="1:8" s="19" customFormat="1" ht="15" customHeight="1" x14ac:dyDescent="0.2">
      <c r="A127" s="27" t="s">
        <v>1114</v>
      </c>
      <c r="B127" s="176"/>
      <c r="D127" s="24"/>
      <c r="E127" s="25"/>
      <c r="F127" s="26"/>
      <c r="G127" s="26"/>
      <c r="H127" s="23"/>
    </row>
    <row r="128" spans="1:8" ht="12.75" customHeight="1" x14ac:dyDescent="0.2">
      <c r="A128" s="401" t="s">
        <v>9</v>
      </c>
      <c r="B128" s="402"/>
    </row>
    <row r="129" spans="1:2" ht="48" customHeight="1" x14ac:dyDescent="0.2">
      <c r="A129" s="380"/>
      <c r="B129" s="399"/>
    </row>
    <row r="132" spans="1:2" x14ac:dyDescent="0.2">
      <c r="B132" s="76"/>
    </row>
    <row r="133" spans="1:2" x14ac:dyDescent="0.2">
      <c r="B133" s="76"/>
    </row>
    <row r="134" spans="1:2" x14ac:dyDescent="0.2">
      <c r="B134" s="76"/>
    </row>
    <row r="135" spans="1:2" x14ac:dyDescent="0.2">
      <c r="B135" s="76"/>
    </row>
    <row r="136" spans="1:2" x14ac:dyDescent="0.2">
      <c r="B136" s="76"/>
    </row>
    <row r="137" spans="1:2" x14ac:dyDescent="0.2">
      <c r="B137" s="76"/>
    </row>
    <row r="138" spans="1:2" x14ac:dyDescent="0.2">
      <c r="B138" s="76"/>
    </row>
    <row r="139" spans="1:2" x14ac:dyDescent="0.2">
      <c r="B139" s="76"/>
    </row>
    <row r="140" spans="1:2" x14ac:dyDescent="0.2">
      <c r="B140" s="76"/>
    </row>
    <row r="141" spans="1:2" x14ac:dyDescent="0.2">
      <c r="B141" s="76"/>
    </row>
    <row r="142" spans="1:2" x14ac:dyDescent="0.2">
      <c r="B142" s="76"/>
    </row>
    <row r="143" spans="1:2" x14ac:dyDescent="0.2">
      <c r="B143" s="76"/>
    </row>
    <row r="144" spans="1:2" x14ac:dyDescent="0.2">
      <c r="B144" s="76"/>
    </row>
    <row r="145" spans="2:2" x14ac:dyDescent="0.2">
      <c r="B145" s="76"/>
    </row>
  </sheetData>
  <mergeCells count="12">
    <mergeCell ref="A94:B94"/>
    <mergeCell ref="A84:B84"/>
    <mergeCell ref="A6:B6"/>
    <mergeCell ref="A1:A4"/>
    <mergeCell ref="A29:B29"/>
    <mergeCell ref="A71:B71"/>
    <mergeCell ref="A48:B48"/>
    <mergeCell ref="A129:B129"/>
    <mergeCell ref="A104:B104"/>
    <mergeCell ref="A128:B128"/>
    <mergeCell ref="A117:B117"/>
    <mergeCell ref="A122:B122"/>
  </mergeCells>
  <printOptions horizontalCentered="1"/>
  <pageMargins left="0.19685039370078741" right="0.19685039370078741" top="0.59055118110236227" bottom="0.19685039370078741" header="0.51181102362204722" footer="0.51181102362204722"/>
  <pageSetup paperSize="9" scale="11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O23"/>
  <sheetViews>
    <sheetView showGridLines="0" workbookViewId="0">
      <selection sqref="A1:A4"/>
    </sheetView>
  </sheetViews>
  <sheetFormatPr defaultRowHeight="12.75" x14ac:dyDescent="0.2"/>
  <cols>
    <col min="1" max="1" width="4.140625" style="109" customWidth="1"/>
    <col min="2" max="2" width="6.85546875" style="109" customWidth="1"/>
    <col min="3" max="3" width="8.140625" style="109" customWidth="1"/>
    <col min="4" max="4" width="8.5703125" style="109" customWidth="1"/>
    <col min="5" max="5" width="28.42578125" style="109" customWidth="1"/>
    <col min="6" max="6" width="12" style="109" customWidth="1"/>
    <col min="7" max="15" width="6.85546875" style="15" customWidth="1"/>
    <col min="16" max="245" width="9.140625" style="15"/>
    <col min="246" max="246" width="4.140625" style="15" customWidth="1"/>
    <col min="247" max="247" width="6.85546875" style="15" customWidth="1"/>
    <col min="248" max="248" width="8.140625" style="15" customWidth="1"/>
    <col min="249" max="249" width="8.5703125" style="15" customWidth="1"/>
    <col min="250" max="250" width="13" style="15" customWidth="1"/>
    <col min="251" max="251" width="12" style="15" customWidth="1"/>
    <col min="252" max="252" width="3.5703125" style="15" customWidth="1"/>
    <col min="253" max="253" width="8.7109375" style="15" customWidth="1"/>
    <col min="254" max="254" width="9.5703125" style="15" customWidth="1"/>
    <col min="255" max="262" width="8.7109375" style="15" customWidth="1"/>
    <col min="263" max="271" width="6.85546875" style="15" customWidth="1"/>
    <col min="272" max="501" width="9.140625" style="15"/>
    <col min="502" max="502" width="4.140625" style="15" customWidth="1"/>
    <col min="503" max="503" width="6.85546875" style="15" customWidth="1"/>
    <col min="504" max="504" width="8.140625" style="15" customWidth="1"/>
    <col min="505" max="505" width="8.5703125" style="15" customWidth="1"/>
    <col min="506" max="506" width="13" style="15" customWidth="1"/>
    <col min="507" max="507" width="12" style="15" customWidth="1"/>
    <col min="508" max="508" width="3.5703125" style="15" customWidth="1"/>
    <col min="509" max="509" width="8.7109375" style="15" customWidth="1"/>
    <col min="510" max="510" width="9.5703125" style="15" customWidth="1"/>
    <col min="511" max="518" width="8.7109375" style="15" customWidth="1"/>
    <col min="519" max="527" width="6.85546875" style="15" customWidth="1"/>
    <col min="528" max="757" width="9.140625" style="15"/>
    <col min="758" max="758" width="4.140625" style="15" customWidth="1"/>
    <col min="759" max="759" width="6.85546875" style="15" customWidth="1"/>
    <col min="760" max="760" width="8.140625" style="15" customWidth="1"/>
    <col min="761" max="761" width="8.5703125" style="15" customWidth="1"/>
    <col min="762" max="762" width="13" style="15" customWidth="1"/>
    <col min="763" max="763" width="12" style="15" customWidth="1"/>
    <col min="764" max="764" width="3.5703125" style="15" customWidth="1"/>
    <col min="765" max="765" width="8.7109375" style="15" customWidth="1"/>
    <col min="766" max="766" width="9.5703125" style="15" customWidth="1"/>
    <col min="767" max="774" width="8.7109375" style="15" customWidth="1"/>
    <col min="775" max="783" width="6.85546875" style="15" customWidth="1"/>
    <col min="784" max="1013" width="9.140625" style="15"/>
    <col min="1014" max="1014" width="4.140625" style="15" customWidth="1"/>
    <col min="1015" max="1015" width="6.85546875" style="15" customWidth="1"/>
    <col min="1016" max="1016" width="8.140625" style="15" customWidth="1"/>
    <col min="1017" max="1017" width="8.5703125" style="15" customWidth="1"/>
    <col min="1018" max="1018" width="13" style="15" customWidth="1"/>
    <col min="1019" max="1019" width="12" style="15" customWidth="1"/>
    <col min="1020" max="1020" width="3.5703125" style="15" customWidth="1"/>
    <col min="1021" max="1021" width="8.7109375" style="15" customWidth="1"/>
    <col min="1022" max="1022" width="9.5703125" style="15" customWidth="1"/>
    <col min="1023" max="1030" width="8.7109375" style="15" customWidth="1"/>
    <col min="1031" max="1039" width="6.85546875" style="15" customWidth="1"/>
    <col min="1040" max="1269" width="9.140625" style="15"/>
    <col min="1270" max="1270" width="4.140625" style="15" customWidth="1"/>
    <col min="1271" max="1271" width="6.85546875" style="15" customWidth="1"/>
    <col min="1272" max="1272" width="8.140625" style="15" customWidth="1"/>
    <col min="1273" max="1273" width="8.5703125" style="15" customWidth="1"/>
    <col min="1274" max="1274" width="13" style="15" customWidth="1"/>
    <col min="1275" max="1275" width="12" style="15" customWidth="1"/>
    <col min="1276" max="1276" width="3.5703125" style="15" customWidth="1"/>
    <col min="1277" max="1277" width="8.7109375" style="15" customWidth="1"/>
    <col min="1278" max="1278" width="9.5703125" style="15" customWidth="1"/>
    <col min="1279" max="1286" width="8.7109375" style="15" customWidth="1"/>
    <col min="1287" max="1295" width="6.85546875" style="15" customWidth="1"/>
    <col min="1296" max="1525" width="9.140625" style="15"/>
    <col min="1526" max="1526" width="4.140625" style="15" customWidth="1"/>
    <col min="1527" max="1527" width="6.85546875" style="15" customWidth="1"/>
    <col min="1528" max="1528" width="8.140625" style="15" customWidth="1"/>
    <col min="1529" max="1529" width="8.5703125" style="15" customWidth="1"/>
    <col min="1530" max="1530" width="13" style="15" customWidth="1"/>
    <col min="1531" max="1531" width="12" style="15" customWidth="1"/>
    <col min="1532" max="1532" width="3.5703125" style="15" customWidth="1"/>
    <col min="1533" max="1533" width="8.7109375" style="15" customWidth="1"/>
    <col min="1534" max="1534" width="9.5703125" style="15" customWidth="1"/>
    <col min="1535" max="1542" width="8.7109375" style="15" customWidth="1"/>
    <col min="1543" max="1551" width="6.85546875" style="15" customWidth="1"/>
    <col min="1552" max="1781" width="9.140625" style="15"/>
    <col min="1782" max="1782" width="4.140625" style="15" customWidth="1"/>
    <col min="1783" max="1783" width="6.85546875" style="15" customWidth="1"/>
    <col min="1784" max="1784" width="8.140625" style="15" customWidth="1"/>
    <col min="1785" max="1785" width="8.5703125" style="15" customWidth="1"/>
    <col min="1786" max="1786" width="13" style="15" customWidth="1"/>
    <col min="1787" max="1787" width="12" style="15" customWidth="1"/>
    <col min="1788" max="1788" width="3.5703125" style="15" customWidth="1"/>
    <col min="1789" max="1789" width="8.7109375" style="15" customWidth="1"/>
    <col min="1790" max="1790" width="9.5703125" style="15" customWidth="1"/>
    <col min="1791" max="1798" width="8.7109375" style="15" customWidth="1"/>
    <col min="1799" max="1807" width="6.85546875" style="15" customWidth="1"/>
    <col min="1808" max="2037" width="9.140625" style="15"/>
    <col min="2038" max="2038" width="4.140625" style="15" customWidth="1"/>
    <col min="2039" max="2039" width="6.85546875" style="15" customWidth="1"/>
    <col min="2040" max="2040" width="8.140625" style="15" customWidth="1"/>
    <col min="2041" max="2041" width="8.5703125" style="15" customWidth="1"/>
    <col min="2042" max="2042" width="13" style="15" customWidth="1"/>
    <col min="2043" max="2043" width="12" style="15" customWidth="1"/>
    <col min="2044" max="2044" width="3.5703125" style="15" customWidth="1"/>
    <col min="2045" max="2045" width="8.7109375" style="15" customWidth="1"/>
    <col min="2046" max="2046" width="9.5703125" style="15" customWidth="1"/>
    <col min="2047" max="2054" width="8.7109375" style="15" customWidth="1"/>
    <col min="2055" max="2063" width="6.85546875" style="15" customWidth="1"/>
    <col min="2064" max="2293" width="9.140625" style="15"/>
    <col min="2294" max="2294" width="4.140625" style="15" customWidth="1"/>
    <col min="2295" max="2295" width="6.85546875" style="15" customWidth="1"/>
    <col min="2296" max="2296" width="8.140625" style="15" customWidth="1"/>
    <col min="2297" max="2297" width="8.5703125" style="15" customWidth="1"/>
    <col min="2298" max="2298" width="13" style="15" customWidth="1"/>
    <col min="2299" max="2299" width="12" style="15" customWidth="1"/>
    <col min="2300" max="2300" width="3.5703125" style="15" customWidth="1"/>
    <col min="2301" max="2301" width="8.7109375" style="15" customWidth="1"/>
    <col min="2302" max="2302" width="9.5703125" style="15" customWidth="1"/>
    <col min="2303" max="2310" width="8.7109375" style="15" customWidth="1"/>
    <col min="2311" max="2319" width="6.85546875" style="15" customWidth="1"/>
    <col min="2320" max="2549" width="9.140625" style="15"/>
    <col min="2550" max="2550" width="4.140625" style="15" customWidth="1"/>
    <col min="2551" max="2551" width="6.85546875" style="15" customWidth="1"/>
    <col min="2552" max="2552" width="8.140625" style="15" customWidth="1"/>
    <col min="2553" max="2553" width="8.5703125" style="15" customWidth="1"/>
    <col min="2554" max="2554" width="13" style="15" customWidth="1"/>
    <col min="2555" max="2555" width="12" style="15" customWidth="1"/>
    <col min="2556" max="2556" width="3.5703125" style="15" customWidth="1"/>
    <col min="2557" max="2557" width="8.7109375" style="15" customWidth="1"/>
    <col min="2558" max="2558" width="9.5703125" style="15" customWidth="1"/>
    <col min="2559" max="2566" width="8.7109375" style="15" customWidth="1"/>
    <col min="2567" max="2575" width="6.85546875" style="15" customWidth="1"/>
    <col min="2576" max="2805" width="9.140625" style="15"/>
    <col min="2806" max="2806" width="4.140625" style="15" customWidth="1"/>
    <col min="2807" max="2807" width="6.85546875" style="15" customWidth="1"/>
    <col min="2808" max="2808" width="8.140625" style="15" customWidth="1"/>
    <col min="2809" max="2809" width="8.5703125" style="15" customWidth="1"/>
    <col min="2810" max="2810" width="13" style="15" customWidth="1"/>
    <col min="2811" max="2811" width="12" style="15" customWidth="1"/>
    <col min="2812" max="2812" width="3.5703125" style="15" customWidth="1"/>
    <col min="2813" max="2813" width="8.7109375" style="15" customWidth="1"/>
    <col min="2814" max="2814" width="9.5703125" style="15" customWidth="1"/>
    <col min="2815" max="2822" width="8.7109375" style="15" customWidth="1"/>
    <col min="2823" max="2831" width="6.85546875" style="15" customWidth="1"/>
    <col min="2832" max="3061" width="9.140625" style="15"/>
    <col min="3062" max="3062" width="4.140625" style="15" customWidth="1"/>
    <col min="3063" max="3063" width="6.85546875" style="15" customWidth="1"/>
    <col min="3064" max="3064" width="8.140625" style="15" customWidth="1"/>
    <col min="3065" max="3065" width="8.5703125" style="15" customWidth="1"/>
    <col min="3066" max="3066" width="13" style="15" customWidth="1"/>
    <col min="3067" max="3067" width="12" style="15" customWidth="1"/>
    <col min="3068" max="3068" width="3.5703125" style="15" customWidth="1"/>
    <col min="3069" max="3069" width="8.7109375" style="15" customWidth="1"/>
    <col min="3070" max="3070" width="9.5703125" style="15" customWidth="1"/>
    <col min="3071" max="3078" width="8.7109375" style="15" customWidth="1"/>
    <col min="3079" max="3087" width="6.85546875" style="15" customWidth="1"/>
    <col min="3088" max="3317" width="9.140625" style="15"/>
    <col min="3318" max="3318" width="4.140625" style="15" customWidth="1"/>
    <col min="3319" max="3319" width="6.85546875" style="15" customWidth="1"/>
    <col min="3320" max="3320" width="8.140625" style="15" customWidth="1"/>
    <col min="3321" max="3321" width="8.5703125" style="15" customWidth="1"/>
    <col min="3322" max="3322" width="13" style="15" customWidth="1"/>
    <col min="3323" max="3323" width="12" style="15" customWidth="1"/>
    <col min="3324" max="3324" width="3.5703125" style="15" customWidth="1"/>
    <col min="3325" max="3325" width="8.7109375" style="15" customWidth="1"/>
    <col min="3326" max="3326" width="9.5703125" style="15" customWidth="1"/>
    <col min="3327" max="3334" width="8.7109375" style="15" customWidth="1"/>
    <col min="3335" max="3343" width="6.85546875" style="15" customWidth="1"/>
    <col min="3344" max="3573" width="9.140625" style="15"/>
    <col min="3574" max="3574" width="4.140625" style="15" customWidth="1"/>
    <col min="3575" max="3575" width="6.85546875" style="15" customWidth="1"/>
    <col min="3576" max="3576" width="8.140625" style="15" customWidth="1"/>
    <col min="3577" max="3577" width="8.5703125" style="15" customWidth="1"/>
    <col min="3578" max="3578" width="13" style="15" customWidth="1"/>
    <col min="3579" max="3579" width="12" style="15" customWidth="1"/>
    <col min="3580" max="3580" width="3.5703125" style="15" customWidth="1"/>
    <col min="3581" max="3581" width="8.7109375" style="15" customWidth="1"/>
    <col min="3582" max="3582" width="9.5703125" style="15" customWidth="1"/>
    <col min="3583" max="3590" width="8.7109375" style="15" customWidth="1"/>
    <col min="3591" max="3599" width="6.85546875" style="15" customWidth="1"/>
    <col min="3600" max="3829" width="9.140625" style="15"/>
    <col min="3830" max="3830" width="4.140625" style="15" customWidth="1"/>
    <col min="3831" max="3831" width="6.85546875" style="15" customWidth="1"/>
    <col min="3832" max="3832" width="8.140625" style="15" customWidth="1"/>
    <col min="3833" max="3833" width="8.5703125" style="15" customWidth="1"/>
    <col min="3834" max="3834" width="13" style="15" customWidth="1"/>
    <col min="3835" max="3835" width="12" style="15" customWidth="1"/>
    <col min="3836" max="3836" width="3.5703125" style="15" customWidth="1"/>
    <col min="3837" max="3837" width="8.7109375" style="15" customWidth="1"/>
    <col min="3838" max="3838" width="9.5703125" style="15" customWidth="1"/>
    <col min="3839" max="3846" width="8.7109375" style="15" customWidth="1"/>
    <col min="3847" max="3855" width="6.85546875" style="15" customWidth="1"/>
    <col min="3856" max="4085" width="9.140625" style="15"/>
    <col min="4086" max="4086" width="4.140625" style="15" customWidth="1"/>
    <col min="4087" max="4087" width="6.85546875" style="15" customWidth="1"/>
    <col min="4088" max="4088" width="8.140625" style="15" customWidth="1"/>
    <col min="4089" max="4089" width="8.5703125" style="15" customWidth="1"/>
    <col min="4090" max="4090" width="13" style="15" customWidth="1"/>
    <col min="4091" max="4091" width="12" style="15" customWidth="1"/>
    <col min="4092" max="4092" width="3.5703125" style="15" customWidth="1"/>
    <col min="4093" max="4093" width="8.7109375" style="15" customWidth="1"/>
    <col min="4094" max="4094" width="9.5703125" style="15" customWidth="1"/>
    <col min="4095" max="4102" width="8.7109375" style="15" customWidth="1"/>
    <col min="4103" max="4111" width="6.85546875" style="15" customWidth="1"/>
    <col min="4112" max="4341" width="9.140625" style="15"/>
    <col min="4342" max="4342" width="4.140625" style="15" customWidth="1"/>
    <col min="4343" max="4343" width="6.85546875" style="15" customWidth="1"/>
    <col min="4344" max="4344" width="8.140625" style="15" customWidth="1"/>
    <col min="4345" max="4345" width="8.5703125" style="15" customWidth="1"/>
    <col min="4346" max="4346" width="13" style="15" customWidth="1"/>
    <col min="4347" max="4347" width="12" style="15" customWidth="1"/>
    <col min="4348" max="4348" width="3.5703125" style="15" customWidth="1"/>
    <col min="4349" max="4349" width="8.7109375" style="15" customWidth="1"/>
    <col min="4350" max="4350" width="9.5703125" style="15" customWidth="1"/>
    <col min="4351" max="4358" width="8.7109375" style="15" customWidth="1"/>
    <col min="4359" max="4367" width="6.85546875" style="15" customWidth="1"/>
    <col min="4368" max="4597" width="9.140625" style="15"/>
    <col min="4598" max="4598" width="4.140625" style="15" customWidth="1"/>
    <col min="4599" max="4599" width="6.85546875" style="15" customWidth="1"/>
    <col min="4600" max="4600" width="8.140625" style="15" customWidth="1"/>
    <col min="4601" max="4601" width="8.5703125" style="15" customWidth="1"/>
    <col min="4602" max="4602" width="13" style="15" customWidth="1"/>
    <col min="4603" max="4603" width="12" style="15" customWidth="1"/>
    <col min="4604" max="4604" width="3.5703125" style="15" customWidth="1"/>
    <col min="4605" max="4605" width="8.7109375" style="15" customWidth="1"/>
    <col min="4606" max="4606" width="9.5703125" style="15" customWidth="1"/>
    <col min="4607" max="4614" width="8.7109375" style="15" customWidth="1"/>
    <col min="4615" max="4623" width="6.85546875" style="15" customWidth="1"/>
    <col min="4624" max="4853" width="9.140625" style="15"/>
    <col min="4854" max="4854" width="4.140625" style="15" customWidth="1"/>
    <col min="4855" max="4855" width="6.85546875" style="15" customWidth="1"/>
    <col min="4856" max="4856" width="8.140625" style="15" customWidth="1"/>
    <col min="4857" max="4857" width="8.5703125" style="15" customWidth="1"/>
    <col min="4858" max="4858" width="13" style="15" customWidth="1"/>
    <col min="4859" max="4859" width="12" style="15" customWidth="1"/>
    <col min="4860" max="4860" width="3.5703125" style="15" customWidth="1"/>
    <col min="4861" max="4861" width="8.7109375" style="15" customWidth="1"/>
    <col min="4862" max="4862" width="9.5703125" style="15" customWidth="1"/>
    <col min="4863" max="4870" width="8.7109375" style="15" customWidth="1"/>
    <col min="4871" max="4879" width="6.85546875" style="15" customWidth="1"/>
    <col min="4880" max="5109" width="9.140625" style="15"/>
    <col min="5110" max="5110" width="4.140625" style="15" customWidth="1"/>
    <col min="5111" max="5111" width="6.85546875" style="15" customWidth="1"/>
    <col min="5112" max="5112" width="8.140625" style="15" customWidth="1"/>
    <col min="5113" max="5113" width="8.5703125" style="15" customWidth="1"/>
    <col min="5114" max="5114" width="13" style="15" customWidth="1"/>
    <col min="5115" max="5115" width="12" style="15" customWidth="1"/>
    <col min="5116" max="5116" width="3.5703125" style="15" customWidth="1"/>
    <col min="5117" max="5117" width="8.7109375" style="15" customWidth="1"/>
    <col min="5118" max="5118" width="9.5703125" style="15" customWidth="1"/>
    <col min="5119" max="5126" width="8.7109375" style="15" customWidth="1"/>
    <col min="5127" max="5135" width="6.85546875" style="15" customWidth="1"/>
    <col min="5136" max="5365" width="9.140625" style="15"/>
    <col min="5366" max="5366" width="4.140625" style="15" customWidth="1"/>
    <col min="5367" max="5367" width="6.85546875" style="15" customWidth="1"/>
    <col min="5368" max="5368" width="8.140625" style="15" customWidth="1"/>
    <col min="5369" max="5369" width="8.5703125" style="15" customWidth="1"/>
    <col min="5370" max="5370" width="13" style="15" customWidth="1"/>
    <col min="5371" max="5371" width="12" style="15" customWidth="1"/>
    <col min="5372" max="5372" width="3.5703125" style="15" customWidth="1"/>
    <col min="5373" max="5373" width="8.7109375" style="15" customWidth="1"/>
    <col min="5374" max="5374" width="9.5703125" style="15" customWidth="1"/>
    <col min="5375" max="5382" width="8.7109375" style="15" customWidth="1"/>
    <col min="5383" max="5391" width="6.85546875" style="15" customWidth="1"/>
    <col min="5392" max="5621" width="9.140625" style="15"/>
    <col min="5622" max="5622" width="4.140625" style="15" customWidth="1"/>
    <col min="5623" max="5623" width="6.85546875" style="15" customWidth="1"/>
    <col min="5624" max="5624" width="8.140625" style="15" customWidth="1"/>
    <col min="5625" max="5625" width="8.5703125" style="15" customWidth="1"/>
    <col min="5626" max="5626" width="13" style="15" customWidth="1"/>
    <col min="5627" max="5627" width="12" style="15" customWidth="1"/>
    <col min="5628" max="5628" width="3.5703125" style="15" customWidth="1"/>
    <col min="5629" max="5629" width="8.7109375" style="15" customWidth="1"/>
    <col min="5630" max="5630" width="9.5703125" style="15" customWidth="1"/>
    <col min="5631" max="5638" width="8.7109375" style="15" customWidth="1"/>
    <col min="5639" max="5647" width="6.85546875" style="15" customWidth="1"/>
    <col min="5648" max="5877" width="9.140625" style="15"/>
    <col min="5878" max="5878" width="4.140625" style="15" customWidth="1"/>
    <col min="5879" max="5879" width="6.85546875" style="15" customWidth="1"/>
    <col min="5880" max="5880" width="8.140625" style="15" customWidth="1"/>
    <col min="5881" max="5881" width="8.5703125" style="15" customWidth="1"/>
    <col min="5882" max="5882" width="13" style="15" customWidth="1"/>
    <col min="5883" max="5883" width="12" style="15" customWidth="1"/>
    <col min="5884" max="5884" width="3.5703125" style="15" customWidth="1"/>
    <col min="5885" max="5885" width="8.7109375" style="15" customWidth="1"/>
    <col min="5886" max="5886" width="9.5703125" style="15" customWidth="1"/>
    <col min="5887" max="5894" width="8.7109375" style="15" customWidth="1"/>
    <col min="5895" max="5903" width="6.85546875" style="15" customWidth="1"/>
    <col min="5904" max="6133" width="9.140625" style="15"/>
    <col min="6134" max="6134" width="4.140625" style="15" customWidth="1"/>
    <col min="6135" max="6135" width="6.85546875" style="15" customWidth="1"/>
    <col min="6136" max="6136" width="8.140625" style="15" customWidth="1"/>
    <col min="6137" max="6137" width="8.5703125" style="15" customWidth="1"/>
    <col min="6138" max="6138" width="13" style="15" customWidth="1"/>
    <col min="6139" max="6139" width="12" style="15" customWidth="1"/>
    <col min="6140" max="6140" width="3.5703125" style="15" customWidth="1"/>
    <col min="6141" max="6141" width="8.7109375" style="15" customWidth="1"/>
    <col min="6142" max="6142" width="9.5703125" style="15" customWidth="1"/>
    <col min="6143" max="6150" width="8.7109375" style="15" customWidth="1"/>
    <col min="6151" max="6159" width="6.85546875" style="15" customWidth="1"/>
    <col min="6160" max="6389" width="9.140625" style="15"/>
    <col min="6390" max="6390" width="4.140625" style="15" customWidth="1"/>
    <col min="6391" max="6391" width="6.85546875" style="15" customWidth="1"/>
    <col min="6392" max="6392" width="8.140625" style="15" customWidth="1"/>
    <col min="6393" max="6393" width="8.5703125" style="15" customWidth="1"/>
    <col min="6394" max="6394" width="13" style="15" customWidth="1"/>
    <col min="6395" max="6395" width="12" style="15" customWidth="1"/>
    <col min="6396" max="6396" width="3.5703125" style="15" customWidth="1"/>
    <col min="6397" max="6397" width="8.7109375" style="15" customWidth="1"/>
    <col min="6398" max="6398" width="9.5703125" style="15" customWidth="1"/>
    <col min="6399" max="6406" width="8.7109375" style="15" customWidth="1"/>
    <col min="6407" max="6415" width="6.85546875" style="15" customWidth="1"/>
    <col min="6416" max="6645" width="9.140625" style="15"/>
    <col min="6646" max="6646" width="4.140625" style="15" customWidth="1"/>
    <col min="6647" max="6647" width="6.85546875" style="15" customWidth="1"/>
    <col min="6648" max="6648" width="8.140625" style="15" customWidth="1"/>
    <col min="6649" max="6649" width="8.5703125" style="15" customWidth="1"/>
    <col min="6650" max="6650" width="13" style="15" customWidth="1"/>
    <col min="6651" max="6651" width="12" style="15" customWidth="1"/>
    <col min="6652" max="6652" width="3.5703125" style="15" customWidth="1"/>
    <col min="6653" max="6653" width="8.7109375" style="15" customWidth="1"/>
    <col min="6654" max="6654" width="9.5703125" style="15" customWidth="1"/>
    <col min="6655" max="6662" width="8.7109375" style="15" customWidth="1"/>
    <col min="6663" max="6671" width="6.85546875" style="15" customWidth="1"/>
    <col min="6672" max="6901" width="9.140625" style="15"/>
    <col min="6902" max="6902" width="4.140625" style="15" customWidth="1"/>
    <col min="6903" max="6903" width="6.85546875" style="15" customWidth="1"/>
    <col min="6904" max="6904" width="8.140625" style="15" customWidth="1"/>
    <col min="6905" max="6905" width="8.5703125" style="15" customWidth="1"/>
    <col min="6906" max="6906" width="13" style="15" customWidth="1"/>
    <col min="6907" max="6907" width="12" style="15" customWidth="1"/>
    <col min="6908" max="6908" width="3.5703125" style="15" customWidth="1"/>
    <col min="6909" max="6909" width="8.7109375" style="15" customWidth="1"/>
    <col min="6910" max="6910" width="9.5703125" style="15" customWidth="1"/>
    <col min="6911" max="6918" width="8.7109375" style="15" customWidth="1"/>
    <col min="6919" max="6927" width="6.85546875" style="15" customWidth="1"/>
    <col min="6928" max="7157" width="9.140625" style="15"/>
    <col min="7158" max="7158" width="4.140625" style="15" customWidth="1"/>
    <col min="7159" max="7159" width="6.85546875" style="15" customWidth="1"/>
    <col min="7160" max="7160" width="8.140625" style="15" customWidth="1"/>
    <col min="7161" max="7161" width="8.5703125" style="15" customWidth="1"/>
    <col min="7162" max="7162" width="13" style="15" customWidth="1"/>
    <col min="7163" max="7163" width="12" style="15" customWidth="1"/>
    <col min="7164" max="7164" width="3.5703125" style="15" customWidth="1"/>
    <col min="7165" max="7165" width="8.7109375" style="15" customWidth="1"/>
    <col min="7166" max="7166" width="9.5703125" style="15" customWidth="1"/>
    <col min="7167" max="7174" width="8.7109375" style="15" customWidth="1"/>
    <col min="7175" max="7183" width="6.85546875" style="15" customWidth="1"/>
    <col min="7184" max="7413" width="9.140625" style="15"/>
    <col min="7414" max="7414" width="4.140625" style="15" customWidth="1"/>
    <col min="7415" max="7415" width="6.85546875" style="15" customWidth="1"/>
    <col min="7416" max="7416" width="8.140625" style="15" customWidth="1"/>
    <col min="7417" max="7417" width="8.5703125" style="15" customWidth="1"/>
    <col min="7418" max="7418" width="13" style="15" customWidth="1"/>
    <col min="7419" max="7419" width="12" style="15" customWidth="1"/>
    <col min="7420" max="7420" width="3.5703125" style="15" customWidth="1"/>
    <col min="7421" max="7421" width="8.7109375" style="15" customWidth="1"/>
    <col min="7422" max="7422" width="9.5703125" style="15" customWidth="1"/>
    <col min="7423" max="7430" width="8.7109375" style="15" customWidth="1"/>
    <col min="7431" max="7439" width="6.85546875" style="15" customWidth="1"/>
    <col min="7440" max="7669" width="9.140625" style="15"/>
    <col min="7670" max="7670" width="4.140625" style="15" customWidth="1"/>
    <col min="7671" max="7671" width="6.85546875" style="15" customWidth="1"/>
    <col min="7672" max="7672" width="8.140625" style="15" customWidth="1"/>
    <col min="7673" max="7673" width="8.5703125" style="15" customWidth="1"/>
    <col min="7674" max="7674" width="13" style="15" customWidth="1"/>
    <col min="7675" max="7675" width="12" style="15" customWidth="1"/>
    <col min="7676" max="7676" width="3.5703125" style="15" customWidth="1"/>
    <col min="7677" max="7677" width="8.7109375" style="15" customWidth="1"/>
    <col min="7678" max="7678" width="9.5703125" style="15" customWidth="1"/>
    <col min="7679" max="7686" width="8.7109375" style="15" customWidth="1"/>
    <col min="7687" max="7695" width="6.85546875" style="15" customWidth="1"/>
    <col min="7696" max="7925" width="9.140625" style="15"/>
    <col min="7926" max="7926" width="4.140625" style="15" customWidth="1"/>
    <col min="7927" max="7927" width="6.85546875" style="15" customWidth="1"/>
    <col min="7928" max="7928" width="8.140625" style="15" customWidth="1"/>
    <col min="7929" max="7929" width="8.5703125" style="15" customWidth="1"/>
    <col min="7930" max="7930" width="13" style="15" customWidth="1"/>
    <col min="7931" max="7931" width="12" style="15" customWidth="1"/>
    <col min="7932" max="7932" width="3.5703125" style="15" customWidth="1"/>
    <col min="7933" max="7933" width="8.7109375" style="15" customWidth="1"/>
    <col min="7934" max="7934" width="9.5703125" style="15" customWidth="1"/>
    <col min="7935" max="7942" width="8.7109375" style="15" customWidth="1"/>
    <col min="7943" max="7951" width="6.85546875" style="15" customWidth="1"/>
    <col min="7952" max="8181" width="9.140625" style="15"/>
    <col min="8182" max="8182" width="4.140625" style="15" customWidth="1"/>
    <col min="8183" max="8183" width="6.85546875" style="15" customWidth="1"/>
    <col min="8184" max="8184" width="8.140625" style="15" customWidth="1"/>
    <col min="8185" max="8185" width="8.5703125" style="15" customWidth="1"/>
    <col min="8186" max="8186" width="13" style="15" customWidth="1"/>
    <col min="8187" max="8187" width="12" style="15" customWidth="1"/>
    <col min="8188" max="8188" width="3.5703125" style="15" customWidth="1"/>
    <col min="8189" max="8189" width="8.7109375" style="15" customWidth="1"/>
    <col min="8190" max="8190" width="9.5703125" style="15" customWidth="1"/>
    <col min="8191" max="8198" width="8.7109375" style="15" customWidth="1"/>
    <col min="8199" max="8207" width="6.85546875" style="15" customWidth="1"/>
    <col min="8208" max="8437" width="9.140625" style="15"/>
    <col min="8438" max="8438" width="4.140625" style="15" customWidth="1"/>
    <col min="8439" max="8439" width="6.85546875" style="15" customWidth="1"/>
    <col min="8440" max="8440" width="8.140625" style="15" customWidth="1"/>
    <col min="8441" max="8441" width="8.5703125" style="15" customWidth="1"/>
    <col min="8442" max="8442" width="13" style="15" customWidth="1"/>
    <col min="8443" max="8443" width="12" style="15" customWidth="1"/>
    <col min="8444" max="8444" width="3.5703125" style="15" customWidth="1"/>
    <col min="8445" max="8445" width="8.7109375" style="15" customWidth="1"/>
    <col min="8446" max="8446" width="9.5703125" style="15" customWidth="1"/>
    <col min="8447" max="8454" width="8.7109375" style="15" customWidth="1"/>
    <col min="8455" max="8463" width="6.85546875" style="15" customWidth="1"/>
    <col min="8464" max="8693" width="9.140625" style="15"/>
    <col min="8694" max="8694" width="4.140625" style="15" customWidth="1"/>
    <col min="8695" max="8695" width="6.85546875" style="15" customWidth="1"/>
    <col min="8696" max="8696" width="8.140625" style="15" customWidth="1"/>
    <col min="8697" max="8697" width="8.5703125" style="15" customWidth="1"/>
    <col min="8698" max="8698" width="13" style="15" customWidth="1"/>
    <col min="8699" max="8699" width="12" style="15" customWidth="1"/>
    <col min="8700" max="8700" width="3.5703125" style="15" customWidth="1"/>
    <col min="8701" max="8701" width="8.7109375" style="15" customWidth="1"/>
    <col min="8702" max="8702" width="9.5703125" style="15" customWidth="1"/>
    <col min="8703" max="8710" width="8.7109375" style="15" customWidth="1"/>
    <col min="8711" max="8719" width="6.85546875" style="15" customWidth="1"/>
    <col min="8720" max="8949" width="9.140625" style="15"/>
    <col min="8950" max="8950" width="4.140625" style="15" customWidth="1"/>
    <col min="8951" max="8951" width="6.85546875" style="15" customWidth="1"/>
    <col min="8952" max="8952" width="8.140625" style="15" customWidth="1"/>
    <col min="8953" max="8953" width="8.5703125" style="15" customWidth="1"/>
    <col min="8954" max="8954" width="13" style="15" customWidth="1"/>
    <col min="8955" max="8955" width="12" style="15" customWidth="1"/>
    <col min="8956" max="8956" width="3.5703125" style="15" customWidth="1"/>
    <col min="8957" max="8957" width="8.7109375" style="15" customWidth="1"/>
    <col min="8958" max="8958" width="9.5703125" style="15" customWidth="1"/>
    <col min="8959" max="8966" width="8.7109375" style="15" customWidth="1"/>
    <col min="8967" max="8975" width="6.85546875" style="15" customWidth="1"/>
    <col min="8976" max="9205" width="9.140625" style="15"/>
    <col min="9206" max="9206" width="4.140625" style="15" customWidth="1"/>
    <col min="9207" max="9207" width="6.85546875" style="15" customWidth="1"/>
    <col min="9208" max="9208" width="8.140625" style="15" customWidth="1"/>
    <col min="9209" max="9209" width="8.5703125" style="15" customWidth="1"/>
    <col min="9210" max="9210" width="13" style="15" customWidth="1"/>
    <col min="9211" max="9211" width="12" style="15" customWidth="1"/>
    <col min="9212" max="9212" width="3.5703125" style="15" customWidth="1"/>
    <col min="9213" max="9213" width="8.7109375" style="15" customWidth="1"/>
    <col min="9214" max="9214" width="9.5703125" style="15" customWidth="1"/>
    <col min="9215" max="9222" width="8.7109375" style="15" customWidth="1"/>
    <col min="9223" max="9231" width="6.85546875" style="15" customWidth="1"/>
    <col min="9232" max="9461" width="9.140625" style="15"/>
    <col min="9462" max="9462" width="4.140625" style="15" customWidth="1"/>
    <col min="9463" max="9463" width="6.85546875" style="15" customWidth="1"/>
    <col min="9464" max="9464" width="8.140625" style="15" customWidth="1"/>
    <col min="9465" max="9465" width="8.5703125" style="15" customWidth="1"/>
    <col min="9466" max="9466" width="13" style="15" customWidth="1"/>
    <col min="9467" max="9467" width="12" style="15" customWidth="1"/>
    <col min="9468" max="9468" width="3.5703125" style="15" customWidth="1"/>
    <col min="9469" max="9469" width="8.7109375" style="15" customWidth="1"/>
    <col min="9470" max="9470" width="9.5703125" style="15" customWidth="1"/>
    <col min="9471" max="9478" width="8.7109375" style="15" customWidth="1"/>
    <col min="9479" max="9487" width="6.85546875" style="15" customWidth="1"/>
    <col min="9488" max="9717" width="9.140625" style="15"/>
    <col min="9718" max="9718" width="4.140625" style="15" customWidth="1"/>
    <col min="9719" max="9719" width="6.85546875" style="15" customWidth="1"/>
    <col min="9720" max="9720" width="8.140625" style="15" customWidth="1"/>
    <col min="9721" max="9721" width="8.5703125" style="15" customWidth="1"/>
    <col min="9722" max="9722" width="13" style="15" customWidth="1"/>
    <col min="9723" max="9723" width="12" style="15" customWidth="1"/>
    <col min="9724" max="9724" width="3.5703125" style="15" customWidth="1"/>
    <col min="9725" max="9725" width="8.7109375" style="15" customWidth="1"/>
    <col min="9726" max="9726" width="9.5703125" style="15" customWidth="1"/>
    <col min="9727" max="9734" width="8.7109375" style="15" customWidth="1"/>
    <col min="9735" max="9743" width="6.85546875" style="15" customWidth="1"/>
    <col min="9744" max="9973" width="9.140625" style="15"/>
    <col min="9974" max="9974" width="4.140625" style="15" customWidth="1"/>
    <col min="9975" max="9975" width="6.85546875" style="15" customWidth="1"/>
    <col min="9976" max="9976" width="8.140625" style="15" customWidth="1"/>
    <col min="9977" max="9977" width="8.5703125" style="15" customWidth="1"/>
    <col min="9978" max="9978" width="13" style="15" customWidth="1"/>
    <col min="9979" max="9979" width="12" style="15" customWidth="1"/>
    <col min="9980" max="9980" width="3.5703125" style="15" customWidth="1"/>
    <col min="9981" max="9981" width="8.7109375" style="15" customWidth="1"/>
    <col min="9982" max="9982" width="9.5703125" style="15" customWidth="1"/>
    <col min="9983" max="9990" width="8.7109375" style="15" customWidth="1"/>
    <col min="9991" max="9999" width="6.85546875" style="15" customWidth="1"/>
    <col min="10000" max="10229" width="9.140625" style="15"/>
    <col min="10230" max="10230" width="4.140625" style="15" customWidth="1"/>
    <col min="10231" max="10231" width="6.85546875" style="15" customWidth="1"/>
    <col min="10232" max="10232" width="8.140625" style="15" customWidth="1"/>
    <col min="10233" max="10233" width="8.5703125" style="15" customWidth="1"/>
    <col min="10234" max="10234" width="13" style="15" customWidth="1"/>
    <col min="10235" max="10235" width="12" style="15" customWidth="1"/>
    <col min="10236" max="10236" width="3.5703125" style="15" customWidth="1"/>
    <col min="10237" max="10237" width="8.7109375" style="15" customWidth="1"/>
    <col min="10238" max="10238" width="9.5703125" style="15" customWidth="1"/>
    <col min="10239" max="10246" width="8.7109375" style="15" customWidth="1"/>
    <col min="10247" max="10255" width="6.85546875" style="15" customWidth="1"/>
    <col min="10256" max="10485" width="9.140625" style="15"/>
    <col min="10486" max="10486" width="4.140625" style="15" customWidth="1"/>
    <col min="10487" max="10487" width="6.85546875" style="15" customWidth="1"/>
    <col min="10488" max="10488" width="8.140625" style="15" customWidth="1"/>
    <col min="10489" max="10489" width="8.5703125" style="15" customWidth="1"/>
    <col min="10490" max="10490" width="13" style="15" customWidth="1"/>
    <col min="10491" max="10491" width="12" style="15" customWidth="1"/>
    <col min="10492" max="10492" width="3.5703125" style="15" customWidth="1"/>
    <col min="10493" max="10493" width="8.7109375" style="15" customWidth="1"/>
    <col min="10494" max="10494" width="9.5703125" style="15" customWidth="1"/>
    <col min="10495" max="10502" width="8.7109375" style="15" customWidth="1"/>
    <col min="10503" max="10511" width="6.85546875" style="15" customWidth="1"/>
    <col min="10512" max="10741" width="9.140625" style="15"/>
    <col min="10742" max="10742" width="4.140625" style="15" customWidth="1"/>
    <col min="10743" max="10743" width="6.85546875" style="15" customWidth="1"/>
    <col min="10744" max="10744" width="8.140625" style="15" customWidth="1"/>
    <col min="10745" max="10745" width="8.5703125" style="15" customWidth="1"/>
    <col min="10746" max="10746" width="13" style="15" customWidth="1"/>
    <col min="10747" max="10747" width="12" style="15" customWidth="1"/>
    <col min="10748" max="10748" width="3.5703125" style="15" customWidth="1"/>
    <col min="10749" max="10749" width="8.7109375" style="15" customWidth="1"/>
    <col min="10750" max="10750" width="9.5703125" style="15" customWidth="1"/>
    <col min="10751" max="10758" width="8.7109375" style="15" customWidth="1"/>
    <col min="10759" max="10767" width="6.85546875" style="15" customWidth="1"/>
    <col min="10768" max="10997" width="9.140625" style="15"/>
    <col min="10998" max="10998" width="4.140625" style="15" customWidth="1"/>
    <col min="10999" max="10999" width="6.85546875" style="15" customWidth="1"/>
    <col min="11000" max="11000" width="8.140625" style="15" customWidth="1"/>
    <col min="11001" max="11001" width="8.5703125" style="15" customWidth="1"/>
    <col min="11002" max="11002" width="13" style="15" customWidth="1"/>
    <col min="11003" max="11003" width="12" style="15" customWidth="1"/>
    <col min="11004" max="11004" width="3.5703125" style="15" customWidth="1"/>
    <col min="11005" max="11005" width="8.7109375" style="15" customWidth="1"/>
    <col min="11006" max="11006" width="9.5703125" style="15" customWidth="1"/>
    <col min="11007" max="11014" width="8.7109375" style="15" customWidth="1"/>
    <col min="11015" max="11023" width="6.85546875" style="15" customWidth="1"/>
    <col min="11024" max="11253" width="9.140625" style="15"/>
    <col min="11254" max="11254" width="4.140625" style="15" customWidth="1"/>
    <col min="11255" max="11255" width="6.85546875" style="15" customWidth="1"/>
    <col min="11256" max="11256" width="8.140625" style="15" customWidth="1"/>
    <col min="11257" max="11257" width="8.5703125" style="15" customWidth="1"/>
    <col min="11258" max="11258" width="13" style="15" customWidth="1"/>
    <col min="11259" max="11259" width="12" style="15" customWidth="1"/>
    <col min="11260" max="11260" width="3.5703125" style="15" customWidth="1"/>
    <col min="11261" max="11261" width="8.7109375" style="15" customWidth="1"/>
    <col min="11262" max="11262" width="9.5703125" style="15" customWidth="1"/>
    <col min="11263" max="11270" width="8.7109375" style="15" customWidth="1"/>
    <col min="11271" max="11279" width="6.85546875" style="15" customWidth="1"/>
    <col min="11280" max="11509" width="9.140625" style="15"/>
    <col min="11510" max="11510" width="4.140625" style="15" customWidth="1"/>
    <col min="11511" max="11511" width="6.85546875" style="15" customWidth="1"/>
    <col min="11512" max="11512" width="8.140625" style="15" customWidth="1"/>
    <col min="11513" max="11513" width="8.5703125" style="15" customWidth="1"/>
    <col min="11514" max="11514" width="13" style="15" customWidth="1"/>
    <col min="11515" max="11515" width="12" style="15" customWidth="1"/>
    <col min="11516" max="11516" width="3.5703125" style="15" customWidth="1"/>
    <col min="11517" max="11517" width="8.7109375" style="15" customWidth="1"/>
    <col min="11518" max="11518" width="9.5703125" style="15" customWidth="1"/>
    <col min="11519" max="11526" width="8.7109375" style="15" customWidth="1"/>
    <col min="11527" max="11535" width="6.85546875" style="15" customWidth="1"/>
    <col min="11536" max="11765" width="9.140625" style="15"/>
    <col min="11766" max="11766" width="4.140625" style="15" customWidth="1"/>
    <col min="11767" max="11767" width="6.85546875" style="15" customWidth="1"/>
    <col min="11768" max="11768" width="8.140625" style="15" customWidth="1"/>
    <col min="11769" max="11769" width="8.5703125" style="15" customWidth="1"/>
    <col min="11770" max="11770" width="13" style="15" customWidth="1"/>
    <col min="11771" max="11771" width="12" style="15" customWidth="1"/>
    <col min="11772" max="11772" width="3.5703125" style="15" customWidth="1"/>
    <col min="11773" max="11773" width="8.7109375" style="15" customWidth="1"/>
    <col min="11774" max="11774" width="9.5703125" style="15" customWidth="1"/>
    <col min="11775" max="11782" width="8.7109375" style="15" customWidth="1"/>
    <col min="11783" max="11791" width="6.85546875" style="15" customWidth="1"/>
    <col min="11792" max="12021" width="9.140625" style="15"/>
    <col min="12022" max="12022" width="4.140625" style="15" customWidth="1"/>
    <col min="12023" max="12023" width="6.85546875" style="15" customWidth="1"/>
    <col min="12024" max="12024" width="8.140625" style="15" customWidth="1"/>
    <col min="12025" max="12025" width="8.5703125" style="15" customWidth="1"/>
    <col min="12026" max="12026" width="13" style="15" customWidth="1"/>
    <col min="12027" max="12027" width="12" style="15" customWidth="1"/>
    <col min="12028" max="12028" width="3.5703125" style="15" customWidth="1"/>
    <col min="12029" max="12029" width="8.7109375" style="15" customWidth="1"/>
    <col min="12030" max="12030" width="9.5703125" style="15" customWidth="1"/>
    <col min="12031" max="12038" width="8.7109375" style="15" customWidth="1"/>
    <col min="12039" max="12047" width="6.85546875" style="15" customWidth="1"/>
    <col min="12048" max="12277" width="9.140625" style="15"/>
    <col min="12278" max="12278" width="4.140625" style="15" customWidth="1"/>
    <col min="12279" max="12279" width="6.85546875" style="15" customWidth="1"/>
    <col min="12280" max="12280" width="8.140625" style="15" customWidth="1"/>
    <col min="12281" max="12281" width="8.5703125" style="15" customWidth="1"/>
    <col min="12282" max="12282" width="13" style="15" customWidth="1"/>
    <col min="12283" max="12283" width="12" style="15" customWidth="1"/>
    <col min="12284" max="12284" width="3.5703125" style="15" customWidth="1"/>
    <col min="12285" max="12285" width="8.7109375" style="15" customWidth="1"/>
    <col min="12286" max="12286" width="9.5703125" style="15" customWidth="1"/>
    <col min="12287" max="12294" width="8.7109375" style="15" customWidth="1"/>
    <col min="12295" max="12303" width="6.85546875" style="15" customWidth="1"/>
    <col min="12304" max="12533" width="9.140625" style="15"/>
    <col min="12534" max="12534" width="4.140625" style="15" customWidth="1"/>
    <col min="12535" max="12535" width="6.85546875" style="15" customWidth="1"/>
    <col min="12536" max="12536" width="8.140625" style="15" customWidth="1"/>
    <col min="12537" max="12537" width="8.5703125" style="15" customWidth="1"/>
    <col min="12538" max="12538" width="13" style="15" customWidth="1"/>
    <col min="12539" max="12539" width="12" style="15" customWidth="1"/>
    <col min="12540" max="12540" width="3.5703125" style="15" customWidth="1"/>
    <col min="12541" max="12541" width="8.7109375" style="15" customWidth="1"/>
    <col min="12542" max="12542" width="9.5703125" style="15" customWidth="1"/>
    <col min="12543" max="12550" width="8.7109375" style="15" customWidth="1"/>
    <col min="12551" max="12559" width="6.85546875" style="15" customWidth="1"/>
    <col min="12560" max="12789" width="9.140625" style="15"/>
    <col min="12790" max="12790" width="4.140625" style="15" customWidth="1"/>
    <col min="12791" max="12791" width="6.85546875" style="15" customWidth="1"/>
    <col min="12792" max="12792" width="8.140625" style="15" customWidth="1"/>
    <col min="12793" max="12793" width="8.5703125" style="15" customWidth="1"/>
    <col min="12794" max="12794" width="13" style="15" customWidth="1"/>
    <col min="12795" max="12795" width="12" style="15" customWidth="1"/>
    <col min="12796" max="12796" width="3.5703125" style="15" customWidth="1"/>
    <col min="12797" max="12797" width="8.7109375" style="15" customWidth="1"/>
    <col min="12798" max="12798" width="9.5703125" style="15" customWidth="1"/>
    <col min="12799" max="12806" width="8.7109375" style="15" customWidth="1"/>
    <col min="12807" max="12815" width="6.85546875" style="15" customWidth="1"/>
    <col min="12816" max="13045" width="9.140625" style="15"/>
    <col min="13046" max="13046" width="4.140625" style="15" customWidth="1"/>
    <col min="13047" max="13047" width="6.85546875" style="15" customWidth="1"/>
    <col min="13048" max="13048" width="8.140625" style="15" customWidth="1"/>
    <col min="13049" max="13049" width="8.5703125" style="15" customWidth="1"/>
    <col min="13050" max="13050" width="13" style="15" customWidth="1"/>
    <col min="13051" max="13051" width="12" style="15" customWidth="1"/>
    <col min="13052" max="13052" width="3.5703125" style="15" customWidth="1"/>
    <col min="13053" max="13053" width="8.7109375" style="15" customWidth="1"/>
    <col min="13054" max="13054" width="9.5703125" style="15" customWidth="1"/>
    <col min="13055" max="13062" width="8.7109375" style="15" customWidth="1"/>
    <col min="13063" max="13071" width="6.85546875" style="15" customWidth="1"/>
    <col min="13072" max="13301" width="9.140625" style="15"/>
    <col min="13302" max="13302" width="4.140625" style="15" customWidth="1"/>
    <col min="13303" max="13303" width="6.85546875" style="15" customWidth="1"/>
    <col min="13304" max="13304" width="8.140625" style="15" customWidth="1"/>
    <col min="13305" max="13305" width="8.5703125" style="15" customWidth="1"/>
    <col min="13306" max="13306" width="13" style="15" customWidth="1"/>
    <col min="13307" max="13307" width="12" style="15" customWidth="1"/>
    <col min="13308" max="13308" width="3.5703125" style="15" customWidth="1"/>
    <col min="13309" max="13309" width="8.7109375" style="15" customWidth="1"/>
    <col min="13310" max="13310" width="9.5703125" style="15" customWidth="1"/>
    <col min="13311" max="13318" width="8.7109375" style="15" customWidth="1"/>
    <col min="13319" max="13327" width="6.85546875" style="15" customWidth="1"/>
    <col min="13328" max="13557" width="9.140625" style="15"/>
    <col min="13558" max="13558" width="4.140625" style="15" customWidth="1"/>
    <col min="13559" max="13559" width="6.85546875" style="15" customWidth="1"/>
    <col min="13560" max="13560" width="8.140625" style="15" customWidth="1"/>
    <col min="13561" max="13561" width="8.5703125" style="15" customWidth="1"/>
    <col min="13562" max="13562" width="13" style="15" customWidth="1"/>
    <col min="13563" max="13563" width="12" style="15" customWidth="1"/>
    <col min="13564" max="13564" width="3.5703125" style="15" customWidth="1"/>
    <col min="13565" max="13565" width="8.7109375" style="15" customWidth="1"/>
    <col min="13566" max="13566" width="9.5703125" style="15" customWidth="1"/>
    <col min="13567" max="13574" width="8.7109375" style="15" customWidth="1"/>
    <col min="13575" max="13583" width="6.85546875" style="15" customWidth="1"/>
    <col min="13584" max="13813" width="9.140625" style="15"/>
    <col min="13814" max="13814" width="4.140625" style="15" customWidth="1"/>
    <col min="13815" max="13815" width="6.85546875" style="15" customWidth="1"/>
    <col min="13816" max="13816" width="8.140625" style="15" customWidth="1"/>
    <col min="13817" max="13817" width="8.5703125" style="15" customWidth="1"/>
    <col min="13818" max="13818" width="13" style="15" customWidth="1"/>
    <col min="13819" max="13819" width="12" style="15" customWidth="1"/>
    <col min="13820" max="13820" width="3.5703125" style="15" customWidth="1"/>
    <col min="13821" max="13821" width="8.7109375" style="15" customWidth="1"/>
    <col min="13822" max="13822" width="9.5703125" style="15" customWidth="1"/>
    <col min="13823" max="13830" width="8.7109375" style="15" customWidth="1"/>
    <col min="13831" max="13839" width="6.85546875" style="15" customWidth="1"/>
    <col min="13840" max="14069" width="9.140625" style="15"/>
    <col min="14070" max="14070" width="4.140625" style="15" customWidth="1"/>
    <col min="14071" max="14071" width="6.85546875" style="15" customWidth="1"/>
    <col min="14072" max="14072" width="8.140625" style="15" customWidth="1"/>
    <col min="14073" max="14073" width="8.5703125" style="15" customWidth="1"/>
    <col min="14074" max="14074" width="13" style="15" customWidth="1"/>
    <col min="14075" max="14075" width="12" style="15" customWidth="1"/>
    <col min="14076" max="14076" width="3.5703125" style="15" customWidth="1"/>
    <col min="14077" max="14077" width="8.7109375" style="15" customWidth="1"/>
    <col min="14078" max="14078" width="9.5703125" style="15" customWidth="1"/>
    <col min="14079" max="14086" width="8.7109375" style="15" customWidth="1"/>
    <col min="14087" max="14095" width="6.85546875" style="15" customWidth="1"/>
    <col min="14096" max="14325" width="9.140625" style="15"/>
    <col min="14326" max="14326" width="4.140625" style="15" customWidth="1"/>
    <col min="14327" max="14327" width="6.85546875" style="15" customWidth="1"/>
    <col min="14328" max="14328" width="8.140625" style="15" customWidth="1"/>
    <col min="14329" max="14329" width="8.5703125" style="15" customWidth="1"/>
    <col min="14330" max="14330" width="13" style="15" customWidth="1"/>
    <col min="14331" max="14331" width="12" style="15" customWidth="1"/>
    <col min="14332" max="14332" width="3.5703125" style="15" customWidth="1"/>
    <col min="14333" max="14333" width="8.7109375" style="15" customWidth="1"/>
    <col min="14334" max="14334" width="9.5703125" style="15" customWidth="1"/>
    <col min="14335" max="14342" width="8.7109375" style="15" customWidth="1"/>
    <col min="14343" max="14351" width="6.85546875" style="15" customWidth="1"/>
    <col min="14352" max="14581" width="9.140625" style="15"/>
    <col min="14582" max="14582" width="4.140625" style="15" customWidth="1"/>
    <col min="14583" max="14583" width="6.85546875" style="15" customWidth="1"/>
    <col min="14584" max="14584" width="8.140625" style="15" customWidth="1"/>
    <col min="14585" max="14585" width="8.5703125" style="15" customWidth="1"/>
    <col min="14586" max="14586" width="13" style="15" customWidth="1"/>
    <col min="14587" max="14587" width="12" style="15" customWidth="1"/>
    <col min="14588" max="14588" width="3.5703125" style="15" customWidth="1"/>
    <col min="14589" max="14589" width="8.7109375" style="15" customWidth="1"/>
    <col min="14590" max="14590" width="9.5703125" style="15" customWidth="1"/>
    <col min="14591" max="14598" width="8.7109375" style="15" customWidth="1"/>
    <col min="14599" max="14607" width="6.85546875" style="15" customWidth="1"/>
    <col min="14608" max="14837" width="9.140625" style="15"/>
    <col min="14838" max="14838" width="4.140625" style="15" customWidth="1"/>
    <col min="14839" max="14839" width="6.85546875" style="15" customWidth="1"/>
    <col min="14840" max="14840" width="8.140625" style="15" customWidth="1"/>
    <col min="14841" max="14841" width="8.5703125" style="15" customWidth="1"/>
    <col min="14842" max="14842" width="13" style="15" customWidth="1"/>
    <col min="14843" max="14843" width="12" style="15" customWidth="1"/>
    <col min="14844" max="14844" width="3.5703125" style="15" customWidth="1"/>
    <col min="14845" max="14845" width="8.7109375" style="15" customWidth="1"/>
    <col min="14846" max="14846" width="9.5703125" style="15" customWidth="1"/>
    <col min="14847" max="14854" width="8.7109375" style="15" customWidth="1"/>
    <col min="14855" max="14863" width="6.85546875" style="15" customWidth="1"/>
    <col min="14864" max="15093" width="9.140625" style="15"/>
    <col min="15094" max="15094" width="4.140625" style="15" customWidth="1"/>
    <col min="15095" max="15095" width="6.85546875" style="15" customWidth="1"/>
    <col min="15096" max="15096" width="8.140625" style="15" customWidth="1"/>
    <col min="15097" max="15097" width="8.5703125" style="15" customWidth="1"/>
    <col min="15098" max="15098" width="13" style="15" customWidth="1"/>
    <col min="15099" max="15099" width="12" style="15" customWidth="1"/>
    <col min="15100" max="15100" width="3.5703125" style="15" customWidth="1"/>
    <col min="15101" max="15101" width="8.7109375" style="15" customWidth="1"/>
    <col min="15102" max="15102" width="9.5703125" style="15" customWidth="1"/>
    <col min="15103" max="15110" width="8.7109375" style="15" customWidth="1"/>
    <col min="15111" max="15119" width="6.85546875" style="15" customWidth="1"/>
    <col min="15120" max="15349" width="9.140625" style="15"/>
    <col min="15350" max="15350" width="4.140625" style="15" customWidth="1"/>
    <col min="15351" max="15351" width="6.85546875" style="15" customWidth="1"/>
    <col min="15352" max="15352" width="8.140625" style="15" customWidth="1"/>
    <col min="15353" max="15353" width="8.5703125" style="15" customWidth="1"/>
    <col min="15354" max="15354" width="13" style="15" customWidth="1"/>
    <col min="15355" max="15355" width="12" style="15" customWidth="1"/>
    <col min="15356" max="15356" width="3.5703125" style="15" customWidth="1"/>
    <col min="15357" max="15357" width="8.7109375" style="15" customWidth="1"/>
    <col min="15358" max="15358" width="9.5703125" style="15" customWidth="1"/>
    <col min="15359" max="15366" width="8.7109375" style="15" customWidth="1"/>
    <col min="15367" max="15375" width="6.85546875" style="15" customWidth="1"/>
    <col min="15376" max="15605" width="9.140625" style="15"/>
    <col min="15606" max="15606" width="4.140625" style="15" customWidth="1"/>
    <col min="15607" max="15607" width="6.85546875" style="15" customWidth="1"/>
    <col min="15608" max="15608" width="8.140625" style="15" customWidth="1"/>
    <col min="15609" max="15609" width="8.5703125" style="15" customWidth="1"/>
    <col min="15610" max="15610" width="13" style="15" customWidth="1"/>
    <col min="15611" max="15611" width="12" style="15" customWidth="1"/>
    <col min="15612" max="15612" width="3.5703125" style="15" customWidth="1"/>
    <col min="15613" max="15613" width="8.7109375" style="15" customWidth="1"/>
    <col min="15614" max="15614" width="9.5703125" style="15" customWidth="1"/>
    <col min="15615" max="15622" width="8.7109375" style="15" customWidth="1"/>
    <col min="15623" max="15631" width="6.85546875" style="15" customWidth="1"/>
    <col min="15632" max="15861" width="9.140625" style="15"/>
    <col min="15862" max="15862" width="4.140625" style="15" customWidth="1"/>
    <col min="15863" max="15863" width="6.85546875" style="15" customWidth="1"/>
    <col min="15864" max="15864" width="8.140625" style="15" customWidth="1"/>
    <col min="15865" max="15865" width="8.5703125" style="15" customWidth="1"/>
    <col min="15866" max="15866" width="13" style="15" customWidth="1"/>
    <col min="15867" max="15867" width="12" style="15" customWidth="1"/>
    <col min="15868" max="15868" width="3.5703125" style="15" customWidth="1"/>
    <col min="15869" max="15869" width="8.7109375" style="15" customWidth="1"/>
    <col min="15870" max="15870" width="9.5703125" style="15" customWidth="1"/>
    <col min="15871" max="15878" width="8.7109375" style="15" customWidth="1"/>
    <col min="15879" max="15887" width="6.85546875" style="15" customWidth="1"/>
    <col min="15888" max="16117" width="9.140625" style="15"/>
    <col min="16118" max="16118" width="4.140625" style="15" customWidth="1"/>
    <col min="16119" max="16119" width="6.85546875" style="15" customWidth="1"/>
    <col min="16120" max="16120" width="8.140625" style="15" customWidth="1"/>
    <col min="16121" max="16121" width="8.5703125" style="15" customWidth="1"/>
    <col min="16122" max="16122" width="13" style="15" customWidth="1"/>
    <col min="16123" max="16123" width="12" style="15" customWidth="1"/>
    <col min="16124" max="16124" width="3.5703125" style="15" customWidth="1"/>
    <col min="16125" max="16125" width="8.7109375" style="15" customWidth="1"/>
    <col min="16126" max="16126" width="9.5703125" style="15" customWidth="1"/>
    <col min="16127" max="16134" width="8.7109375" style="15" customWidth="1"/>
    <col min="16135" max="16143" width="6.85546875" style="15" customWidth="1"/>
    <col min="16144" max="16384" width="9.140625" style="15"/>
  </cols>
  <sheetData>
    <row r="1" spans="1:15" s="2" customFormat="1" ht="17.25" customHeight="1" x14ac:dyDescent="0.2">
      <c r="A1" s="408"/>
      <c r="B1" s="411" t="s">
        <v>519</v>
      </c>
      <c r="C1" s="411"/>
      <c r="D1" s="411"/>
      <c r="E1" s="411"/>
      <c r="F1" s="411"/>
      <c r="G1" s="1"/>
      <c r="H1" s="1"/>
      <c r="I1" s="1"/>
      <c r="J1" s="1"/>
      <c r="K1" s="1"/>
      <c r="L1" s="1"/>
      <c r="O1" s="3"/>
    </row>
    <row r="2" spans="1:15" s="2" customFormat="1" ht="17.25" customHeight="1" x14ac:dyDescent="0.2">
      <c r="A2" s="409"/>
      <c r="B2" s="101"/>
      <c r="C2" s="30" t="s">
        <v>13</v>
      </c>
      <c r="D2" s="102"/>
      <c r="E2" s="102"/>
      <c r="F2" s="102"/>
      <c r="G2" s="5"/>
      <c r="H2" s="30"/>
      <c r="I2" s="6"/>
      <c r="J2" s="6"/>
      <c r="K2" s="6"/>
      <c r="L2" s="6"/>
      <c r="M2" s="6"/>
      <c r="N2" s="6"/>
      <c r="O2" s="6"/>
    </row>
    <row r="3" spans="1:15" s="2" customFormat="1" ht="17.25" customHeight="1" x14ac:dyDescent="0.2">
      <c r="A3" s="409"/>
      <c r="B3" s="101"/>
      <c r="C3" s="30" t="s">
        <v>14</v>
      </c>
      <c r="D3" s="102"/>
      <c r="E3" s="102"/>
      <c r="F3" s="102"/>
      <c r="G3" s="5"/>
      <c r="H3" s="31"/>
      <c r="I3" s="7"/>
      <c r="J3" s="7"/>
      <c r="K3" s="7"/>
      <c r="L3" s="7"/>
      <c r="M3" s="7"/>
      <c r="N3" s="6"/>
      <c r="O3" s="6"/>
    </row>
    <row r="4" spans="1:15" s="2" customFormat="1" ht="17.25" customHeight="1" x14ac:dyDescent="0.2">
      <c r="A4" s="410"/>
      <c r="B4" s="103"/>
      <c r="C4" s="104" t="s">
        <v>15</v>
      </c>
      <c r="D4" s="105"/>
      <c r="E4" s="105"/>
      <c r="F4" s="105"/>
      <c r="G4" s="5"/>
      <c r="H4" s="5"/>
      <c r="J4" s="31"/>
    </row>
    <row r="5" spans="1:15" s="2" customFormat="1" ht="3" customHeight="1" x14ac:dyDescent="0.2">
      <c r="A5" s="5"/>
      <c r="B5" s="106"/>
      <c r="C5" s="106"/>
      <c r="D5" s="106"/>
      <c r="E5" s="106"/>
      <c r="F5" s="106"/>
      <c r="G5" s="8"/>
      <c r="H5" s="8"/>
      <c r="J5" s="8"/>
      <c r="N5" s="8"/>
      <c r="O5" s="8"/>
    </row>
    <row r="6" spans="1:15" s="9" customFormat="1" ht="14.25" customHeight="1" x14ac:dyDescent="0.2">
      <c r="A6" s="412" t="s">
        <v>520</v>
      </c>
      <c r="B6" s="413"/>
      <c r="C6" s="413"/>
      <c r="D6" s="413"/>
      <c r="E6" s="414"/>
      <c r="F6" s="418" t="s">
        <v>10</v>
      </c>
    </row>
    <row r="7" spans="1:15" s="9" customFormat="1" ht="14.25" customHeight="1" x14ac:dyDescent="0.2">
      <c r="A7" s="415"/>
      <c r="B7" s="416"/>
      <c r="C7" s="416"/>
      <c r="D7" s="416"/>
      <c r="E7" s="417"/>
      <c r="F7" s="418"/>
    </row>
    <row r="8" spans="1:15" s="12" customFormat="1" ht="20.25" customHeight="1" x14ac:dyDescent="0.2">
      <c r="A8" s="419" t="s">
        <v>521</v>
      </c>
      <c r="B8" s="420"/>
      <c r="C8" s="420"/>
      <c r="D8" s="420"/>
      <c r="E8" s="421"/>
      <c r="F8" s="32"/>
      <c r="G8" s="11"/>
      <c r="H8" s="11"/>
      <c r="I8" s="33"/>
      <c r="K8" s="11"/>
      <c r="L8" s="34"/>
      <c r="M8" s="13"/>
      <c r="N8" s="13"/>
      <c r="O8" s="10"/>
    </row>
    <row r="9" spans="1:15" s="12" customFormat="1" ht="24.75" customHeight="1" x14ac:dyDescent="0.2">
      <c r="A9" s="107" t="s">
        <v>523</v>
      </c>
      <c r="B9" s="422" t="s">
        <v>425</v>
      </c>
      <c r="C9" s="422"/>
      <c r="D9" s="422"/>
      <c r="E9" s="422"/>
      <c r="F9" s="32"/>
      <c r="G9" s="11"/>
      <c r="H9" s="11"/>
      <c r="I9" s="33"/>
      <c r="K9" s="11"/>
      <c r="L9" s="34"/>
      <c r="M9" s="13"/>
      <c r="N9" s="13"/>
      <c r="O9" s="10"/>
    </row>
    <row r="10" spans="1:15" s="12" customFormat="1" ht="44.25" customHeight="1" x14ac:dyDescent="0.2">
      <c r="A10" s="108" t="s">
        <v>524</v>
      </c>
      <c r="B10" s="422" t="s">
        <v>427</v>
      </c>
      <c r="C10" s="422"/>
      <c r="D10" s="422"/>
      <c r="E10" s="422"/>
      <c r="F10" s="35"/>
      <c r="G10" s="11"/>
      <c r="H10" s="11"/>
      <c r="I10" s="33"/>
      <c r="K10" s="11"/>
      <c r="L10" s="34"/>
      <c r="M10" s="13"/>
      <c r="N10" s="13"/>
      <c r="O10" s="10"/>
    </row>
    <row r="11" spans="1:15" s="12" customFormat="1" ht="30" customHeight="1" x14ac:dyDescent="0.2">
      <c r="A11" s="108" t="s">
        <v>525</v>
      </c>
      <c r="B11" s="422" t="s">
        <v>421</v>
      </c>
      <c r="C11" s="422"/>
      <c r="D11" s="422"/>
      <c r="E11" s="422"/>
      <c r="F11" s="35"/>
      <c r="G11" s="11"/>
      <c r="H11" s="11"/>
      <c r="I11" s="33"/>
      <c r="K11" s="11"/>
      <c r="L11" s="34"/>
      <c r="M11" s="13"/>
      <c r="N11" s="13"/>
      <c r="O11" s="10"/>
    </row>
    <row r="12" spans="1:15" s="12" customFormat="1" ht="47.25" customHeight="1" x14ac:dyDescent="0.2">
      <c r="A12" s="108" t="s">
        <v>526</v>
      </c>
      <c r="B12" s="422" t="s">
        <v>423</v>
      </c>
      <c r="C12" s="422"/>
      <c r="D12" s="422"/>
      <c r="E12" s="422"/>
      <c r="F12" s="35"/>
      <c r="G12" s="11"/>
      <c r="H12" s="11"/>
      <c r="I12" s="33"/>
      <c r="K12" s="11"/>
      <c r="L12" s="34"/>
      <c r="M12" s="13"/>
      <c r="N12" s="13"/>
      <c r="O12" s="10"/>
    </row>
    <row r="13" spans="1:15" s="12" customFormat="1" ht="20.25" customHeight="1" x14ac:dyDescent="0.2">
      <c r="A13" s="108" t="s">
        <v>527</v>
      </c>
      <c r="B13" s="407" t="s">
        <v>1050</v>
      </c>
      <c r="C13" s="407"/>
      <c r="D13" s="407"/>
      <c r="E13" s="407"/>
      <c r="F13" s="35"/>
      <c r="G13" s="11"/>
      <c r="H13" s="11"/>
      <c r="I13" s="33"/>
      <c r="K13" s="11"/>
      <c r="L13" s="34"/>
      <c r="M13" s="13"/>
      <c r="N13" s="13"/>
      <c r="O13" s="10"/>
    </row>
    <row r="14" spans="1:15" s="12" customFormat="1" ht="20.25" customHeight="1" x14ac:dyDescent="0.2">
      <c r="A14" s="108" t="s">
        <v>528</v>
      </c>
      <c r="B14" s="407" t="s">
        <v>1051</v>
      </c>
      <c r="C14" s="407"/>
      <c r="D14" s="407"/>
      <c r="E14" s="407"/>
      <c r="F14" s="35"/>
      <c r="G14" s="11"/>
      <c r="H14" s="11"/>
      <c r="I14" s="33"/>
      <c r="K14" s="11"/>
      <c r="L14" s="34"/>
      <c r="M14" s="13"/>
      <c r="N14" s="13"/>
      <c r="O14" s="10"/>
    </row>
    <row r="15" spans="1:15" s="12" customFormat="1" ht="20.25" customHeight="1" x14ac:dyDescent="0.2">
      <c r="A15" s="108" t="s">
        <v>529</v>
      </c>
      <c r="B15" s="407"/>
      <c r="C15" s="407"/>
      <c r="D15" s="407"/>
      <c r="E15" s="407"/>
      <c r="F15" s="35"/>
      <c r="G15" s="11"/>
      <c r="H15" s="11"/>
      <c r="I15" s="33"/>
      <c r="K15" s="11"/>
      <c r="L15" s="34"/>
      <c r="M15" s="13"/>
      <c r="N15" s="13"/>
      <c r="O15" s="10"/>
    </row>
    <row r="16" spans="1:15" s="12" customFormat="1" ht="20.25" customHeight="1" x14ac:dyDescent="0.2">
      <c r="A16" s="108" t="s">
        <v>530</v>
      </c>
      <c r="B16" s="407"/>
      <c r="C16" s="407"/>
      <c r="D16" s="407"/>
      <c r="E16" s="407"/>
      <c r="F16" s="35"/>
      <c r="G16" s="11"/>
      <c r="H16" s="11"/>
      <c r="I16" s="33"/>
      <c r="K16" s="11"/>
      <c r="L16" s="34"/>
      <c r="M16" s="13"/>
      <c r="N16" s="13"/>
      <c r="O16" s="10"/>
    </row>
    <row r="17" spans="1:15" s="12" customFormat="1" ht="20.25" customHeight="1" x14ac:dyDescent="0.2">
      <c r="A17" s="108" t="s">
        <v>531</v>
      </c>
      <c r="B17" s="407"/>
      <c r="C17" s="407"/>
      <c r="D17" s="407"/>
      <c r="E17" s="407"/>
      <c r="F17" s="35"/>
      <c r="G17" s="11"/>
      <c r="H17" s="11"/>
      <c r="I17" s="33"/>
      <c r="K17" s="11"/>
      <c r="L17" s="34"/>
      <c r="M17" s="13"/>
      <c r="N17" s="13"/>
      <c r="O17" s="10"/>
    </row>
    <row r="18" spans="1:15" s="12" customFormat="1" ht="20.25" customHeight="1" x14ac:dyDescent="0.2">
      <c r="A18" s="108" t="s">
        <v>532</v>
      </c>
      <c r="B18" s="427"/>
      <c r="C18" s="427"/>
      <c r="D18" s="427"/>
      <c r="E18" s="427"/>
      <c r="F18" s="36"/>
      <c r="G18" s="11"/>
      <c r="H18" s="11"/>
      <c r="I18" s="33"/>
      <c r="K18" s="11"/>
      <c r="L18" s="34"/>
      <c r="M18" s="13"/>
      <c r="N18" s="13"/>
      <c r="O18" s="10"/>
    </row>
    <row r="19" spans="1:15" s="2" customFormat="1" ht="3" customHeight="1" x14ac:dyDescent="0.2">
      <c r="A19" s="5"/>
      <c r="B19" s="106"/>
      <c r="C19" s="106"/>
      <c r="D19" s="106"/>
      <c r="E19" s="106"/>
      <c r="F19" s="106"/>
      <c r="G19" s="8"/>
      <c r="H19" s="8"/>
      <c r="J19" s="8"/>
      <c r="N19" s="8"/>
      <c r="O19" s="8"/>
    </row>
    <row r="20" spans="1:15" s="12" customFormat="1" ht="30" customHeight="1" x14ac:dyDescent="0.2">
      <c r="A20" s="428" t="s">
        <v>522</v>
      </c>
      <c r="B20" s="428"/>
      <c r="C20" s="428"/>
      <c r="D20" s="428"/>
      <c r="E20" s="428"/>
      <c r="F20" s="37">
        <f>SUM(F8:F19)</f>
        <v>0</v>
      </c>
      <c r="G20" s="11"/>
      <c r="H20" s="11"/>
      <c r="I20" s="33"/>
      <c r="K20" s="11"/>
      <c r="L20" s="34"/>
      <c r="M20" s="13"/>
      <c r="N20" s="13"/>
      <c r="O20" s="10"/>
    </row>
    <row r="21" spans="1:15" s="2" customFormat="1" ht="3.75" customHeight="1" x14ac:dyDescent="0.2">
      <c r="A21" s="5"/>
      <c r="B21" s="106"/>
      <c r="C21" s="106"/>
      <c r="D21" s="106"/>
      <c r="E21" s="106"/>
      <c r="F21" s="106"/>
      <c r="G21" s="14"/>
      <c r="H21" s="14"/>
      <c r="J21" s="14"/>
      <c r="N21" s="14"/>
      <c r="O21" s="14"/>
    </row>
    <row r="22" spans="1:15" ht="9.75" customHeight="1" x14ac:dyDescent="0.2">
      <c r="A22" s="423" t="s">
        <v>9</v>
      </c>
      <c r="B22" s="424"/>
      <c r="C22" s="424"/>
      <c r="D22" s="424"/>
      <c r="E22" s="424"/>
      <c r="F22" s="424"/>
    </row>
    <row r="23" spans="1:15" ht="73.5" customHeight="1" x14ac:dyDescent="0.2">
      <c r="A23" s="425"/>
      <c r="B23" s="426"/>
      <c r="C23" s="426"/>
      <c r="D23" s="426"/>
      <c r="E23" s="426"/>
      <c r="F23" s="426"/>
    </row>
  </sheetData>
  <mergeCells count="18">
    <mergeCell ref="A22:F22"/>
    <mergeCell ref="A23:F23"/>
    <mergeCell ref="B14:E14"/>
    <mergeCell ref="B15:E15"/>
    <mergeCell ref="B16:E16"/>
    <mergeCell ref="B17:E17"/>
    <mergeCell ref="B18:E18"/>
    <mergeCell ref="A20:E20"/>
    <mergeCell ref="B13:E13"/>
    <mergeCell ref="A1:A4"/>
    <mergeCell ref="B1:F1"/>
    <mergeCell ref="A6:E7"/>
    <mergeCell ref="F6:F7"/>
    <mergeCell ref="A8:E8"/>
    <mergeCell ref="B9:E9"/>
    <mergeCell ref="B10:E10"/>
    <mergeCell ref="B11:E11"/>
    <mergeCell ref="B12:E12"/>
  </mergeCells>
  <printOptions horizontalCentered="1"/>
  <pageMargins left="0.19685039370078741" right="0.19685039370078741" top="0.59055118110236227" bottom="0.19685039370078741" header="0.51181102362204722" footer="0.51181102362204722"/>
  <pageSetup paperSize="9" orientation="landscape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  <pageSetUpPr fitToPage="1"/>
  </sheetPr>
  <dimension ref="A1:Z53"/>
  <sheetViews>
    <sheetView showGridLines="0" topLeftCell="C1" zoomScale="90" zoomScaleNormal="90" zoomScaleSheetLayoutView="110" workbookViewId="0">
      <selection activeCell="H4" sqref="H4"/>
    </sheetView>
  </sheetViews>
  <sheetFormatPr defaultRowHeight="12.75" x14ac:dyDescent="0.2"/>
  <cols>
    <col min="1" max="1" width="19.28515625" style="236" customWidth="1"/>
    <col min="2" max="2" width="6.5703125" style="236" customWidth="1"/>
    <col min="3" max="3" width="3.42578125" style="236" customWidth="1"/>
    <col min="4" max="4" width="18.28515625" style="234" customWidth="1"/>
    <col min="5" max="5" width="5.7109375" style="234" customWidth="1"/>
    <col min="6" max="6" width="14.7109375" style="234" customWidth="1"/>
    <col min="7" max="7" width="13.85546875" style="234" customWidth="1"/>
    <col min="8" max="8" width="14.7109375" style="234" customWidth="1"/>
    <col min="9" max="9" width="5.7109375" style="234" customWidth="1"/>
    <col min="10" max="10" width="12" style="234" customWidth="1"/>
    <col min="11" max="11" width="9.85546875" style="234" customWidth="1"/>
    <col min="12" max="12" width="14.7109375" style="234" customWidth="1"/>
    <col min="13" max="13" width="5.7109375" style="234" customWidth="1"/>
    <col min="14" max="14" width="18.28515625" style="234" customWidth="1"/>
    <col min="15" max="15" width="4.7109375" style="234" customWidth="1"/>
    <col min="16" max="16" width="9.42578125" style="234" customWidth="1"/>
    <col min="17" max="17" width="7" style="234" customWidth="1"/>
    <col min="18" max="18" width="14" style="234" customWidth="1"/>
    <col min="19" max="19" width="16.5703125" style="235" customWidth="1"/>
    <col min="20" max="20" width="10.42578125" style="234" customWidth="1"/>
    <col min="21" max="21" width="10.140625" style="234" customWidth="1"/>
    <col min="22" max="22" width="9.140625" style="234"/>
    <col min="23" max="23" width="10.85546875" style="234" customWidth="1"/>
    <col min="24" max="24" width="9.5703125" style="234" bestFit="1" customWidth="1"/>
    <col min="25" max="25" width="9.140625" style="234"/>
    <col min="26" max="26" width="13.42578125" style="234" bestFit="1" customWidth="1"/>
    <col min="27" max="16384" width="9.140625" style="234"/>
  </cols>
  <sheetData>
    <row r="1" spans="1:19" ht="21" customHeight="1" x14ac:dyDescent="0.2">
      <c r="A1" s="431" t="s">
        <v>6624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</row>
    <row r="2" spans="1:19" ht="15" x14ac:dyDescent="0.2">
      <c r="G2" s="237"/>
    </row>
    <row r="3" spans="1:19" ht="12" customHeight="1" x14ac:dyDescent="0.2">
      <c r="A3" s="432" t="s">
        <v>6625</v>
      </c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</row>
    <row r="4" spans="1:19" ht="12" customHeight="1" x14ac:dyDescent="0.2">
      <c r="A4" s="238"/>
      <c r="B4" s="238"/>
      <c r="C4" s="238"/>
      <c r="Q4" s="239"/>
    </row>
    <row r="5" spans="1:19" ht="12" customHeight="1" x14ac:dyDescent="0.2">
      <c r="A5" s="238"/>
      <c r="B5" s="238"/>
      <c r="C5" s="238"/>
      <c r="Q5" s="239"/>
      <c r="R5" s="433" t="s">
        <v>6626</v>
      </c>
      <c r="S5" s="433"/>
    </row>
    <row r="6" spans="1:19" ht="12" customHeight="1" x14ac:dyDescent="0.2">
      <c r="A6" s="238"/>
      <c r="B6" s="238"/>
      <c r="C6" s="238"/>
      <c r="Q6" s="239"/>
      <c r="R6" s="240"/>
      <c r="S6" s="241"/>
    </row>
    <row r="7" spans="1:19" ht="12" customHeight="1" x14ac:dyDescent="0.2">
      <c r="A7" s="242" t="s">
        <v>6627</v>
      </c>
      <c r="B7" s="243"/>
      <c r="C7" s="243"/>
      <c r="D7" s="244"/>
      <c r="E7" s="244"/>
      <c r="F7" s="244"/>
      <c r="Q7" s="239"/>
      <c r="R7" s="245" t="s">
        <v>6628</v>
      </c>
      <c r="S7" s="246">
        <v>14</v>
      </c>
    </row>
    <row r="8" spans="1:19" ht="15.75" customHeight="1" x14ac:dyDescent="0.2">
      <c r="A8" s="242"/>
      <c r="B8" s="238"/>
      <c r="C8" s="238"/>
      <c r="G8" s="247"/>
      <c r="H8" s="248"/>
      <c r="I8" s="249"/>
      <c r="Q8" s="239"/>
      <c r="R8" s="250"/>
      <c r="S8" s="251"/>
    </row>
    <row r="9" spans="1:19" ht="15.75" customHeight="1" x14ac:dyDescent="0.2">
      <c r="A9" s="242" t="s">
        <v>6629</v>
      </c>
      <c r="B9" s="243"/>
      <c r="C9" s="243"/>
      <c r="D9" s="244"/>
      <c r="E9" s="244"/>
      <c r="F9" s="244"/>
      <c r="G9" s="252"/>
      <c r="I9" s="253"/>
      <c r="Q9" s="239"/>
      <c r="R9" s="245" t="s">
        <v>6628</v>
      </c>
      <c r="S9" s="246">
        <v>14</v>
      </c>
    </row>
    <row r="10" spans="1:19" ht="15.75" customHeight="1" x14ac:dyDescent="0.2">
      <c r="A10" s="242"/>
      <c r="B10" s="238"/>
      <c r="C10" s="238"/>
      <c r="G10" s="247"/>
      <c r="H10" s="248"/>
      <c r="I10" s="249"/>
      <c r="Q10" s="239"/>
      <c r="R10" s="250"/>
      <c r="S10" s="251"/>
    </row>
    <row r="11" spans="1:19" ht="12" customHeight="1" x14ac:dyDescent="0.2">
      <c r="A11" s="242" t="s">
        <v>6630</v>
      </c>
      <c r="B11" s="243"/>
      <c r="C11" s="243"/>
      <c r="D11" s="244"/>
      <c r="E11" s="244"/>
      <c r="G11" s="254"/>
      <c r="I11" s="255"/>
      <c r="Q11" s="239"/>
      <c r="R11" s="245" t="s">
        <v>6628</v>
      </c>
      <c r="S11" s="246">
        <v>14</v>
      </c>
    </row>
    <row r="12" spans="1:19" ht="12.95" customHeight="1" x14ac:dyDescent="0.2">
      <c r="A12" s="242"/>
      <c r="B12" s="238"/>
      <c r="C12" s="238"/>
      <c r="D12" s="256"/>
      <c r="F12" s="256"/>
      <c r="G12" s="247"/>
      <c r="H12" s="248"/>
      <c r="I12" s="248"/>
      <c r="J12" s="248"/>
      <c r="K12" s="249"/>
      <c r="L12" s="235"/>
      <c r="Q12" s="239"/>
      <c r="R12" s="250"/>
      <c r="S12" s="251"/>
    </row>
    <row r="13" spans="1:19" ht="12.95" customHeight="1" x14ac:dyDescent="0.2">
      <c r="A13" s="242" t="s">
        <v>6631</v>
      </c>
      <c r="B13" s="243"/>
      <c r="C13" s="243"/>
      <c r="D13" s="244"/>
      <c r="E13" s="244"/>
      <c r="F13" s="244"/>
      <c r="G13" s="254"/>
      <c r="H13" s="257"/>
      <c r="I13" s="257"/>
      <c r="J13" s="257"/>
      <c r="K13" s="255"/>
      <c r="Q13" s="239"/>
      <c r="R13" s="245" t="s">
        <v>6628</v>
      </c>
      <c r="S13" s="246">
        <v>21</v>
      </c>
    </row>
    <row r="14" spans="1:19" ht="12.95" customHeight="1" x14ac:dyDescent="0.2">
      <c r="A14" s="242"/>
      <c r="B14" s="238"/>
      <c r="C14" s="238"/>
      <c r="D14" s="256"/>
      <c r="F14" s="256"/>
      <c r="G14" s="247"/>
      <c r="K14" s="249"/>
      <c r="Q14" s="239"/>
      <c r="R14" s="250"/>
      <c r="S14" s="251"/>
    </row>
    <row r="15" spans="1:19" ht="12.95" customHeight="1" x14ac:dyDescent="0.2">
      <c r="A15" s="242" t="s">
        <v>6632</v>
      </c>
      <c r="B15" s="243"/>
      <c r="C15" s="243"/>
      <c r="D15" s="244"/>
      <c r="E15" s="244"/>
      <c r="F15" s="255"/>
      <c r="G15" s="254"/>
      <c r="H15" s="257"/>
      <c r="I15" s="257"/>
      <c r="J15" s="257"/>
      <c r="K15" s="255"/>
      <c r="L15" s="257"/>
      <c r="Q15" s="239"/>
      <c r="R15" s="245" t="s">
        <v>6628</v>
      </c>
      <c r="S15" s="246">
        <f>21+9</f>
        <v>30</v>
      </c>
    </row>
    <row r="16" spans="1:19" ht="17.100000000000001" customHeight="1" x14ac:dyDescent="0.2">
      <c r="A16" s="242"/>
      <c r="B16" s="238"/>
      <c r="C16" s="238"/>
      <c r="F16" s="252"/>
      <c r="L16" s="253"/>
      <c r="Q16" s="239"/>
      <c r="R16" s="250"/>
      <c r="S16" s="251"/>
    </row>
    <row r="17" spans="1:19" ht="17.100000000000001" customHeight="1" x14ac:dyDescent="0.2">
      <c r="A17" s="242" t="s">
        <v>6633</v>
      </c>
      <c r="B17" s="243"/>
      <c r="C17" s="243"/>
      <c r="D17" s="244"/>
      <c r="E17" s="258"/>
      <c r="F17" s="254"/>
      <c r="G17" s="257"/>
      <c r="H17" s="257"/>
      <c r="I17" s="257"/>
      <c r="J17" s="257"/>
      <c r="K17" s="257"/>
      <c r="L17" s="255"/>
      <c r="Q17" s="239"/>
      <c r="R17" s="245" t="s">
        <v>6628</v>
      </c>
      <c r="S17" s="246">
        <f>21+9</f>
        <v>30</v>
      </c>
    </row>
    <row r="18" spans="1:19" ht="12.95" customHeight="1" x14ac:dyDescent="0.2">
      <c r="A18" s="242"/>
      <c r="B18" s="238"/>
      <c r="C18" s="238"/>
      <c r="F18" s="252"/>
      <c r="L18" s="253"/>
      <c r="Q18" s="239"/>
      <c r="R18" s="250"/>
      <c r="S18" s="251"/>
    </row>
    <row r="19" spans="1:19" ht="12.95" customHeight="1" x14ac:dyDescent="0.2">
      <c r="A19" s="242" t="s">
        <v>6634</v>
      </c>
      <c r="B19" s="243"/>
      <c r="C19" s="243"/>
      <c r="D19" s="244"/>
      <c r="E19" s="258"/>
      <c r="F19" s="254"/>
      <c r="G19" s="257"/>
      <c r="H19" s="257"/>
      <c r="I19" s="257"/>
      <c r="J19" s="257"/>
      <c r="K19" s="257"/>
      <c r="L19" s="255"/>
      <c r="Q19" s="239"/>
      <c r="R19" s="245" t="s">
        <v>6628</v>
      </c>
      <c r="S19" s="246">
        <f>21+9</f>
        <v>30</v>
      </c>
    </row>
    <row r="20" spans="1:19" ht="12.95" customHeight="1" x14ac:dyDescent="0.2">
      <c r="A20" s="242"/>
      <c r="B20" s="238"/>
      <c r="C20" s="238"/>
      <c r="F20" s="252"/>
      <c r="L20" s="253"/>
      <c r="Q20" s="239"/>
      <c r="R20" s="250"/>
      <c r="S20" s="251"/>
    </row>
    <row r="21" spans="1:19" ht="12.95" customHeight="1" x14ac:dyDescent="0.2">
      <c r="A21" s="242" t="s">
        <v>6635</v>
      </c>
      <c r="B21" s="243"/>
      <c r="C21" s="243"/>
      <c r="D21" s="244"/>
      <c r="E21" s="253"/>
      <c r="F21" s="254"/>
      <c r="G21" s="257"/>
      <c r="H21" s="257"/>
      <c r="I21" s="257"/>
      <c r="J21" s="257"/>
      <c r="K21" s="257"/>
      <c r="L21" s="255"/>
      <c r="Q21" s="239"/>
      <c r="R21" s="245" t="s">
        <v>6628</v>
      </c>
      <c r="S21" s="246">
        <f>21+9</f>
        <v>30</v>
      </c>
    </row>
    <row r="22" spans="1:19" ht="12.95" customHeight="1" x14ac:dyDescent="0.2">
      <c r="A22" s="242"/>
      <c r="B22" s="238"/>
      <c r="C22" s="238"/>
      <c r="E22" s="247"/>
      <c r="M22" s="249"/>
      <c r="Q22" s="239"/>
      <c r="R22" s="250"/>
      <c r="S22" s="251"/>
    </row>
    <row r="23" spans="1:19" ht="12.95" customHeight="1" x14ac:dyDescent="0.2">
      <c r="A23" s="242" t="s">
        <v>6636</v>
      </c>
      <c r="B23" s="243"/>
      <c r="C23" s="243"/>
      <c r="D23" s="258"/>
      <c r="E23" s="254"/>
      <c r="F23" s="257"/>
      <c r="G23" s="257"/>
      <c r="H23" s="257"/>
      <c r="I23" s="257"/>
      <c r="J23" s="257"/>
      <c r="K23" s="257"/>
      <c r="L23" s="257"/>
      <c r="M23" s="255"/>
      <c r="Q23" s="239"/>
      <c r="R23" s="245" t="s">
        <v>6628</v>
      </c>
      <c r="S23" s="246">
        <f>21+9</f>
        <v>30</v>
      </c>
    </row>
    <row r="24" spans="1:19" ht="12.95" customHeight="1" x14ac:dyDescent="0.2">
      <c r="A24" s="242"/>
      <c r="B24" s="238"/>
      <c r="C24" s="238"/>
      <c r="E24" s="252"/>
      <c r="M24" s="253"/>
      <c r="Q24" s="239"/>
      <c r="R24" s="250"/>
      <c r="S24" s="251"/>
    </row>
    <row r="25" spans="1:19" ht="12.95" customHeight="1" x14ac:dyDescent="0.2">
      <c r="A25" s="242" t="s">
        <v>6637</v>
      </c>
      <c r="B25" s="243"/>
      <c r="C25" s="243"/>
      <c r="D25" s="258"/>
      <c r="E25" s="252"/>
      <c r="M25" s="253"/>
      <c r="Q25" s="239"/>
      <c r="R25" s="245" t="s">
        <v>6628</v>
      </c>
      <c r="S25" s="246">
        <f>21+9</f>
        <v>30</v>
      </c>
    </row>
    <row r="26" spans="1:19" ht="12.95" customHeight="1" x14ac:dyDescent="0.2">
      <c r="A26" s="242"/>
      <c r="B26" s="238"/>
      <c r="C26" s="238"/>
      <c r="E26" s="247"/>
      <c r="F26" s="248"/>
      <c r="G26" s="248"/>
      <c r="H26" s="248"/>
      <c r="I26" s="248"/>
      <c r="J26" s="248"/>
      <c r="K26" s="248"/>
      <c r="L26" s="248"/>
      <c r="M26" s="249"/>
      <c r="Q26" s="239"/>
      <c r="R26" s="250"/>
      <c r="S26" s="251"/>
    </row>
    <row r="27" spans="1:19" ht="12.95" customHeight="1" x14ac:dyDescent="0.2">
      <c r="A27" s="242" t="s">
        <v>6638</v>
      </c>
      <c r="B27" s="243"/>
      <c r="C27" s="243"/>
      <c r="D27" s="258"/>
      <c r="E27" s="252"/>
      <c r="M27" s="253"/>
      <c r="Q27" s="239"/>
      <c r="R27" s="245" t="s">
        <v>6628</v>
      </c>
      <c r="S27" s="246">
        <f>21+9</f>
        <v>30</v>
      </c>
    </row>
    <row r="28" spans="1:19" ht="12.95" customHeight="1" x14ac:dyDescent="0.2">
      <c r="A28" s="242"/>
      <c r="B28" s="234"/>
      <c r="C28" s="234"/>
      <c r="E28" s="247"/>
      <c r="F28" s="248"/>
      <c r="G28" s="259"/>
      <c r="H28" s="248"/>
      <c r="I28" s="248"/>
      <c r="J28" s="248"/>
      <c r="K28" s="248"/>
      <c r="L28" s="248"/>
      <c r="M28" s="249"/>
      <c r="N28" s="252"/>
      <c r="R28" s="250"/>
      <c r="S28" s="251"/>
    </row>
    <row r="29" spans="1:19" ht="12.95" customHeight="1" x14ac:dyDescent="0.2">
      <c r="A29" s="242" t="s">
        <v>6639</v>
      </c>
      <c r="B29" s="244"/>
      <c r="C29" s="244"/>
      <c r="D29" s="257"/>
      <c r="E29" s="254"/>
      <c r="G29" s="235"/>
      <c r="M29" s="255"/>
      <c r="N29" s="254"/>
      <c r="R29" s="245" t="s">
        <v>6628</v>
      </c>
      <c r="S29" s="246">
        <v>30</v>
      </c>
    </row>
    <row r="30" spans="1:19" ht="12.95" customHeight="1" x14ac:dyDescent="0.2">
      <c r="A30" s="242"/>
      <c r="B30" s="234"/>
      <c r="C30" s="253"/>
      <c r="D30" s="247"/>
      <c r="E30" s="248"/>
      <c r="F30" s="248"/>
      <c r="G30" s="259"/>
      <c r="H30" s="248"/>
      <c r="I30" s="248"/>
      <c r="J30" s="248"/>
      <c r="K30" s="248"/>
      <c r="L30" s="248"/>
      <c r="M30" s="248"/>
      <c r="N30" s="249"/>
      <c r="R30" s="250"/>
      <c r="S30" s="251"/>
    </row>
    <row r="31" spans="1:19" ht="12.95" customHeight="1" x14ac:dyDescent="0.2">
      <c r="A31" s="242" t="s">
        <v>6640</v>
      </c>
      <c r="B31" s="244"/>
      <c r="C31" s="258"/>
      <c r="D31" s="254"/>
      <c r="E31" s="257"/>
      <c r="F31" s="257"/>
      <c r="G31" s="260"/>
      <c r="H31" s="257"/>
      <c r="I31" s="257"/>
      <c r="J31" s="257"/>
      <c r="K31" s="257"/>
      <c r="L31" s="257"/>
      <c r="M31" s="257"/>
      <c r="N31" s="255"/>
      <c r="R31" s="245" t="s">
        <v>6628</v>
      </c>
      <c r="S31" s="246">
        <v>30</v>
      </c>
    </row>
    <row r="32" spans="1:19" ht="12.95" customHeight="1" x14ac:dyDescent="0.2">
      <c r="A32" s="242"/>
      <c r="B32" s="234"/>
      <c r="C32" s="261"/>
      <c r="D32" s="252"/>
      <c r="G32" s="235"/>
      <c r="N32" s="253"/>
      <c r="O32" s="261"/>
      <c r="R32" s="250"/>
      <c r="S32" s="251"/>
    </row>
    <row r="33" spans="1:26" ht="12.95" customHeight="1" x14ac:dyDescent="0.2">
      <c r="A33" s="242" t="s">
        <v>6641</v>
      </c>
      <c r="B33" s="244"/>
      <c r="C33" s="262"/>
      <c r="D33" s="254"/>
      <c r="E33" s="257"/>
      <c r="F33" s="257"/>
      <c r="G33" s="260"/>
      <c r="H33" s="257"/>
      <c r="I33" s="257"/>
      <c r="J33" s="257"/>
      <c r="K33" s="257"/>
      <c r="L33" s="257"/>
      <c r="M33" s="257"/>
      <c r="N33" s="255"/>
      <c r="O33" s="261"/>
      <c r="R33" s="245"/>
      <c r="S33" s="246"/>
    </row>
    <row r="34" spans="1:26" ht="12.75" customHeight="1" x14ac:dyDescent="0.2">
      <c r="A34" s="238"/>
      <c r="B34" s="234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R34" s="250"/>
      <c r="S34" s="251"/>
    </row>
    <row r="35" spans="1:26" ht="12.95" customHeight="1" x14ac:dyDescent="0.2">
      <c r="A35" s="238"/>
      <c r="B35" s="234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</row>
    <row r="36" spans="1:26" ht="12.95" customHeight="1" x14ac:dyDescent="0.2">
      <c r="A36" s="238"/>
      <c r="B36" s="234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</row>
    <row r="37" spans="1:26" ht="12.95" customHeight="1" x14ac:dyDescent="0.2">
      <c r="A37" s="238"/>
      <c r="B37" s="234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</row>
    <row r="38" spans="1:26" ht="12" customHeight="1" x14ac:dyDescent="0.2">
      <c r="Q38" s="263"/>
    </row>
    <row r="39" spans="1:26" ht="12" customHeight="1" x14ac:dyDescent="0.2">
      <c r="Q39" s="263"/>
    </row>
    <row r="40" spans="1:26" ht="27.75" customHeight="1" x14ac:dyDescent="0.2">
      <c r="E40" s="234" t="s">
        <v>6642</v>
      </c>
      <c r="R40" s="264"/>
      <c r="X40" s="265">
        <f>EQUIPAMENTO!K7</f>
        <v>45356</v>
      </c>
      <c r="Y40" s="265">
        <v>45447</v>
      </c>
      <c r="Z40" s="266" t="b">
        <f>Y40=X40</f>
        <v>0</v>
      </c>
    </row>
    <row r="41" spans="1:26" ht="26.25" customHeight="1" x14ac:dyDescent="0.2">
      <c r="E41" s="234" t="s">
        <v>6643</v>
      </c>
      <c r="O41" s="429" t="s">
        <v>6644</v>
      </c>
      <c r="P41" s="430"/>
      <c r="Q41" s="430"/>
      <c r="R41" s="430"/>
      <c r="S41" s="267">
        <f>SUM(S7:S34)+30</f>
        <v>363</v>
      </c>
      <c r="T41" s="268" t="s">
        <v>6645</v>
      </c>
      <c r="U41" s="268">
        <f>ROUNDUP(S41/30,0)</f>
        <v>13</v>
      </c>
      <c r="V41" s="269" t="s">
        <v>6646</v>
      </c>
      <c r="X41" s="265">
        <f>$X$40+S41</f>
        <v>45719</v>
      </c>
    </row>
    <row r="42" spans="1:26" ht="22.5" customHeight="1" x14ac:dyDescent="0.2">
      <c r="E42" s="234" t="s">
        <v>6647</v>
      </c>
    </row>
    <row r="43" spans="1:26" ht="30.75" customHeight="1" x14ac:dyDescent="0.2">
      <c r="O43" s="429" t="s">
        <v>6648</v>
      </c>
      <c r="P43" s="430"/>
      <c r="Q43" s="430"/>
      <c r="R43" s="430"/>
      <c r="S43" s="267">
        <f>SUM(S27:S31)</f>
        <v>90</v>
      </c>
      <c r="T43" s="268" t="s">
        <v>6645</v>
      </c>
      <c r="U43" s="268">
        <f>ROUNDUP(S43/30,0)</f>
        <v>3</v>
      </c>
      <c r="V43" s="269" t="s">
        <v>6646</v>
      </c>
      <c r="X43" s="265">
        <f>$X$40+S43</f>
        <v>45446</v>
      </c>
    </row>
    <row r="44" spans="1:26" ht="12" customHeight="1" x14ac:dyDescent="0.2"/>
    <row r="45" spans="1:26" ht="30.75" customHeight="1" x14ac:dyDescent="0.2">
      <c r="O45" s="429" t="s">
        <v>6649</v>
      </c>
      <c r="P45" s="430"/>
      <c r="Q45" s="430"/>
      <c r="R45" s="430"/>
      <c r="S45" s="267">
        <f>SUM(S7:S27)+90</f>
        <v>363</v>
      </c>
      <c r="T45" s="268" t="s">
        <v>6645</v>
      </c>
      <c r="U45" s="268">
        <f>ROUNDUP(S45/30,0)</f>
        <v>13</v>
      </c>
      <c r="V45" s="269" t="s">
        <v>6646</v>
      </c>
      <c r="X45" s="265">
        <f>$X$40+S45</f>
        <v>45719</v>
      </c>
    </row>
    <row r="46" spans="1:26" ht="12" customHeight="1" x14ac:dyDescent="0.2"/>
    <row r="47" spans="1:26" ht="30.75" customHeight="1" x14ac:dyDescent="0.2">
      <c r="O47" s="429" t="s">
        <v>6650</v>
      </c>
      <c r="P47" s="430"/>
      <c r="Q47" s="430"/>
      <c r="R47" s="430"/>
      <c r="S47" s="267">
        <f>SUM(S21:S31)</f>
        <v>180</v>
      </c>
      <c r="T47" s="268" t="s">
        <v>6645</v>
      </c>
      <c r="U47" s="268">
        <f>ROUNDUP(S47/30,0)</f>
        <v>6</v>
      </c>
      <c r="V47" s="269" t="s">
        <v>6646</v>
      </c>
      <c r="X47" s="265">
        <f>$X$40+S47</f>
        <v>45536</v>
      </c>
    </row>
    <row r="49" spans="15:24" ht="30.75" customHeight="1" x14ac:dyDescent="0.2">
      <c r="O49" s="429" t="s">
        <v>6651</v>
      </c>
      <c r="P49" s="430"/>
      <c r="Q49" s="430"/>
      <c r="R49" s="430"/>
      <c r="S49" s="267">
        <f>SUM(S9:S31)</f>
        <v>319</v>
      </c>
      <c r="T49" s="268" t="s">
        <v>6645</v>
      </c>
      <c r="U49" s="268">
        <f>ROUNDUP(S49/30,0)</f>
        <v>11</v>
      </c>
      <c r="V49" s="269" t="s">
        <v>6646</v>
      </c>
      <c r="X49" s="265">
        <f>$X$40+S49</f>
        <v>45675</v>
      </c>
    </row>
    <row r="51" spans="15:24" ht="30.75" customHeight="1" x14ac:dyDescent="0.2">
      <c r="O51" s="429" t="s">
        <v>6652</v>
      </c>
      <c r="P51" s="430"/>
      <c r="Q51" s="430"/>
      <c r="R51" s="430"/>
      <c r="S51" s="267">
        <f>SUM(S19:S31)</f>
        <v>210</v>
      </c>
      <c r="T51" s="268" t="s">
        <v>6645</v>
      </c>
      <c r="U51" s="268">
        <f>ROUNDUP(S51/30,0)</f>
        <v>7</v>
      </c>
      <c r="V51" s="269" t="s">
        <v>6646</v>
      </c>
      <c r="X51" s="265">
        <f>$X$40+S51</f>
        <v>45566</v>
      </c>
    </row>
    <row r="53" spans="15:24" ht="30.75" customHeight="1" x14ac:dyDescent="0.2">
      <c r="O53" s="429" t="s">
        <v>6653</v>
      </c>
      <c r="P53" s="430"/>
      <c r="Q53" s="430"/>
      <c r="R53" s="430"/>
      <c r="S53" s="267">
        <f>SUM(S7:S31)</f>
        <v>333</v>
      </c>
      <c r="T53" s="268" t="s">
        <v>6645</v>
      </c>
      <c r="U53" s="268">
        <f>ROUNDUP(S53/30,0)</f>
        <v>12</v>
      </c>
      <c r="V53" s="269" t="s">
        <v>6646</v>
      </c>
      <c r="X53" s="265">
        <f>$X$40+S53</f>
        <v>45689</v>
      </c>
    </row>
  </sheetData>
  <mergeCells count="10">
    <mergeCell ref="O47:R47"/>
    <mergeCell ref="O49:R49"/>
    <mergeCell ref="O51:R51"/>
    <mergeCell ref="O53:R53"/>
    <mergeCell ref="A1:Q1"/>
    <mergeCell ref="A3:Q3"/>
    <mergeCell ref="R5:S5"/>
    <mergeCell ref="O41:R41"/>
    <mergeCell ref="O43:R43"/>
    <mergeCell ref="O45:R45"/>
  </mergeCells>
  <pageMargins left="0.78740157480314965" right="0.51181102362204722" top="0.78740157480314965" bottom="0.78740157480314965" header="0.31496062992125984" footer="0.31496062992125984"/>
  <pageSetup paperSize="9" scale="49" fitToHeight="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</sheetPr>
  <dimension ref="A2:ANG32"/>
  <sheetViews>
    <sheetView showGridLines="0" showZeros="0" zoomScale="70" zoomScaleNormal="70" zoomScaleSheetLayoutView="100" zoomScalePageLayoutView="85" workbookViewId="0">
      <selection activeCell="S14" sqref="S14"/>
    </sheetView>
  </sheetViews>
  <sheetFormatPr defaultColWidth="9.140625" defaultRowHeight="15" x14ac:dyDescent="0.25"/>
  <cols>
    <col min="1" max="1" width="2.42578125" style="275" customWidth="1"/>
    <col min="2" max="2" width="49.7109375" style="270" customWidth="1"/>
    <col min="3" max="3" width="14.7109375" style="270" customWidth="1"/>
    <col min="4" max="4" width="1.42578125" style="270" customWidth="1"/>
    <col min="5" max="5" width="10" style="305" customWidth="1"/>
    <col min="6" max="39" width="8.7109375" style="305" customWidth="1"/>
    <col min="40" max="40" width="9.7109375" style="305" customWidth="1"/>
    <col min="41" max="41" width="0.85546875" style="270" customWidth="1"/>
    <col min="42" max="42" width="12.85546875" style="270" customWidth="1"/>
    <col min="43" max="43" width="38.7109375" style="274" customWidth="1"/>
    <col min="44" max="44" width="15.42578125" style="274" bestFit="1" customWidth="1"/>
    <col min="45" max="45" width="14.28515625" style="274" bestFit="1" customWidth="1"/>
    <col min="46" max="47" width="9.140625" style="274"/>
    <col min="48" max="50" width="12.5703125" style="274" customWidth="1"/>
    <col min="51" max="95" width="9.140625" style="274"/>
    <col min="96" max="1044" width="9.140625" style="270"/>
    <col min="1045" max="16384" width="9.140625" style="275"/>
  </cols>
  <sheetData>
    <row r="2" spans="2:95 1045:1047" s="270" customFormat="1" ht="29.25" customHeight="1" x14ac:dyDescent="0.25">
      <c r="E2" s="271" t="s">
        <v>13</v>
      </c>
      <c r="F2" s="272" t="s">
        <v>6654</v>
      </c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74"/>
      <c r="CA2" s="274"/>
      <c r="CB2" s="274"/>
      <c r="CC2" s="274"/>
      <c r="CD2" s="274"/>
      <c r="CE2" s="274"/>
      <c r="CF2" s="274"/>
      <c r="CG2" s="274"/>
      <c r="CH2" s="274"/>
      <c r="CI2" s="274"/>
      <c r="CJ2" s="274"/>
      <c r="CK2" s="274"/>
      <c r="CL2" s="274"/>
      <c r="CM2" s="274"/>
      <c r="CN2" s="274"/>
      <c r="CO2" s="274"/>
      <c r="CP2" s="274"/>
      <c r="CQ2" s="274"/>
      <c r="ANE2" s="275"/>
      <c r="ANF2" s="275"/>
      <c r="ANG2" s="275"/>
    </row>
    <row r="3" spans="2:95 1045:1047" s="270" customFormat="1" ht="29.25" customHeight="1" x14ac:dyDescent="0.25">
      <c r="B3" s="276"/>
      <c r="C3" s="276"/>
      <c r="D3" s="276"/>
      <c r="E3" s="271" t="s">
        <v>14</v>
      </c>
      <c r="F3" s="272" t="s">
        <v>6655</v>
      </c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6"/>
      <c r="AP3" s="276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ANE3" s="275"/>
      <c r="ANF3" s="275"/>
      <c r="ANG3" s="275"/>
    </row>
    <row r="4" spans="2:95 1045:1047" s="270" customFormat="1" ht="29.25" customHeight="1" x14ac:dyDescent="0.25">
      <c r="B4" s="277"/>
      <c r="C4" s="277"/>
      <c r="D4" s="278"/>
      <c r="E4" s="278" t="s">
        <v>6656</v>
      </c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8"/>
      <c r="AP4" s="278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274"/>
      <c r="BB4" s="274"/>
      <c r="BC4" s="274"/>
      <c r="BD4" s="274"/>
      <c r="BE4" s="274"/>
      <c r="BF4" s="274"/>
      <c r="BG4" s="274"/>
      <c r="BH4" s="274"/>
      <c r="BI4" s="274"/>
      <c r="BJ4" s="274"/>
      <c r="BK4" s="274"/>
      <c r="BL4" s="274"/>
      <c r="BM4" s="274"/>
      <c r="BN4" s="274"/>
      <c r="BO4" s="274"/>
      <c r="BP4" s="274"/>
      <c r="BQ4" s="274"/>
      <c r="BR4" s="274"/>
      <c r="BS4" s="274"/>
      <c r="BT4" s="274"/>
      <c r="BU4" s="274"/>
      <c r="BV4" s="274"/>
      <c r="BW4" s="274"/>
      <c r="BX4" s="274"/>
      <c r="BY4" s="274"/>
      <c r="BZ4" s="274"/>
      <c r="CA4" s="274"/>
      <c r="CB4" s="274"/>
      <c r="CC4" s="274"/>
      <c r="CD4" s="274"/>
      <c r="CE4" s="274"/>
      <c r="CF4" s="274"/>
      <c r="CG4" s="274"/>
      <c r="CH4" s="274"/>
      <c r="CI4" s="274"/>
      <c r="CJ4" s="274"/>
      <c r="CK4" s="274"/>
      <c r="CL4" s="274"/>
      <c r="CM4" s="274"/>
      <c r="CN4" s="274"/>
      <c r="CO4" s="274"/>
      <c r="CP4" s="274"/>
      <c r="CQ4" s="274"/>
      <c r="ANE4" s="275"/>
      <c r="ANF4" s="275"/>
      <c r="ANG4" s="275"/>
    </row>
    <row r="5" spans="2:95 1045:1047" s="274" customFormat="1" ht="38.25" customHeight="1" x14ac:dyDescent="0.2">
      <c r="B5" s="278"/>
      <c r="C5" s="278"/>
      <c r="D5" s="280"/>
      <c r="E5" s="438" t="s">
        <v>6657</v>
      </c>
      <c r="F5" s="438"/>
      <c r="G5" s="438"/>
      <c r="H5" s="438"/>
      <c r="I5" s="438"/>
      <c r="J5" s="438"/>
      <c r="K5" s="438"/>
      <c r="L5" s="439" t="s">
        <v>6658</v>
      </c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39"/>
      <c r="Y5" s="440" t="s">
        <v>6659</v>
      </c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280"/>
      <c r="AP5" s="281"/>
    </row>
    <row r="6" spans="2:95 1045:1047" s="270" customFormat="1" ht="45" customHeight="1" x14ac:dyDescent="0.25">
      <c r="B6" s="441" t="s">
        <v>6660</v>
      </c>
      <c r="C6" s="443" t="s">
        <v>6661</v>
      </c>
      <c r="D6" s="280"/>
      <c r="E6" s="282" t="s">
        <v>6662</v>
      </c>
      <c r="F6" s="282" t="s">
        <v>6663</v>
      </c>
      <c r="G6" s="282" t="s">
        <v>6664</v>
      </c>
      <c r="H6" s="282" t="s">
        <v>6665</v>
      </c>
      <c r="I6" s="282" t="s">
        <v>6666</v>
      </c>
      <c r="J6" s="282" t="s">
        <v>6667</v>
      </c>
      <c r="K6" s="282" t="s">
        <v>6668</v>
      </c>
      <c r="L6" s="282" t="s">
        <v>6669</v>
      </c>
      <c r="M6" s="282" t="s">
        <v>6670</v>
      </c>
      <c r="N6" s="282" t="s">
        <v>6671</v>
      </c>
      <c r="O6" s="282" t="s">
        <v>6672</v>
      </c>
      <c r="P6" s="282" t="s">
        <v>6673</v>
      </c>
      <c r="Q6" s="282" t="s">
        <v>6674</v>
      </c>
      <c r="R6" s="282" t="s">
        <v>6675</v>
      </c>
      <c r="S6" s="282" t="s">
        <v>6676</v>
      </c>
      <c r="T6" s="282" t="s">
        <v>6677</v>
      </c>
      <c r="U6" s="282" t="s">
        <v>6678</v>
      </c>
      <c r="V6" s="282" t="s">
        <v>6679</v>
      </c>
      <c r="W6" s="282" t="s">
        <v>6680</v>
      </c>
      <c r="X6" s="282" t="s">
        <v>6681</v>
      </c>
      <c r="Y6" s="282" t="s">
        <v>6682</v>
      </c>
      <c r="Z6" s="282" t="s">
        <v>6683</v>
      </c>
      <c r="AA6" s="282" t="s">
        <v>6684</v>
      </c>
      <c r="AB6" s="282" t="s">
        <v>6685</v>
      </c>
      <c r="AC6" s="282" t="s">
        <v>6686</v>
      </c>
      <c r="AD6" s="282" t="s">
        <v>6687</v>
      </c>
      <c r="AE6" s="282" t="s">
        <v>6688</v>
      </c>
      <c r="AF6" s="282" t="s">
        <v>6689</v>
      </c>
      <c r="AG6" s="282" t="s">
        <v>6690</v>
      </c>
      <c r="AH6" s="282" t="s">
        <v>6691</v>
      </c>
      <c r="AI6" s="282" t="s">
        <v>6692</v>
      </c>
      <c r="AJ6" s="282" t="s">
        <v>6693</v>
      </c>
      <c r="AK6" s="282" t="s">
        <v>6694</v>
      </c>
      <c r="AL6" s="282" t="s">
        <v>6695</v>
      </c>
      <c r="AM6" s="282" t="s">
        <v>6696</v>
      </c>
      <c r="AN6" s="282" t="s">
        <v>6697</v>
      </c>
      <c r="AO6" s="280"/>
      <c r="AP6" s="434" t="s">
        <v>10</v>
      </c>
      <c r="AQ6" s="274"/>
      <c r="AR6" s="274"/>
      <c r="AS6" s="274"/>
      <c r="AT6" s="274"/>
      <c r="AU6" s="274"/>
      <c r="AV6" s="274"/>
      <c r="AW6" s="274"/>
      <c r="AX6" s="274"/>
      <c r="AY6" s="274"/>
      <c r="AZ6" s="274"/>
      <c r="BA6" s="274"/>
      <c r="BB6" s="274"/>
      <c r="BC6" s="274"/>
      <c r="BD6" s="274"/>
      <c r="BE6" s="274"/>
      <c r="BF6" s="274"/>
      <c r="BG6" s="274"/>
      <c r="BH6" s="274"/>
      <c r="BI6" s="274"/>
      <c r="BJ6" s="274"/>
      <c r="BK6" s="274"/>
      <c r="BL6" s="274"/>
      <c r="BM6" s="274"/>
      <c r="BN6" s="274"/>
      <c r="BO6" s="274"/>
      <c r="BP6" s="274"/>
      <c r="BQ6" s="274"/>
      <c r="BR6" s="274"/>
      <c r="BS6" s="274"/>
      <c r="BT6" s="274"/>
      <c r="BU6" s="274"/>
      <c r="BV6" s="274"/>
      <c r="BW6" s="274"/>
      <c r="BX6" s="274"/>
      <c r="BY6" s="274"/>
      <c r="BZ6" s="274"/>
      <c r="CA6" s="274"/>
      <c r="CB6" s="274"/>
      <c r="CC6" s="274"/>
      <c r="CD6" s="274"/>
      <c r="CE6" s="274"/>
      <c r="CF6" s="274"/>
      <c r="CG6" s="274"/>
      <c r="CH6" s="274"/>
      <c r="CI6" s="274"/>
      <c r="CJ6" s="274"/>
      <c r="CK6" s="274"/>
      <c r="CL6" s="274"/>
      <c r="CM6" s="274"/>
      <c r="CN6" s="274"/>
      <c r="CO6" s="274"/>
      <c r="CP6" s="274"/>
      <c r="CQ6" s="274"/>
      <c r="ANE6" s="275"/>
      <c r="ANF6" s="275"/>
      <c r="ANG6" s="275"/>
    </row>
    <row r="7" spans="2:95 1045:1047" s="270" customFormat="1" ht="20.100000000000001" customHeight="1" x14ac:dyDescent="0.25">
      <c r="B7" s="442"/>
      <c r="C7" s="442"/>
      <c r="D7" s="280"/>
      <c r="E7" s="282">
        <v>45139</v>
      </c>
      <c r="F7" s="283">
        <f>E7+31</f>
        <v>45170</v>
      </c>
      <c r="G7" s="283">
        <f t="shared" ref="G7:AN7" si="0">F7+31</f>
        <v>45201</v>
      </c>
      <c r="H7" s="283">
        <f t="shared" si="0"/>
        <v>45232</v>
      </c>
      <c r="I7" s="283">
        <f t="shared" si="0"/>
        <v>45263</v>
      </c>
      <c r="J7" s="283">
        <f t="shared" si="0"/>
        <v>45294</v>
      </c>
      <c r="K7" s="283">
        <f t="shared" si="0"/>
        <v>45325</v>
      </c>
      <c r="L7" s="283">
        <f t="shared" si="0"/>
        <v>45356</v>
      </c>
      <c r="M7" s="283">
        <f t="shared" si="0"/>
        <v>45387</v>
      </c>
      <c r="N7" s="283">
        <f t="shared" si="0"/>
        <v>45418</v>
      </c>
      <c r="O7" s="283">
        <f t="shared" si="0"/>
        <v>45449</v>
      </c>
      <c r="P7" s="283">
        <f t="shared" si="0"/>
        <v>45480</v>
      </c>
      <c r="Q7" s="283">
        <f t="shared" si="0"/>
        <v>45511</v>
      </c>
      <c r="R7" s="283">
        <f t="shared" si="0"/>
        <v>45542</v>
      </c>
      <c r="S7" s="283">
        <f t="shared" si="0"/>
        <v>45573</v>
      </c>
      <c r="T7" s="283">
        <f t="shared" si="0"/>
        <v>45604</v>
      </c>
      <c r="U7" s="283">
        <f t="shared" si="0"/>
        <v>45635</v>
      </c>
      <c r="V7" s="283">
        <f t="shared" si="0"/>
        <v>45666</v>
      </c>
      <c r="W7" s="283">
        <f t="shared" si="0"/>
        <v>45697</v>
      </c>
      <c r="X7" s="283">
        <f t="shared" si="0"/>
        <v>45728</v>
      </c>
      <c r="Y7" s="283">
        <f t="shared" si="0"/>
        <v>45759</v>
      </c>
      <c r="Z7" s="283">
        <f t="shared" si="0"/>
        <v>45790</v>
      </c>
      <c r="AA7" s="283">
        <f t="shared" si="0"/>
        <v>45821</v>
      </c>
      <c r="AB7" s="283">
        <f t="shared" si="0"/>
        <v>45852</v>
      </c>
      <c r="AC7" s="283">
        <f t="shared" si="0"/>
        <v>45883</v>
      </c>
      <c r="AD7" s="283">
        <f t="shared" si="0"/>
        <v>45914</v>
      </c>
      <c r="AE7" s="283">
        <f t="shared" si="0"/>
        <v>45945</v>
      </c>
      <c r="AF7" s="283">
        <f t="shared" si="0"/>
        <v>45976</v>
      </c>
      <c r="AG7" s="283">
        <f t="shared" si="0"/>
        <v>46007</v>
      </c>
      <c r="AH7" s="283">
        <f t="shared" si="0"/>
        <v>46038</v>
      </c>
      <c r="AI7" s="283">
        <f t="shared" si="0"/>
        <v>46069</v>
      </c>
      <c r="AJ7" s="283">
        <f t="shared" si="0"/>
        <v>46100</v>
      </c>
      <c r="AK7" s="283">
        <f t="shared" si="0"/>
        <v>46131</v>
      </c>
      <c r="AL7" s="283">
        <f t="shared" si="0"/>
        <v>46162</v>
      </c>
      <c r="AM7" s="283">
        <f t="shared" si="0"/>
        <v>46193</v>
      </c>
      <c r="AN7" s="283">
        <f t="shared" si="0"/>
        <v>46224</v>
      </c>
      <c r="AO7" s="280"/>
      <c r="AP7" s="435"/>
      <c r="AQ7" s="274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274"/>
      <c r="BG7" s="274"/>
      <c r="BH7" s="274"/>
      <c r="BI7" s="274"/>
      <c r="BJ7" s="274"/>
      <c r="BK7" s="274"/>
      <c r="BL7" s="274"/>
      <c r="BM7" s="274"/>
      <c r="BN7" s="274"/>
      <c r="BO7" s="274"/>
      <c r="BP7" s="274"/>
      <c r="BQ7" s="274"/>
      <c r="BR7" s="274"/>
      <c r="BS7" s="274"/>
      <c r="BT7" s="274"/>
      <c r="BU7" s="274"/>
      <c r="BV7" s="274"/>
      <c r="BW7" s="274"/>
      <c r="BX7" s="274"/>
      <c r="BY7" s="274"/>
      <c r="BZ7" s="274"/>
      <c r="CA7" s="274"/>
      <c r="CB7" s="274"/>
      <c r="CC7" s="274"/>
      <c r="CD7" s="274"/>
      <c r="CE7" s="274"/>
      <c r="CF7" s="274"/>
      <c r="CG7" s="274"/>
      <c r="CH7" s="274"/>
      <c r="CI7" s="274"/>
      <c r="CJ7" s="274"/>
      <c r="CK7" s="274"/>
      <c r="CL7" s="274"/>
      <c r="CM7" s="274"/>
      <c r="CN7" s="274"/>
      <c r="CO7" s="274"/>
      <c r="CP7" s="274"/>
      <c r="CQ7" s="274"/>
      <c r="ANE7" s="275"/>
      <c r="ANF7" s="275"/>
      <c r="ANG7" s="275"/>
    </row>
    <row r="8" spans="2:95 1045:1047" s="270" customFormat="1" ht="5.0999999999999996" customHeight="1" x14ac:dyDescent="0.2"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5"/>
      <c r="AQ8" s="274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274"/>
      <c r="BG8" s="274"/>
      <c r="BH8" s="274"/>
      <c r="BI8" s="274"/>
      <c r="BJ8" s="274"/>
      <c r="BK8" s="274"/>
      <c r="BL8" s="274"/>
      <c r="BM8" s="274"/>
      <c r="BN8" s="274"/>
      <c r="BO8" s="274"/>
      <c r="BP8" s="274"/>
      <c r="BQ8" s="274"/>
      <c r="BR8" s="274"/>
      <c r="BS8" s="274"/>
      <c r="BT8" s="274"/>
      <c r="BU8" s="274"/>
      <c r="BV8" s="274"/>
      <c r="BW8" s="274"/>
      <c r="BX8" s="274"/>
      <c r="BY8" s="274"/>
      <c r="BZ8" s="274"/>
      <c r="CA8" s="274"/>
      <c r="CB8" s="274"/>
      <c r="CC8" s="274"/>
      <c r="CD8" s="274"/>
      <c r="CE8" s="274"/>
      <c r="CF8" s="274"/>
      <c r="CG8" s="274"/>
      <c r="CH8" s="274"/>
      <c r="CI8" s="274"/>
      <c r="CJ8" s="274"/>
      <c r="CK8" s="274"/>
      <c r="CL8" s="274"/>
      <c r="CM8" s="274"/>
      <c r="CN8" s="274"/>
      <c r="CO8" s="274"/>
      <c r="CP8" s="274"/>
      <c r="CQ8" s="274"/>
    </row>
    <row r="9" spans="2:95 1045:1047" s="293" customFormat="1" ht="24.95" customHeight="1" x14ac:dyDescent="0.2">
      <c r="B9" s="286" t="s">
        <v>6698</v>
      </c>
      <c r="C9" s="287">
        <v>18000</v>
      </c>
      <c r="D9" s="288"/>
      <c r="E9" s="289">
        <v>1</v>
      </c>
      <c r="F9" s="289">
        <v>1</v>
      </c>
      <c r="G9" s="289">
        <v>1</v>
      </c>
      <c r="H9" s="289">
        <v>1</v>
      </c>
      <c r="I9" s="289">
        <v>1</v>
      </c>
      <c r="J9" s="289">
        <v>1</v>
      </c>
      <c r="K9" s="289">
        <v>1</v>
      </c>
      <c r="L9" s="289">
        <v>1</v>
      </c>
      <c r="M9" s="289">
        <v>1</v>
      </c>
      <c r="N9" s="289">
        <v>1</v>
      </c>
      <c r="O9" s="289">
        <v>1</v>
      </c>
      <c r="P9" s="289">
        <v>1</v>
      </c>
      <c r="Q9" s="289">
        <v>1</v>
      </c>
      <c r="R9" s="289">
        <v>1</v>
      </c>
      <c r="S9" s="289">
        <v>1</v>
      </c>
      <c r="T9" s="289">
        <v>1</v>
      </c>
      <c r="U9" s="289">
        <v>1</v>
      </c>
      <c r="V9" s="289">
        <v>1</v>
      </c>
      <c r="W9" s="289">
        <v>1</v>
      </c>
      <c r="X9" s="289">
        <v>1</v>
      </c>
      <c r="Y9" s="289">
        <v>1</v>
      </c>
      <c r="Z9" s="289">
        <v>1</v>
      </c>
      <c r="AA9" s="289">
        <v>1</v>
      </c>
      <c r="AB9" s="289">
        <v>1</v>
      </c>
      <c r="AC9" s="289">
        <v>1</v>
      </c>
      <c r="AD9" s="289">
        <v>1</v>
      </c>
      <c r="AE9" s="289">
        <v>1</v>
      </c>
      <c r="AF9" s="289">
        <v>1</v>
      </c>
      <c r="AG9" s="289">
        <v>1</v>
      </c>
      <c r="AH9" s="289">
        <v>1</v>
      </c>
      <c r="AI9" s="289">
        <v>1</v>
      </c>
      <c r="AJ9" s="289">
        <v>1</v>
      </c>
      <c r="AK9" s="289">
        <v>1</v>
      </c>
      <c r="AL9" s="289">
        <v>1</v>
      </c>
      <c r="AM9" s="289">
        <v>1</v>
      </c>
      <c r="AN9" s="289">
        <v>1</v>
      </c>
      <c r="AO9" s="288"/>
      <c r="AP9" s="290">
        <f t="shared" ref="AP9:AP24" si="1">SUM(E9:AN9)</f>
        <v>36</v>
      </c>
      <c r="AQ9" s="291">
        <f>C9*AP9</f>
        <v>648000</v>
      </c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2"/>
      <c r="BD9" s="292"/>
      <c r="BE9" s="292"/>
      <c r="BF9" s="292"/>
      <c r="BG9" s="292"/>
      <c r="BH9" s="292"/>
      <c r="BI9" s="292"/>
      <c r="BJ9" s="292"/>
      <c r="BK9" s="292"/>
      <c r="BL9" s="292"/>
      <c r="BM9" s="292"/>
      <c r="BN9" s="292"/>
      <c r="BO9" s="292"/>
      <c r="BP9" s="292"/>
      <c r="BQ9" s="292"/>
      <c r="BR9" s="292"/>
      <c r="BS9" s="292"/>
      <c r="BT9" s="292"/>
      <c r="BU9" s="292"/>
      <c r="BV9" s="292"/>
      <c r="BW9" s="292"/>
      <c r="BX9" s="292"/>
      <c r="BY9" s="292"/>
      <c r="BZ9" s="292"/>
      <c r="CA9" s="292"/>
      <c r="CB9" s="292"/>
      <c r="CC9" s="292"/>
      <c r="CD9" s="292"/>
      <c r="CE9" s="292"/>
      <c r="CF9" s="292"/>
      <c r="CG9" s="292"/>
      <c r="CH9" s="292"/>
      <c r="CI9" s="292"/>
      <c r="CJ9" s="292"/>
      <c r="CK9" s="292"/>
      <c r="CL9" s="292"/>
      <c r="CM9" s="292"/>
      <c r="CN9" s="292"/>
      <c r="CO9" s="292"/>
      <c r="CP9" s="292"/>
      <c r="CQ9" s="292"/>
    </row>
    <row r="10" spans="2:95 1045:1047" s="293" customFormat="1" ht="24.95" customHeight="1" x14ac:dyDescent="0.2">
      <c r="B10" s="286" t="s">
        <v>6699</v>
      </c>
      <c r="C10" s="294">
        <v>6160.89</v>
      </c>
      <c r="D10" s="288"/>
      <c r="E10" s="289">
        <v>0.25</v>
      </c>
      <c r="F10" s="289">
        <v>0.25</v>
      </c>
      <c r="G10" s="289">
        <v>0.25</v>
      </c>
      <c r="H10" s="289">
        <v>0.25</v>
      </c>
      <c r="I10" s="289">
        <v>0.25</v>
      </c>
      <c r="J10" s="289">
        <v>0.25</v>
      </c>
      <c r="K10" s="289">
        <v>0.25</v>
      </c>
      <c r="L10" s="289">
        <v>0.25</v>
      </c>
      <c r="M10" s="289">
        <v>0.25</v>
      </c>
      <c r="N10" s="289">
        <v>0.25</v>
      </c>
      <c r="O10" s="289">
        <v>0.25</v>
      </c>
      <c r="P10" s="289">
        <v>0.25</v>
      </c>
      <c r="Q10" s="289">
        <v>0.25</v>
      </c>
      <c r="R10" s="289">
        <v>0.25</v>
      </c>
      <c r="S10" s="289">
        <v>0.25</v>
      </c>
      <c r="T10" s="289">
        <v>0.25</v>
      </c>
      <c r="U10" s="289">
        <v>0.25</v>
      </c>
      <c r="V10" s="289">
        <v>0.25</v>
      </c>
      <c r="W10" s="289">
        <v>0.25</v>
      </c>
      <c r="X10" s="289">
        <v>0.25</v>
      </c>
      <c r="Y10" s="289">
        <v>0.25</v>
      </c>
      <c r="Z10" s="289">
        <v>0.25</v>
      </c>
      <c r="AA10" s="289">
        <v>0.25</v>
      </c>
      <c r="AB10" s="289">
        <v>0.25</v>
      </c>
      <c r="AC10" s="289">
        <v>0.25</v>
      </c>
      <c r="AD10" s="289">
        <v>0.25</v>
      </c>
      <c r="AE10" s="289">
        <v>0.25</v>
      </c>
      <c r="AF10" s="289">
        <v>0.25</v>
      </c>
      <c r="AG10" s="289">
        <v>0.25</v>
      </c>
      <c r="AH10" s="289">
        <v>0.25</v>
      </c>
      <c r="AI10" s="289">
        <v>0.25</v>
      </c>
      <c r="AJ10" s="289">
        <v>0.25</v>
      </c>
      <c r="AK10" s="289">
        <v>0.25</v>
      </c>
      <c r="AL10" s="289">
        <v>0.25</v>
      </c>
      <c r="AM10" s="289">
        <v>0.25</v>
      </c>
      <c r="AN10" s="289">
        <v>0.25</v>
      </c>
      <c r="AO10" s="288"/>
      <c r="AP10" s="290">
        <f t="shared" si="1"/>
        <v>9</v>
      </c>
      <c r="AQ10" s="291">
        <f t="shared" ref="AQ10:AQ24" si="2">C10*AP10</f>
        <v>55448.01</v>
      </c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2"/>
      <c r="BD10" s="292"/>
      <c r="BE10" s="292"/>
      <c r="BF10" s="292"/>
      <c r="BG10" s="292"/>
      <c r="BH10" s="292"/>
      <c r="BI10" s="292"/>
      <c r="BJ10" s="292"/>
      <c r="BK10" s="292"/>
      <c r="BL10" s="292"/>
      <c r="BM10" s="292"/>
      <c r="BN10" s="292"/>
      <c r="BO10" s="292"/>
      <c r="BP10" s="292"/>
      <c r="BQ10" s="292"/>
      <c r="BR10" s="292"/>
      <c r="BS10" s="292"/>
      <c r="BT10" s="292"/>
      <c r="BU10" s="292"/>
      <c r="BV10" s="292"/>
      <c r="BW10" s="292"/>
      <c r="BX10" s="292"/>
      <c r="BY10" s="292"/>
      <c r="BZ10" s="292"/>
      <c r="CA10" s="292"/>
      <c r="CB10" s="292"/>
      <c r="CC10" s="292"/>
      <c r="CD10" s="292"/>
      <c r="CE10" s="292"/>
      <c r="CF10" s="292"/>
      <c r="CG10" s="292"/>
      <c r="CH10" s="292"/>
      <c r="CI10" s="292"/>
      <c r="CJ10" s="292"/>
      <c r="CK10" s="292"/>
      <c r="CL10" s="292"/>
      <c r="CM10" s="292"/>
      <c r="CN10" s="292"/>
      <c r="CO10" s="292"/>
      <c r="CP10" s="292"/>
      <c r="CQ10" s="292"/>
    </row>
    <row r="11" spans="2:95 1045:1047" s="293" customFormat="1" ht="24.95" customHeight="1" x14ac:dyDescent="0.2">
      <c r="B11" s="286" t="s">
        <v>6700</v>
      </c>
      <c r="C11" s="294">
        <v>2380</v>
      </c>
      <c r="D11" s="288"/>
      <c r="E11" s="289"/>
      <c r="F11" s="289"/>
      <c r="G11" s="289">
        <v>1</v>
      </c>
      <c r="H11" s="289">
        <v>1</v>
      </c>
      <c r="I11" s="289">
        <v>1</v>
      </c>
      <c r="J11" s="289">
        <v>1</v>
      </c>
      <c r="K11" s="289">
        <v>1</v>
      </c>
      <c r="L11" s="289">
        <v>1</v>
      </c>
      <c r="M11" s="289">
        <v>1</v>
      </c>
      <c r="N11" s="289">
        <v>1</v>
      </c>
      <c r="O11" s="289">
        <v>1</v>
      </c>
      <c r="P11" s="289">
        <v>1</v>
      </c>
      <c r="Q11" s="289">
        <v>1</v>
      </c>
      <c r="R11" s="289">
        <v>1</v>
      </c>
      <c r="S11" s="289">
        <v>1</v>
      </c>
      <c r="T11" s="289">
        <v>1</v>
      </c>
      <c r="U11" s="289">
        <v>1</v>
      </c>
      <c r="V11" s="289">
        <v>1</v>
      </c>
      <c r="W11" s="289">
        <v>1</v>
      </c>
      <c r="X11" s="289">
        <v>1</v>
      </c>
      <c r="Y11" s="289">
        <v>1</v>
      </c>
      <c r="Z11" s="289">
        <v>1</v>
      </c>
      <c r="AA11" s="289">
        <v>1</v>
      </c>
      <c r="AB11" s="289">
        <v>1</v>
      </c>
      <c r="AC11" s="289">
        <v>1</v>
      </c>
      <c r="AD11" s="289">
        <v>1</v>
      </c>
      <c r="AE11" s="289">
        <v>1</v>
      </c>
      <c r="AF11" s="289">
        <v>1</v>
      </c>
      <c r="AG11" s="289">
        <v>1</v>
      </c>
      <c r="AH11" s="289">
        <v>1</v>
      </c>
      <c r="AI11" s="289">
        <v>1</v>
      </c>
      <c r="AJ11" s="289">
        <v>1</v>
      </c>
      <c r="AK11" s="289">
        <v>1</v>
      </c>
      <c r="AL11" s="289">
        <v>1</v>
      </c>
      <c r="AM11" s="289">
        <v>1</v>
      </c>
      <c r="AN11" s="289">
        <v>1</v>
      </c>
      <c r="AO11" s="288"/>
      <c r="AP11" s="290">
        <f t="shared" si="1"/>
        <v>34</v>
      </c>
      <c r="AQ11" s="291">
        <f t="shared" si="2"/>
        <v>80920</v>
      </c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2"/>
      <c r="BD11" s="292"/>
      <c r="BE11" s="292"/>
      <c r="BF11" s="292"/>
      <c r="BG11" s="292"/>
      <c r="BH11" s="292"/>
      <c r="BI11" s="292"/>
      <c r="BJ11" s="292"/>
      <c r="BK11" s="292"/>
      <c r="BL11" s="292"/>
      <c r="BM11" s="292"/>
      <c r="BN11" s="292"/>
      <c r="BO11" s="292"/>
      <c r="BP11" s="292"/>
      <c r="BQ11" s="292"/>
      <c r="BR11" s="292"/>
      <c r="BS11" s="292"/>
      <c r="BT11" s="292"/>
      <c r="BU11" s="292"/>
      <c r="BV11" s="292"/>
      <c r="BW11" s="292"/>
      <c r="BX11" s="292"/>
      <c r="BY11" s="292"/>
      <c r="BZ11" s="292"/>
      <c r="CA11" s="292"/>
      <c r="CB11" s="292"/>
      <c r="CC11" s="292"/>
      <c r="CD11" s="292"/>
      <c r="CE11" s="292"/>
      <c r="CF11" s="292"/>
      <c r="CG11" s="292"/>
      <c r="CH11" s="292"/>
      <c r="CI11" s="292"/>
      <c r="CJ11" s="292"/>
      <c r="CK11" s="292"/>
      <c r="CL11" s="292"/>
      <c r="CM11" s="292"/>
      <c r="CN11" s="292"/>
      <c r="CO11" s="292"/>
      <c r="CP11" s="292"/>
      <c r="CQ11" s="292"/>
    </row>
    <row r="12" spans="2:95 1045:1047" s="293" customFormat="1" ht="24.95" customHeight="1" x14ac:dyDescent="0.2">
      <c r="B12" s="286" t="s">
        <v>2397</v>
      </c>
      <c r="C12" s="287">
        <v>16160.89</v>
      </c>
      <c r="D12" s="288"/>
      <c r="E12" s="289">
        <v>1</v>
      </c>
      <c r="F12" s="289">
        <v>1</v>
      </c>
      <c r="G12" s="289">
        <v>1</v>
      </c>
      <c r="H12" s="289">
        <v>1</v>
      </c>
      <c r="I12" s="289">
        <v>1</v>
      </c>
      <c r="J12" s="289">
        <v>1</v>
      </c>
      <c r="K12" s="289">
        <v>1</v>
      </c>
      <c r="L12" s="289">
        <v>1</v>
      </c>
      <c r="M12" s="289">
        <v>1</v>
      </c>
      <c r="N12" s="289">
        <v>1</v>
      </c>
      <c r="O12" s="289">
        <v>1</v>
      </c>
      <c r="P12" s="289">
        <v>1</v>
      </c>
      <c r="Q12" s="289">
        <v>1</v>
      </c>
      <c r="R12" s="289">
        <v>1</v>
      </c>
      <c r="S12" s="289">
        <v>1</v>
      </c>
      <c r="T12" s="289">
        <v>1</v>
      </c>
      <c r="U12" s="289">
        <v>1</v>
      </c>
      <c r="V12" s="289">
        <v>1</v>
      </c>
      <c r="W12" s="289">
        <v>1</v>
      </c>
      <c r="X12" s="289">
        <v>1</v>
      </c>
      <c r="Y12" s="289">
        <v>1</v>
      </c>
      <c r="Z12" s="289">
        <v>1</v>
      </c>
      <c r="AA12" s="289">
        <v>1</v>
      </c>
      <c r="AB12" s="289">
        <v>1</v>
      </c>
      <c r="AC12" s="289">
        <v>1</v>
      </c>
      <c r="AD12" s="289">
        <v>1</v>
      </c>
      <c r="AE12" s="289">
        <v>1</v>
      </c>
      <c r="AF12" s="289">
        <v>1</v>
      </c>
      <c r="AG12" s="289">
        <v>1</v>
      </c>
      <c r="AH12" s="289">
        <v>1</v>
      </c>
      <c r="AI12" s="289">
        <v>1</v>
      </c>
      <c r="AJ12" s="289">
        <v>1</v>
      </c>
      <c r="AK12" s="289">
        <v>1</v>
      </c>
      <c r="AL12" s="289">
        <v>1</v>
      </c>
      <c r="AM12" s="289">
        <v>1</v>
      </c>
      <c r="AN12" s="289">
        <v>1</v>
      </c>
      <c r="AO12" s="288"/>
      <c r="AP12" s="290">
        <f t="shared" si="1"/>
        <v>36</v>
      </c>
      <c r="AQ12" s="291">
        <f t="shared" si="2"/>
        <v>581792.04</v>
      </c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2"/>
      <c r="BD12" s="292"/>
      <c r="BE12" s="292"/>
      <c r="BF12" s="292"/>
      <c r="BG12" s="292"/>
      <c r="BH12" s="292"/>
      <c r="BI12" s="292"/>
      <c r="BJ12" s="292"/>
      <c r="BK12" s="292"/>
      <c r="BL12" s="292"/>
      <c r="BM12" s="292"/>
      <c r="BN12" s="292"/>
      <c r="BO12" s="292"/>
      <c r="BP12" s="292"/>
      <c r="BQ12" s="292"/>
      <c r="BR12" s="292"/>
      <c r="BS12" s="292"/>
      <c r="BT12" s="292"/>
      <c r="BU12" s="292"/>
      <c r="BV12" s="292"/>
      <c r="BW12" s="292"/>
      <c r="BX12" s="292"/>
      <c r="BY12" s="292"/>
      <c r="BZ12" s="292"/>
      <c r="CA12" s="292"/>
      <c r="CB12" s="292"/>
      <c r="CC12" s="292"/>
      <c r="CD12" s="292"/>
      <c r="CE12" s="292"/>
      <c r="CF12" s="292"/>
      <c r="CG12" s="292"/>
      <c r="CH12" s="292"/>
      <c r="CI12" s="292"/>
      <c r="CJ12" s="292"/>
      <c r="CK12" s="292"/>
      <c r="CL12" s="292"/>
      <c r="CM12" s="292"/>
      <c r="CN12" s="292"/>
      <c r="CO12" s="292"/>
      <c r="CP12" s="292"/>
      <c r="CQ12" s="292"/>
    </row>
    <row r="13" spans="2:95 1045:1047" s="293" customFormat="1" ht="24.95" customHeight="1" x14ac:dyDescent="0.2">
      <c r="B13" s="286" t="s">
        <v>6701</v>
      </c>
      <c r="C13" s="294">
        <v>6717.3320472000005</v>
      </c>
      <c r="D13" s="288"/>
      <c r="E13" s="289">
        <v>1</v>
      </c>
      <c r="F13" s="289">
        <v>1</v>
      </c>
      <c r="G13" s="289">
        <v>1</v>
      </c>
      <c r="H13" s="289">
        <v>1</v>
      </c>
      <c r="I13" s="289">
        <v>1</v>
      </c>
      <c r="J13" s="289">
        <v>1</v>
      </c>
      <c r="K13" s="289">
        <v>1</v>
      </c>
      <c r="L13" s="289">
        <v>1</v>
      </c>
      <c r="M13" s="289">
        <v>1</v>
      </c>
      <c r="N13" s="289">
        <v>1</v>
      </c>
      <c r="O13" s="289">
        <v>1</v>
      </c>
      <c r="P13" s="289">
        <v>1</v>
      </c>
      <c r="Q13" s="289">
        <v>1</v>
      </c>
      <c r="R13" s="289">
        <v>1</v>
      </c>
      <c r="S13" s="289">
        <v>1</v>
      </c>
      <c r="T13" s="289">
        <v>1</v>
      </c>
      <c r="U13" s="289">
        <v>1</v>
      </c>
      <c r="V13" s="289">
        <v>1</v>
      </c>
      <c r="W13" s="289">
        <v>1</v>
      </c>
      <c r="X13" s="289">
        <v>1</v>
      </c>
      <c r="Y13" s="289">
        <v>1</v>
      </c>
      <c r="Z13" s="289">
        <v>1</v>
      </c>
      <c r="AA13" s="289">
        <v>1</v>
      </c>
      <c r="AB13" s="289">
        <v>1</v>
      </c>
      <c r="AC13" s="289">
        <v>1</v>
      </c>
      <c r="AD13" s="289">
        <v>1</v>
      </c>
      <c r="AE13" s="289">
        <v>1</v>
      </c>
      <c r="AF13" s="289">
        <v>1</v>
      </c>
      <c r="AG13" s="289">
        <v>1</v>
      </c>
      <c r="AH13" s="289">
        <v>1</v>
      </c>
      <c r="AI13" s="289">
        <v>1</v>
      </c>
      <c r="AJ13" s="289">
        <v>1</v>
      </c>
      <c r="AK13" s="289">
        <v>1</v>
      </c>
      <c r="AL13" s="289">
        <v>1</v>
      </c>
      <c r="AM13" s="289">
        <v>1</v>
      </c>
      <c r="AN13" s="289">
        <v>1</v>
      </c>
      <c r="AO13" s="288"/>
      <c r="AP13" s="290">
        <f t="shared" si="1"/>
        <v>36</v>
      </c>
      <c r="AQ13" s="291">
        <f t="shared" si="2"/>
        <v>241823.95369920001</v>
      </c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292"/>
      <c r="BF13" s="292"/>
      <c r="BG13" s="292"/>
      <c r="BH13" s="292"/>
      <c r="BI13" s="292"/>
      <c r="BJ13" s="292"/>
      <c r="BK13" s="292"/>
      <c r="BL13" s="292"/>
      <c r="BM13" s="292"/>
      <c r="BN13" s="292"/>
      <c r="BO13" s="292"/>
      <c r="BP13" s="292"/>
      <c r="BQ13" s="292"/>
      <c r="BR13" s="292"/>
      <c r="BS13" s="292"/>
      <c r="BT13" s="292"/>
      <c r="BU13" s="292"/>
      <c r="BV13" s="292"/>
      <c r="BW13" s="292"/>
      <c r="BX13" s="292"/>
      <c r="BY13" s="292"/>
      <c r="BZ13" s="292"/>
      <c r="CA13" s="292"/>
      <c r="CB13" s="292"/>
      <c r="CC13" s="292"/>
      <c r="CD13" s="292"/>
      <c r="CE13" s="292"/>
      <c r="CF13" s="292"/>
      <c r="CG13" s="292"/>
      <c r="CH13" s="292"/>
      <c r="CI13" s="292"/>
      <c r="CJ13" s="292"/>
      <c r="CK13" s="292"/>
      <c r="CL13" s="292"/>
      <c r="CM13" s="292"/>
      <c r="CN13" s="292"/>
      <c r="CO13" s="292"/>
      <c r="CP13" s="292"/>
      <c r="CQ13" s="292"/>
    </row>
    <row r="14" spans="2:95 1045:1047" s="293" customFormat="1" ht="24.95" customHeight="1" x14ac:dyDescent="0.2">
      <c r="B14" s="286" t="s">
        <v>2394</v>
      </c>
      <c r="C14" s="294">
        <v>6160.89</v>
      </c>
      <c r="D14" s="288"/>
      <c r="E14" s="289"/>
      <c r="F14" s="289"/>
      <c r="G14" s="289">
        <v>1</v>
      </c>
      <c r="H14" s="289">
        <v>1</v>
      </c>
      <c r="I14" s="289">
        <v>1</v>
      </c>
      <c r="J14" s="289">
        <v>1</v>
      </c>
      <c r="K14" s="289">
        <v>1</v>
      </c>
      <c r="L14" s="289">
        <v>1</v>
      </c>
      <c r="M14" s="289">
        <v>1</v>
      </c>
      <c r="N14" s="289">
        <v>1</v>
      </c>
      <c r="O14" s="289">
        <v>1</v>
      </c>
      <c r="P14" s="289">
        <v>1</v>
      </c>
      <c r="Q14" s="289">
        <v>1</v>
      </c>
      <c r="R14" s="289">
        <v>1</v>
      </c>
      <c r="S14" s="289">
        <v>1</v>
      </c>
      <c r="T14" s="289">
        <v>1</v>
      </c>
      <c r="U14" s="289">
        <v>1</v>
      </c>
      <c r="V14" s="289">
        <v>1</v>
      </c>
      <c r="W14" s="289">
        <v>1</v>
      </c>
      <c r="X14" s="289">
        <v>1</v>
      </c>
      <c r="Y14" s="289">
        <v>1</v>
      </c>
      <c r="Z14" s="289">
        <v>1</v>
      </c>
      <c r="AA14" s="289">
        <v>1</v>
      </c>
      <c r="AB14" s="289">
        <v>1</v>
      </c>
      <c r="AC14" s="289">
        <v>1</v>
      </c>
      <c r="AD14" s="289">
        <v>1</v>
      </c>
      <c r="AE14" s="289">
        <v>1</v>
      </c>
      <c r="AF14" s="289">
        <v>1</v>
      </c>
      <c r="AG14" s="289">
        <v>1</v>
      </c>
      <c r="AH14" s="289">
        <v>1</v>
      </c>
      <c r="AI14" s="289">
        <v>1</v>
      </c>
      <c r="AJ14" s="289">
        <v>1</v>
      </c>
      <c r="AK14" s="289">
        <v>1</v>
      </c>
      <c r="AL14" s="289">
        <v>1</v>
      </c>
      <c r="AM14" s="289">
        <v>1</v>
      </c>
      <c r="AN14" s="289">
        <v>1</v>
      </c>
      <c r="AO14" s="288"/>
      <c r="AP14" s="290">
        <f t="shared" si="1"/>
        <v>34</v>
      </c>
      <c r="AQ14" s="291">
        <f t="shared" si="2"/>
        <v>209470.26</v>
      </c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292"/>
      <c r="BF14" s="292"/>
      <c r="BG14" s="292"/>
      <c r="BH14" s="292"/>
      <c r="BI14" s="292"/>
      <c r="BJ14" s="292"/>
      <c r="BK14" s="292"/>
      <c r="BL14" s="292"/>
      <c r="BM14" s="292"/>
      <c r="BN14" s="292"/>
      <c r="BO14" s="292"/>
      <c r="BP14" s="292"/>
      <c r="BQ14" s="292"/>
      <c r="BR14" s="292"/>
      <c r="BS14" s="292"/>
      <c r="BT14" s="292"/>
      <c r="BU14" s="292"/>
      <c r="BV14" s="292"/>
      <c r="BW14" s="292"/>
      <c r="BX14" s="292"/>
      <c r="BY14" s="292"/>
      <c r="BZ14" s="292"/>
      <c r="CA14" s="292"/>
      <c r="CB14" s="292"/>
      <c r="CC14" s="292"/>
      <c r="CD14" s="292"/>
      <c r="CE14" s="292"/>
      <c r="CF14" s="292"/>
      <c r="CG14" s="292"/>
      <c r="CH14" s="292"/>
      <c r="CI14" s="292"/>
      <c r="CJ14" s="292"/>
      <c r="CK14" s="292"/>
      <c r="CL14" s="292"/>
      <c r="CM14" s="292"/>
      <c r="CN14" s="292"/>
      <c r="CO14" s="292"/>
      <c r="CP14" s="292"/>
      <c r="CQ14" s="292"/>
    </row>
    <row r="15" spans="2:95 1045:1047" s="293" customFormat="1" ht="24.95" customHeight="1" x14ac:dyDescent="0.2">
      <c r="B15" s="286" t="s">
        <v>2398</v>
      </c>
      <c r="C15" s="294">
        <v>12160.89</v>
      </c>
      <c r="D15" s="288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95">
        <v>1</v>
      </c>
      <c r="Z15" s="295">
        <v>1</v>
      </c>
      <c r="AA15" s="295">
        <v>1</v>
      </c>
      <c r="AB15" s="295">
        <v>1</v>
      </c>
      <c r="AC15" s="295">
        <v>1</v>
      </c>
      <c r="AD15" s="295">
        <v>1</v>
      </c>
      <c r="AE15" s="295">
        <v>1</v>
      </c>
      <c r="AF15" s="295">
        <v>1</v>
      </c>
      <c r="AG15" s="295">
        <v>1</v>
      </c>
      <c r="AH15" s="295">
        <v>1</v>
      </c>
      <c r="AI15" s="295">
        <v>1</v>
      </c>
      <c r="AJ15" s="295">
        <v>1</v>
      </c>
      <c r="AK15" s="295">
        <v>1</v>
      </c>
      <c r="AL15" s="295">
        <v>1</v>
      </c>
      <c r="AM15" s="295">
        <v>1</v>
      </c>
      <c r="AN15" s="295">
        <v>1</v>
      </c>
      <c r="AO15" s="288"/>
      <c r="AP15" s="290">
        <f t="shared" si="1"/>
        <v>16</v>
      </c>
      <c r="AQ15" s="291">
        <f t="shared" si="2"/>
        <v>194574.24</v>
      </c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292"/>
      <c r="BI15" s="292"/>
      <c r="BJ15" s="292"/>
      <c r="BK15" s="292"/>
      <c r="BL15" s="292"/>
      <c r="BM15" s="292"/>
      <c r="BN15" s="292"/>
      <c r="BO15" s="292"/>
      <c r="BP15" s="292"/>
      <c r="BQ15" s="292"/>
      <c r="BR15" s="292"/>
      <c r="BS15" s="292"/>
      <c r="BT15" s="292"/>
      <c r="BU15" s="292"/>
      <c r="BV15" s="292"/>
      <c r="BW15" s="292"/>
      <c r="BX15" s="292"/>
      <c r="BY15" s="292"/>
      <c r="BZ15" s="292"/>
      <c r="CA15" s="292"/>
      <c r="CB15" s="292"/>
      <c r="CC15" s="292"/>
      <c r="CD15" s="292"/>
      <c r="CE15" s="292"/>
      <c r="CF15" s="292"/>
      <c r="CG15" s="292"/>
      <c r="CH15" s="292"/>
      <c r="CI15" s="292"/>
      <c r="CJ15" s="292"/>
      <c r="CK15" s="292"/>
      <c r="CL15" s="292"/>
      <c r="CM15" s="292"/>
      <c r="CN15" s="292"/>
      <c r="CO15" s="292"/>
      <c r="CP15" s="292"/>
      <c r="CQ15" s="292"/>
    </row>
    <row r="16" spans="2:95 1045:1047" s="293" customFormat="1" ht="24.95" customHeight="1" x14ac:dyDescent="0.2">
      <c r="B16" s="286" t="s">
        <v>2408</v>
      </c>
      <c r="C16" s="294">
        <v>6717.3320472000005</v>
      </c>
      <c r="D16" s="288"/>
      <c r="E16" s="289">
        <f>EQUIPAMENTO!D21</f>
        <v>0</v>
      </c>
      <c r="F16" s="289">
        <f>EQUIPAMENTO!E21</f>
        <v>0</v>
      </c>
      <c r="G16" s="289">
        <f>EQUIPAMENTO!F21</f>
        <v>0</v>
      </c>
      <c r="H16" s="289">
        <f>EQUIPAMENTO!G21</f>
        <v>0</v>
      </c>
      <c r="I16" s="289">
        <f>EQUIPAMENTO!H21</f>
        <v>0</v>
      </c>
      <c r="J16" s="289">
        <f>EQUIPAMENTO!I21</f>
        <v>0</v>
      </c>
      <c r="K16" s="289">
        <f>EQUIPAMENTO!J21</f>
        <v>0</v>
      </c>
      <c r="L16" s="289">
        <f>EQUIPAMENTO!K21</f>
        <v>0</v>
      </c>
      <c r="M16" s="289">
        <f>EQUIPAMENTO!L21</f>
        <v>0</v>
      </c>
      <c r="N16" s="289">
        <f>EQUIPAMENTO!M21</f>
        <v>0</v>
      </c>
      <c r="O16" s="289">
        <f>EQUIPAMENTO!N21</f>
        <v>1</v>
      </c>
      <c r="P16" s="289">
        <f>EQUIPAMENTO!O21</f>
        <v>1</v>
      </c>
      <c r="Q16" s="289">
        <f>EQUIPAMENTO!P21</f>
        <v>1</v>
      </c>
      <c r="R16" s="289">
        <f>EQUIPAMENTO!Q21</f>
        <v>1</v>
      </c>
      <c r="S16" s="289">
        <f>EQUIPAMENTO!R21</f>
        <v>1</v>
      </c>
      <c r="T16" s="289">
        <f>EQUIPAMENTO!S21</f>
        <v>1</v>
      </c>
      <c r="U16" s="289">
        <f>EQUIPAMENTO!T21</f>
        <v>1</v>
      </c>
      <c r="V16" s="289">
        <f>EQUIPAMENTO!U21</f>
        <v>1</v>
      </c>
      <c r="W16" s="289">
        <f>EQUIPAMENTO!V21</f>
        <v>1</v>
      </c>
      <c r="X16" s="289">
        <f>EQUIPAMENTO!W21</f>
        <v>1</v>
      </c>
      <c r="Y16" s="289">
        <f>EQUIPAMENTO!X21</f>
        <v>1</v>
      </c>
      <c r="Z16" s="289">
        <f>EQUIPAMENTO!Y21</f>
        <v>1</v>
      </c>
      <c r="AA16" s="289">
        <f>EQUIPAMENTO!Z21</f>
        <v>1</v>
      </c>
      <c r="AB16" s="289">
        <f>EQUIPAMENTO!AA21</f>
        <v>1</v>
      </c>
      <c r="AC16" s="289">
        <f>EQUIPAMENTO!AB21</f>
        <v>1</v>
      </c>
      <c r="AD16" s="289">
        <f>EQUIPAMENTO!AC21</f>
        <v>1</v>
      </c>
      <c r="AE16" s="289">
        <f>EQUIPAMENTO!AD21</f>
        <v>1</v>
      </c>
      <c r="AF16" s="289">
        <f>EQUIPAMENTO!AE21</f>
        <v>1</v>
      </c>
      <c r="AG16" s="289">
        <f>EQUIPAMENTO!AF21</f>
        <v>1</v>
      </c>
      <c r="AH16" s="289">
        <f>EQUIPAMENTO!AG21</f>
        <v>1</v>
      </c>
      <c r="AI16" s="289">
        <f>EQUIPAMENTO!AH21</f>
        <v>1</v>
      </c>
      <c r="AJ16" s="289">
        <f>EQUIPAMENTO!AI21</f>
        <v>1</v>
      </c>
      <c r="AK16" s="289">
        <f>EQUIPAMENTO!AJ21</f>
        <v>1</v>
      </c>
      <c r="AL16" s="289">
        <f>EQUIPAMENTO!AK21</f>
        <v>0</v>
      </c>
      <c r="AM16" s="289">
        <f>EQUIPAMENTO!AL21</f>
        <v>0</v>
      </c>
      <c r="AN16" s="289">
        <f>EQUIPAMENTO!AM21</f>
        <v>0</v>
      </c>
      <c r="AO16" s="288"/>
      <c r="AP16" s="290">
        <f t="shared" si="1"/>
        <v>23</v>
      </c>
      <c r="AQ16" s="291">
        <f t="shared" si="2"/>
        <v>154498.6370856</v>
      </c>
      <c r="AR16" s="292"/>
      <c r="AS16" s="292"/>
      <c r="AT16" s="292"/>
      <c r="AU16" s="292"/>
      <c r="AV16" s="292"/>
      <c r="AW16" s="292"/>
      <c r="AX16" s="292"/>
      <c r="AY16" s="292"/>
      <c r="AZ16" s="292"/>
      <c r="BA16" s="292"/>
      <c r="BB16" s="292"/>
      <c r="BC16" s="292"/>
      <c r="BD16" s="292"/>
      <c r="BE16" s="292"/>
      <c r="BF16" s="292"/>
      <c r="BG16" s="292"/>
      <c r="BH16" s="292"/>
      <c r="BI16" s="292"/>
      <c r="BJ16" s="292"/>
      <c r="BK16" s="292"/>
      <c r="BL16" s="292"/>
      <c r="BM16" s="292"/>
      <c r="BN16" s="292"/>
      <c r="BO16" s="292"/>
      <c r="BP16" s="292"/>
      <c r="BQ16" s="292"/>
      <c r="BR16" s="292"/>
      <c r="BS16" s="292"/>
      <c r="BT16" s="292"/>
      <c r="BU16" s="292"/>
      <c r="BV16" s="292"/>
      <c r="BW16" s="292"/>
      <c r="BX16" s="292"/>
      <c r="BY16" s="292"/>
      <c r="BZ16" s="292"/>
      <c r="CA16" s="292"/>
      <c r="CB16" s="292"/>
      <c r="CC16" s="292"/>
      <c r="CD16" s="292"/>
      <c r="CE16" s="292"/>
      <c r="CF16" s="292"/>
      <c r="CG16" s="292"/>
      <c r="CH16" s="292"/>
      <c r="CI16" s="292"/>
      <c r="CJ16" s="292"/>
      <c r="CK16" s="292"/>
      <c r="CL16" s="292"/>
      <c r="CM16" s="292"/>
      <c r="CN16" s="292"/>
      <c r="CO16" s="292"/>
      <c r="CP16" s="292"/>
      <c r="CQ16" s="292"/>
    </row>
    <row r="17" spans="1:1047" s="293" customFormat="1" ht="24.95" customHeight="1" x14ac:dyDescent="0.2">
      <c r="B17" s="286" t="s">
        <v>2405</v>
      </c>
      <c r="C17" s="294">
        <v>6717.3320472000005</v>
      </c>
      <c r="D17" s="288"/>
      <c r="E17" s="289">
        <f>EQUIPAMENTO!D13</f>
        <v>0</v>
      </c>
      <c r="F17" s="289">
        <f>EQUIPAMENTO!E13</f>
        <v>1</v>
      </c>
      <c r="G17" s="289">
        <f>EQUIPAMENTO!F13</f>
        <v>1</v>
      </c>
      <c r="H17" s="289">
        <f>EQUIPAMENTO!G13</f>
        <v>1</v>
      </c>
      <c r="I17" s="289">
        <f>EQUIPAMENTO!H13</f>
        <v>1</v>
      </c>
      <c r="J17" s="289">
        <f>EQUIPAMENTO!I13</f>
        <v>1</v>
      </c>
      <c r="K17" s="289">
        <f>EQUIPAMENTO!J13</f>
        <v>1</v>
      </c>
      <c r="L17" s="289">
        <f>EQUIPAMENTO!K13</f>
        <v>1</v>
      </c>
      <c r="M17" s="289">
        <f>EQUIPAMENTO!L13</f>
        <v>1</v>
      </c>
      <c r="N17" s="289">
        <f>EQUIPAMENTO!M13</f>
        <v>1</v>
      </c>
      <c r="O17" s="289">
        <f>EQUIPAMENTO!N13</f>
        <v>1</v>
      </c>
      <c r="P17" s="289">
        <f>EQUIPAMENTO!O13</f>
        <v>1</v>
      </c>
      <c r="Q17" s="289">
        <f>EQUIPAMENTO!P13</f>
        <v>1</v>
      </c>
      <c r="R17" s="289">
        <f>EQUIPAMENTO!Q13</f>
        <v>1</v>
      </c>
      <c r="S17" s="289">
        <f>EQUIPAMENTO!R13</f>
        <v>1</v>
      </c>
      <c r="T17" s="289">
        <f>EQUIPAMENTO!S13</f>
        <v>1</v>
      </c>
      <c r="U17" s="289">
        <f>EQUIPAMENTO!T13</f>
        <v>1</v>
      </c>
      <c r="V17" s="289">
        <f>EQUIPAMENTO!U13</f>
        <v>1</v>
      </c>
      <c r="W17" s="289">
        <f>EQUIPAMENTO!V13</f>
        <v>1</v>
      </c>
      <c r="X17" s="289">
        <f>EQUIPAMENTO!W13</f>
        <v>1</v>
      </c>
      <c r="Y17" s="289">
        <f>EQUIPAMENTO!X13</f>
        <v>1</v>
      </c>
      <c r="Z17" s="289">
        <f>EQUIPAMENTO!Y13</f>
        <v>1</v>
      </c>
      <c r="AA17" s="289">
        <f>EQUIPAMENTO!Z13</f>
        <v>1</v>
      </c>
      <c r="AB17" s="289">
        <f>EQUIPAMENTO!AA13</f>
        <v>1</v>
      </c>
      <c r="AC17" s="289">
        <f>EQUIPAMENTO!AB13</f>
        <v>1</v>
      </c>
      <c r="AD17" s="289">
        <f>EQUIPAMENTO!AC13</f>
        <v>1</v>
      </c>
      <c r="AE17" s="289">
        <f>EQUIPAMENTO!AD13</f>
        <v>1</v>
      </c>
      <c r="AF17" s="289">
        <f>EQUIPAMENTO!AE13</f>
        <v>1</v>
      </c>
      <c r="AG17" s="289">
        <f>EQUIPAMENTO!AF13</f>
        <v>1</v>
      </c>
      <c r="AH17" s="289">
        <f>EQUIPAMENTO!AG13</f>
        <v>0</v>
      </c>
      <c r="AI17" s="295">
        <f>EQUIPAMENTO!AH13</f>
        <v>0</v>
      </c>
      <c r="AJ17" s="295">
        <f>EQUIPAMENTO!AI13</f>
        <v>0</v>
      </c>
      <c r="AK17" s="295">
        <f>EQUIPAMENTO!AJ13</f>
        <v>0</v>
      </c>
      <c r="AL17" s="295">
        <f>EQUIPAMENTO!AK13</f>
        <v>0</v>
      </c>
      <c r="AM17" s="295">
        <f>EQUIPAMENTO!AL13</f>
        <v>0</v>
      </c>
      <c r="AN17" s="289">
        <f>EQUIPAMENTO!AM13</f>
        <v>0</v>
      </c>
      <c r="AO17" s="288"/>
      <c r="AP17" s="290">
        <f t="shared" si="1"/>
        <v>28</v>
      </c>
      <c r="AQ17" s="291">
        <f t="shared" si="2"/>
        <v>188085.29732160002</v>
      </c>
      <c r="AR17" s="292"/>
      <c r="AS17" s="292"/>
      <c r="AT17" s="292"/>
      <c r="AU17" s="292"/>
      <c r="AV17" s="292"/>
      <c r="AW17" s="292"/>
      <c r="AX17" s="292"/>
      <c r="AY17" s="292"/>
      <c r="AZ17" s="292"/>
      <c r="BA17" s="292"/>
      <c r="BB17" s="292"/>
      <c r="BC17" s="292"/>
      <c r="BD17" s="292"/>
      <c r="BE17" s="292"/>
      <c r="BF17" s="292"/>
      <c r="BG17" s="292"/>
      <c r="BH17" s="292"/>
      <c r="BI17" s="292"/>
      <c r="BJ17" s="292"/>
      <c r="BK17" s="292"/>
      <c r="BL17" s="292"/>
      <c r="BM17" s="292"/>
      <c r="BN17" s="292"/>
      <c r="BO17" s="292"/>
      <c r="BP17" s="292"/>
      <c r="BQ17" s="292"/>
      <c r="BR17" s="292"/>
      <c r="BS17" s="292"/>
      <c r="BT17" s="292"/>
      <c r="BU17" s="292"/>
      <c r="BV17" s="292"/>
      <c r="BW17" s="292"/>
      <c r="BX17" s="292"/>
      <c r="BY17" s="292"/>
      <c r="BZ17" s="292"/>
      <c r="CA17" s="292"/>
      <c r="CB17" s="292"/>
      <c r="CC17" s="292"/>
      <c r="CD17" s="292"/>
      <c r="CE17" s="292"/>
      <c r="CF17" s="292"/>
      <c r="CG17" s="292"/>
      <c r="CH17" s="292"/>
      <c r="CI17" s="292"/>
      <c r="CJ17" s="292"/>
      <c r="CK17" s="292"/>
      <c r="CL17" s="292"/>
      <c r="CM17" s="292"/>
      <c r="CN17" s="292"/>
      <c r="CO17" s="292"/>
      <c r="CP17" s="292"/>
      <c r="CQ17" s="292"/>
    </row>
    <row r="18" spans="1:1047" s="293" customFormat="1" ht="24.95" customHeight="1" x14ac:dyDescent="0.2">
      <c r="B18" s="286" t="s">
        <v>2406</v>
      </c>
      <c r="C18" s="294">
        <v>4857.4554792000008</v>
      </c>
      <c r="D18" s="288"/>
      <c r="E18" s="289">
        <f>E17</f>
        <v>0</v>
      </c>
      <c r="F18" s="289">
        <f t="shared" ref="F18:AN18" si="3">F17</f>
        <v>1</v>
      </c>
      <c r="G18" s="289">
        <f t="shared" si="3"/>
        <v>1</v>
      </c>
      <c r="H18" s="289">
        <f t="shared" si="3"/>
        <v>1</v>
      </c>
      <c r="I18" s="289">
        <f t="shared" si="3"/>
        <v>1</v>
      </c>
      <c r="J18" s="289">
        <f t="shared" si="3"/>
        <v>1</v>
      </c>
      <c r="K18" s="289">
        <f t="shared" si="3"/>
        <v>1</v>
      </c>
      <c r="L18" s="289">
        <f t="shared" si="3"/>
        <v>1</v>
      </c>
      <c r="M18" s="289">
        <f t="shared" si="3"/>
        <v>1</v>
      </c>
      <c r="N18" s="289">
        <f t="shared" si="3"/>
        <v>1</v>
      </c>
      <c r="O18" s="289">
        <f t="shared" si="3"/>
        <v>1</v>
      </c>
      <c r="P18" s="289">
        <f t="shared" si="3"/>
        <v>1</v>
      </c>
      <c r="Q18" s="289">
        <f t="shared" si="3"/>
        <v>1</v>
      </c>
      <c r="R18" s="289">
        <f t="shared" si="3"/>
        <v>1</v>
      </c>
      <c r="S18" s="289">
        <f t="shared" si="3"/>
        <v>1</v>
      </c>
      <c r="T18" s="289">
        <f t="shared" si="3"/>
        <v>1</v>
      </c>
      <c r="U18" s="289">
        <f t="shared" si="3"/>
        <v>1</v>
      </c>
      <c r="V18" s="289">
        <f t="shared" si="3"/>
        <v>1</v>
      </c>
      <c r="W18" s="289">
        <f t="shared" si="3"/>
        <v>1</v>
      </c>
      <c r="X18" s="289">
        <f t="shared" si="3"/>
        <v>1</v>
      </c>
      <c r="Y18" s="289">
        <f t="shared" si="3"/>
        <v>1</v>
      </c>
      <c r="Z18" s="289">
        <f t="shared" si="3"/>
        <v>1</v>
      </c>
      <c r="AA18" s="289">
        <f t="shared" si="3"/>
        <v>1</v>
      </c>
      <c r="AB18" s="289">
        <f t="shared" si="3"/>
        <v>1</v>
      </c>
      <c r="AC18" s="289">
        <f t="shared" si="3"/>
        <v>1</v>
      </c>
      <c r="AD18" s="289">
        <f t="shared" si="3"/>
        <v>1</v>
      </c>
      <c r="AE18" s="289">
        <f t="shared" si="3"/>
        <v>1</v>
      </c>
      <c r="AF18" s="289">
        <f t="shared" si="3"/>
        <v>1</v>
      </c>
      <c r="AG18" s="289">
        <f t="shared" si="3"/>
        <v>1</v>
      </c>
      <c r="AH18" s="289">
        <f t="shared" si="3"/>
        <v>0</v>
      </c>
      <c r="AI18" s="295">
        <f t="shared" si="3"/>
        <v>0</v>
      </c>
      <c r="AJ18" s="295">
        <f t="shared" si="3"/>
        <v>0</v>
      </c>
      <c r="AK18" s="295">
        <f t="shared" si="3"/>
        <v>0</v>
      </c>
      <c r="AL18" s="295">
        <f t="shared" si="3"/>
        <v>0</v>
      </c>
      <c r="AM18" s="295">
        <f t="shared" si="3"/>
        <v>0</v>
      </c>
      <c r="AN18" s="289">
        <f t="shared" si="3"/>
        <v>0</v>
      </c>
      <c r="AO18" s="288"/>
      <c r="AP18" s="290">
        <f t="shared" si="1"/>
        <v>28</v>
      </c>
      <c r="AQ18" s="291">
        <f t="shared" si="2"/>
        <v>136008.75341760003</v>
      </c>
      <c r="AR18" s="292"/>
      <c r="AS18" s="292"/>
      <c r="AT18" s="292"/>
      <c r="AU18" s="292"/>
      <c r="AV18" s="292"/>
      <c r="AW18" s="292"/>
      <c r="AX18" s="292"/>
      <c r="AY18" s="292"/>
      <c r="AZ18" s="292"/>
      <c r="BA18" s="292"/>
      <c r="BB18" s="292"/>
      <c r="BC18" s="292"/>
      <c r="BD18" s="292"/>
      <c r="BE18" s="292"/>
      <c r="BF18" s="292"/>
      <c r="BG18" s="292"/>
      <c r="BH18" s="292"/>
      <c r="BI18" s="292"/>
      <c r="BJ18" s="292"/>
      <c r="BK18" s="292"/>
      <c r="BL18" s="292"/>
      <c r="BM18" s="292"/>
      <c r="BN18" s="292"/>
      <c r="BO18" s="292"/>
      <c r="BP18" s="292"/>
      <c r="BQ18" s="292"/>
      <c r="BR18" s="292"/>
      <c r="BS18" s="292"/>
      <c r="BT18" s="292"/>
      <c r="BU18" s="292"/>
      <c r="BV18" s="292"/>
      <c r="BW18" s="292"/>
      <c r="BX18" s="292"/>
      <c r="BY18" s="292"/>
      <c r="BZ18" s="292"/>
      <c r="CA18" s="292"/>
      <c r="CB18" s="292"/>
      <c r="CC18" s="292"/>
      <c r="CD18" s="292"/>
      <c r="CE18" s="292"/>
      <c r="CF18" s="292"/>
      <c r="CG18" s="292"/>
      <c r="CH18" s="292"/>
      <c r="CI18" s="292"/>
      <c r="CJ18" s="292"/>
      <c r="CK18" s="292"/>
      <c r="CL18" s="292"/>
      <c r="CM18" s="292"/>
      <c r="CN18" s="292"/>
      <c r="CO18" s="292"/>
      <c r="CP18" s="292"/>
      <c r="CQ18" s="292"/>
    </row>
    <row r="19" spans="1:1047" s="293" customFormat="1" ht="24.95" customHeight="1" x14ac:dyDescent="0.2">
      <c r="B19" s="286" t="s">
        <v>6702</v>
      </c>
      <c r="C19" s="294">
        <v>6717.3320472000005</v>
      </c>
      <c r="D19" s="288"/>
      <c r="E19" s="289">
        <v>1</v>
      </c>
      <c r="F19" s="289">
        <v>1</v>
      </c>
      <c r="G19" s="289">
        <v>1</v>
      </c>
      <c r="H19" s="289">
        <v>1</v>
      </c>
      <c r="I19" s="289">
        <v>1</v>
      </c>
      <c r="J19" s="289">
        <v>1</v>
      </c>
      <c r="K19" s="289">
        <v>1</v>
      </c>
      <c r="L19" s="289">
        <v>1</v>
      </c>
      <c r="M19" s="289">
        <v>1</v>
      </c>
      <c r="N19" s="289">
        <v>1</v>
      </c>
      <c r="O19" s="289">
        <v>1</v>
      </c>
      <c r="P19" s="289">
        <v>1</v>
      </c>
      <c r="Q19" s="289">
        <v>1</v>
      </c>
      <c r="R19" s="289">
        <v>1</v>
      </c>
      <c r="S19" s="289">
        <v>1</v>
      </c>
      <c r="T19" s="289">
        <v>1</v>
      </c>
      <c r="U19" s="289">
        <v>1</v>
      </c>
      <c r="V19" s="289">
        <v>1</v>
      </c>
      <c r="W19" s="289">
        <v>1</v>
      </c>
      <c r="X19" s="289">
        <v>1</v>
      </c>
      <c r="Y19" s="289">
        <v>1</v>
      </c>
      <c r="Z19" s="289">
        <v>1</v>
      </c>
      <c r="AA19" s="289">
        <v>1</v>
      </c>
      <c r="AB19" s="289">
        <v>1</v>
      </c>
      <c r="AC19" s="289">
        <v>1</v>
      </c>
      <c r="AD19" s="289">
        <v>1</v>
      </c>
      <c r="AE19" s="289">
        <v>1</v>
      </c>
      <c r="AF19" s="289">
        <v>1</v>
      </c>
      <c r="AG19" s="289">
        <v>1</v>
      </c>
      <c r="AH19" s="289">
        <v>1</v>
      </c>
      <c r="AI19" s="289">
        <v>1</v>
      </c>
      <c r="AJ19" s="289">
        <v>1</v>
      </c>
      <c r="AK19" s="289">
        <v>1</v>
      </c>
      <c r="AL19" s="289">
        <v>1</v>
      </c>
      <c r="AM19" s="289">
        <v>1</v>
      </c>
      <c r="AN19" s="289">
        <v>1</v>
      </c>
      <c r="AO19" s="288"/>
      <c r="AP19" s="290">
        <f t="shared" si="1"/>
        <v>36</v>
      </c>
      <c r="AQ19" s="291">
        <f t="shared" si="2"/>
        <v>241823.95369920001</v>
      </c>
      <c r="AR19" s="292"/>
      <c r="AS19" s="292"/>
      <c r="AT19" s="292"/>
      <c r="AU19" s="292"/>
      <c r="AV19" s="292"/>
      <c r="AW19" s="292"/>
      <c r="AX19" s="292"/>
      <c r="AY19" s="292"/>
      <c r="AZ19" s="292"/>
      <c r="BA19" s="292"/>
      <c r="BB19" s="292"/>
      <c r="BC19" s="292"/>
      <c r="BD19" s="292"/>
      <c r="BE19" s="292"/>
      <c r="BF19" s="292"/>
      <c r="BG19" s="292"/>
      <c r="BH19" s="292"/>
      <c r="BI19" s="292"/>
      <c r="BJ19" s="292"/>
      <c r="BK19" s="292"/>
      <c r="BL19" s="292"/>
      <c r="BM19" s="292"/>
      <c r="BN19" s="292"/>
      <c r="BO19" s="292"/>
      <c r="BP19" s="292"/>
      <c r="BQ19" s="292"/>
      <c r="BR19" s="292"/>
      <c r="BS19" s="292"/>
      <c r="BT19" s="292"/>
      <c r="BU19" s="292"/>
      <c r="BV19" s="292"/>
      <c r="BW19" s="292"/>
      <c r="BX19" s="292"/>
      <c r="BY19" s="292"/>
      <c r="BZ19" s="292"/>
      <c r="CA19" s="292"/>
      <c r="CB19" s="292"/>
      <c r="CC19" s="292"/>
      <c r="CD19" s="292"/>
      <c r="CE19" s="292"/>
      <c r="CF19" s="292"/>
      <c r="CG19" s="292"/>
      <c r="CH19" s="292"/>
      <c r="CI19" s="292"/>
      <c r="CJ19" s="292"/>
      <c r="CK19" s="292"/>
      <c r="CL19" s="292"/>
      <c r="CM19" s="292"/>
      <c r="CN19" s="292"/>
      <c r="CO19" s="292"/>
      <c r="CP19" s="292"/>
      <c r="CQ19" s="292"/>
    </row>
    <row r="20" spans="1:1047" s="293" customFormat="1" ht="24.95" customHeight="1" x14ac:dyDescent="0.2">
      <c r="B20" s="286" t="s">
        <v>6703</v>
      </c>
      <c r="C20" s="294">
        <v>6717.3320472000005</v>
      </c>
      <c r="D20" s="288"/>
      <c r="E20" s="295">
        <v>1</v>
      </c>
      <c r="F20" s="295">
        <v>1</v>
      </c>
      <c r="G20" s="295">
        <v>1</v>
      </c>
      <c r="H20" s="295">
        <v>1</v>
      </c>
      <c r="I20" s="295">
        <v>1</v>
      </c>
      <c r="J20" s="295">
        <v>1</v>
      </c>
      <c r="K20" s="295">
        <v>1</v>
      </c>
      <c r="L20" s="295">
        <v>1</v>
      </c>
      <c r="M20" s="295">
        <v>1</v>
      </c>
      <c r="N20" s="295">
        <v>1</v>
      </c>
      <c r="O20" s="295">
        <v>1</v>
      </c>
      <c r="P20" s="295">
        <v>1</v>
      </c>
      <c r="Q20" s="289">
        <v>1</v>
      </c>
      <c r="R20" s="289">
        <v>1</v>
      </c>
      <c r="S20" s="289">
        <v>1</v>
      </c>
      <c r="T20" s="289">
        <v>1</v>
      </c>
      <c r="U20" s="289">
        <v>1</v>
      </c>
      <c r="V20" s="289">
        <v>1</v>
      </c>
      <c r="W20" s="289">
        <v>1</v>
      </c>
      <c r="X20" s="289">
        <v>1</v>
      </c>
      <c r="Y20" s="289">
        <v>1</v>
      </c>
      <c r="Z20" s="289">
        <v>1</v>
      </c>
      <c r="AA20" s="289">
        <v>1</v>
      </c>
      <c r="AB20" s="289">
        <v>1</v>
      </c>
      <c r="AC20" s="289">
        <v>1</v>
      </c>
      <c r="AD20" s="289">
        <v>1</v>
      </c>
      <c r="AE20" s="289">
        <v>1</v>
      </c>
      <c r="AF20" s="289">
        <v>1</v>
      </c>
      <c r="AG20" s="289">
        <v>1</v>
      </c>
      <c r="AH20" s="289">
        <v>1</v>
      </c>
      <c r="AI20" s="289">
        <v>1</v>
      </c>
      <c r="AJ20" s="289">
        <v>1</v>
      </c>
      <c r="AK20" s="289">
        <v>1</v>
      </c>
      <c r="AL20" s="289">
        <v>1</v>
      </c>
      <c r="AM20" s="289">
        <v>1</v>
      </c>
      <c r="AN20" s="289">
        <v>1</v>
      </c>
      <c r="AO20" s="288"/>
      <c r="AP20" s="290">
        <f>SUM(E20:AO20)</f>
        <v>36</v>
      </c>
      <c r="AQ20" s="291">
        <f t="shared" si="2"/>
        <v>241823.95369920001</v>
      </c>
      <c r="AR20" s="292"/>
      <c r="AS20" s="292"/>
      <c r="AT20" s="292"/>
      <c r="AU20" s="292"/>
      <c r="AV20" s="292"/>
      <c r="AW20" s="292"/>
      <c r="AX20" s="292"/>
      <c r="AY20" s="292"/>
      <c r="AZ20" s="292"/>
      <c r="BA20" s="292"/>
      <c r="BB20" s="292"/>
      <c r="BC20" s="292"/>
      <c r="BD20" s="292"/>
      <c r="BE20" s="292"/>
      <c r="BF20" s="292"/>
      <c r="BG20" s="292"/>
      <c r="BH20" s="292"/>
      <c r="BI20" s="292"/>
      <c r="BJ20" s="292"/>
      <c r="BK20" s="292"/>
      <c r="BL20" s="292"/>
      <c r="BM20" s="292"/>
      <c r="BN20" s="292"/>
      <c r="BO20" s="292"/>
      <c r="BP20" s="292"/>
      <c r="BQ20" s="292"/>
      <c r="BR20" s="292"/>
      <c r="BS20" s="292"/>
      <c r="BT20" s="292"/>
      <c r="BU20" s="292"/>
      <c r="BV20" s="292"/>
      <c r="BW20" s="292"/>
      <c r="BX20" s="292"/>
      <c r="BY20" s="292"/>
      <c r="BZ20" s="292"/>
      <c r="CA20" s="292"/>
      <c r="CB20" s="292"/>
      <c r="CC20" s="292"/>
      <c r="CD20" s="292"/>
      <c r="CE20" s="292"/>
      <c r="CF20" s="292"/>
      <c r="CG20" s="292"/>
      <c r="CH20" s="292"/>
      <c r="CI20" s="292"/>
      <c r="CJ20" s="292"/>
      <c r="CK20" s="292"/>
      <c r="CL20" s="292"/>
      <c r="CM20" s="292"/>
      <c r="CN20" s="292"/>
      <c r="CO20" s="292"/>
      <c r="CP20" s="292"/>
      <c r="CQ20" s="292"/>
    </row>
    <row r="21" spans="1:1047" s="293" customFormat="1" ht="24.95" customHeight="1" x14ac:dyDescent="0.2">
      <c r="B21" s="286" t="s">
        <v>2410</v>
      </c>
      <c r="C21" s="294">
        <v>6717.3320472000005</v>
      </c>
      <c r="D21" s="288"/>
      <c r="E21" s="289">
        <v>1</v>
      </c>
      <c r="F21" s="289">
        <v>1</v>
      </c>
      <c r="G21" s="289">
        <v>1</v>
      </c>
      <c r="H21" s="289">
        <v>1</v>
      </c>
      <c r="I21" s="289">
        <v>1</v>
      </c>
      <c r="J21" s="289">
        <v>1</v>
      </c>
      <c r="K21" s="289">
        <v>1</v>
      </c>
      <c r="L21" s="289">
        <v>1</v>
      </c>
      <c r="M21" s="289">
        <v>1</v>
      </c>
      <c r="N21" s="289">
        <v>1</v>
      </c>
      <c r="O21" s="289">
        <v>1</v>
      </c>
      <c r="P21" s="289">
        <v>1</v>
      </c>
      <c r="Q21" s="289">
        <v>1</v>
      </c>
      <c r="R21" s="289">
        <v>1</v>
      </c>
      <c r="S21" s="289">
        <v>1</v>
      </c>
      <c r="T21" s="289">
        <v>1</v>
      </c>
      <c r="U21" s="289">
        <v>1</v>
      </c>
      <c r="V21" s="289">
        <v>1</v>
      </c>
      <c r="W21" s="289">
        <v>1</v>
      </c>
      <c r="X21" s="289">
        <v>1</v>
      </c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  <c r="AJ21" s="289"/>
      <c r="AK21" s="289"/>
      <c r="AL21" s="289"/>
      <c r="AM21" s="289"/>
      <c r="AN21" s="289"/>
      <c r="AO21" s="288"/>
      <c r="AP21" s="290">
        <f t="shared" si="1"/>
        <v>20</v>
      </c>
      <c r="AQ21" s="291">
        <f t="shared" si="2"/>
        <v>134346.64094400001</v>
      </c>
      <c r="AR21" s="292"/>
      <c r="AS21" s="292"/>
      <c r="AT21" s="292"/>
      <c r="AU21" s="292"/>
      <c r="AV21" s="292"/>
      <c r="AW21" s="292"/>
      <c r="AX21" s="292"/>
      <c r="AY21" s="292"/>
      <c r="AZ21" s="292"/>
      <c r="BA21" s="292"/>
      <c r="BB21" s="292"/>
      <c r="BC21" s="292"/>
      <c r="BD21" s="292"/>
      <c r="BE21" s="292"/>
      <c r="BF21" s="292"/>
      <c r="BG21" s="292"/>
      <c r="BH21" s="292"/>
      <c r="BI21" s="292"/>
      <c r="BJ21" s="292"/>
      <c r="BK21" s="292"/>
      <c r="BL21" s="292"/>
      <c r="BM21" s="292"/>
      <c r="BN21" s="292"/>
      <c r="BO21" s="292"/>
      <c r="BP21" s="292"/>
      <c r="BQ21" s="292"/>
      <c r="BR21" s="292"/>
      <c r="BS21" s="292"/>
      <c r="BT21" s="292"/>
      <c r="BU21" s="292"/>
      <c r="BV21" s="292"/>
      <c r="BW21" s="292"/>
      <c r="BX21" s="292"/>
      <c r="BY21" s="292"/>
      <c r="BZ21" s="292"/>
      <c r="CA21" s="292"/>
      <c r="CB21" s="292"/>
      <c r="CC21" s="292"/>
      <c r="CD21" s="292"/>
      <c r="CE21" s="292"/>
      <c r="CF21" s="292"/>
      <c r="CG21" s="292"/>
      <c r="CH21" s="292"/>
      <c r="CI21" s="292"/>
      <c r="CJ21" s="292"/>
      <c r="CK21" s="292"/>
      <c r="CL21" s="292"/>
      <c r="CM21" s="292"/>
      <c r="CN21" s="292"/>
      <c r="CO21" s="292"/>
      <c r="CP21" s="292"/>
      <c r="CQ21" s="292"/>
    </row>
    <row r="22" spans="1:1047" s="293" customFormat="1" ht="24.95" customHeight="1" x14ac:dyDescent="0.2">
      <c r="B22" s="286" t="s">
        <v>6704</v>
      </c>
      <c r="C22" s="294">
        <v>4857.4554792000008</v>
      </c>
      <c r="D22" s="288"/>
      <c r="E22" s="289">
        <v>2</v>
      </c>
      <c r="F22" s="289">
        <v>2</v>
      </c>
      <c r="G22" s="289">
        <v>2</v>
      </c>
      <c r="H22" s="289">
        <v>2</v>
      </c>
      <c r="I22" s="289">
        <v>2</v>
      </c>
      <c r="J22" s="289">
        <v>2</v>
      </c>
      <c r="K22" s="289">
        <v>2</v>
      </c>
      <c r="L22" s="289">
        <v>4</v>
      </c>
      <c r="M22" s="289">
        <v>4</v>
      </c>
      <c r="N22" s="289">
        <v>4</v>
      </c>
      <c r="O22" s="289">
        <v>4</v>
      </c>
      <c r="P22" s="289">
        <v>4</v>
      </c>
      <c r="Q22" s="289">
        <v>4</v>
      </c>
      <c r="R22" s="289">
        <v>4</v>
      </c>
      <c r="S22" s="289">
        <v>4</v>
      </c>
      <c r="T22" s="289">
        <v>4</v>
      </c>
      <c r="U22" s="289">
        <v>4</v>
      </c>
      <c r="V22" s="289">
        <v>4</v>
      </c>
      <c r="W22" s="289">
        <v>4</v>
      </c>
      <c r="X22" s="289">
        <v>4</v>
      </c>
      <c r="Y22" s="289">
        <v>4</v>
      </c>
      <c r="Z22" s="289">
        <v>4</v>
      </c>
      <c r="AA22" s="289">
        <v>4</v>
      </c>
      <c r="AB22" s="289">
        <v>4</v>
      </c>
      <c r="AC22" s="289">
        <v>4</v>
      </c>
      <c r="AD22" s="289">
        <v>4</v>
      </c>
      <c r="AE22" s="289">
        <v>4</v>
      </c>
      <c r="AF22" s="289">
        <v>4</v>
      </c>
      <c r="AG22" s="289">
        <v>4</v>
      </c>
      <c r="AH22" s="289">
        <v>4</v>
      </c>
      <c r="AI22" s="289">
        <v>4</v>
      </c>
      <c r="AJ22" s="289">
        <v>4</v>
      </c>
      <c r="AK22" s="289">
        <v>4</v>
      </c>
      <c r="AL22" s="289">
        <v>4</v>
      </c>
      <c r="AM22" s="289">
        <v>4</v>
      </c>
      <c r="AN22" s="289">
        <v>4</v>
      </c>
      <c r="AO22" s="288"/>
      <c r="AP22" s="290">
        <f t="shared" si="1"/>
        <v>130</v>
      </c>
      <c r="AQ22" s="291">
        <f t="shared" si="2"/>
        <v>631469.2122960001</v>
      </c>
      <c r="AR22" s="292"/>
      <c r="AS22" s="292"/>
      <c r="AT22" s="292"/>
      <c r="AU22" s="292"/>
      <c r="AV22" s="292"/>
      <c r="AW22" s="292"/>
      <c r="AX22" s="292"/>
      <c r="AY22" s="292"/>
      <c r="AZ22" s="292"/>
      <c r="BA22" s="292"/>
      <c r="BB22" s="292"/>
      <c r="BC22" s="292"/>
      <c r="BD22" s="292"/>
      <c r="BE22" s="292"/>
      <c r="BF22" s="292"/>
      <c r="BG22" s="292"/>
      <c r="BH22" s="292"/>
      <c r="BI22" s="292"/>
      <c r="BJ22" s="292"/>
      <c r="BK22" s="292"/>
      <c r="BL22" s="292"/>
      <c r="BM22" s="292"/>
      <c r="BN22" s="292"/>
      <c r="BO22" s="292"/>
      <c r="BP22" s="292"/>
      <c r="BQ22" s="292"/>
      <c r="BR22" s="292"/>
      <c r="BS22" s="292"/>
      <c r="BT22" s="292"/>
      <c r="BU22" s="292"/>
      <c r="BV22" s="292"/>
      <c r="BW22" s="292"/>
      <c r="BX22" s="292"/>
      <c r="BY22" s="292"/>
      <c r="BZ22" s="292"/>
      <c r="CA22" s="292"/>
      <c r="CB22" s="292"/>
      <c r="CC22" s="292"/>
      <c r="CD22" s="292"/>
      <c r="CE22" s="292"/>
      <c r="CF22" s="292"/>
      <c r="CG22" s="292"/>
      <c r="CH22" s="292"/>
      <c r="CI22" s="292"/>
      <c r="CJ22" s="292"/>
      <c r="CK22" s="292"/>
      <c r="CL22" s="292"/>
      <c r="CM22" s="292"/>
      <c r="CN22" s="292"/>
      <c r="CO22" s="292"/>
      <c r="CP22" s="292"/>
      <c r="CQ22" s="292"/>
    </row>
    <row r="23" spans="1:1047" s="293" customFormat="1" ht="24.95" customHeight="1" x14ac:dyDescent="0.2">
      <c r="B23" s="286" t="s">
        <v>2417</v>
      </c>
      <c r="C23" s="294">
        <v>4972.3302084000006</v>
      </c>
      <c r="D23" s="288"/>
      <c r="E23" s="295">
        <v>2</v>
      </c>
      <c r="F23" s="295">
        <v>2</v>
      </c>
      <c r="G23" s="295">
        <v>2</v>
      </c>
      <c r="H23" s="295">
        <v>2</v>
      </c>
      <c r="I23" s="295">
        <v>2</v>
      </c>
      <c r="J23" s="295">
        <v>2</v>
      </c>
      <c r="K23" s="295">
        <v>2</v>
      </c>
      <c r="L23" s="295">
        <v>2</v>
      </c>
      <c r="M23" s="295">
        <v>2</v>
      </c>
      <c r="N23" s="295">
        <v>2</v>
      </c>
      <c r="O23" s="295">
        <v>2</v>
      </c>
      <c r="P23" s="295">
        <v>2</v>
      </c>
      <c r="Q23" s="295">
        <v>2</v>
      </c>
      <c r="R23" s="295">
        <v>2</v>
      </c>
      <c r="S23" s="295">
        <v>2</v>
      </c>
      <c r="T23" s="295">
        <v>2</v>
      </c>
      <c r="U23" s="295">
        <v>2</v>
      </c>
      <c r="V23" s="295">
        <v>2</v>
      </c>
      <c r="W23" s="295">
        <v>2</v>
      </c>
      <c r="X23" s="295">
        <v>2</v>
      </c>
      <c r="Y23" s="295">
        <v>2</v>
      </c>
      <c r="Z23" s="295">
        <v>2</v>
      </c>
      <c r="AA23" s="295">
        <v>2</v>
      </c>
      <c r="AB23" s="295">
        <v>2</v>
      </c>
      <c r="AC23" s="295">
        <v>2</v>
      </c>
      <c r="AD23" s="295">
        <v>2</v>
      </c>
      <c r="AE23" s="295">
        <v>2</v>
      </c>
      <c r="AF23" s="295">
        <v>2</v>
      </c>
      <c r="AG23" s="295">
        <v>2</v>
      </c>
      <c r="AH23" s="295">
        <v>2</v>
      </c>
      <c r="AI23" s="295">
        <v>2</v>
      </c>
      <c r="AJ23" s="295">
        <v>2</v>
      </c>
      <c r="AK23" s="295">
        <v>2</v>
      </c>
      <c r="AL23" s="295">
        <v>2</v>
      </c>
      <c r="AM23" s="295">
        <v>2</v>
      </c>
      <c r="AN23" s="289">
        <v>2</v>
      </c>
      <c r="AO23" s="288"/>
      <c r="AP23" s="290">
        <f t="shared" si="1"/>
        <v>72</v>
      </c>
      <c r="AQ23" s="291">
        <f t="shared" si="2"/>
        <v>358007.77500480006</v>
      </c>
      <c r="AR23" s="292"/>
      <c r="AS23" s="292"/>
      <c r="AT23" s="292"/>
      <c r="AU23" s="292"/>
      <c r="AV23" s="292"/>
      <c r="AW23" s="292"/>
      <c r="AX23" s="292"/>
      <c r="AY23" s="292"/>
      <c r="AZ23" s="292"/>
      <c r="BA23" s="292"/>
      <c r="BB23" s="292"/>
      <c r="BC23" s="292"/>
      <c r="BD23" s="292"/>
      <c r="BE23" s="292"/>
      <c r="BF23" s="292"/>
      <c r="BG23" s="292"/>
      <c r="BH23" s="292"/>
      <c r="BI23" s="292"/>
      <c r="BJ23" s="292"/>
      <c r="BK23" s="292"/>
      <c r="BL23" s="292"/>
      <c r="BM23" s="292"/>
      <c r="BN23" s="292"/>
      <c r="BO23" s="292"/>
      <c r="BP23" s="292"/>
      <c r="BQ23" s="292"/>
      <c r="BR23" s="292"/>
      <c r="BS23" s="292"/>
      <c r="BT23" s="292"/>
      <c r="BU23" s="292"/>
      <c r="BV23" s="292"/>
      <c r="BW23" s="292"/>
      <c r="BX23" s="292"/>
      <c r="BY23" s="292"/>
      <c r="BZ23" s="292"/>
      <c r="CA23" s="292"/>
      <c r="CB23" s="292"/>
      <c r="CC23" s="292"/>
      <c r="CD23" s="292"/>
      <c r="CE23" s="292"/>
      <c r="CF23" s="292"/>
      <c r="CG23" s="292"/>
      <c r="CH23" s="292"/>
      <c r="CI23" s="292"/>
      <c r="CJ23" s="292"/>
      <c r="CK23" s="292"/>
      <c r="CL23" s="292"/>
      <c r="CM23" s="292"/>
      <c r="CN23" s="292"/>
      <c r="CO23" s="292"/>
      <c r="CP23" s="292"/>
      <c r="CQ23" s="292"/>
    </row>
    <row r="24" spans="1:1047" s="296" customFormat="1" ht="24.95" customHeight="1" x14ac:dyDescent="0.2">
      <c r="A24" s="293"/>
      <c r="B24" s="286" t="s">
        <v>2418</v>
      </c>
      <c r="C24" s="294">
        <v>4857.4554792000008</v>
      </c>
      <c r="D24" s="288"/>
      <c r="E24" s="295">
        <v>1</v>
      </c>
      <c r="F24" s="295">
        <v>1</v>
      </c>
      <c r="G24" s="295">
        <v>1</v>
      </c>
      <c r="H24" s="295">
        <v>1</v>
      </c>
      <c r="I24" s="295">
        <v>1</v>
      </c>
      <c r="J24" s="295">
        <v>1</v>
      </c>
      <c r="K24" s="295">
        <v>1</v>
      </c>
      <c r="L24" s="295">
        <v>1</v>
      </c>
      <c r="M24" s="295">
        <v>1</v>
      </c>
      <c r="N24" s="295">
        <v>1</v>
      </c>
      <c r="O24" s="295">
        <v>1</v>
      </c>
      <c r="P24" s="295">
        <v>1</v>
      </c>
      <c r="Q24" s="295">
        <v>1</v>
      </c>
      <c r="R24" s="295">
        <v>1</v>
      </c>
      <c r="S24" s="295">
        <v>1</v>
      </c>
      <c r="T24" s="295">
        <v>1</v>
      </c>
      <c r="U24" s="295">
        <v>1</v>
      </c>
      <c r="V24" s="295">
        <v>1</v>
      </c>
      <c r="W24" s="295">
        <v>1</v>
      </c>
      <c r="X24" s="295">
        <v>1</v>
      </c>
      <c r="Y24" s="295">
        <v>1</v>
      </c>
      <c r="Z24" s="295">
        <v>1</v>
      </c>
      <c r="AA24" s="295">
        <v>1</v>
      </c>
      <c r="AB24" s="295">
        <v>1</v>
      </c>
      <c r="AC24" s="295">
        <v>1</v>
      </c>
      <c r="AD24" s="295">
        <v>1</v>
      </c>
      <c r="AE24" s="295">
        <v>1</v>
      </c>
      <c r="AF24" s="295">
        <v>1</v>
      </c>
      <c r="AG24" s="295">
        <v>1</v>
      </c>
      <c r="AH24" s="295">
        <v>1</v>
      </c>
      <c r="AI24" s="295">
        <v>1</v>
      </c>
      <c r="AJ24" s="295">
        <v>1</v>
      </c>
      <c r="AK24" s="295">
        <v>1</v>
      </c>
      <c r="AL24" s="295">
        <v>1</v>
      </c>
      <c r="AM24" s="295">
        <v>1</v>
      </c>
      <c r="AN24" s="289">
        <v>1</v>
      </c>
      <c r="AO24" s="288"/>
      <c r="AP24" s="290">
        <f t="shared" si="1"/>
        <v>36</v>
      </c>
      <c r="AQ24" s="291">
        <f t="shared" si="2"/>
        <v>174868.39725120002</v>
      </c>
      <c r="AR24" s="292"/>
      <c r="AS24" s="292"/>
      <c r="AT24" s="292"/>
      <c r="AU24" s="292"/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4"/>
      <c r="BJ24" s="274"/>
      <c r="BK24" s="274"/>
      <c r="BL24" s="274"/>
      <c r="BM24" s="274"/>
      <c r="BN24" s="274"/>
      <c r="BO24" s="274"/>
      <c r="BP24" s="274"/>
      <c r="BQ24" s="274"/>
      <c r="BR24" s="274"/>
      <c r="BS24" s="274"/>
      <c r="BT24" s="274"/>
      <c r="BU24" s="274"/>
      <c r="BV24" s="274"/>
      <c r="BW24" s="274"/>
      <c r="BX24" s="274"/>
      <c r="BY24" s="274"/>
      <c r="BZ24" s="274"/>
      <c r="CA24" s="274"/>
      <c r="CB24" s="274"/>
      <c r="CC24" s="274"/>
      <c r="CD24" s="274"/>
      <c r="CE24" s="274"/>
      <c r="CF24" s="274"/>
      <c r="CG24" s="274"/>
      <c r="CH24" s="274"/>
      <c r="CI24" s="274"/>
      <c r="CJ24" s="274"/>
      <c r="CK24" s="274"/>
      <c r="CL24" s="274"/>
      <c r="CM24" s="274"/>
      <c r="CN24" s="274"/>
      <c r="CO24" s="274"/>
      <c r="CP24" s="274"/>
      <c r="CQ24" s="274"/>
    </row>
    <row r="25" spans="1:1047" s="270" customFormat="1" ht="5.0999999999999996" customHeight="1" x14ac:dyDescent="0.2">
      <c r="D25" s="297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7"/>
      <c r="AP25" s="298"/>
      <c r="AQ25" s="274"/>
      <c r="AR25" s="292"/>
      <c r="AS25" s="292"/>
      <c r="AT25" s="292"/>
      <c r="AU25" s="292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4"/>
      <c r="BJ25" s="274"/>
      <c r="BK25" s="274"/>
      <c r="BL25" s="274"/>
      <c r="BM25" s="274"/>
      <c r="BN25" s="274"/>
      <c r="BO25" s="274"/>
      <c r="BP25" s="274"/>
      <c r="BQ25" s="274"/>
      <c r="BR25" s="274"/>
      <c r="BS25" s="274"/>
      <c r="BT25" s="274"/>
      <c r="BU25" s="274"/>
      <c r="BV25" s="274"/>
      <c r="BW25" s="274"/>
      <c r="BX25" s="274"/>
      <c r="BY25" s="274"/>
      <c r="BZ25" s="274"/>
      <c r="CA25" s="274"/>
      <c r="CB25" s="274"/>
      <c r="CC25" s="274"/>
      <c r="CD25" s="274"/>
      <c r="CE25" s="274"/>
      <c r="CF25" s="274"/>
      <c r="CG25" s="274"/>
      <c r="CH25" s="274"/>
      <c r="CI25" s="274"/>
      <c r="CJ25" s="274"/>
      <c r="CK25" s="274"/>
      <c r="CL25" s="274"/>
      <c r="CM25" s="274"/>
      <c r="CN25" s="274"/>
      <c r="CO25" s="274"/>
      <c r="CP25" s="274"/>
      <c r="CQ25" s="274"/>
    </row>
    <row r="26" spans="1:1047" s="299" customFormat="1" ht="30" customHeight="1" x14ac:dyDescent="0.2">
      <c r="B26" s="436" t="s">
        <v>6705</v>
      </c>
      <c r="C26" s="437"/>
      <c r="D26" s="288"/>
      <c r="E26" s="300">
        <f>SUM(E8:E24)</f>
        <v>11.25</v>
      </c>
      <c r="F26" s="300">
        <f t="shared" ref="F26:AN26" si="4">SUM(F8:F24)</f>
        <v>13.25</v>
      </c>
      <c r="G26" s="300">
        <f t="shared" si="4"/>
        <v>15.25</v>
      </c>
      <c r="H26" s="300">
        <f t="shared" si="4"/>
        <v>15.25</v>
      </c>
      <c r="I26" s="300">
        <f t="shared" si="4"/>
        <v>15.25</v>
      </c>
      <c r="J26" s="300">
        <f t="shared" si="4"/>
        <v>15.25</v>
      </c>
      <c r="K26" s="300">
        <f t="shared" si="4"/>
        <v>15.25</v>
      </c>
      <c r="L26" s="300">
        <f t="shared" si="4"/>
        <v>17.25</v>
      </c>
      <c r="M26" s="300">
        <f t="shared" si="4"/>
        <v>17.25</v>
      </c>
      <c r="N26" s="300">
        <f t="shared" si="4"/>
        <v>17.25</v>
      </c>
      <c r="O26" s="300">
        <f t="shared" si="4"/>
        <v>18.25</v>
      </c>
      <c r="P26" s="300">
        <f t="shared" si="4"/>
        <v>18.25</v>
      </c>
      <c r="Q26" s="300">
        <f t="shared" si="4"/>
        <v>18.25</v>
      </c>
      <c r="R26" s="300">
        <f t="shared" si="4"/>
        <v>18.25</v>
      </c>
      <c r="S26" s="300">
        <f t="shared" si="4"/>
        <v>18.25</v>
      </c>
      <c r="T26" s="300">
        <f t="shared" si="4"/>
        <v>18.25</v>
      </c>
      <c r="U26" s="300">
        <f t="shared" si="4"/>
        <v>18.25</v>
      </c>
      <c r="V26" s="300">
        <f t="shared" si="4"/>
        <v>18.25</v>
      </c>
      <c r="W26" s="300">
        <f t="shared" si="4"/>
        <v>18.25</v>
      </c>
      <c r="X26" s="300">
        <f t="shared" si="4"/>
        <v>18.25</v>
      </c>
      <c r="Y26" s="300">
        <f t="shared" si="4"/>
        <v>18.25</v>
      </c>
      <c r="Z26" s="300">
        <f t="shared" si="4"/>
        <v>18.25</v>
      </c>
      <c r="AA26" s="300">
        <f t="shared" si="4"/>
        <v>18.25</v>
      </c>
      <c r="AB26" s="300">
        <f t="shared" si="4"/>
        <v>18.25</v>
      </c>
      <c r="AC26" s="300">
        <f t="shared" si="4"/>
        <v>18.25</v>
      </c>
      <c r="AD26" s="300">
        <f t="shared" si="4"/>
        <v>18.25</v>
      </c>
      <c r="AE26" s="300">
        <f t="shared" si="4"/>
        <v>18.25</v>
      </c>
      <c r="AF26" s="300">
        <f t="shared" si="4"/>
        <v>18.25</v>
      </c>
      <c r="AG26" s="300">
        <f t="shared" si="4"/>
        <v>18.25</v>
      </c>
      <c r="AH26" s="300">
        <f t="shared" si="4"/>
        <v>16.25</v>
      </c>
      <c r="AI26" s="300">
        <f t="shared" si="4"/>
        <v>16.25</v>
      </c>
      <c r="AJ26" s="300">
        <f t="shared" si="4"/>
        <v>16.25</v>
      </c>
      <c r="AK26" s="300">
        <f t="shared" si="4"/>
        <v>16.25</v>
      </c>
      <c r="AL26" s="300">
        <f t="shared" si="4"/>
        <v>15.25</v>
      </c>
      <c r="AM26" s="300">
        <f t="shared" si="4"/>
        <v>15.25</v>
      </c>
      <c r="AN26" s="300">
        <f t="shared" si="4"/>
        <v>15.25</v>
      </c>
      <c r="AO26" s="288"/>
      <c r="AP26" s="300">
        <f>SUM(AP9:AP24)</f>
        <v>610</v>
      </c>
      <c r="AQ26" s="301">
        <f>SUM(AQ9:AQ24)</f>
        <v>4272961.1244184002</v>
      </c>
      <c r="AR26" s="302"/>
      <c r="AS26" s="303"/>
      <c r="AT26" s="292"/>
      <c r="AU26" s="292"/>
      <c r="AV26" s="274"/>
      <c r="AW26" s="304"/>
      <c r="AX26" s="304"/>
      <c r="AY26" s="304"/>
      <c r="AZ26" s="304"/>
      <c r="BA26" s="304"/>
      <c r="BB26" s="304"/>
      <c r="BC26" s="304"/>
      <c r="BD26" s="304"/>
      <c r="BE26" s="304"/>
      <c r="BF26" s="304"/>
      <c r="BG26" s="304"/>
      <c r="BH26" s="304"/>
      <c r="BI26" s="304"/>
      <c r="BJ26" s="304"/>
      <c r="BK26" s="304"/>
      <c r="BL26" s="304"/>
      <c r="BM26" s="304"/>
      <c r="BN26" s="304"/>
      <c r="BO26" s="304"/>
      <c r="BP26" s="304"/>
      <c r="BQ26" s="304"/>
      <c r="BR26" s="304"/>
      <c r="BS26" s="304"/>
      <c r="BT26" s="304"/>
      <c r="BU26" s="304"/>
      <c r="BV26" s="304"/>
      <c r="BW26" s="304"/>
      <c r="BX26" s="304"/>
      <c r="BY26" s="304"/>
      <c r="BZ26" s="304"/>
      <c r="CA26" s="304"/>
      <c r="CB26" s="304"/>
      <c r="CC26" s="304"/>
      <c r="CD26" s="304"/>
      <c r="CE26" s="304"/>
      <c r="CF26" s="304"/>
      <c r="CG26" s="304"/>
      <c r="CH26" s="304"/>
      <c r="CI26" s="304"/>
      <c r="CJ26" s="304"/>
      <c r="CK26" s="304"/>
      <c r="CL26" s="304"/>
      <c r="CM26" s="304"/>
      <c r="CN26" s="304"/>
      <c r="CO26" s="304"/>
      <c r="CP26" s="304"/>
      <c r="CQ26" s="304"/>
    </row>
    <row r="27" spans="1:1047" s="270" customFormat="1" x14ac:dyDescent="0.25">
      <c r="E27" s="305"/>
      <c r="F27" s="305"/>
      <c r="G27" s="305"/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305"/>
      <c r="AK27" s="305"/>
      <c r="AL27" s="305"/>
      <c r="AM27" s="305"/>
      <c r="AN27" s="305"/>
      <c r="AQ27" s="301">
        <f>AQ26/36</f>
        <v>118693.36456717778</v>
      </c>
      <c r="AR27" s="292"/>
      <c r="AS27" s="292"/>
      <c r="AT27" s="292"/>
      <c r="AU27" s="292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4"/>
      <c r="BK27" s="274"/>
      <c r="BL27" s="274"/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4"/>
      <c r="CO27" s="274"/>
      <c r="CP27" s="274"/>
      <c r="CQ27" s="274"/>
      <c r="ANE27" s="275"/>
      <c r="ANF27" s="275"/>
      <c r="ANG27" s="275"/>
    </row>
    <row r="28" spans="1:1047" s="270" customFormat="1" x14ac:dyDescent="0.25">
      <c r="E28" s="305"/>
      <c r="F28" s="305"/>
      <c r="G28" s="305"/>
      <c r="H28" s="305"/>
      <c r="I28" s="305"/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5"/>
      <c r="AD28" s="305"/>
      <c r="AE28" s="305"/>
      <c r="AF28" s="305"/>
      <c r="AG28" s="305"/>
      <c r="AH28" s="305"/>
      <c r="AI28" s="305"/>
      <c r="AJ28" s="305"/>
      <c r="AK28" s="305"/>
      <c r="AL28" s="305"/>
      <c r="AM28" s="305"/>
      <c r="AN28" s="305"/>
      <c r="AQ28" s="301">
        <f>AQ27*0.012</f>
        <v>1424.3203748061333</v>
      </c>
      <c r="AR28" s="292"/>
      <c r="AS28" s="292"/>
      <c r="AT28" s="292"/>
      <c r="AU28" s="292"/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4"/>
      <c r="BJ28" s="274"/>
      <c r="BK28" s="274"/>
      <c r="BL28" s="274"/>
      <c r="BM28" s="274"/>
      <c r="BN28" s="274"/>
      <c r="BO28" s="274"/>
      <c r="BP28" s="274"/>
      <c r="BQ28" s="274"/>
      <c r="BR28" s="274"/>
      <c r="BS28" s="274"/>
      <c r="BT28" s="274"/>
      <c r="BU28" s="274"/>
      <c r="BV28" s="274"/>
      <c r="BW28" s="274"/>
      <c r="BX28" s="274"/>
      <c r="BY28" s="274"/>
      <c r="BZ28" s="274"/>
      <c r="CA28" s="274"/>
      <c r="CB28" s="274"/>
      <c r="CC28" s="274"/>
      <c r="CD28" s="274"/>
      <c r="CE28" s="274"/>
      <c r="CF28" s="274"/>
      <c r="CG28" s="274"/>
      <c r="CH28" s="274"/>
      <c r="CI28" s="274"/>
      <c r="CJ28" s="274"/>
      <c r="CK28" s="274"/>
      <c r="CL28" s="274"/>
      <c r="CM28" s="274"/>
      <c r="CN28" s="274"/>
      <c r="CO28" s="274"/>
      <c r="CP28" s="274"/>
      <c r="CQ28" s="274"/>
      <c r="ANE28" s="275"/>
      <c r="ANF28" s="275"/>
      <c r="ANG28" s="275"/>
    </row>
    <row r="29" spans="1:1047" x14ac:dyDescent="0.25">
      <c r="AR29" s="292"/>
      <c r="AS29" s="292"/>
      <c r="AT29" s="292"/>
      <c r="AU29" s="292"/>
    </row>
    <row r="30" spans="1:1047" s="274" customFormat="1" x14ac:dyDescent="0.25">
      <c r="B30" s="270"/>
      <c r="C30" s="270"/>
      <c r="D30" s="270"/>
      <c r="E30" s="305"/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5"/>
      <c r="AG30" s="305"/>
      <c r="AH30" s="305"/>
      <c r="AI30" s="305"/>
      <c r="AJ30" s="305"/>
      <c r="AK30" s="305"/>
      <c r="AL30" s="305"/>
      <c r="AM30" s="305"/>
      <c r="AN30" s="305"/>
      <c r="AO30" s="270"/>
      <c r="AP30" s="270"/>
      <c r="AR30" s="292"/>
      <c r="AS30" s="292"/>
      <c r="AT30" s="292"/>
      <c r="AU30" s="292"/>
      <c r="CR30" s="270"/>
      <c r="CS30" s="270"/>
      <c r="CT30" s="270"/>
      <c r="CU30" s="270"/>
      <c r="CV30" s="270"/>
      <c r="CW30" s="270"/>
      <c r="CX30" s="270"/>
      <c r="CY30" s="270"/>
      <c r="CZ30" s="270"/>
      <c r="DA30" s="270"/>
      <c r="DB30" s="270"/>
      <c r="DC30" s="270"/>
      <c r="DD30" s="270"/>
      <c r="DE30" s="270"/>
      <c r="DF30" s="270"/>
      <c r="DG30" s="270"/>
      <c r="DH30" s="270"/>
      <c r="DI30" s="270"/>
      <c r="DJ30" s="270"/>
      <c r="DK30" s="270"/>
      <c r="DL30" s="270"/>
      <c r="DM30" s="270"/>
      <c r="DN30" s="270"/>
      <c r="DO30" s="270"/>
      <c r="DP30" s="270"/>
      <c r="DQ30" s="270"/>
      <c r="DR30" s="270"/>
      <c r="DS30" s="270"/>
      <c r="DT30" s="270"/>
      <c r="DU30" s="270"/>
      <c r="DV30" s="270"/>
      <c r="DW30" s="270"/>
      <c r="DX30" s="270"/>
      <c r="DY30" s="270"/>
      <c r="DZ30" s="270"/>
      <c r="EA30" s="270"/>
      <c r="EB30" s="270"/>
      <c r="EC30" s="270"/>
      <c r="ED30" s="270"/>
      <c r="EE30" s="270"/>
      <c r="EF30" s="270"/>
      <c r="EG30" s="270"/>
      <c r="EH30" s="270"/>
      <c r="EI30" s="270"/>
      <c r="EJ30" s="270"/>
      <c r="EK30" s="270"/>
      <c r="EL30" s="270"/>
      <c r="EM30" s="270"/>
      <c r="EN30" s="270"/>
      <c r="EO30" s="270"/>
      <c r="EP30" s="270"/>
      <c r="EQ30" s="270"/>
      <c r="ER30" s="270"/>
      <c r="ES30" s="270"/>
      <c r="ET30" s="270"/>
      <c r="EU30" s="270"/>
      <c r="EV30" s="270"/>
      <c r="EW30" s="270"/>
      <c r="EX30" s="270"/>
      <c r="EY30" s="270"/>
      <c r="EZ30" s="270"/>
      <c r="FA30" s="270"/>
      <c r="FB30" s="270"/>
      <c r="FC30" s="270"/>
      <c r="FD30" s="270"/>
      <c r="FE30" s="270"/>
      <c r="FF30" s="270"/>
      <c r="FG30" s="270"/>
      <c r="FH30" s="270"/>
      <c r="FI30" s="270"/>
      <c r="FJ30" s="270"/>
      <c r="FK30" s="270"/>
      <c r="FL30" s="270"/>
      <c r="FM30" s="270"/>
      <c r="FN30" s="270"/>
      <c r="FO30" s="270"/>
      <c r="FP30" s="270"/>
      <c r="FQ30" s="270"/>
      <c r="FR30" s="270"/>
      <c r="FS30" s="270"/>
      <c r="FT30" s="270"/>
      <c r="FU30" s="270"/>
      <c r="FV30" s="270"/>
      <c r="FW30" s="270"/>
      <c r="FX30" s="270"/>
      <c r="FY30" s="270"/>
      <c r="FZ30" s="270"/>
      <c r="GA30" s="270"/>
      <c r="GB30" s="270"/>
      <c r="GC30" s="270"/>
      <c r="GD30" s="270"/>
      <c r="GE30" s="270"/>
      <c r="GF30" s="270"/>
      <c r="GG30" s="270"/>
      <c r="GH30" s="270"/>
      <c r="GI30" s="270"/>
      <c r="GJ30" s="270"/>
      <c r="GK30" s="270"/>
      <c r="GL30" s="270"/>
      <c r="GM30" s="270"/>
      <c r="GN30" s="270"/>
      <c r="GO30" s="270"/>
      <c r="GP30" s="270"/>
      <c r="GQ30" s="270"/>
      <c r="GR30" s="270"/>
      <c r="GS30" s="270"/>
      <c r="GT30" s="270"/>
      <c r="GU30" s="270"/>
      <c r="GV30" s="270"/>
      <c r="GW30" s="270"/>
      <c r="GX30" s="270"/>
      <c r="GY30" s="270"/>
      <c r="GZ30" s="270"/>
      <c r="HA30" s="270"/>
      <c r="HB30" s="270"/>
      <c r="HC30" s="270"/>
      <c r="HD30" s="270"/>
      <c r="HE30" s="270"/>
      <c r="HF30" s="270"/>
      <c r="HG30" s="270"/>
      <c r="HH30" s="270"/>
      <c r="HI30" s="270"/>
      <c r="HJ30" s="270"/>
      <c r="HK30" s="270"/>
      <c r="HL30" s="270"/>
      <c r="HM30" s="270"/>
      <c r="HN30" s="270"/>
      <c r="HO30" s="270"/>
      <c r="HP30" s="270"/>
      <c r="HQ30" s="270"/>
      <c r="HR30" s="270"/>
      <c r="HS30" s="270"/>
      <c r="HT30" s="270"/>
      <c r="HU30" s="270"/>
      <c r="HV30" s="270"/>
      <c r="HW30" s="270"/>
      <c r="HX30" s="270"/>
      <c r="HY30" s="270"/>
      <c r="HZ30" s="270"/>
      <c r="IA30" s="270"/>
      <c r="IB30" s="270"/>
      <c r="IC30" s="270"/>
      <c r="ID30" s="270"/>
      <c r="IE30" s="270"/>
      <c r="IF30" s="270"/>
      <c r="IG30" s="270"/>
      <c r="IH30" s="270"/>
      <c r="II30" s="270"/>
      <c r="IJ30" s="270"/>
      <c r="IK30" s="270"/>
      <c r="IL30" s="270"/>
      <c r="IM30" s="270"/>
      <c r="IN30" s="270"/>
      <c r="IO30" s="270"/>
      <c r="IP30" s="270"/>
      <c r="IQ30" s="270"/>
      <c r="IR30" s="270"/>
      <c r="IS30" s="270"/>
      <c r="IT30" s="270"/>
      <c r="IU30" s="270"/>
      <c r="IV30" s="270"/>
      <c r="IW30" s="270"/>
      <c r="IX30" s="270"/>
      <c r="IY30" s="270"/>
      <c r="IZ30" s="270"/>
      <c r="JA30" s="270"/>
      <c r="JB30" s="270"/>
      <c r="JC30" s="270"/>
      <c r="JD30" s="270"/>
      <c r="JE30" s="270"/>
      <c r="JF30" s="270"/>
      <c r="JG30" s="270"/>
      <c r="JH30" s="270"/>
      <c r="JI30" s="270"/>
      <c r="JJ30" s="270"/>
      <c r="JK30" s="270"/>
      <c r="JL30" s="270"/>
      <c r="JM30" s="270"/>
      <c r="JN30" s="270"/>
      <c r="JO30" s="270"/>
      <c r="JP30" s="270"/>
      <c r="JQ30" s="270"/>
      <c r="JR30" s="270"/>
      <c r="JS30" s="270"/>
      <c r="JT30" s="270"/>
      <c r="JU30" s="270"/>
      <c r="JV30" s="270"/>
      <c r="JW30" s="270"/>
      <c r="JX30" s="270"/>
      <c r="JY30" s="270"/>
      <c r="JZ30" s="270"/>
      <c r="KA30" s="270"/>
      <c r="KB30" s="270"/>
      <c r="KC30" s="270"/>
      <c r="KD30" s="270"/>
      <c r="KE30" s="270"/>
      <c r="KF30" s="270"/>
      <c r="KG30" s="270"/>
      <c r="KH30" s="270"/>
      <c r="KI30" s="270"/>
      <c r="KJ30" s="270"/>
      <c r="KK30" s="270"/>
      <c r="KL30" s="270"/>
      <c r="KM30" s="270"/>
      <c r="KN30" s="270"/>
      <c r="KO30" s="270"/>
      <c r="KP30" s="270"/>
      <c r="KQ30" s="270"/>
      <c r="KR30" s="270"/>
      <c r="KS30" s="270"/>
      <c r="KT30" s="270"/>
      <c r="KU30" s="270"/>
      <c r="KV30" s="270"/>
      <c r="KW30" s="270"/>
      <c r="KX30" s="270"/>
      <c r="KY30" s="270"/>
      <c r="KZ30" s="270"/>
      <c r="LA30" s="270"/>
      <c r="LB30" s="270"/>
      <c r="LC30" s="270"/>
      <c r="LD30" s="270"/>
      <c r="LE30" s="270"/>
      <c r="LF30" s="270"/>
      <c r="LG30" s="270"/>
      <c r="LH30" s="270"/>
      <c r="LI30" s="270"/>
      <c r="LJ30" s="270"/>
      <c r="LK30" s="270"/>
      <c r="LL30" s="270"/>
      <c r="LM30" s="270"/>
      <c r="LN30" s="270"/>
      <c r="LO30" s="270"/>
      <c r="LP30" s="270"/>
      <c r="LQ30" s="270"/>
      <c r="LR30" s="270"/>
      <c r="LS30" s="270"/>
      <c r="LT30" s="270"/>
      <c r="LU30" s="270"/>
      <c r="LV30" s="270"/>
      <c r="LW30" s="270"/>
      <c r="LX30" s="270"/>
      <c r="LY30" s="270"/>
      <c r="LZ30" s="270"/>
      <c r="MA30" s="270"/>
      <c r="MB30" s="270"/>
      <c r="MC30" s="270"/>
      <c r="MD30" s="270"/>
      <c r="ME30" s="270"/>
      <c r="MF30" s="270"/>
      <c r="MG30" s="270"/>
      <c r="MH30" s="270"/>
      <c r="MI30" s="270"/>
      <c r="MJ30" s="270"/>
      <c r="MK30" s="270"/>
      <c r="ML30" s="270"/>
      <c r="MM30" s="270"/>
      <c r="MN30" s="270"/>
      <c r="MO30" s="270"/>
      <c r="MP30" s="270"/>
      <c r="MQ30" s="270"/>
      <c r="MR30" s="270"/>
      <c r="MS30" s="270"/>
      <c r="MT30" s="270"/>
      <c r="MU30" s="270"/>
      <c r="MV30" s="270"/>
      <c r="MW30" s="270"/>
      <c r="MX30" s="270"/>
      <c r="MY30" s="270"/>
      <c r="MZ30" s="270"/>
      <c r="NA30" s="270"/>
      <c r="NB30" s="270"/>
      <c r="NC30" s="270"/>
      <c r="ND30" s="270"/>
      <c r="NE30" s="270"/>
      <c r="NF30" s="270"/>
      <c r="NG30" s="270"/>
      <c r="NH30" s="270"/>
      <c r="NI30" s="270"/>
      <c r="NJ30" s="270"/>
      <c r="NK30" s="270"/>
      <c r="NL30" s="270"/>
      <c r="NM30" s="270"/>
      <c r="NN30" s="270"/>
      <c r="NO30" s="270"/>
      <c r="NP30" s="270"/>
      <c r="NQ30" s="270"/>
      <c r="NR30" s="270"/>
      <c r="NS30" s="270"/>
      <c r="NT30" s="270"/>
      <c r="NU30" s="270"/>
      <c r="NV30" s="270"/>
      <c r="NW30" s="270"/>
      <c r="NX30" s="270"/>
      <c r="NY30" s="270"/>
      <c r="NZ30" s="270"/>
      <c r="OA30" s="270"/>
      <c r="OB30" s="270"/>
      <c r="OC30" s="270"/>
      <c r="OD30" s="270"/>
      <c r="OE30" s="270"/>
      <c r="OF30" s="270"/>
      <c r="OG30" s="270"/>
      <c r="OH30" s="270"/>
      <c r="OI30" s="270"/>
      <c r="OJ30" s="270"/>
      <c r="OK30" s="270"/>
      <c r="OL30" s="270"/>
      <c r="OM30" s="270"/>
      <c r="ON30" s="270"/>
      <c r="OO30" s="270"/>
      <c r="OP30" s="270"/>
      <c r="OQ30" s="270"/>
      <c r="OR30" s="270"/>
      <c r="OS30" s="270"/>
      <c r="OT30" s="270"/>
      <c r="OU30" s="270"/>
      <c r="OV30" s="270"/>
      <c r="OW30" s="270"/>
      <c r="OX30" s="270"/>
      <c r="OY30" s="270"/>
      <c r="OZ30" s="270"/>
      <c r="PA30" s="270"/>
      <c r="PB30" s="270"/>
      <c r="PC30" s="270"/>
      <c r="PD30" s="270"/>
      <c r="PE30" s="270"/>
      <c r="PF30" s="270"/>
      <c r="PG30" s="270"/>
      <c r="PH30" s="270"/>
      <c r="PI30" s="270"/>
      <c r="PJ30" s="270"/>
      <c r="PK30" s="270"/>
      <c r="PL30" s="270"/>
      <c r="PM30" s="270"/>
      <c r="PN30" s="270"/>
      <c r="PO30" s="270"/>
      <c r="PP30" s="270"/>
      <c r="PQ30" s="270"/>
      <c r="PR30" s="270"/>
      <c r="PS30" s="270"/>
      <c r="PT30" s="270"/>
      <c r="PU30" s="270"/>
      <c r="PV30" s="270"/>
      <c r="PW30" s="270"/>
      <c r="PX30" s="270"/>
      <c r="PY30" s="270"/>
      <c r="PZ30" s="270"/>
      <c r="QA30" s="270"/>
      <c r="QB30" s="270"/>
      <c r="QC30" s="270"/>
      <c r="QD30" s="270"/>
      <c r="QE30" s="270"/>
      <c r="QF30" s="270"/>
      <c r="QG30" s="270"/>
      <c r="QH30" s="270"/>
      <c r="QI30" s="270"/>
      <c r="QJ30" s="270"/>
      <c r="QK30" s="270"/>
      <c r="QL30" s="270"/>
      <c r="QM30" s="270"/>
      <c r="QN30" s="270"/>
      <c r="QO30" s="270"/>
      <c r="QP30" s="270"/>
      <c r="QQ30" s="270"/>
      <c r="QR30" s="270"/>
      <c r="QS30" s="270"/>
      <c r="QT30" s="270"/>
      <c r="QU30" s="270"/>
      <c r="QV30" s="270"/>
      <c r="QW30" s="270"/>
      <c r="QX30" s="270"/>
      <c r="QY30" s="270"/>
      <c r="QZ30" s="270"/>
      <c r="RA30" s="270"/>
      <c r="RB30" s="270"/>
      <c r="RC30" s="270"/>
      <c r="RD30" s="270"/>
      <c r="RE30" s="270"/>
      <c r="RF30" s="270"/>
      <c r="RG30" s="270"/>
      <c r="RH30" s="270"/>
      <c r="RI30" s="270"/>
      <c r="RJ30" s="270"/>
      <c r="RK30" s="270"/>
      <c r="RL30" s="270"/>
      <c r="RM30" s="270"/>
      <c r="RN30" s="270"/>
      <c r="RO30" s="270"/>
      <c r="RP30" s="270"/>
      <c r="RQ30" s="270"/>
      <c r="RR30" s="270"/>
      <c r="RS30" s="270"/>
      <c r="RT30" s="270"/>
      <c r="RU30" s="270"/>
      <c r="RV30" s="270"/>
      <c r="RW30" s="270"/>
      <c r="RX30" s="270"/>
      <c r="RY30" s="270"/>
      <c r="RZ30" s="270"/>
      <c r="SA30" s="270"/>
      <c r="SB30" s="270"/>
      <c r="SC30" s="270"/>
      <c r="SD30" s="270"/>
      <c r="SE30" s="270"/>
      <c r="SF30" s="270"/>
      <c r="SG30" s="270"/>
      <c r="SH30" s="270"/>
      <c r="SI30" s="270"/>
      <c r="SJ30" s="270"/>
      <c r="SK30" s="270"/>
      <c r="SL30" s="270"/>
      <c r="SM30" s="270"/>
      <c r="SN30" s="270"/>
      <c r="SO30" s="270"/>
      <c r="SP30" s="270"/>
      <c r="SQ30" s="270"/>
      <c r="SR30" s="270"/>
      <c r="SS30" s="270"/>
      <c r="ST30" s="270"/>
      <c r="SU30" s="270"/>
      <c r="SV30" s="270"/>
      <c r="SW30" s="270"/>
      <c r="SX30" s="270"/>
      <c r="SY30" s="270"/>
      <c r="SZ30" s="270"/>
      <c r="TA30" s="270"/>
      <c r="TB30" s="270"/>
      <c r="TC30" s="270"/>
      <c r="TD30" s="270"/>
      <c r="TE30" s="270"/>
      <c r="TF30" s="270"/>
      <c r="TG30" s="270"/>
      <c r="TH30" s="270"/>
      <c r="TI30" s="270"/>
      <c r="TJ30" s="270"/>
      <c r="TK30" s="270"/>
      <c r="TL30" s="270"/>
      <c r="TM30" s="270"/>
      <c r="TN30" s="270"/>
      <c r="TO30" s="270"/>
      <c r="TP30" s="270"/>
      <c r="TQ30" s="270"/>
      <c r="TR30" s="270"/>
      <c r="TS30" s="270"/>
      <c r="TT30" s="270"/>
      <c r="TU30" s="270"/>
      <c r="TV30" s="270"/>
      <c r="TW30" s="270"/>
      <c r="TX30" s="270"/>
      <c r="TY30" s="270"/>
      <c r="TZ30" s="270"/>
      <c r="UA30" s="270"/>
      <c r="UB30" s="270"/>
      <c r="UC30" s="270"/>
      <c r="UD30" s="270"/>
      <c r="UE30" s="270"/>
      <c r="UF30" s="270"/>
      <c r="UG30" s="270"/>
      <c r="UH30" s="270"/>
      <c r="UI30" s="270"/>
      <c r="UJ30" s="270"/>
      <c r="UK30" s="270"/>
      <c r="UL30" s="270"/>
      <c r="UM30" s="270"/>
      <c r="UN30" s="270"/>
      <c r="UO30" s="270"/>
      <c r="UP30" s="270"/>
      <c r="UQ30" s="270"/>
      <c r="UR30" s="270"/>
      <c r="US30" s="270"/>
      <c r="UT30" s="270"/>
      <c r="UU30" s="270"/>
      <c r="UV30" s="270"/>
      <c r="UW30" s="270"/>
      <c r="UX30" s="270"/>
      <c r="UY30" s="270"/>
      <c r="UZ30" s="270"/>
      <c r="VA30" s="270"/>
      <c r="VB30" s="270"/>
      <c r="VC30" s="270"/>
      <c r="VD30" s="270"/>
      <c r="VE30" s="270"/>
      <c r="VF30" s="270"/>
      <c r="VG30" s="270"/>
      <c r="VH30" s="270"/>
      <c r="VI30" s="270"/>
      <c r="VJ30" s="270"/>
      <c r="VK30" s="270"/>
      <c r="VL30" s="270"/>
      <c r="VM30" s="270"/>
      <c r="VN30" s="270"/>
      <c r="VO30" s="270"/>
      <c r="VP30" s="270"/>
      <c r="VQ30" s="270"/>
      <c r="VR30" s="270"/>
      <c r="VS30" s="270"/>
      <c r="VT30" s="270"/>
      <c r="VU30" s="270"/>
      <c r="VV30" s="270"/>
      <c r="VW30" s="270"/>
      <c r="VX30" s="270"/>
      <c r="VY30" s="270"/>
      <c r="VZ30" s="270"/>
      <c r="WA30" s="270"/>
      <c r="WB30" s="270"/>
      <c r="WC30" s="270"/>
      <c r="WD30" s="270"/>
      <c r="WE30" s="270"/>
      <c r="WF30" s="270"/>
      <c r="WG30" s="270"/>
      <c r="WH30" s="270"/>
      <c r="WI30" s="270"/>
      <c r="WJ30" s="270"/>
      <c r="WK30" s="270"/>
      <c r="WL30" s="270"/>
      <c r="WM30" s="270"/>
      <c r="WN30" s="270"/>
      <c r="WO30" s="270"/>
      <c r="WP30" s="270"/>
      <c r="WQ30" s="270"/>
      <c r="WR30" s="270"/>
      <c r="WS30" s="270"/>
      <c r="WT30" s="270"/>
      <c r="WU30" s="270"/>
      <c r="WV30" s="270"/>
      <c r="WW30" s="270"/>
      <c r="WX30" s="270"/>
      <c r="WY30" s="270"/>
      <c r="WZ30" s="270"/>
      <c r="XA30" s="270"/>
      <c r="XB30" s="270"/>
      <c r="XC30" s="270"/>
      <c r="XD30" s="270"/>
      <c r="XE30" s="270"/>
      <c r="XF30" s="270"/>
      <c r="XG30" s="270"/>
      <c r="XH30" s="270"/>
      <c r="XI30" s="270"/>
      <c r="XJ30" s="270"/>
      <c r="XK30" s="270"/>
      <c r="XL30" s="270"/>
      <c r="XM30" s="270"/>
      <c r="XN30" s="270"/>
      <c r="XO30" s="270"/>
      <c r="XP30" s="270"/>
      <c r="XQ30" s="270"/>
      <c r="XR30" s="270"/>
      <c r="XS30" s="270"/>
      <c r="XT30" s="270"/>
      <c r="XU30" s="270"/>
      <c r="XV30" s="270"/>
      <c r="XW30" s="270"/>
      <c r="XX30" s="270"/>
      <c r="XY30" s="270"/>
      <c r="XZ30" s="270"/>
      <c r="YA30" s="270"/>
      <c r="YB30" s="270"/>
      <c r="YC30" s="270"/>
      <c r="YD30" s="270"/>
      <c r="YE30" s="270"/>
      <c r="YF30" s="270"/>
      <c r="YG30" s="270"/>
      <c r="YH30" s="270"/>
      <c r="YI30" s="270"/>
      <c r="YJ30" s="270"/>
      <c r="YK30" s="270"/>
      <c r="YL30" s="270"/>
      <c r="YM30" s="270"/>
      <c r="YN30" s="270"/>
      <c r="YO30" s="270"/>
      <c r="YP30" s="270"/>
      <c r="YQ30" s="270"/>
      <c r="YR30" s="270"/>
      <c r="YS30" s="270"/>
      <c r="YT30" s="270"/>
      <c r="YU30" s="270"/>
      <c r="YV30" s="270"/>
      <c r="YW30" s="270"/>
      <c r="YX30" s="270"/>
      <c r="YY30" s="270"/>
      <c r="YZ30" s="270"/>
      <c r="ZA30" s="270"/>
      <c r="ZB30" s="270"/>
      <c r="ZC30" s="270"/>
      <c r="ZD30" s="270"/>
      <c r="ZE30" s="270"/>
      <c r="ZF30" s="270"/>
      <c r="ZG30" s="270"/>
      <c r="ZH30" s="270"/>
      <c r="ZI30" s="270"/>
      <c r="ZJ30" s="270"/>
      <c r="ZK30" s="270"/>
      <c r="ZL30" s="270"/>
      <c r="ZM30" s="270"/>
      <c r="ZN30" s="270"/>
      <c r="ZO30" s="270"/>
      <c r="ZP30" s="270"/>
      <c r="ZQ30" s="270"/>
      <c r="ZR30" s="270"/>
      <c r="ZS30" s="270"/>
      <c r="ZT30" s="270"/>
      <c r="ZU30" s="270"/>
      <c r="ZV30" s="270"/>
      <c r="ZW30" s="270"/>
      <c r="ZX30" s="270"/>
      <c r="ZY30" s="270"/>
      <c r="ZZ30" s="270"/>
      <c r="AAA30" s="270"/>
      <c r="AAB30" s="270"/>
      <c r="AAC30" s="270"/>
      <c r="AAD30" s="270"/>
      <c r="AAE30" s="270"/>
      <c r="AAF30" s="270"/>
      <c r="AAG30" s="270"/>
      <c r="AAH30" s="270"/>
      <c r="AAI30" s="270"/>
      <c r="AAJ30" s="270"/>
      <c r="AAK30" s="270"/>
      <c r="AAL30" s="270"/>
      <c r="AAM30" s="270"/>
      <c r="AAN30" s="270"/>
      <c r="AAO30" s="270"/>
      <c r="AAP30" s="270"/>
      <c r="AAQ30" s="270"/>
      <c r="AAR30" s="270"/>
      <c r="AAS30" s="270"/>
      <c r="AAT30" s="270"/>
      <c r="AAU30" s="270"/>
      <c r="AAV30" s="270"/>
      <c r="AAW30" s="270"/>
      <c r="AAX30" s="270"/>
      <c r="AAY30" s="270"/>
      <c r="AAZ30" s="270"/>
      <c r="ABA30" s="270"/>
      <c r="ABB30" s="270"/>
      <c r="ABC30" s="270"/>
      <c r="ABD30" s="270"/>
      <c r="ABE30" s="270"/>
      <c r="ABF30" s="270"/>
      <c r="ABG30" s="270"/>
      <c r="ABH30" s="270"/>
      <c r="ABI30" s="270"/>
      <c r="ABJ30" s="270"/>
      <c r="ABK30" s="270"/>
      <c r="ABL30" s="270"/>
      <c r="ABM30" s="270"/>
      <c r="ABN30" s="270"/>
      <c r="ABO30" s="270"/>
      <c r="ABP30" s="270"/>
      <c r="ABQ30" s="270"/>
      <c r="ABR30" s="270"/>
      <c r="ABS30" s="270"/>
      <c r="ABT30" s="270"/>
      <c r="ABU30" s="270"/>
      <c r="ABV30" s="270"/>
      <c r="ABW30" s="270"/>
      <c r="ABX30" s="270"/>
      <c r="ABY30" s="270"/>
      <c r="ABZ30" s="270"/>
      <c r="ACA30" s="270"/>
      <c r="ACB30" s="270"/>
      <c r="ACC30" s="270"/>
      <c r="ACD30" s="270"/>
      <c r="ACE30" s="270"/>
      <c r="ACF30" s="270"/>
      <c r="ACG30" s="270"/>
      <c r="ACH30" s="270"/>
      <c r="ACI30" s="270"/>
      <c r="ACJ30" s="270"/>
      <c r="ACK30" s="270"/>
      <c r="ACL30" s="270"/>
      <c r="ACM30" s="270"/>
      <c r="ACN30" s="270"/>
      <c r="ACO30" s="270"/>
      <c r="ACP30" s="270"/>
      <c r="ACQ30" s="270"/>
      <c r="ACR30" s="270"/>
      <c r="ACS30" s="270"/>
      <c r="ACT30" s="270"/>
      <c r="ACU30" s="270"/>
      <c r="ACV30" s="270"/>
      <c r="ACW30" s="270"/>
      <c r="ACX30" s="270"/>
      <c r="ACY30" s="270"/>
      <c r="ACZ30" s="270"/>
      <c r="ADA30" s="270"/>
      <c r="ADB30" s="270"/>
      <c r="ADC30" s="270"/>
      <c r="ADD30" s="270"/>
      <c r="ADE30" s="270"/>
      <c r="ADF30" s="270"/>
      <c r="ADG30" s="270"/>
      <c r="ADH30" s="270"/>
      <c r="ADI30" s="270"/>
      <c r="ADJ30" s="270"/>
      <c r="ADK30" s="270"/>
      <c r="ADL30" s="270"/>
      <c r="ADM30" s="270"/>
      <c r="ADN30" s="270"/>
      <c r="ADO30" s="270"/>
      <c r="ADP30" s="270"/>
      <c r="ADQ30" s="270"/>
      <c r="ADR30" s="270"/>
      <c r="ADS30" s="270"/>
      <c r="ADT30" s="270"/>
      <c r="ADU30" s="270"/>
      <c r="ADV30" s="270"/>
      <c r="ADW30" s="270"/>
      <c r="ADX30" s="270"/>
      <c r="ADY30" s="270"/>
      <c r="ADZ30" s="270"/>
      <c r="AEA30" s="270"/>
      <c r="AEB30" s="270"/>
      <c r="AEC30" s="270"/>
      <c r="AED30" s="270"/>
      <c r="AEE30" s="270"/>
      <c r="AEF30" s="270"/>
      <c r="AEG30" s="270"/>
      <c r="AEH30" s="270"/>
      <c r="AEI30" s="270"/>
      <c r="AEJ30" s="270"/>
      <c r="AEK30" s="270"/>
      <c r="AEL30" s="270"/>
      <c r="AEM30" s="270"/>
      <c r="AEN30" s="270"/>
      <c r="AEO30" s="270"/>
      <c r="AEP30" s="270"/>
      <c r="AEQ30" s="270"/>
      <c r="AER30" s="270"/>
      <c r="AES30" s="270"/>
      <c r="AET30" s="270"/>
      <c r="AEU30" s="270"/>
      <c r="AEV30" s="270"/>
      <c r="AEW30" s="270"/>
      <c r="AEX30" s="270"/>
      <c r="AEY30" s="270"/>
      <c r="AEZ30" s="270"/>
      <c r="AFA30" s="270"/>
      <c r="AFB30" s="270"/>
      <c r="AFC30" s="270"/>
      <c r="AFD30" s="270"/>
      <c r="AFE30" s="270"/>
      <c r="AFF30" s="270"/>
      <c r="AFG30" s="270"/>
      <c r="AFH30" s="270"/>
      <c r="AFI30" s="270"/>
      <c r="AFJ30" s="270"/>
      <c r="AFK30" s="270"/>
      <c r="AFL30" s="270"/>
      <c r="AFM30" s="270"/>
      <c r="AFN30" s="270"/>
      <c r="AFO30" s="270"/>
      <c r="AFP30" s="270"/>
      <c r="AFQ30" s="270"/>
      <c r="AFR30" s="270"/>
      <c r="AFS30" s="270"/>
      <c r="AFT30" s="270"/>
      <c r="AFU30" s="270"/>
      <c r="AFV30" s="270"/>
      <c r="AFW30" s="270"/>
      <c r="AFX30" s="270"/>
      <c r="AFY30" s="270"/>
      <c r="AFZ30" s="270"/>
      <c r="AGA30" s="270"/>
      <c r="AGB30" s="270"/>
      <c r="AGC30" s="270"/>
      <c r="AGD30" s="270"/>
      <c r="AGE30" s="270"/>
      <c r="AGF30" s="270"/>
      <c r="AGG30" s="270"/>
      <c r="AGH30" s="270"/>
      <c r="AGI30" s="270"/>
      <c r="AGJ30" s="270"/>
      <c r="AGK30" s="270"/>
      <c r="AGL30" s="270"/>
      <c r="AGM30" s="270"/>
      <c r="AGN30" s="270"/>
      <c r="AGO30" s="270"/>
      <c r="AGP30" s="270"/>
      <c r="AGQ30" s="270"/>
      <c r="AGR30" s="270"/>
      <c r="AGS30" s="270"/>
      <c r="AGT30" s="270"/>
      <c r="AGU30" s="270"/>
      <c r="AGV30" s="270"/>
      <c r="AGW30" s="270"/>
      <c r="AGX30" s="270"/>
      <c r="AGY30" s="270"/>
      <c r="AGZ30" s="270"/>
      <c r="AHA30" s="270"/>
      <c r="AHB30" s="270"/>
      <c r="AHC30" s="270"/>
      <c r="AHD30" s="270"/>
      <c r="AHE30" s="270"/>
      <c r="AHF30" s="270"/>
      <c r="AHG30" s="270"/>
      <c r="AHH30" s="270"/>
      <c r="AHI30" s="270"/>
      <c r="AHJ30" s="270"/>
      <c r="AHK30" s="270"/>
      <c r="AHL30" s="270"/>
      <c r="AHM30" s="270"/>
      <c r="AHN30" s="270"/>
      <c r="AHO30" s="270"/>
      <c r="AHP30" s="270"/>
      <c r="AHQ30" s="270"/>
      <c r="AHR30" s="270"/>
      <c r="AHS30" s="270"/>
      <c r="AHT30" s="270"/>
      <c r="AHU30" s="270"/>
      <c r="AHV30" s="270"/>
      <c r="AHW30" s="270"/>
      <c r="AHX30" s="270"/>
      <c r="AHY30" s="270"/>
      <c r="AHZ30" s="270"/>
      <c r="AIA30" s="270"/>
      <c r="AIB30" s="270"/>
      <c r="AIC30" s="270"/>
      <c r="AID30" s="270"/>
      <c r="AIE30" s="270"/>
      <c r="AIF30" s="270"/>
      <c r="AIG30" s="270"/>
      <c r="AIH30" s="270"/>
      <c r="AII30" s="270"/>
      <c r="AIJ30" s="270"/>
      <c r="AIK30" s="270"/>
      <c r="AIL30" s="270"/>
      <c r="AIM30" s="270"/>
      <c r="AIN30" s="270"/>
      <c r="AIO30" s="270"/>
      <c r="AIP30" s="270"/>
      <c r="AIQ30" s="270"/>
      <c r="AIR30" s="270"/>
      <c r="AIS30" s="270"/>
      <c r="AIT30" s="270"/>
      <c r="AIU30" s="270"/>
      <c r="AIV30" s="270"/>
      <c r="AIW30" s="270"/>
      <c r="AIX30" s="270"/>
      <c r="AIY30" s="270"/>
      <c r="AIZ30" s="270"/>
      <c r="AJA30" s="270"/>
      <c r="AJB30" s="270"/>
      <c r="AJC30" s="270"/>
      <c r="AJD30" s="270"/>
      <c r="AJE30" s="270"/>
      <c r="AJF30" s="270"/>
      <c r="AJG30" s="270"/>
      <c r="AJH30" s="270"/>
      <c r="AJI30" s="270"/>
      <c r="AJJ30" s="270"/>
      <c r="AJK30" s="270"/>
      <c r="AJL30" s="270"/>
      <c r="AJM30" s="270"/>
      <c r="AJN30" s="270"/>
      <c r="AJO30" s="270"/>
      <c r="AJP30" s="270"/>
      <c r="AJQ30" s="270"/>
      <c r="AJR30" s="270"/>
      <c r="AJS30" s="270"/>
      <c r="AJT30" s="270"/>
      <c r="AJU30" s="270"/>
      <c r="AJV30" s="270"/>
      <c r="AJW30" s="270"/>
      <c r="AJX30" s="270"/>
      <c r="AJY30" s="270"/>
      <c r="AJZ30" s="270"/>
      <c r="AKA30" s="270"/>
      <c r="AKB30" s="270"/>
      <c r="AKC30" s="270"/>
      <c r="AKD30" s="270"/>
      <c r="AKE30" s="270"/>
      <c r="AKF30" s="270"/>
      <c r="AKG30" s="270"/>
      <c r="AKH30" s="270"/>
      <c r="AKI30" s="270"/>
      <c r="AKJ30" s="270"/>
      <c r="AKK30" s="270"/>
      <c r="AKL30" s="270"/>
      <c r="AKM30" s="270"/>
      <c r="AKN30" s="270"/>
      <c r="AKO30" s="270"/>
      <c r="AKP30" s="270"/>
      <c r="AKQ30" s="270"/>
      <c r="AKR30" s="270"/>
      <c r="AKS30" s="270"/>
      <c r="AKT30" s="270"/>
      <c r="AKU30" s="270"/>
      <c r="AKV30" s="270"/>
      <c r="AKW30" s="270"/>
      <c r="AKX30" s="270"/>
      <c r="AKY30" s="270"/>
      <c r="AKZ30" s="270"/>
      <c r="ALA30" s="270"/>
      <c r="ALB30" s="270"/>
      <c r="ALC30" s="270"/>
      <c r="ALD30" s="270"/>
      <c r="ALE30" s="270"/>
      <c r="ALF30" s="270"/>
      <c r="ALG30" s="270"/>
      <c r="ALH30" s="270"/>
      <c r="ALI30" s="270"/>
      <c r="ALJ30" s="270"/>
      <c r="ALK30" s="270"/>
      <c r="ALL30" s="270"/>
      <c r="ALM30" s="270"/>
      <c r="ALN30" s="270"/>
      <c r="ALO30" s="270"/>
      <c r="ALP30" s="270"/>
      <c r="ALQ30" s="270"/>
      <c r="ALR30" s="270"/>
      <c r="ALS30" s="270"/>
      <c r="ALT30" s="270"/>
      <c r="ALU30" s="270"/>
      <c r="ALV30" s="270"/>
      <c r="ALW30" s="270"/>
      <c r="ALX30" s="270"/>
      <c r="ALY30" s="270"/>
      <c r="ALZ30" s="270"/>
      <c r="AMA30" s="270"/>
      <c r="AMB30" s="270"/>
      <c r="AMC30" s="270"/>
      <c r="AMD30" s="270"/>
      <c r="AME30" s="270"/>
      <c r="AMF30" s="270"/>
      <c r="AMG30" s="270"/>
      <c r="AMH30" s="270"/>
      <c r="AMI30" s="270"/>
      <c r="AMJ30" s="270"/>
      <c r="AMK30" s="270"/>
      <c r="AML30" s="270"/>
      <c r="AMM30" s="270"/>
      <c r="AMN30" s="270"/>
      <c r="AMO30" s="270"/>
      <c r="AMP30" s="270"/>
      <c r="AMQ30" s="270"/>
      <c r="AMR30" s="270"/>
      <c r="AMS30" s="270"/>
      <c r="AMT30" s="270"/>
      <c r="AMU30" s="270"/>
      <c r="AMV30" s="270"/>
      <c r="AMW30" s="270"/>
      <c r="AMX30" s="270"/>
      <c r="AMY30" s="270"/>
      <c r="AMZ30" s="270"/>
      <c r="ANA30" s="270"/>
      <c r="ANB30" s="270"/>
      <c r="ANC30" s="270"/>
      <c r="AND30" s="270"/>
      <c r="ANE30" s="275"/>
      <c r="ANF30" s="275"/>
      <c r="ANG30" s="275"/>
    </row>
    <row r="31" spans="1:1047" s="274" customFormat="1" x14ac:dyDescent="0.25">
      <c r="B31" s="270"/>
      <c r="C31" s="270"/>
      <c r="D31" s="270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270"/>
      <c r="AP31" s="270"/>
      <c r="AR31" s="292"/>
      <c r="AS31" s="292"/>
      <c r="AT31" s="292"/>
      <c r="AU31" s="292"/>
      <c r="CR31" s="270"/>
      <c r="CS31" s="270"/>
      <c r="CT31" s="270"/>
      <c r="CU31" s="270"/>
      <c r="CV31" s="270"/>
      <c r="CW31" s="270"/>
      <c r="CX31" s="270"/>
      <c r="CY31" s="270"/>
      <c r="CZ31" s="270"/>
      <c r="DA31" s="270"/>
      <c r="DB31" s="270"/>
      <c r="DC31" s="270"/>
      <c r="DD31" s="270"/>
      <c r="DE31" s="270"/>
      <c r="DF31" s="270"/>
      <c r="DG31" s="270"/>
      <c r="DH31" s="270"/>
      <c r="DI31" s="270"/>
      <c r="DJ31" s="270"/>
      <c r="DK31" s="270"/>
      <c r="DL31" s="270"/>
      <c r="DM31" s="270"/>
      <c r="DN31" s="270"/>
      <c r="DO31" s="270"/>
      <c r="DP31" s="270"/>
      <c r="DQ31" s="270"/>
      <c r="DR31" s="270"/>
      <c r="DS31" s="270"/>
      <c r="DT31" s="270"/>
      <c r="DU31" s="270"/>
      <c r="DV31" s="270"/>
      <c r="DW31" s="270"/>
      <c r="DX31" s="270"/>
      <c r="DY31" s="270"/>
      <c r="DZ31" s="270"/>
      <c r="EA31" s="270"/>
      <c r="EB31" s="270"/>
      <c r="EC31" s="270"/>
      <c r="ED31" s="270"/>
      <c r="EE31" s="270"/>
      <c r="EF31" s="270"/>
      <c r="EG31" s="270"/>
      <c r="EH31" s="270"/>
      <c r="EI31" s="270"/>
      <c r="EJ31" s="270"/>
      <c r="EK31" s="270"/>
      <c r="EL31" s="270"/>
      <c r="EM31" s="270"/>
      <c r="EN31" s="270"/>
      <c r="EO31" s="270"/>
      <c r="EP31" s="270"/>
      <c r="EQ31" s="270"/>
      <c r="ER31" s="270"/>
      <c r="ES31" s="270"/>
      <c r="ET31" s="270"/>
      <c r="EU31" s="270"/>
      <c r="EV31" s="270"/>
      <c r="EW31" s="270"/>
      <c r="EX31" s="270"/>
      <c r="EY31" s="270"/>
      <c r="EZ31" s="270"/>
      <c r="FA31" s="270"/>
      <c r="FB31" s="270"/>
      <c r="FC31" s="270"/>
      <c r="FD31" s="270"/>
      <c r="FE31" s="270"/>
      <c r="FF31" s="270"/>
      <c r="FG31" s="270"/>
      <c r="FH31" s="270"/>
      <c r="FI31" s="270"/>
      <c r="FJ31" s="270"/>
      <c r="FK31" s="270"/>
      <c r="FL31" s="270"/>
      <c r="FM31" s="270"/>
      <c r="FN31" s="270"/>
      <c r="FO31" s="270"/>
      <c r="FP31" s="270"/>
      <c r="FQ31" s="270"/>
      <c r="FR31" s="270"/>
      <c r="FS31" s="270"/>
      <c r="FT31" s="270"/>
      <c r="FU31" s="270"/>
      <c r="FV31" s="270"/>
      <c r="FW31" s="270"/>
      <c r="FX31" s="270"/>
      <c r="FY31" s="270"/>
      <c r="FZ31" s="270"/>
      <c r="GA31" s="270"/>
      <c r="GB31" s="270"/>
      <c r="GC31" s="270"/>
      <c r="GD31" s="270"/>
      <c r="GE31" s="270"/>
      <c r="GF31" s="270"/>
      <c r="GG31" s="270"/>
      <c r="GH31" s="270"/>
      <c r="GI31" s="270"/>
      <c r="GJ31" s="270"/>
      <c r="GK31" s="270"/>
      <c r="GL31" s="270"/>
      <c r="GM31" s="270"/>
      <c r="GN31" s="270"/>
      <c r="GO31" s="270"/>
      <c r="GP31" s="270"/>
      <c r="GQ31" s="270"/>
      <c r="GR31" s="270"/>
      <c r="GS31" s="270"/>
      <c r="GT31" s="270"/>
      <c r="GU31" s="270"/>
      <c r="GV31" s="270"/>
      <c r="GW31" s="270"/>
      <c r="GX31" s="270"/>
      <c r="GY31" s="270"/>
      <c r="GZ31" s="270"/>
      <c r="HA31" s="270"/>
      <c r="HB31" s="270"/>
      <c r="HC31" s="270"/>
      <c r="HD31" s="270"/>
      <c r="HE31" s="270"/>
      <c r="HF31" s="270"/>
      <c r="HG31" s="270"/>
      <c r="HH31" s="270"/>
      <c r="HI31" s="270"/>
      <c r="HJ31" s="270"/>
      <c r="HK31" s="270"/>
      <c r="HL31" s="270"/>
      <c r="HM31" s="270"/>
      <c r="HN31" s="270"/>
      <c r="HO31" s="270"/>
      <c r="HP31" s="270"/>
      <c r="HQ31" s="270"/>
      <c r="HR31" s="270"/>
      <c r="HS31" s="270"/>
      <c r="HT31" s="270"/>
      <c r="HU31" s="270"/>
      <c r="HV31" s="270"/>
      <c r="HW31" s="270"/>
      <c r="HX31" s="270"/>
      <c r="HY31" s="270"/>
      <c r="HZ31" s="270"/>
      <c r="IA31" s="270"/>
      <c r="IB31" s="270"/>
      <c r="IC31" s="270"/>
      <c r="ID31" s="270"/>
      <c r="IE31" s="270"/>
      <c r="IF31" s="270"/>
      <c r="IG31" s="270"/>
      <c r="IH31" s="270"/>
      <c r="II31" s="270"/>
      <c r="IJ31" s="270"/>
      <c r="IK31" s="270"/>
      <c r="IL31" s="270"/>
      <c r="IM31" s="270"/>
      <c r="IN31" s="270"/>
      <c r="IO31" s="270"/>
      <c r="IP31" s="270"/>
      <c r="IQ31" s="270"/>
      <c r="IR31" s="270"/>
      <c r="IS31" s="270"/>
      <c r="IT31" s="270"/>
      <c r="IU31" s="270"/>
      <c r="IV31" s="270"/>
      <c r="IW31" s="270"/>
      <c r="IX31" s="270"/>
      <c r="IY31" s="270"/>
      <c r="IZ31" s="270"/>
      <c r="JA31" s="270"/>
      <c r="JB31" s="270"/>
      <c r="JC31" s="270"/>
      <c r="JD31" s="270"/>
      <c r="JE31" s="270"/>
      <c r="JF31" s="270"/>
      <c r="JG31" s="270"/>
      <c r="JH31" s="270"/>
      <c r="JI31" s="270"/>
      <c r="JJ31" s="270"/>
      <c r="JK31" s="270"/>
      <c r="JL31" s="270"/>
      <c r="JM31" s="270"/>
      <c r="JN31" s="270"/>
      <c r="JO31" s="270"/>
      <c r="JP31" s="270"/>
      <c r="JQ31" s="270"/>
      <c r="JR31" s="270"/>
      <c r="JS31" s="270"/>
      <c r="JT31" s="270"/>
      <c r="JU31" s="270"/>
      <c r="JV31" s="270"/>
      <c r="JW31" s="270"/>
      <c r="JX31" s="270"/>
      <c r="JY31" s="270"/>
      <c r="JZ31" s="270"/>
      <c r="KA31" s="270"/>
      <c r="KB31" s="270"/>
      <c r="KC31" s="270"/>
      <c r="KD31" s="270"/>
      <c r="KE31" s="270"/>
      <c r="KF31" s="270"/>
      <c r="KG31" s="270"/>
      <c r="KH31" s="270"/>
      <c r="KI31" s="270"/>
      <c r="KJ31" s="270"/>
      <c r="KK31" s="270"/>
      <c r="KL31" s="270"/>
      <c r="KM31" s="270"/>
      <c r="KN31" s="270"/>
      <c r="KO31" s="270"/>
      <c r="KP31" s="270"/>
      <c r="KQ31" s="270"/>
      <c r="KR31" s="270"/>
      <c r="KS31" s="270"/>
      <c r="KT31" s="270"/>
      <c r="KU31" s="270"/>
      <c r="KV31" s="270"/>
      <c r="KW31" s="270"/>
      <c r="KX31" s="270"/>
      <c r="KY31" s="270"/>
      <c r="KZ31" s="270"/>
      <c r="LA31" s="270"/>
      <c r="LB31" s="270"/>
      <c r="LC31" s="270"/>
      <c r="LD31" s="270"/>
      <c r="LE31" s="270"/>
      <c r="LF31" s="270"/>
      <c r="LG31" s="270"/>
      <c r="LH31" s="270"/>
      <c r="LI31" s="270"/>
      <c r="LJ31" s="270"/>
      <c r="LK31" s="270"/>
      <c r="LL31" s="270"/>
      <c r="LM31" s="270"/>
      <c r="LN31" s="270"/>
      <c r="LO31" s="270"/>
      <c r="LP31" s="270"/>
      <c r="LQ31" s="270"/>
      <c r="LR31" s="270"/>
      <c r="LS31" s="270"/>
      <c r="LT31" s="270"/>
      <c r="LU31" s="270"/>
      <c r="LV31" s="270"/>
      <c r="LW31" s="270"/>
      <c r="LX31" s="270"/>
      <c r="LY31" s="270"/>
      <c r="LZ31" s="270"/>
      <c r="MA31" s="270"/>
      <c r="MB31" s="270"/>
      <c r="MC31" s="270"/>
      <c r="MD31" s="270"/>
      <c r="ME31" s="270"/>
      <c r="MF31" s="270"/>
      <c r="MG31" s="270"/>
      <c r="MH31" s="270"/>
      <c r="MI31" s="270"/>
      <c r="MJ31" s="270"/>
      <c r="MK31" s="270"/>
      <c r="ML31" s="270"/>
      <c r="MM31" s="270"/>
      <c r="MN31" s="270"/>
      <c r="MO31" s="270"/>
      <c r="MP31" s="270"/>
      <c r="MQ31" s="270"/>
      <c r="MR31" s="270"/>
      <c r="MS31" s="270"/>
      <c r="MT31" s="270"/>
      <c r="MU31" s="270"/>
      <c r="MV31" s="270"/>
      <c r="MW31" s="270"/>
      <c r="MX31" s="270"/>
      <c r="MY31" s="270"/>
      <c r="MZ31" s="270"/>
      <c r="NA31" s="270"/>
      <c r="NB31" s="270"/>
      <c r="NC31" s="270"/>
      <c r="ND31" s="270"/>
      <c r="NE31" s="270"/>
      <c r="NF31" s="270"/>
      <c r="NG31" s="270"/>
      <c r="NH31" s="270"/>
      <c r="NI31" s="270"/>
      <c r="NJ31" s="270"/>
      <c r="NK31" s="270"/>
      <c r="NL31" s="270"/>
      <c r="NM31" s="270"/>
      <c r="NN31" s="270"/>
      <c r="NO31" s="270"/>
      <c r="NP31" s="270"/>
      <c r="NQ31" s="270"/>
      <c r="NR31" s="270"/>
      <c r="NS31" s="270"/>
      <c r="NT31" s="270"/>
      <c r="NU31" s="270"/>
      <c r="NV31" s="270"/>
      <c r="NW31" s="270"/>
      <c r="NX31" s="270"/>
      <c r="NY31" s="270"/>
      <c r="NZ31" s="270"/>
      <c r="OA31" s="270"/>
      <c r="OB31" s="270"/>
      <c r="OC31" s="270"/>
      <c r="OD31" s="270"/>
      <c r="OE31" s="270"/>
      <c r="OF31" s="270"/>
      <c r="OG31" s="270"/>
      <c r="OH31" s="270"/>
      <c r="OI31" s="270"/>
      <c r="OJ31" s="270"/>
      <c r="OK31" s="270"/>
      <c r="OL31" s="270"/>
      <c r="OM31" s="270"/>
      <c r="ON31" s="270"/>
      <c r="OO31" s="270"/>
      <c r="OP31" s="270"/>
      <c r="OQ31" s="270"/>
      <c r="OR31" s="270"/>
      <c r="OS31" s="270"/>
      <c r="OT31" s="270"/>
      <c r="OU31" s="270"/>
      <c r="OV31" s="270"/>
      <c r="OW31" s="270"/>
      <c r="OX31" s="270"/>
      <c r="OY31" s="270"/>
      <c r="OZ31" s="270"/>
      <c r="PA31" s="270"/>
      <c r="PB31" s="270"/>
      <c r="PC31" s="270"/>
      <c r="PD31" s="270"/>
      <c r="PE31" s="270"/>
      <c r="PF31" s="270"/>
      <c r="PG31" s="270"/>
      <c r="PH31" s="270"/>
      <c r="PI31" s="270"/>
      <c r="PJ31" s="270"/>
      <c r="PK31" s="270"/>
      <c r="PL31" s="270"/>
      <c r="PM31" s="270"/>
      <c r="PN31" s="270"/>
      <c r="PO31" s="270"/>
      <c r="PP31" s="270"/>
      <c r="PQ31" s="270"/>
      <c r="PR31" s="270"/>
      <c r="PS31" s="270"/>
      <c r="PT31" s="270"/>
      <c r="PU31" s="270"/>
      <c r="PV31" s="270"/>
      <c r="PW31" s="270"/>
      <c r="PX31" s="270"/>
      <c r="PY31" s="270"/>
      <c r="PZ31" s="270"/>
      <c r="QA31" s="270"/>
      <c r="QB31" s="270"/>
      <c r="QC31" s="270"/>
      <c r="QD31" s="270"/>
      <c r="QE31" s="270"/>
      <c r="QF31" s="270"/>
      <c r="QG31" s="270"/>
      <c r="QH31" s="270"/>
      <c r="QI31" s="270"/>
      <c r="QJ31" s="270"/>
      <c r="QK31" s="270"/>
      <c r="QL31" s="270"/>
      <c r="QM31" s="270"/>
      <c r="QN31" s="270"/>
      <c r="QO31" s="270"/>
      <c r="QP31" s="270"/>
      <c r="QQ31" s="270"/>
      <c r="QR31" s="270"/>
      <c r="QS31" s="270"/>
      <c r="QT31" s="270"/>
      <c r="QU31" s="270"/>
      <c r="QV31" s="270"/>
      <c r="QW31" s="270"/>
      <c r="QX31" s="270"/>
      <c r="QY31" s="270"/>
      <c r="QZ31" s="270"/>
      <c r="RA31" s="270"/>
      <c r="RB31" s="270"/>
      <c r="RC31" s="270"/>
      <c r="RD31" s="270"/>
      <c r="RE31" s="270"/>
      <c r="RF31" s="270"/>
      <c r="RG31" s="270"/>
      <c r="RH31" s="270"/>
      <c r="RI31" s="270"/>
      <c r="RJ31" s="270"/>
      <c r="RK31" s="270"/>
      <c r="RL31" s="270"/>
      <c r="RM31" s="270"/>
      <c r="RN31" s="270"/>
      <c r="RO31" s="270"/>
      <c r="RP31" s="270"/>
      <c r="RQ31" s="270"/>
      <c r="RR31" s="270"/>
      <c r="RS31" s="270"/>
      <c r="RT31" s="270"/>
      <c r="RU31" s="270"/>
      <c r="RV31" s="270"/>
      <c r="RW31" s="270"/>
      <c r="RX31" s="270"/>
      <c r="RY31" s="270"/>
      <c r="RZ31" s="270"/>
      <c r="SA31" s="270"/>
      <c r="SB31" s="270"/>
      <c r="SC31" s="270"/>
      <c r="SD31" s="270"/>
      <c r="SE31" s="270"/>
      <c r="SF31" s="270"/>
      <c r="SG31" s="270"/>
      <c r="SH31" s="270"/>
      <c r="SI31" s="270"/>
      <c r="SJ31" s="270"/>
      <c r="SK31" s="270"/>
      <c r="SL31" s="270"/>
      <c r="SM31" s="270"/>
      <c r="SN31" s="270"/>
      <c r="SO31" s="270"/>
      <c r="SP31" s="270"/>
      <c r="SQ31" s="270"/>
      <c r="SR31" s="270"/>
      <c r="SS31" s="270"/>
      <c r="ST31" s="270"/>
      <c r="SU31" s="270"/>
      <c r="SV31" s="270"/>
      <c r="SW31" s="270"/>
      <c r="SX31" s="270"/>
      <c r="SY31" s="270"/>
      <c r="SZ31" s="270"/>
      <c r="TA31" s="270"/>
      <c r="TB31" s="270"/>
      <c r="TC31" s="270"/>
      <c r="TD31" s="270"/>
      <c r="TE31" s="270"/>
      <c r="TF31" s="270"/>
      <c r="TG31" s="270"/>
      <c r="TH31" s="270"/>
      <c r="TI31" s="270"/>
      <c r="TJ31" s="270"/>
      <c r="TK31" s="270"/>
      <c r="TL31" s="270"/>
      <c r="TM31" s="270"/>
      <c r="TN31" s="270"/>
      <c r="TO31" s="270"/>
      <c r="TP31" s="270"/>
      <c r="TQ31" s="270"/>
      <c r="TR31" s="270"/>
      <c r="TS31" s="270"/>
      <c r="TT31" s="270"/>
      <c r="TU31" s="270"/>
      <c r="TV31" s="270"/>
      <c r="TW31" s="270"/>
      <c r="TX31" s="270"/>
      <c r="TY31" s="270"/>
      <c r="TZ31" s="270"/>
      <c r="UA31" s="270"/>
      <c r="UB31" s="270"/>
      <c r="UC31" s="270"/>
      <c r="UD31" s="270"/>
      <c r="UE31" s="270"/>
      <c r="UF31" s="270"/>
      <c r="UG31" s="270"/>
      <c r="UH31" s="270"/>
      <c r="UI31" s="270"/>
      <c r="UJ31" s="270"/>
      <c r="UK31" s="270"/>
      <c r="UL31" s="270"/>
      <c r="UM31" s="270"/>
      <c r="UN31" s="270"/>
      <c r="UO31" s="270"/>
      <c r="UP31" s="270"/>
      <c r="UQ31" s="270"/>
      <c r="UR31" s="270"/>
      <c r="US31" s="270"/>
      <c r="UT31" s="270"/>
      <c r="UU31" s="270"/>
      <c r="UV31" s="270"/>
      <c r="UW31" s="270"/>
      <c r="UX31" s="270"/>
      <c r="UY31" s="270"/>
      <c r="UZ31" s="270"/>
      <c r="VA31" s="270"/>
      <c r="VB31" s="270"/>
      <c r="VC31" s="270"/>
      <c r="VD31" s="270"/>
      <c r="VE31" s="270"/>
      <c r="VF31" s="270"/>
      <c r="VG31" s="270"/>
      <c r="VH31" s="270"/>
      <c r="VI31" s="270"/>
      <c r="VJ31" s="270"/>
      <c r="VK31" s="270"/>
      <c r="VL31" s="270"/>
      <c r="VM31" s="270"/>
      <c r="VN31" s="270"/>
      <c r="VO31" s="270"/>
      <c r="VP31" s="270"/>
      <c r="VQ31" s="270"/>
      <c r="VR31" s="270"/>
      <c r="VS31" s="270"/>
      <c r="VT31" s="270"/>
      <c r="VU31" s="270"/>
      <c r="VV31" s="270"/>
      <c r="VW31" s="270"/>
      <c r="VX31" s="270"/>
      <c r="VY31" s="270"/>
      <c r="VZ31" s="270"/>
      <c r="WA31" s="270"/>
      <c r="WB31" s="270"/>
      <c r="WC31" s="270"/>
      <c r="WD31" s="270"/>
      <c r="WE31" s="270"/>
      <c r="WF31" s="270"/>
      <c r="WG31" s="270"/>
      <c r="WH31" s="270"/>
      <c r="WI31" s="270"/>
      <c r="WJ31" s="270"/>
      <c r="WK31" s="270"/>
      <c r="WL31" s="270"/>
      <c r="WM31" s="270"/>
      <c r="WN31" s="270"/>
      <c r="WO31" s="270"/>
      <c r="WP31" s="270"/>
      <c r="WQ31" s="270"/>
      <c r="WR31" s="270"/>
      <c r="WS31" s="270"/>
      <c r="WT31" s="270"/>
      <c r="WU31" s="270"/>
      <c r="WV31" s="270"/>
      <c r="WW31" s="270"/>
      <c r="WX31" s="270"/>
      <c r="WY31" s="270"/>
      <c r="WZ31" s="270"/>
      <c r="XA31" s="270"/>
      <c r="XB31" s="270"/>
      <c r="XC31" s="270"/>
      <c r="XD31" s="270"/>
      <c r="XE31" s="270"/>
      <c r="XF31" s="270"/>
      <c r="XG31" s="270"/>
      <c r="XH31" s="270"/>
      <c r="XI31" s="270"/>
      <c r="XJ31" s="270"/>
      <c r="XK31" s="270"/>
      <c r="XL31" s="270"/>
      <c r="XM31" s="270"/>
      <c r="XN31" s="270"/>
      <c r="XO31" s="270"/>
      <c r="XP31" s="270"/>
      <c r="XQ31" s="270"/>
      <c r="XR31" s="270"/>
      <c r="XS31" s="270"/>
      <c r="XT31" s="270"/>
      <c r="XU31" s="270"/>
      <c r="XV31" s="270"/>
      <c r="XW31" s="270"/>
      <c r="XX31" s="270"/>
      <c r="XY31" s="270"/>
      <c r="XZ31" s="270"/>
      <c r="YA31" s="270"/>
      <c r="YB31" s="270"/>
      <c r="YC31" s="270"/>
      <c r="YD31" s="270"/>
      <c r="YE31" s="270"/>
      <c r="YF31" s="270"/>
      <c r="YG31" s="270"/>
      <c r="YH31" s="270"/>
      <c r="YI31" s="270"/>
      <c r="YJ31" s="270"/>
      <c r="YK31" s="270"/>
      <c r="YL31" s="270"/>
      <c r="YM31" s="270"/>
      <c r="YN31" s="270"/>
      <c r="YO31" s="270"/>
      <c r="YP31" s="270"/>
      <c r="YQ31" s="270"/>
      <c r="YR31" s="270"/>
      <c r="YS31" s="270"/>
      <c r="YT31" s="270"/>
      <c r="YU31" s="270"/>
      <c r="YV31" s="270"/>
      <c r="YW31" s="270"/>
      <c r="YX31" s="270"/>
      <c r="YY31" s="270"/>
      <c r="YZ31" s="270"/>
      <c r="ZA31" s="270"/>
      <c r="ZB31" s="270"/>
      <c r="ZC31" s="270"/>
      <c r="ZD31" s="270"/>
      <c r="ZE31" s="270"/>
      <c r="ZF31" s="270"/>
      <c r="ZG31" s="270"/>
      <c r="ZH31" s="270"/>
      <c r="ZI31" s="270"/>
      <c r="ZJ31" s="270"/>
      <c r="ZK31" s="270"/>
      <c r="ZL31" s="270"/>
      <c r="ZM31" s="270"/>
      <c r="ZN31" s="270"/>
      <c r="ZO31" s="270"/>
      <c r="ZP31" s="270"/>
      <c r="ZQ31" s="270"/>
      <c r="ZR31" s="270"/>
      <c r="ZS31" s="270"/>
      <c r="ZT31" s="270"/>
      <c r="ZU31" s="270"/>
      <c r="ZV31" s="270"/>
      <c r="ZW31" s="270"/>
      <c r="ZX31" s="270"/>
      <c r="ZY31" s="270"/>
      <c r="ZZ31" s="270"/>
      <c r="AAA31" s="270"/>
      <c r="AAB31" s="270"/>
      <c r="AAC31" s="270"/>
      <c r="AAD31" s="270"/>
      <c r="AAE31" s="270"/>
      <c r="AAF31" s="270"/>
      <c r="AAG31" s="270"/>
      <c r="AAH31" s="270"/>
      <c r="AAI31" s="270"/>
      <c r="AAJ31" s="270"/>
      <c r="AAK31" s="270"/>
      <c r="AAL31" s="270"/>
      <c r="AAM31" s="270"/>
      <c r="AAN31" s="270"/>
      <c r="AAO31" s="270"/>
      <c r="AAP31" s="270"/>
      <c r="AAQ31" s="270"/>
      <c r="AAR31" s="270"/>
      <c r="AAS31" s="270"/>
      <c r="AAT31" s="270"/>
      <c r="AAU31" s="270"/>
      <c r="AAV31" s="270"/>
      <c r="AAW31" s="270"/>
      <c r="AAX31" s="270"/>
      <c r="AAY31" s="270"/>
      <c r="AAZ31" s="270"/>
      <c r="ABA31" s="270"/>
      <c r="ABB31" s="270"/>
      <c r="ABC31" s="270"/>
      <c r="ABD31" s="270"/>
      <c r="ABE31" s="270"/>
      <c r="ABF31" s="270"/>
      <c r="ABG31" s="270"/>
      <c r="ABH31" s="270"/>
      <c r="ABI31" s="270"/>
      <c r="ABJ31" s="270"/>
      <c r="ABK31" s="270"/>
      <c r="ABL31" s="270"/>
      <c r="ABM31" s="270"/>
      <c r="ABN31" s="270"/>
      <c r="ABO31" s="270"/>
      <c r="ABP31" s="270"/>
      <c r="ABQ31" s="270"/>
      <c r="ABR31" s="270"/>
      <c r="ABS31" s="270"/>
      <c r="ABT31" s="270"/>
      <c r="ABU31" s="270"/>
      <c r="ABV31" s="270"/>
      <c r="ABW31" s="270"/>
      <c r="ABX31" s="270"/>
      <c r="ABY31" s="270"/>
      <c r="ABZ31" s="270"/>
      <c r="ACA31" s="270"/>
      <c r="ACB31" s="270"/>
      <c r="ACC31" s="270"/>
      <c r="ACD31" s="270"/>
      <c r="ACE31" s="270"/>
      <c r="ACF31" s="270"/>
      <c r="ACG31" s="270"/>
      <c r="ACH31" s="270"/>
      <c r="ACI31" s="270"/>
      <c r="ACJ31" s="270"/>
      <c r="ACK31" s="270"/>
      <c r="ACL31" s="270"/>
      <c r="ACM31" s="270"/>
      <c r="ACN31" s="270"/>
      <c r="ACO31" s="270"/>
      <c r="ACP31" s="270"/>
      <c r="ACQ31" s="270"/>
      <c r="ACR31" s="270"/>
      <c r="ACS31" s="270"/>
      <c r="ACT31" s="270"/>
      <c r="ACU31" s="270"/>
      <c r="ACV31" s="270"/>
      <c r="ACW31" s="270"/>
      <c r="ACX31" s="270"/>
      <c r="ACY31" s="270"/>
      <c r="ACZ31" s="270"/>
      <c r="ADA31" s="270"/>
      <c r="ADB31" s="270"/>
      <c r="ADC31" s="270"/>
      <c r="ADD31" s="270"/>
      <c r="ADE31" s="270"/>
      <c r="ADF31" s="270"/>
      <c r="ADG31" s="270"/>
      <c r="ADH31" s="270"/>
      <c r="ADI31" s="270"/>
      <c r="ADJ31" s="270"/>
      <c r="ADK31" s="270"/>
      <c r="ADL31" s="270"/>
      <c r="ADM31" s="270"/>
      <c r="ADN31" s="270"/>
      <c r="ADO31" s="270"/>
      <c r="ADP31" s="270"/>
      <c r="ADQ31" s="270"/>
      <c r="ADR31" s="270"/>
      <c r="ADS31" s="270"/>
      <c r="ADT31" s="270"/>
      <c r="ADU31" s="270"/>
      <c r="ADV31" s="270"/>
      <c r="ADW31" s="270"/>
      <c r="ADX31" s="270"/>
      <c r="ADY31" s="270"/>
      <c r="ADZ31" s="270"/>
      <c r="AEA31" s="270"/>
      <c r="AEB31" s="270"/>
      <c r="AEC31" s="270"/>
      <c r="AED31" s="270"/>
      <c r="AEE31" s="270"/>
      <c r="AEF31" s="270"/>
      <c r="AEG31" s="270"/>
      <c r="AEH31" s="270"/>
      <c r="AEI31" s="270"/>
      <c r="AEJ31" s="270"/>
      <c r="AEK31" s="270"/>
      <c r="AEL31" s="270"/>
      <c r="AEM31" s="270"/>
      <c r="AEN31" s="270"/>
      <c r="AEO31" s="270"/>
      <c r="AEP31" s="270"/>
      <c r="AEQ31" s="270"/>
      <c r="AER31" s="270"/>
      <c r="AES31" s="270"/>
      <c r="AET31" s="270"/>
      <c r="AEU31" s="270"/>
      <c r="AEV31" s="270"/>
      <c r="AEW31" s="270"/>
      <c r="AEX31" s="270"/>
      <c r="AEY31" s="270"/>
      <c r="AEZ31" s="270"/>
      <c r="AFA31" s="270"/>
      <c r="AFB31" s="270"/>
      <c r="AFC31" s="270"/>
      <c r="AFD31" s="270"/>
      <c r="AFE31" s="270"/>
      <c r="AFF31" s="270"/>
      <c r="AFG31" s="270"/>
      <c r="AFH31" s="270"/>
      <c r="AFI31" s="270"/>
      <c r="AFJ31" s="270"/>
      <c r="AFK31" s="270"/>
      <c r="AFL31" s="270"/>
      <c r="AFM31" s="270"/>
      <c r="AFN31" s="270"/>
      <c r="AFO31" s="270"/>
      <c r="AFP31" s="270"/>
      <c r="AFQ31" s="270"/>
      <c r="AFR31" s="270"/>
      <c r="AFS31" s="270"/>
      <c r="AFT31" s="270"/>
      <c r="AFU31" s="270"/>
      <c r="AFV31" s="270"/>
      <c r="AFW31" s="270"/>
      <c r="AFX31" s="270"/>
      <c r="AFY31" s="270"/>
      <c r="AFZ31" s="270"/>
      <c r="AGA31" s="270"/>
      <c r="AGB31" s="270"/>
      <c r="AGC31" s="270"/>
      <c r="AGD31" s="270"/>
      <c r="AGE31" s="270"/>
      <c r="AGF31" s="270"/>
      <c r="AGG31" s="270"/>
      <c r="AGH31" s="270"/>
      <c r="AGI31" s="270"/>
      <c r="AGJ31" s="270"/>
      <c r="AGK31" s="270"/>
      <c r="AGL31" s="270"/>
      <c r="AGM31" s="270"/>
      <c r="AGN31" s="270"/>
      <c r="AGO31" s="270"/>
      <c r="AGP31" s="270"/>
      <c r="AGQ31" s="270"/>
      <c r="AGR31" s="270"/>
      <c r="AGS31" s="270"/>
      <c r="AGT31" s="270"/>
      <c r="AGU31" s="270"/>
      <c r="AGV31" s="270"/>
      <c r="AGW31" s="270"/>
      <c r="AGX31" s="270"/>
      <c r="AGY31" s="270"/>
      <c r="AGZ31" s="270"/>
      <c r="AHA31" s="270"/>
      <c r="AHB31" s="270"/>
      <c r="AHC31" s="270"/>
      <c r="AHD31" s="270"/>
      <c r="AHE31" s="270"/>
      <c r="AHF31" s="270"/>
      <c r="AHG31" s="270"/>
      <c r="AHH31" s="270"/>
      <c r="AHI31" s="270"/>
      <c r="AHJ31" s="270"/>
      <c r="AHK31" s="270"/>
      <c r="AHL31" s="270"/>
      <c r="AHM31" s="270"/>
      <c r="AHN31" s="270"/>
      <c r="AHO31" s="270"/>
      <c r="AHP31" s="270"/>
      <c r="AHQ31" s="270"/>
      <c r="AHR31" s="270"/>
      <c r="AHS31" s="270"/>
      <c r="AHT31" s="270"/>
      <c r="AHU31" s="270"/>
      <c r="AHV31" s="270"/>
      <c r="AHW31" s="270"/>
      <c r="AHX31" s="270"/>
      <c r="AHY31" s="270"/>
      <c r="AHZ31" s="270"/>
      <c r="AIA31" s="270"/>
      <c r="AIB31" s="270"/>
      <c r="AIC31" s="270"/>
      <c r="AID31" s="270"/>
      <c r="AIE31" s="270"/>
      <c r="AIF31" s="270"/>
      <c r="AIG31" s="270"/>
      <c r="AIH31" s="270"/>
      <c r="AII31" s="270"/>
      <c r="AIJ31" s="270"/>
      <c r="AIK31" s="270"/>
      <c r="AIL31" s="270"/>
      <c r="AIM31" s="270"/>
      <c r="AIN31" s="270"/>
      <c r="AIO31" s="270"/>
      <c r="AIP31" s="270"/>
      <c r="AIQ31" s="270"/>
      <c r="AIR31" s="270"/>
      <c r="AIS31" s="270"/>
      <c r="AIT31" s="270"/>
      <c r="AIU31" s="270"/>
      <c r="AIV31" s="270"/>
      <c r="AIW31" s="270"/>
      <c r="AIX31" s="270"/>
      <c r="AIY31" s="270"/>
      <c r="AIZ31" s="270"/>
      <c r="AJA31" s="270"/>
      <c r="AJB31" s="270"/>
      <c r="AJC31" s="270"/>
      <c r="AJD31" s="270"/>
      <c r="AJE31" s="270"/>
      <c r="AJF31" s="270"/>
      <c r="AJG31" s="270"/>
      <c r="AJH31" s="270"/>
      <c r="AJI31" s="270"/>
      <c r="AJJ31" s="270"/>
      <c r="AJK31" s="270"/>
      <c r="AJL31" s="270"/>
      <c r="AJM31" s="270"/>
      <c r="AJN31" s="270"/>
      <c r="AJO31" s="270"/>
      <c r="AJP31" s="270"/>
      <c r="AJQ31" s="270"/>
      <c r="AJR31" s="270"/>
      <c r="AJS31" s="270"/>
      <c r="AJT31" s="270"/>
      <c r="AJU31" s="270"/>
      <c r="AJV31" s="270"/>
      <c r="AJW31" s="270"/>
      <c r="AJX31" s="270"/>
      <c r="AJY31" s="270"/>
      <c r="AJZ31" s="270"/>
      <c r="AKA31" s="270"/>
      <c r="AKB31" s="270"/>
      <c r="AKC31" s="270"/>
      <c r="AKD31" s="270"/>
      <c r="AKE31" s="270"/>
      <c r="AKF31" s="270"/>
      <c r="AKG31" s="270"/>
      <c r="AKH31" s="270"/>
      <c r="AKI31" s="270"/>
      <c r="AKJ31" s="270"/>
      <c r="AKK31" s="270"/>
      <c r="AKL31" s="270"/>
      <c r="AKM31" s="270"/>
      <c r="AKN31" s="270"/>
      <c r="AKO31" s="270"/>
      <c r="AKP31" s="270"/>
      <c r="AKQ31" s="270"/>
      <c r="AKR31" s="270"/>
      <c r="AKS31" s="270"/>
      <c r="AKT31" s="270"/>
      <c r="AKU31" s="270"/>
      <c r="AKV31" s="270"/>
      <c r="AKW31" s="270"/>
      <c r="AKX31" s="270"/>
      <c r="AKY31" s="270"/>
      <c r="AKZ31" s="270"/>
      <c r="ALA31" s="270"/>
      <c r="ALB31" s="270"/>
      <c r="ALC31" s="270"/>
      <c r="ALD31" s="270"/>
      <c r="ALE31" s="270"/>
      <c r="ALF31" s="270"/>
      <c r="ALG31" s="270"/>
      <c r="ALH31" s="270"/>
      <c r="ALI31" s="270"/>
      <c r="ALJ31" s="270"/>
      <c r="ALK31" s="270"/>
      <c r="ALL31" s="270"/>
      <c r="ALM31" s="270"/>
      <c r="ALN31" s="270"/>
      <c r="ALO31" s="270"/>
      <c r="ALP31" s="270"/>
      <c r="ALQ31" s="270"/>
      <c r="ALR31" s="270"/>
      <c r="ALS31" s="270"/>
      <c r="ALT31" s="270"/>
      <c r="ALU31" s="270"/>
      <c r="ALV31" s="270"/>
      <c r="ALW31" s="270"/>
      <c r="ALX31" s="270"/>
      <c r="ALY31" s="270"/>
      <c r="ALZ31" s="270"/>
      <c r="AMA31" s="270"/>
      <c r="AMB31" s="270"/>
      <c r="AMC31" s="270"/>
      <c r="AMD31" s="270"/>
      <c r="AME31" s="270"/>
      <c r="AMF31" s="270"/>
      <c r="AMG31" s="270"/>
      <c r="AMH31" s="270"/>
      <c r="AMI31" s="270"/>
      <c r="AMJ31" s="270"/>
      <c r="AMK31" s="270"/>
      <c r="AML31" s="270"/>
      <c r="AMM31" s="270"/>
      <c r="AMN31" s="270"/>
      <c r="AMO31" s="270"/>
      <c r="AMP31" s="270"/>
      <c r="AMQ31" s="270"/>
      <c r="AMR31" s="270"/>
      <c r="AMS31" s="270"/>
      <c r="AMT31" s="270"/>
      <c r="AMU31" s="270"/>
      <c r="AMV31" s="270"/>
      <c r="AMW31" s="270"/>
      <c r="AMX31" s="270"/>
      <c r="AMY31" s="270"/>
      <c r="AMZ31" s="270"/>
      <c r="ANA31" s="270"/>
      <c r="ANB31" s="270"/>
      <c r="ANC31" s="270"/>
      <c r="AND31" s="270"/>
      <c r="ANE31" s="275"/>
      <c r="ANF31" s="275"/>
      <c r="ANG31" s="275"/>
    </row>
    <row r="32" spans="1:1047" s="274" customFormat="1" x14ac:dyDescent="0.25">
      <c r="B32" s="270"/>
      <c r="C32" s="270"/>
      <c r="D32" s="270"/>
      <c r="E32" s="305"/>
      <c r="F32" s="305"/>
      <c r="G32" s="305"/>
      <c r="H32" s="305"/>
      <c r="I32" s="305"/>
      <c r="J32" s="305"/>
      <c r="K32" s="305"/>
      <c r="L32" s="305"/>
      <c r="M32" s="305"/>
      <c r="N32" s="305"/>
      <c r="O32" s="305"/>
      <c r="P32" s="305"/>
      <c r="Q32" s="305"/>
      <c r="R32" s="305"/>
      <c r="S32" s="305"/>
      <c r="T32" s="305"/>
      <c r="U32" s="305"/>
      <c r="V32" s="305"/>
      <c r="W32" s="305"/>
      <c r="X32" s="305"/>
      <c r="Y32" s="305"/>
      <c r="Z32" s="305"/>
      <c r="AA32" s="305"/>
      <c r="AB32" s="305"/>
      <c r="AC32" s="305"/>
      <c r="AD32" s="305"/>
      <c r="AE32" s="305"/>
      <c r="AF32" s="305"/>
      <c r="AG32" s="305"/>
      <c r="AH32" s="305"/>
      <c r="AI32" s="305"/>
      <c r="AJ32" s="305"/>
      <c r="AK32" s="305"/>
      <c r="AL32" s="305"/>
      <c r="AM32" s="305"/>
      <c r="AN32" s="305"/>
      <c r="AO32" s="270"/>
      <c r="AP32" s="270"/>
      <c r="AR32" s="292"/>
      <c r="AS32" s="292"/>
      <c r="AT32" s="292"/>
      <c r="AU32" s="292"/>
      <c r="CR32" s="270"/>
      <c r="CS32" s="270"/>
      <c r="CT32" s="270"/>
      <c r="CU32" s="270"/>
      <c r="CV32" s="270"/>
      <c r="CW32" s="270"/>
      <c r="CX32" s="270"/>
      <c r="CY32" s="270"/>
      <c r="CZ32" s="270"/>
      <c r="DA32" s="270"/>
      <c r="DB32" s="270"/>
      <c r="DC32" s="270"/>
      <c r="DD32" s="270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0"/>
      <c r="DP32" s="270"/>
      <c r="DQ32" s="270"/>
      <c r="DR32" s="270"/>
      <c r="DS32" s="270"/>
      <c r="DT32" s="270"/>
      <c r="DU32" s="270"/>
      <c r="DV32" s="270"/>
      <c r="DW32" s="270"/>
      <c r="DX32" s="270"/>
      <c r="DY32" s="270"/>
      <c r="DZ32" s="270"/>
      <c r="EA32" s="270"/>
      <c r="EB32" s="270"/>
      <c r="EC32" s="270"/>
      <c r="ED32" s="270"/>
      <c r="EE32" s="270"/>
      <c r="EF32" s="270"/>
      <c r="EG32" s="270"/>
      <c r="EH32" s="270"/>
      <c r="EI32" s="270"/>
      <c r="EJ32" s="270"/>
      <c r="EK32" s="270"/>
      <c r="EL32" s="270"/>
      <c r="EM32" s="270"/>
      <c r="EN32" s="270"/>
      <c r="EO32" s="270"/>
      <c r="EP32" s="270"/>
      <c r="EQ32" s="270"/>
      <c r="ER32" s="270"/>
      <c r="ES32" s="270"/>
      <c r="ET32" s="270"/>
      <c r="EU32" s="270"/>
      <c r="EV32" s="270"/>
      <c r="EW32" s="270"/>
      <c r="EX32" s="270"/>
      <c r="EY32" s="270"/>
      <c r="EZ32" s="270"/>
      <c r="FA32" s="270"/>
      <c r="FB32" s="270"/>
      <c r="FC32" s="270"/>
      <c r="FD32" s="270"/>
      <c r="FE32" s="270"/>
      <c r="FF32" s="270"/>
      <c r="FG32" s="270"/>
      <c r="FH32" s="270"/>
      <c r="FI32" s="270"/>
      <c r="FJ32" s="270"/>
      <c r="FK32" s="270"/>
      <c r="FL32" s="270"/>
      <c r="FM32" s="270"/>
      <c r="FN32" s="270"/>
      <c r="FO32" s="270"/>
      <c r="FP32" s="270"/>
      <c r="FQ32" s="270"/>
      <c r="FR32" s="270"/>
      <c r="FS32" s="270"/>
      <c r="FT32" s="270"/>
      <c r="FU32" s="270"/>
      <c r="FV32" s="270"/>
      <c r="FW32" s="270"/>
      <c r="FX32" s="270"/>
      <c r="FY32" s="270"/>
      <c r="FZ32" s="270"/>
      <c r="GA32" s="270"/>
      <c r="GB32" s="270"/>
      <c r="GC32" s="270"/>
      <c r="GD32" s="270"/>
      <c r="GE32" s="270"/>
      <c r="GF32" s="270"/>
      <c r="GG32" s="270"/>
      <c r="GH32" s="270"/>
      <c r="GI32" s="270"/>
      <c r="GJ32" s="270"/>
      <c r="GK32" s="270"/>
      <c r="GL32" s="270"/>
      <c r="GM32" s="270"/>
      <c r="GN32" s="270"/>
      <c r="GO32" s="270"/>
      <c r="GP32" s="270"/>
      <c r="GQ32" s="270"/>
      <c r="GR32" s="270"/>
      <c r="GS32" s="270"/>
      <c r="GT32" s="270"/>
      <c r="GU32" s="270"/>
      <c r="GV32" s="270"/>
      <c r="GW32" s="270"/>
      <c r="GX32" s="270"/>
      <c r="GY32" s="270"/>
      <c r="GZ32" s="270"/>
      <c r="HA32" s="270"/>
      <c r="HB32" s="270"/>
      <c r="HC32" s="270"/>
      <c r="HD32" s="270"/>
      <c r="HE32" s="270"/>
      <c r="HF32" s="270"/>
      <c r="HG32" s="270"/>
      <c r="HH32" s="270"/>
      <c r="HI32" s="270"/>
      <c r="HJ32" s="270"/>
      <c r="HK32" s="270"/>
      <c r="HL32" s="270"/>
      <c r="HM32" s="270"/>
      <c r="HN32" s="270"/>
      <c r="HO32" s="270"/>
      <c r="HP32" s="270"/>
      <c r="HQ32" s="270"/>
      <c r="HR32" s="270"/>
      <c r="HS32" s="270"/>
      <c r="HT32" s="270"/>
      <c r="HU32" s="270"/>
      <c r="HV32" s="270"/>
      <c r="HW32" s="270"/>
      <c r="HX32" s="270"/>
      <c r="HY32" s="270"/>
      <c r="HZ32" s="270"/>
      <c r="IA32" s="270"/>
      <c r="IB32" s="270"/>
      <c r="IC32" s="270"/>
      <c r="ID32" s="270"/>
      <c r="IE32" s="270"/>
      <c r="IF32" s="270"/>
      <c r="IG32" s="270"/>
      <c r="IH32" s="270"/>
      <c r="II32" s="270"/>
      <c r="IJ32" s="270"/>
      <c r="IK32" s="270"/>
      <c r="IL32" s="270"/>
      <c r="IM32" s="270"/>
      <c r="IN32" s="270"/>
      <c r="IO32" s="270"/>
      <c r="IP32" s="270"/>
      <c r="IQ32" s="270"/>
      <c r="IR32" s="270"/>
      <c r="IS32" s="270"/>
      <c r="IT32" s="270"/>
      <c r="IU32" s="270"/>
      <c r="IV32" s="270"/>
      <c r="IW32" s="270"/>
      <c r="IX32" s="270"/>
      <c r="IY32" s="270"/>
      <c r="IZ32" s="270"/>
      <c r="JA32" s="270"/>
      <c r="JB32" s="270"/>
      <c r="JC32" s="270"/>
      <c r="JD32" s="270"/>
      <c r="JE32" s="270"/>
      <c r="JF32" s="270"/>
      <c r="JG32" s="270"/>
      <c r="JH32" s="270"/>
      <c r="JI32" s="270"/>
      <c r="JJ32" s="270"/>
      <c r="JK32" s="270"/>
      <c r="JL32" s="270"/>
      <c r="JM32" s="270"/>
      <c r="JN32" s="270"/>
      <c r="JO32" s="270"/>
      <c r="JP32" s="270"/>
      <c r="JQ32" s="270"/>
      <c r="JR32" s="270"/>
      <c r="JS32" s="270"/>
      <c r="JT32" s="270"/>
      <c r="JU32" s="270"/>
      <c r="JV32" s="270"/>
      <c r="JW32" s="270"/>
      <c r="JX32" s="270"/>
      <c r="JY32" s="270"/>
      <c r="JZ32" s="270"/>
      <c r="KA32" s="270"/>
      <c r="KB32" s="270"/>
      <c r="KC32" s="270"/>
      <c r="KD32" s="270"/>
      <c r="KE32" s="270"/>
      <c r="KF32" s="270"/>
      <c r="KG32" s="270"/>
      <c r="KH32" s="270"/>
      <c r="KI32" s="270"/>
      <c r="KJ32" s="270"/>
      <c r="KK32" s="270"/>
      <c r="KL32" s="270"/>
      <c r="KM32" s="270"/>
      <c r="KN32" s="270"/>
      <c r="KO32" s="270"/>
      <c r="KP32" s="270"/>
      <c r="KQ32" s="270"/>
      <c r="KR32" s="270"/>
      <c r="KS32" s="270"/>
      <c r="KT32" s="270"/>
      <c r="KU32" s="270"/>
      <c r="KV32" s="270"/>
      <c r="KW32" s="270"/>
      <c r="KX32" s="270"/>
      <c r="KY32" s="270"/>
      <c r="KZ32" s="270"/>
      <c r="LA32" s="270"/>
      <c r="LB32" s="270"/>
      <c r="LC32" s="270"/>
      <c r="LD32" s="270"/>
      <c r="LE32" s="270"/>
      <c r="LF32" s="270"/>
      <c r="LG32" s="270"/>
      <c r="LH32" s="270"/>
      <c r="LI32" s="270"/>
      <c r="LJ32" s="270"/>
      <c r="LK32" s="270"/>
      <c r="LL32" s="270"/>
      <c r="LM32" s="270"/>
      <c r="LN32" s="270"/>
      <c r="LO32" s="270"/>
      <c r="LP32" s="270"/>
      <c r="LQ32" s="270"/>
      <c r="LR32" s="270"/>
      <c r="LS32" s="270"/>
      <c r="LT32" s="270"/>
      <c r="LU32" s="270"/>
      <c r="LV32" s="270"/>
      <c r="LW32" s="270"/>
      <c r="LX32" s="270"/>
      <c r="LY32" s="270"/>
      <c r="LZ32" s="270"/>
      <c r="MA32" s="270"/>
      <c r="MB32" s="270"/>
      <c r="MC32" s="270"/>
      <c r="MD32" s="270"/>
      <c r="ME32" s="270"/>
      <c r="MF32" s="270"/>
      <c r="MG32" s="270"/>
      <c r="MH32" s="270"/>
      <c r="MI32" s="270"/>
      <c r="MJ32" s="270"/>
      <c r="MK32" s="270"/>
      <c r="ML32" s="270"/>
      <c r="MM32" s="270"/>
      <c r="MN32" s="270"/>
      <c r="MO32" s="270"/>
      <c r="MP32" s="270"/>
      <c r="MQ32" s="270"/>
      <c r="MR32" s="270"/>
      <c r="MS32" s="270"/>
      <c r="MT32" s="270"/>
      <c r="MU32" s="270"/>
      <c r="MV32" s="270"/>
      <c r="MW32" s="270"/>
      <c r="MX32" s="270"/>
      <c r="MY32" s="270"/>
      <c r="MZ32" s="270"/>
      <c r="NA32" s="270"/>
      <c r="NB32" s="270"/>
      <c r="NC32" s="270"/>
      <c r="ND32" s="270"/>
      <c r="NE32" s="270"/>
      <c r="NF32" s="270"/>
      <c r="NG32" s="270"/>
      <c r="NH32" s="270"/>
      <c r="NI32" s="270"/>
      <c r="NJ32" s="270"/>
      <c r="NK32" s="270"/>
      <c r="NL32" s="270"/>
      <c r="NM32" s="270"/>
      <c r="NN32" s="270"/>
      <c r="NO32" s="270"/>
      <c r="NP32" s="270"/>
      <c r="NQ32" s="270"/>
      <c r="NR32" s="270"/>
      <c r="NS32" s="270"/>
      <c r="NT32" s="270"/>
      <c r="NU32" s="270"/>
      <c r="NV32" s="270"/>
      <c r="NW32" s="270"/>
      <c r="NX32" s="270"/>
      <c r="NY32" s="270"/>
      <c r="NZ32" s="270"/>
      <c r="OA32" s="270"/>
      <c r="OB32" s="270"/>
      <c r="OC32" s="270"/>
      <c r="OD32" s="270"/>
      <c r="OE32" s="270"/>
      <c r="OF32" s="270"/>
      <c r="OG32" s="270"/>
      <c r="OH32" s="270"/>
      <c r="OI32" s="270"/>
      <c r="OJ32" s="270"/>
      <c r="OK32" s="270"/>
      <c r="OL32" s="270"/>
      <c r="OM32" s="270"/>
      <c r="ON32" s="270"/>
      <c r="OO32" s="270"/>
      <c r="OP32" s="270"/>
      <c r="OQ32" s="270"/>
      <c r="OR32" s="270"/>
      <c r="OS32" s="270"/>
      <c r="OT32" s="270"/>
      <c r="OU32" s="270"/>
      <c r="OV32" s="270"/>
      <c r="OW32" s="270"/>
      <c r="OX32" s="270"/>
      <c r="OY32" s="270"/>
      <c r="OZ32" s="270"/>
      <c r="PA32" s="270"/>
      <c r="PB32" s="270"/>
      <c r="PC32" s="270"/>
      <c r="PD32" s="270"/>
      <c r="PE32" s="270"/>
      <c r="PF32" s="270"/>
      <c r="PG32" s="270"/>
      <c r="PH32" s="270"/>
      <c r="PI32" s="270"/>
      <c r="PJ32" s="270"/>
      <c r="PK32" s="270"/>
      <c r="PL32" s="270"/>
      <c r="PM32" s="270"/>
      <c r="PN32" s="270"/>
      <c r="PO32" s="270"/>
      <c r="PP32" s="270"/>
      <c r="PQ32" s="270"/>
      <c r="PR32" s="270"/>
      <c r="PS32" s="270"/>
      <c r="PT32" s="270"/>
      <c r="PU32" s="270"/>
      <c r="PV32" s="270"/>
      <c r="PW32" s="270"/>
      <c r="PX32" s="270"/>
      <c r="PY32" s="270"/>
      <c r="PZ32" s="270"/>
      <c r="QA32" s="270"/>
      <c r="QB32" s="270"/>
      <c r="QC32" s="270"/>
      <c r="QD32" s="270"/>
      <c r="QE32" s="270"/>
      <c r="QF32" s="270"/>
      <c r="QG32" s="270"/>
      <c r="QH32" s="270"/>
      <c r="QI32" s="270"/>
      <c r="QJ32" s="270"/>
      <c r="QK32" s="270"/>
      <c r="QL32" s="270"/>
      <c r="QM32" s="270"/>
      <c r="QN32" s="270"/>
      <c r="QO32" s="270"/>
      <c r="QP32" s="270"/>
      <c r="QQ32" s="270"/>
      <c r="QR32" s="270"/>
      <c r="QS32" s="270"/>
      <c r="QT32" s="270"/>
      <c r="QU32" s="270"/>
      <c r="QV32" s="270"/>
      <c r="QW32" s="270"/>
      <c r="QX32" s="270"/>
      <c r="QY32" s="270"/>
      <c r="QZ32" s="270"/>
      <c r="RA32" s="270"/>
      <c r="RB32" s="270"/>
      <c r="RC32" s="270"/>
      <c r="RD32" s="270"/>
      <c r="RE32" s="270"/>
      <c r="RF32" s="270"/>
      <c r="RG32" s="270"/>
      <c r="RH32" s="270"/>
      <c r="RI32" s="270"/>
      <c r="RJ32" s="270"/>
      <c r="RK32" s="270"/>
      <c r="RL32" s="270"/>
      <c r="RM32" s="270"/>
      <c r="RN32" s="270"/>
      <c r="RO32" s="270"/>
      <c r="RP32" s="270"/>
      <c r="RQ32" s="270"/>
      <c r="RR32" s="270"/>
      <c r="RS32" s="270"/>
      <c r="RT32" s="270"/>
      <c r="RU32" s="270"/>
      <c r="RV32" s="270"/>
      <c r="RW32" s="270"/>
      <c r="RX32" s="270"/>
      <c r="RY32" s="270"/>
      <c r="RZ32" s="270"/>
      <c r="SA32" s="270"/>
      <c r="SB32" s="270"/>
      <c r="SC32" s="270"/>
      <c r="SD32" s="270"/>
      <c r="SE32" s="270"/>
      <c r="SF32" s="270"/>
      <c r="SG32" s="270"/>
      <c r="SH32" s="270"/>
      <c r="SI32" s="270"/>
      <c r="SJ32" s="270"/>
      <c r="SK32" s="270"/>
      <c r="SL32" s="270"/>
      <c r="SM32" s="270"/>
      <c r="SN32" s="270"/>
      <c r="SO32" s="270"/>
      <c r="SP32" s="270"/>
      <c r="SQ32" s="270"/>
      <c r="SR32" s="270"/>
      <c r="SS32" s="270"/>
      <c r="ST32" s="270"/>
      <c r="SU32" s="270"/>
      <c r="SV32" s="270"/>
      <c r="SW32" s="270"/>
      <c r="SX32" s="270"/>
      <c r="SY32" s="270"/>
      <c r="SZ32" s="270"/>
      <c r="TA32" s="270"/>
      <c r="TB32" s="270"/>
      <c r="TC32" s="270"/>
      <c r="TD32" s="270"/>
      <c r="TE32" s="270"/>
      <c r="TF32" s="270"/>
      <c r="TG32" s="270"/>
      <c r="TH32" s="270"/>
      <c r="TI32" s="270"/>
      <c r="TJ32" s="270"/>
      <c r="TK32" s="270"/>
      <c r="TL32" s="270"/>
      <c r="TM32" s="270"/>
      <c r="TN32" s="270"/>
      <c r="TO32" s="270"/>
      <c r="TP32" s="270"/>
      <c r="TQ32" s="270"/>
      <c r="TR32" s="270"/>
      <c r="TS32" s="270"/>
      <c r="TT32" s="270"/>
      <c r="TU32" s="270"/>
      <c r="TV32" s="270"/>
      <c r="TW32" s="270"/>
      <c r="TX32" s="270"/>
      <c r="TY32" s="270"/>
      <c r="TZ32" s="270"/>
      <c r="UA32" s="270"/>
      <c r="UB32" s="270"/>
      <c r="UC32" s="270"/>
      <c r="UD32" s="270"/>
      <c r="UE32" s="270"/>
      <c r="UF32" s="270"/>
      <c r="UG32" s="270"/>
      <c r="UH32" s="270"/>
      <c r="UI32" s="270"/>
      <c r="UJ32" s="270"/>
      <c r="UK32" s="270"/>
      <c r="UL32" s="270"/>
      <c r="UM32" s="270"/>
      <c r="UN32" s="270"/>
      <c r="UO32" s="270"/>
      <c r="UP32" s="270"/>
      <c r="UQ32" s="270"/>
      <c r="UR32" s="270"/>
      <c r="US32" s="270"/>
      <c r="UT32" s="270"/>
      <c r="UU32" s="270"/>
      <c r="UV32" s="270"/>
      <c r="UW32" s="270"/>
      <c r="UX32" s="270"/>
      <c r="UY32" s="270"/>
      <c r="UZ32" s="270"/>
      <c r="VA32" s="270"/>
      <c r="VB32" s="270"/>
      <c r="VC32" s="270"/>
      <c r="VD32" s="270"/>
      <c r="VE32" s="270"/>
      <c r="VF32" s="270"/>
      <c r="VG32" s="270"/>
      <c r="VH32" s="270"/>
      <c r="VI32" s="270"/>
      <c r="VJ32" s="270"/>
      <c r="VK32" s="270"/>
      <c r="VL32" s="270"/>
      <c r="VM32" s="270"/>
      <c r="VN32" s="270"/>
      <c r="VO32" s="270"/>
      <c r="VP32" s="270"/>
      <c r="VQ32" s="270"/>
      <c r="VR32" s="270"/>
      <c r="VS32" s="270"/>
      <c r="VT32" s="270"/>
      <c r="VU32" s="270"/>
      <c r="VV32" s="270"/>
      <c r="VW32" s="270"/>
      <c r="VX32" s="270"/>
      <c r="VY32" s="270"/>
      <c r="VZ32" s="270"/>
      <c r="WA32" s="270"/>
      <c r="WB32" s="270"/>
      <c r="WC32" s="270"/>
      <c r="WD32" s="270"/>
      <c r="WE32" s="270"/>
      <c r="WF32" s="270"/>
      <c r="WG32" s="270"/>
      <c r="WH32" s="270"/>
      <c r="WI32" s="270"/>
      <c r="WJ32" s="270"/>
      <c r="WK32" s="270"/>
      <c r="WL32" s="270"/>
      <c r="WM32" s="270"/>
      <c r="WN32" s="270"/>
      <c r="WO32" s="270"/>
      <c r="WP32" s="270"/>
      <c r="WQ32" s="270"/>
      <c r="WR32" s="270"/>
      <c r="WS32" s="270"/>
      <c r="WT32" s="270"/>
      <c r="WU32" s="270"/>
      <c r="WV32" s="270"/>
      <c r="WW32" s="270"/>
      <c r="WX32" s="270"/>
      <c r="WY32" s="270"/>
      <c r="WZ32" s="270"/>
      <c r="XA32" s="270"/>
      <c r="XB32" s="270"/>
      <c r="XC32" s="270"/>
      <c r="XD32" s="270"/>
      <c r="XE32" s="270"/>
      <c r="XF32" s="270"/>
      <c r="XG32" s="270"/>
      <c r="XH32" s="270"/>
      <c r="XI32" s="270"/>
      <c r="XJ32" s="270"/>
      <c r="XK32" s="270"/>
      <c r="XL32" s="270"/>
      <c r="XM32" s="270"/>
      <c r="XN32" s="270"/>
      <c r="XO32" s="270"/>
      <c r="XP32" s="270"/>
      <c r="XQ32" s="270"/>
      <c r="XR32" s="270"/>
      <c r="XS32" s="270"/>
      <c r="XT32" s="270"/>
      <c r="XU32" s="270"/>
      <c r="XV32" s="270"/>
      <c r="XW32" s="270"/>
      <c r="XX32" s="270"/>
      <c r="XY32" s="270"/>
      <c r="XZ32" s="270"/>
      <c r="YA32" s="270"/>
      <c r="YB32" s="270"/>
      <c r="YC32" s="270"/>
      <c r="YD32" s="270"/>
      <c r="YE32" s="270"/>
      <c r="YF32" s="270"/>
      <c r="YG32" s="270"/>
      <c r="YH32" s="270"/>
      <c r="YI32" s="270"/>
      <c r="YJ32" s="270"/>
      <c r="YK32" s="270"/>
      <c r="YL32" s="270"/>
      <c r="YM32" s="270"/>
      <c r="YN32" s="270"/>
      <c r="YO32" s="270"/>
      <c r="YP32" s="270"/>
      <c r="YQ32" s="270"/>
      <c r="YR32" s="270"/>
      <c r="YS32" s="270"/>
      <c r="YT32" s="270"/>
      <c r="YU32" s="270"/>
      <c r="YV32" s="270"/>
      <c r="YW32" s="270"/>
      <c r="YX32" s="270"/>
      <c r="YY32" s="270"/>
      <c r="YZ32" s="270"/>
      <c r="ZA32" s="270"/>
      <c r="ZB32" s="270"/>
      <c r="ZC32" s="270"/>
      <c r="ZD32" s="270"/>
      <c r="ZE32" s="270"/>
      <c r="ZF32" s="270"/>
      <c r="ZG32" s="270"/>
      <c r="ZH32" s="270"/>
      <c r="ZI32" s="270"/>
      <c r="ZJ32" s="270"/>
      <c r="ZK32" s="270"/>
      <c r="ZL32" s="270"/>
      <c r="ZM32" s="270"/>
      <c r="ZN32" s="270"/>
      <c r="ZO32" s="270"/>
      <c r="ZP32" s="270"/>
      <c r="ZQ32" s="270"/>
      <c r="ZR32" s="270"/>
      <c r="ZS32" s="270"/>
      <c r="ZT32" s="270"/>
      <c r="ZU32" s="270"/>
      <c r="ZV32" s="270"/>
      <c r="ZW32" s="270"/>
      <c r="ZX32" s="270"/>
      <c r="ZY32" s="270"/>
      <c r="ZZ32" s="270"/>
      <c r="AAA32" s="270"/>
      <c r="AAB32" s="270"/>
      <c r="AAC32" s="270"/>
      <c r="AAD32" s="270"/>
      <c r="AAE32" s="270"/>
      <c r="AAF32" s="270"/>
      <c r="AAG32" s="270"/>
      <c r="AAH32" s="270"/>
      <c r="AAI32" s="270"/>
      <c r="AAJ32" s="270"/>
      <c r="AAK32" s="270"/>
      <c r="AAL32" s="270"/>
      <c r="AAM32" s="270"/>
      <c r="AAN32" s="270"/>
      <c r="AAO32" s="270"/>
      <c r="AAP32" s="270"/>
      <c r="AAQ32" s="270"/>
      <c r="AAR32" s="270"/>
      <c r="AAS32" s="270"/>
      <c r="AAT32" s="270"/>
      <c r="AAU32" s="270"/>
      <c r="AAV32" s="270"/>
      <c r="AAW32" s="270"/>
      <c r="AAX32" s="270"/>
      <c r="AAY32" s="270"/>
      <c r="AAZ32" s="270"/>
      <c r="ABA32" s="270"/>
      <c r="ABB32" s="270"/>
      <c r="ABC32" s="270"/>
      <c r="ABD32" s="270"/>
      <c r="ABE32" s="270"/>
      <c r="ABF32" s="270"/>
      <c r="ABG32" s="270"/>
      <c r="ABH32" s="270"/>
      <c r="ABI32" s="270"/>
      <c r="ABJ32" s="270"/>
      <c r="ABK32" s="270"/>
      <c r="ABL32" s="270"/>
      <c r="ABM32" s="270"/>
      <c r="ABN32" s="270"/>
      <c r="ABO32" s="270"/>
      <c r="ABP32" s="270"/>
      <c r="ABQ32" s="270"/>
      <c r="ABR32" s="270"/>
      <c r="ABS32" s="270"/>
      <c r="ABT32" s="270"/>
      <c r="ABU32" s="270"/>
      <c r="ABV32" s="270"/>
      <c r="ABW32" s="270"/>
      <c r="ABX32" s="270"/>
      <c r="ABY32" s="270"/>
      <c r="ABZ32" s="270"/>
      <c r="ACA32" s="270"/>
      <c r="ACB32" s="270"/>
      <c r="ACC32" s="270"/>
      <c r="ACD32" s="270"/>
      <c r="ACE32" s="270"/>
      <c r="ACF32" s="270"/>
      <c r="ACG32" s="270"/>
      <c r="ACH32" s="270"/>
      <c r="ACI32" s="270"/>
      <c r="ACJ32" s="270"/>
      <c r="ACK32" s="270"/>
      <c r="ACL32" s="270"/>
      <c r="ACM32" s="270"/>
      <c r="ACN32" s="270"/>
      <c r="ACO32" s="270"/>
      <c r="ACP32" s="270"/>
      <c r="ACQ32" s="270"/>
      <c r="ACR32" s="270"/>
      <c r="ACS32" s="270"/>
      <c r="ACT32" s="270"/>
      <c r="ACU32" s="270"/>
      <c r="ACV32" s="270"/>
      <c r="ACW32" s="270"/>
      <c r="ACX32" s="270"/>
      <c r="ACY32" s="270"/>
      <c r="ACZ32" s="270"/>
      <c r="ADA32" s="270"/>
      <c r="ADB32" s="270"/>
      <c r="ADC32" s="270"/>
      <c r="ADD32" s="270"/>
      <c r="ADE32" s="270"/>
      <c r="ADF32" s="270"/>
      <c r="ADG32" s="270"/>
      <c r="ADH32" s="270"/>
      <c r="ADI32" s="270"/>
      <c r="ADJ32" s="270"/>
      <c r="ADK32" s="270"/>
      <c r="ADL32" s="270"/>
      <c r="ADM32" s="270"/>
      <c r="ADN32" s="270"/>
      <c r="ADO32" s="270"/>
      <c r="ADP32" s="270"/>
      <c r="ADQ32" s="270"/>
      <c r="ADR32" s="270"/>
      <c r="ADS32" s="270"/>
      <c r="ADT32" s="270"/>
      <c r="ADU32" s="270"/>
      <c r="ADV32" s="270"/>
      <c r="ADW32" s="270"/>
      <c r="ADX32" s="270"/>
      <c r="ADY32" s="270"/>
      <c r="ADZ32" s="270"/>
      <c r="AEA32" s="270"/>
      <c r="AEB32" s="270"/>
      <c r="AEC32" s="270"/>
      <c r="AED32" s="270"/>
      <c r="AEE32" s="270"/>
      <c r="AEF32" s="270"/>
      <c r="AEG32" s="270"/>
      <c r="AEH32" s="270"/>
      <c r="AEI32" s="270"/>
      <c r="AEJ32" s="270"/>
      <c r="AEK32" s="270"/>
      <c r="AEL32" s="270"/>
      <c r="AEM32" s="270"/>
      <c r="AEN32" s="270"/>
      <c r="AEO32" s="270"/>
      <c r="AEP32" s="270"/>
      <c r="AEQ32" s="270"/>
      <c r="AER32" s="270"/>
      <c r="AES32" s="270"/>
      <c r="AET32" s="270"/>
      <c r="AEU32" s="270"/>
      <c r="AEV32" s="270"/>
      <c r="AEW32" s="270"/>
      <c r="AEX32" s="270"/>
      <c r="AEY32" s="270"/>
      <c r="AEZ32" s="270"/>
      <c r="AFA32" s="270"/>
      <c r="AFB32" s="270"/>
      <c r="AFC32" s="270"/>
      <c r="AFD32" s="270"/>
      <c r="AFE32" s="270"/>
      <c r="AFF32" s="270"/>
      <c r="AFG32" s="270"/>
      <c r="AFH32" s="270"/>
      <c r="AFI32" s="270"/>
      <c r="AFJ32" s="270"/>
      <c r="AFK32" s="270"/>
      <c r="AFL32" s="270"/>
      <c r="AFM32" s="270"/>
      <c r="AFN32" s="270"/>
      <c r="AFO32" s="270"/>
      <c r="AFP32" s="270"/>
      <c r="AFQ32" s="270"/>
      <c r="AFR32" s="270"/>
      <c r="AFS32" s="270"/>
      <c r="AFT32" s="270"/>
      <c r="AFU32" s="270"/>
      <c r="AFV32" s="270"/>
      <c r="AFW32" s="270"/>
      <c r="AFX32" s="270"/>
      <c r="AFY32" s="270"/>
      <c r="AFZ32" s="270"/>
      <c r="AGA32" s="270"/>
      <c r="AGB32" s="270"/>
      <c r="AGC32" s="270"/>
      <c r="AGD32" s="270"/>
      <c r="AGE32" s="270"/>
      <c r="AGF32" s="270"/>
      <c r="AGG32" s="270"/>
      <c r="AGH32" s="270"/>
      <c r="AGI32" s="270"/>
      <c r="AGJ32" s="270"/>
      <c r="AGK32" s="270"/>
      <c r="AGL32" s="270"/>
      <c r="AGM32" s="270"/>
      <c r="AGN32" s="270"/>
      <c r="AGO32" s="270"/>
      <c r="AGP32" s="270"/>
      <c r="AGQ32" s="270"/>
      <c r="AGR32" s="270"/>
      <c r="AGS32" s="270"/>
      <c r="AGT32" s="270"/>
      <c r="AGU32" s="270"/>
      <c r="AGV32" s="270"/>
      <c r="AGW32" s="270"/>
      <c r="AGX32" s="270"/>
      <c r="AGY32" s="270"/>
      <c r="AGZ32" s="270"/>
      <c r="AHA32" s="270"/>
      <c r="AHB32" s="270"/>
      <c r="AHC32" s="270"/>
      <c r="AHD32" s="270"/>
      <c r="AHE32" s="270"/>
      <c r="AHF32" s="270"/>
      <c r="AHG32" s="270"/>
      <c r="AHH32" s="270"/>
      <c r="AHI32" s="270"/>
      <c r="AHJ32" s="270"/>
      <c r="AHK32" s="270"/>
      <c r="AHL32" s="270"/>
      <c r="AHM32" s="270"/>
      <c r="AHN32" s="270"/>
      <c r="AHO32" s="270"/>
      <c r="AHP32" s="270"/>
      <c r="AHQ32" s="270"/>
      <c r="AHR32" s="270"/>
      <c r="AHS32" s="270"/>
      <c r="AHT32" s="270"/>
      <c r="AHU32" s="270"/>
      <c r="AHV32" s="270"/>
      <c r="AHW32" s="270"/>
      <c r="AHX32" s="270"/>
      <c r="AHY32" s="270"/>
      <c r="AHZ32" s="270"/>
      <c r="AIA32" s="270"/>
      <c r="AIB32" s="270"/>
      <c r="AIC32" s="270"/>
      <c r="AID32" s="270"/>
      <c r="AIE32" s="270"/>
      <c r="AIF32" s="270"/>
      <c r="AIG32" s="270"/>
      <c r="AIH32" s="270"/>
      <c r="AII32" s="270"/>
      <c r="AIJ32" s="270"/>
      <c r="AIK32" s="270"/>
      <c r="AIL32" s="270"/>
      <c r="AIM32" s="270"/>
      <c r="AIN32" s="270"/>
      <c r="AIO32" s="270"/>
      <c r="AIP32" s="270"/>
      <c r="AIQ32" s="270"/>
      <c r="AIR32" s="270"/>
      <c r="AIS32" s="270"/>
      <c r="AIT32" s="270"/>
      <c r="AIU32" s="270"/>
      <c r="AIV32" s="270"/>
      <c r="AIW32" s="270"/>
      <c r="AIX32" s="270"/>
      <c r="AIY32" s="270"/>
      <c r="AIZ32" s="270"/>
      <c r="AJA32" s="270"/>
      <c r="AJB32" s="270"/>
      <c r="AJC32" s="270"/>
      <c r="AJD32" s="270"/>
      <c r="AJE32" s="270"/>
      <c r="AJF32" s="270"/>
      <c r="AJG32" s="270"/>
      <c r="AJH32" s="270"/>
      <c r="AJI32" s="270"/>
      <c r="AJJ32" s="270"/>
      <c r="AJK32" s="270"/>
      <c r="AJL32" s="270"/>
      <c r="AJM32" s="270"/>
      <c r="AJN32" s="270"/>
      <c r="AJO32" s="270"/>
      <c r="AJP32" s="270"/>
      <c r="AJQ32" s="270"/>
      <c r="AJR32" s="270"/>
      <c r="AJS32" s="270"/>
      <c r="AJT32" s="270"/>
      <c r="AJU32" s="270"/>
      <c r="AJV32" s="270"/>
      <c r="AJW32" s="270"/>
      <c r="AJX32" s="270"/>
      <c r="AJY32" s="270"/>
      <c r="AJZ32" s="270"/>
      <c r="AKA32" s="270"/>
      <c r="AKB32" s="270"/>
      <c r="AKC32" s="270"/>
      <c r="AKD32" s="270"/>
      <c r="AKE32" s="270"/>
      <c r="AKF32" s="270"/>
      <c r="AKG32" s="270"/>
      <c r="AKH32" s="270"/>
      <c r="AKI32" s="270"/>
      <c r="AKJ32" s="270"/>
      <c r="AKK32" s="270"/>
      <c r="AKL32" s="270"/>
      <c r="AKM32" s="270"/>
      <c r="AKN32" s="270"/>
      <c r="AKO32" s="270"/>
      <c r="AKP32" s="270"/>
      <c r="AKQ32" s="270"/>
      <c r="AKR32" s="270"/>
      <c r="AKS32" s="270"/>
      <c r="AKT32" s="270"/>
      <c r="AKU32" s="270"/>
      <c r="AKV32" s="270"/>
      <c r="AKW32" s="270"/>
      <c r="AKX32" s="270"/>
      <c r="AKY32" s="270"/>
      <c r="AKZ32" s="270"/>
      <c r="ALA32" s="270"/>
      <c r="ALB32" s="270"/>
      <c r="ALC32" s="270"/>
      <c r="ALD32" s="270"/>
      <c r="ALE32" s="270"/>
      <c r="ALF32" s="270"/>
      <c r="ALG32" s="270"/>
      <c r="ALH32" s="270"/>
      <c r="ALI32" s="270"/>
      <c r="ALJ32" s="270"/>
      <c r="ALK32" s="270"/>
      <c r="ALL32" s="270"/>
      <c r="ALM32" s="270"/>
      <c r="ALN32" s="270"/>
      <c r="ALO32" s="270"/>
      <c r="ALP32" s="270"/>
      <c r="ALQ32" s="270"/>
      <c r="ALR32" s="270"/>
      <c r="ALS32" s="270"/>
      <c r="ALT32" s="270"/>
      <c r="ALU32" s="270"/>
      <c r="ALV32" s="270"/>
      <c r="ALW32" s="270"/>
      <c r="ALX32" s="270"/>
      <c r="ALY32" s="270"/>
      <c r="ALZ32" s="270"/>
      <c r="AMA32" s="270"/>
      <c r="AMB32" s="270"/>
      <c r="AMC32" s="270"/>
      <c r="AMD32" s="270"/>
      <c r="AME32" s="270"/>
      <c r="AMF32" s="270"/>
      <c r="AMG32" s="270"/>
      <c r="AMH32" s="270"/>
      <c r="AMI32" s="270"/>
      <c r="AMJ32" s="270"/>
      <c r="AMK32" s="270"/>
      <c r="AML32" s="270"/>
      <c r="AMM32" s="270"/>
      <c r="AMN32" s="270"/>
      <c r="AMO32" s="270"/>
      <c r="AMP32" s="270"/>
      <c r="AMQ32" s="270"/>
      <c r="AMR32" s="270"/>
      <c r="AMS32" s="270"/>
      <c r="AMT32" s="270"/>
      <c r="AMU32" s="270"/>
      <c r="AMV32" s="270"/>
      <c r="AMW32" s="270"/>
      <c r="AMX32" s="270"/>
      <c r="AMY32" s="270"/>
      <c r="AMZ32" s="270"/>
      <c r="ANA32" s="270"/>
      <c r="ANB32" s="270"/>
      <c r="ANC32" s="270"/>
      <c r="AND32" s="270"/>
      <c r="ANE32" s="275"/>
      <c r="ANF32" s="275"/>
      <c r="ANG32" s="275"/>
    </row>
  </sheetData>
  <mergeCells count="7">
    <mergeCell ref="AP6:AP7"/>
    <mergeCell ref="B26:C26"/>
    <mergeCell ref="E5:K5"/>
    <mergeCell ref="L5:X5"/>
    <mergeCell ref="Y5:AN5"/>
    <mergeCell ref="B6:B7"/>
    <mergeCell ref="C6:C7"/>
  </mergeCells>
  <pageMargins left="0.39374999999999999" right="0.196527777777778" top="0.59027777777777801" bottom="0" header="0.51180555555555496" footer="0"/>
  <pageSetup paperSize="9" scale="47" firstPageNumber="0" orientation="landscape" horizontalDpi="300" verticalDpi="300" r:id="rId1"/>
  <headerFooter>
    <oddFooter>&amp;R&amp;P 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</sheetPr>
  <dimension ref="A2:ANF40"/>
  <sheetViews>
    <sheetView showGridLines="0" showZeros="0" zoomScale="70" zoomScaleNormal="70" zoomScaleSheetLayoutView="100" zoomScalePageLayoutView="85" workbookViewId="0">
      <pane ySplit="8" topLeftCell="A9" activePane="bottomLeft" state="frozen"/>
      <selection activeCell="S14" sqref="S14"/>
      <selection pane="bottomLeft" activeCell="S14" sqref="S14"/>
    </sheetView>
  </sheetViews>
  <sheetFormatPr defaultColWidth="9.140625" defaultRowHeight="15" x14ac:dyDescent="0.25"/>
  <cols>
    <col min="1" max="1" width="2.5703125" style="275" customWidth="1"/>
    <col min="2" max="2" width="49.7109375" style="270" customWidth="1"/>
    <col min="3" max="3" width="0.85546875" style="270" customWidth="1"/>
    <col min="4" max="4" width="10.42578125" style="305" customWidth="1"/>
    <col min="5" max="9" width="9.5703125" style="305" customWidth="1"/>
    <col min="10" max="10" width="11.7109375" style="305" customWidth="1"/>
    <col min="11" max="39" width="9.5703125" style="305" customWidth="1"/>
    <col min="40" max="40" width="0.85546875" style="270" customWidth="1"/>
    <col min="41" max="41" width="12.85546875" style="270" customWidth="1"/>
    <col min="42" max="42" width="9.140625" style="274"/>
    <col min="43" max="43" width="9.85546875" style="274" customWidth="1"/>
    <col min="44" max="46" width="9.140625" style="274"/>
    <col min="47" max="49" width="12.5703125" style="274" customWidth="1"/>
    <col min="50" max="94" width="9.140625" style="274"/>
    <col min="95" max="1043" width="9.140625" style="270"/>
    <col min="1044" max="16384" width="9.140625" style="275"/>
  </cols>
  <sheetData>
    <row r="2" spans="2:94 1044:1046" s="270" customFormat="1" ht="29.25" customHeight="1" x14ac:dyDescent="0.25">
      <c r="D2" s="271" t="s">
        <v>13</v>
      </c>
      <c r="E2" s="272" t="s">
        <v>6654</v>
      </c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74"/>
      <c r="CA2" s="274"/>
      <c r="CB2" s="274"/>
      <c r="CC2" s="274"/>
      <c r="CD2" s="274"/>
      <c r="CE2" s="274"/>
      <c r="CF2" s="274"/>
      <c r="CG2" s="274"/>
      <c r="CH2" s="274"/>
      <c r="CI2" s="274"/>
      <c r="CJ2" s="274"/>
      <c r="CK2" s="274"/>
      <c r="CL2" s="274"/>
      <c r="CM2" s="274"/>
      <c r="CN2" s="274"/>
      <c r="CO2" s="274"/>
      <c r="CP2" s="274"/>
      <c r="AND2" s="275"/>
      <c r="ANE2" s="275"/>
      <c r="ANF2" s="275"/>
    </row>
    <row r="3" spans="2:94 1044:1046" s="270" customFormat="1" ht="29.25" customHeight="1" x14ac:dyDescent="0.25">
      <c r="B3" s="276"/>
      <c r="C3" s="276"/>
      <c r="D3" s="271" t="s">
        <v>14</v>
      </c>
      <c r="E3" s="272" t="s">
        <v>6655</v>
      </c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6"/>
      <c r="AO3" s="276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AND3" s="275"/>
      <c r="ANE3" s="275"/>
      <c r="ANF3" s="275"/>
    </row>
    <row r="4" spans="2:94 1044:1046" s="270" customFormat="1" ht="29.25" customHeight="1" x14ac:dyDescent="0.25">
      <c r="B4" s="277"/>
      <c r="C4" s="278"/>
      <c r="D4" s="278" t="s">
        <v>6706</v>
      </c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8"/>
      <c r="AO4" s="278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274"/>
      <c r="BB4" s="274"/>
      <c r="BC4" s="274"/>
      <c r="BD4" s="274"/>
      <c r="BE4" s="274"/>
      <c r="BF4" s="274"/>
      <c r="BG4" s="274"/>
      <c r="BH4" s="274"/>
      <c r="BI4" s="274"/>
      <c r="BJ4" s="274"/>
      <c r="BK4" s="274"/>
      <c r="BL4" s="274"/>
      <c r="BM4" s="274"/>
      <c r="BN4" s="274"/>
      <c r="BO4" s="274"/>
      <c r="BP4" s="274"/>
      <c r="BQ4" s="274"/>
      <c r="BR4" s="274"/>
      <c r="BS4" s="274"/>
      <c r="BT4" s="274"/>
      <c r="BU4" s="274"/>
      <c r="BV4" s="274"/>
      <c r="BW4" s="274"/>
      <c r="BX4" s="274"/>
      <c r="BY4" s="274"/>
      <c r="BZ4" s="274"/>
      <c r="CA4" s="274"/>
      <c r="CB4" s="274"/>
      <c r="CC4" s="274"/>
      <c r="CD4" s="274"/>
      <c r="CE4" s="274"/>
      <c r="CF4" s="274"/>
      <c r="CG4" s="274"/>
      <c r="CH4" s="274"/>
      <c r="CI4" s="274"/>
      <c r="CJ4" s="274"/>
      <c r="CK4" s="274"/>
      <c r="CL4" s="274"/>
      <c r="CM4" s="274"/>
      <c r="CN4" s="274"/>
      <c r="CO4" s="274"/>
      <c r="CP4" s="274"/>
      <c r="AND4" s="275"/>
      <c r="ANE4" s="275"/>
      <c r="ANF4" s="275"/>
    </row>
    <row r="5" spans="2:94 1044:1046" s="274" customFormat="1" ht="38.25" customHeight="1" x14ac:dyDescent="0.2">
      <c r="B5" s="278"/>
      <c r="C5" s="280"/>
      <c r="D5" s="444" t="s">
        <v>6657</v>
      </c>
      <c r="E5" s="444"/>
      <c r="F5" s="444"/>
      <c r="G5" s="444"/>
      <c r="H5" s="444"/>
      <c r="I5" s="444"/>
      <c r="J5" s="444"/>
      <c r="K5" s="439" t="s">
        <v>6658</v>
      </c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439"/>
      <c r="X5" s="440" t="s">
        <v>6659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280"/>
      <c r="AO5" s="281"/>
    </row>
    <row r="6" spans="2:94 1044:1046" s="270" customFormat="1" ht="45" customHeight="1" x14ac:dyDescent="0.25">
      <c r="B6" s="441" t="s">
        <v>6660</v>
      </c>
      <c r="C6" s="280"/>
      <c r="D6" s="282" t="s">
        <v>6662</v>
      </c>
      <c r="E6" s="282" t="s">
        <v>6663</v>
      </c>
      <c r="F6" s="282" t="s">
        <v>6664</v>
      </c>
      <c r="G6" s="282" t="s">
        <v>6665</v>
      </c>
      <c r="H6" s="282" t="s">
        <v>6666</v>
      </c>
      <c r="I6" s="282" t="s">
        <v>6667</v>
      </c>
      <c r="J6" s="282" t="s">
        <v>6668</v>
      </c>
      <c r="K6" s="282" t="s">
        <v>6669</v>
      </c>
      <c r="L6" s="282" t="s">
        <v>6670</v>
      </c>
      <c r="M6" s="282" t="s">
        <v>6671</v>
      </c>
      <c r="N6" s="282" t="s">
        <v>6672</v>
      </c>
      <c r="O6" s="282" t="s">
        <v>6673</v>
      </c>
      <c r="P6" s="282" t="s">
        <v>6674</v>
      </c>
      <c r="Q6" s="282" t="s">
        <v>6675</v>
      </c>
      <c r="R6" s="282" t="s">
        <v>6676</v>
      </c>
      <c r="S6" s="282" t="s">
        <v>6677</v>
      </c>
      <c r="T6" s="282" t="s">
        <v>6678</v>
      </c>
      <c r="U6" s="282" t="s">
        <v>6679</v>
      </c>
      <c r="V6" s="282" t="s">
        <v>6680</v>
      </c>
      <c r="W6" s="282" t="s">
        <v>6681</v>
      </c>
      <c r="X6" s="282" t="s">
        <v>6682</v>
      </c>
      <c r="Y6" s="282" t="s">
        <v>6683</v>
      </c>
      <c r="Z6" s="282" t="s">
        <v>6684</v>
      </c>
      <c r="AA6" s="282" t="s">
        <v>6685</v>
      </c>
      <c r="AB6" s="282" t="s">
        <v>6686</v>
      </c>
      <c r="AC6" s="282" t="s">
        <v>6687</v>
      </c>
      <c r="AD6" s="282" t="s">
        <v>6688</v>
      </c>
      <c r="AE6" s="282" t="s">
        <v>6689</v>
      </c>
      <c r="AF6" s="282" t="s">
        <v>6690</v>
      </c>
      <c r="AG6" s="282" t="s">
        <v>6691</v>
      </c>
      <c r="AH6" s="282" t="s">
        <v>6692</v>
      </c>
      <c r="AI6" s="282" t="s">
        <v>6693</v>
      </c>
      <c r="AJ6" s="282" t="s">
        <v>6694</v>
      </c>
      <c r="AK6" s="282" t="s">
        <v>6695</v>
      </c>
      <c r="AL6" s="282" t="s">
        <v>6696</v>
      </c>
      <c r="AM6" s="282" t="s">
        <v>6697</v>
      </c>
      <c r="AN6" s="280"/>
      <c r="AO6" s="441" t="s">
        <v>10</v>
      </c>
      <c r="AP6" s="274"/>
      <c r="AQ6" s="274"/>
      <c r="AR6" s="274"/>
      <c r="AS6" s="274"/>
      <c r="AT6" s="274"/>
      <c r="AU6" s="274"/>
      <c r="AV6" s="274"/>
      <c r="AW6" s="274"/>
      <c r="AX6" s="274"/>
      <c r="AY6" s="274"/>
      <c r="AZ6" s="274"/>
      <c r="BA6" s="274"/>
      <c r="BB6" s="274"/>
      <c r="BC6" s="274"/>
      <c r="BD6" s="274"/>
      <c r="BE6" s="274"/>
      <c r="BF6" s="274"/>
      <c r="BG6" s="274"/>
      <c r="BH6" s="274"/>
      <c r="BI6" s="274"/>
      <c r="BJ6" s="274"/>
      <c r="BK6" s="274"/>
      <c r="BL6" s="274"/>
      <c r="BM6" s="274"/>
      <c r="BN6" s="274"/>
      <c r="BO6" s="274"/>
      <c r="BP6" s="274"/>
      <c r="BQ6" s="274"/>
      <c r="BR6" s="274"/>
      <c r="BS6" s="274"/>
      <c r="BT6" s="274"/>
      <c r="BU6" s="274"/>
      <c r="BV6" s="274"/>
      <c r="BW6" s="274"/>
      <c r="BX6" s="274"/>
      <c r="BY6" s="274"/>
      <c r="BZ6" s="274"/>
      <c r="CA6" s="274"/>
      <c r="CB6" s="274"/>
      <c r="CC6" s="274"/>
      <c r="CD6" s="274"/>
      <c r="CE6" s="274"/>
      <c r="CF6" s="274"/>
      <c r="CG6" s="274"/>
      <c r="CH6" s="274"/>
      <c r="CI6" s="274"/>
      <c r="CJ6" s="274"/>
      <c r="CK6" s="274"/>
      <c r="CL6" s="274"/>
      <c r="CM6" s="274"/>
      <c r="CN6" s="274"/>
      <c r="CO6" s="274"/>
      <c r="CP6" s="274"/>
      <c r="AND6" s="275"/>
      <c r="ANE6" s="275"/>
      <c r="ANF6" s="275"/>
    </row>
    <row r="7" spans="2:94 1044:1046" s="270" customFormat="1" ht="20.100000000000001" customHeight="1" x14ac:dyDescent="0.25">
      <c r="B7" s="442"/>
      <c r="C7" s="280"/>
      <c r="D7" s="282">
        <v>45139</v>
      </c>
      <c r="E7" s="283">
        <f t="shared" ref="E7:AM7" si="0">D7+31</f>
        <v>45170</v>
      </c>
      <c r="F7" s="283">
        <f t="shared" si="0"/>
        <v>45201</v>
      </c>
      <c r="G7" s="283">
        <f t="shared" si="0"/>
        <v>45232</v>
      </c>
      <c r="H7" s="283">
        <f t="shared" si="0"/>
        <v>45263</v>
      </c>
      <c r="I7" s="283">
        <f t="shared" si="0"/>
        <v>45294</v>
      </c>
      <c r="J7" s="283">
        <f t="shared" si="0"/>
        <v>45325</v>
      </c>
      <c r="K7" s="283">
        <f t="shared" si="0"/>
        <v>45356</v>
      </c>
      <c r="L7" s="283">
        <f t="shared" si="0"/>
        <v>45387</v>
      </c>
      <c r="M7" s="283">
        <f t="shared" si="0"/>
        <v>45418</v>
      </c>
      <c r="N7" s="283">
        <f t="shared" si="0"/>
        <v>45449</v>
      </c>
      <c r="O7" s="283">
        <f t="shared" si="0"/>
        <v>45480</v>
      </c>
      <c r="P7" s="283">
        <f t="shared" si="0"/>
        <v>45511</v>
      </c>
      <c r="Q7" s="283">
        <f t="shared" si="0"/>
        <v>45542</v>
      </c>
      <c r="R7" s="283">
        <f t="shared" si="0"/>
        <v>45573</v>
      </c>
      <c r="S7" s="283">
        <f t="shared" si="0"/>
        <v>45604</v>
      </c>
      <c r="T7" s="283">
        <f t="shared" si="0"/>
        <v>45635</v>
      </c>
      <c r="U7" s="283">
        <f t="shared" si="0"/>
        <v>45666</v>
      </c>
      <c r="V7" s="283">
        <f t="shared" si="0"/>
        <v>45697</v>
      </c>
      <c r="W7" s="283">
        <f t="shared" si="0"/>
        <v>45728</v>
      </c>
      <c r="X7" s="283">
        <f t="shared" si="0"/>
        <v>45759</v>
      </c>
      <c r="Y7" s="283">
        <f t="shared" si="0"/>
        <v>45790</v>
      </c>
      <c r="Z7" s="283">
        <f t="shared" si="0"/>
        <v>45821</v>
      </c>
      <c r="AA7" s="283">
        <f t="shared" si="0"/>
        <v>45852</v>
      </c>
      <c r="AB7" s="283">
        <f t="shared" si="0"/>
        <v>45883</v>
      </c>
      <c r="AC7" s="283">
        <f t="shared" si="0"/>
        <v>45914</v>
      </c>
      <c r="AD7" s="283">
        <f t="shared" si="0"/>
        <v>45945</v>
      </c>
      <c r="AE7" s="283">
        <f t="shared" si="0"/>
        <v>45976</v>
      </c>
      <c r="AF7" s="283">
        <f t="shared" si="0"/>
        <v>46007</v>
      </c>
      <c r="AG7" s="283">
        <f t="shared" si="0"/>
        <v>46038</v>
      </c>
      <c r="AH7" s="283">
        <f t="shared" si="0"/>
        <v>46069</v>
      </c>
      <c r="AI7" s="283">
        <f t="shared" si="0"/>
        <v>46100</v>
      </c>
      <c r="AJ7" s="283">
        <f t="shared" si="0"/>
        <v>46131</v>
      </c>
      <c r="AK7" s="283">
        <f t="shared" si="0"/>
        <v>46162</v>
      </c>
      <c r="AL7" s="283">
        <f t="shared" si="0"/>
        <v>46193</v>
      </c>
      <c r="AM7" s="283">
        <f t="shared" si="0"/>
        <v>46224</v>
      </c>
      <c r="AN7" s="280"/>
      <c r="AO7" s="442"/>
      <c r="AP7" s="274"/>
      <c r="AQ7" s="274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274"/>
      <c r="BG7" s="274"/>
      <c r="BH7" s="274"/>
      <c r="BI7" s="274"/>
      <c r="BJ7" s="274"/>
      <c r="BK7" s="274"/>
      <c r="BL7" s="274"/>
      <c r="BM7" s="274"/>
      <c r="BN7" s="274"/>
      <c r="BO7" s="274"/>
      <c r="BP7" s="274"/>
      <c r="BQ7" s="274"/>
      <c r="BR7" s="274"/>
      <c r="BS7" s="274"/>
      <c r="BT7" s="274"/>
      <c r="BU7" s="274"/>
      <c r="BV7" s="274"/>
      <c r="BW7" s="274"/>
      <c r="BX7" s="274"/>
      <c r="BY7" s="274"/>
      <c r="BZ7" s="274"/>
      <c r="CA7" s="274"/>
      <c r="CB7" s="274"/>
      <c r="CC7" s="274"/>
      <c r="CD7" s="274"/>
      <c r="CE7" s="274"/>
      <c r="CF7" s="274"/>
      <c r="CG7" s="274"/>
      <c r="CH7" s="274"/>
      <c r="CI7" s="274"/>
      <c r="CJ7" s="274"/>
      <c r="CK7" s="274"/>
      <c r="CL7" s="274"/>
      <c r="CM7" s="274"/>
      <c r="CN7" s="274"/>
      <c r="CO7" s="274"/>
      <c r="CP7" s="274"/>
      <c r="AND7" s="275"/>
      <c r="ANE7" s="275"/>
      <c r="ANF7" s="275"/>
    </row>
    <row r="8" spans="2:94 1044:1046" s="270" customFormat="1" ht="5.0999999999999996" customHeight="1" x14ac:dyDescent="0.2"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5"/>
      <c r="AP8" s="274"/>
      <c r="AQ8" s="274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274"/>
      <c r="BG8" s="274"/>
      <c r="BH8" s="274"/>
      <c r="BI8" s="274"/>
      <c r="BJ8" s="274"/>
      <c r="BK8" s="274"/>
      <c r="BL8" s="274"/>
      <c r="BM8" s="274"/>
      <c r="BN8" s="274"/>
      <c r="BO8" s="274"/>
      <c r="BP8" s="274"/>
      <c r="BQ8" s="274"/>
      <c r="BR8" s="274"/>
      <c r="BS8" s="274"/>
      <c r="BT8" s="274"/>
      <c r="BU8" s="274"/>
      <c r="BV8" s="274"/>
      <c r="BW8" s="274"/>
      <c r="BX8" s="274"/>
      <c r="BY8" s="274"/>
      <c r="BZ8" s="274"/>
      <c r="CA8" s="274"/>
      <c r="CB8" s="274"/>
      <c r="CC8" s="274"/>
      <c r="CD8" s="274"/>
      <c r="CE8" s="274"/>
      <c r="CF8" s="274"/>
      <c r="CG8" s="274"/>
      <c r="CH8" s="274"/>
      <c r="CI8" s="274"/>
      <c r="CJ8" s="274"/>
      <c r="CK8" s="274"/>
      <c r="CL8" s="274"/>
      <c r="CM8" s="274"/>
      <c r="CN8" s="274"/>
      <c r="CO8" s="274"/>
      <c r="CP8" s="274"/>
    </row>
    <row r="9" spans="2:94 1044:1046" s="293" customFormat="1" ht="24.95" customHeight="1" x14ac:dyDescent="0.2">
      <c r="B9" s="286" t="s">
        <v>6707</v>
      </c>
      <c r="C9" s="288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306"/>
      <c r="AJ9" s="306"/>
      <c r="AK9" s="306"/>
      <c r="AL9" s="306"/>
      <c r="AM9" s="306"/>
      <c r="AN9" s="288"/>
      <c r="AO9" s="290">
        <v>4</v>
      </c>
      <c r="AP9" s="292"/>
      <c r="AQ9" s="292"/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2"/>
      <c r="BD9" s="292"/>
      <c r="BE9" s="292"/>
      <c r="BF9" s="292"/>
      <c r="BG9" s="292"/>
      <c r="BH9" s="292"/>
      <c r="BI9" s="292"/>
      <c r="BJ9" s="292"/>
      <c r="BK9" s="292"/>
      <c r="BL9" s="292"/>
      <c r="BM9" s="292"/>
      <c r="BN9" s="292"/>
      <c r="BO9" s="292"/>
      <c r="BP9" s="292"/>
      <c r="BQ9" s="292"/>
      <c r="BR9" s="292"/>
      <c r="BS9" s="292"/>
      <c r="BT9" s="292"/>
      <c r="BU9" s="292"/>
      <c r="BV9" s="292"/>
      <c r="BW9" s="292"/>
      <c r="BX9" s="292"/>
      <c r="BY9" s="292"/>
      <c r="BZ9" s="292"/>
      <c r="CA9" s="292"/>
      <c r="CB9" s="292"/>
      <c r="CC9" s="292"/>
      <c r="CD9" s="292"/>
      <c r="CE9" s="292"/>
      <c r="CF9" s="292"/>
      <c r="CG9" s="292"/>
      <c r="CH9" s="292"/>
      <c r="CI9" s="292"/>
      <c r="CJ9" s="292"/>
      <c r="CK9" s="292"/>
      <c r="CL9" s="292"/>
      <c r="CM9" s="292"/>
      <c r="CN9" s="292"/>
      <c r="CO9" s="292"/>
      <c r="CP9" s="292"/>
    </row>
    <row r="10" spans="2:94 1044:1046" s="293" customFormat="1" ht="24.95" customHeight="1" x14ac:dyDescent="0.2">
      <c r="B10" s="286" t="s">
        <v>6708</v>
      </c>
      <c r="C10" s="288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6"/>
      <c r="AM10" s="306"/>
      <c r="AN10" s="288"/>
      <c r="AO10" s="290">
        <v>2</v>
      </c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2"/>
      <c r="BD10" s="292"/>
      <c r="BE10" s="292"/>
      <c r="BF10" s="292"/>
      <c r="BG10" s="292"/>
      <c r="BH10" s="292"/>
      <c r="BI10" s="292"/>
      <c r="BJ10" s="292"/>
      <c r="BK10" s="292"/>
      <c r="BL10" s="292"/>
      <c r="BM10" s="292"/>
      <c r="BN10" s="292"/>
      <c r="BO10" s="292"/>
      <c r="BP10" s="292"/>
      <c r="BQ10" s="292"/>
      <c r="BR10" s="292"/>
      <c r="BS10" s="292"/>
      <c r="BT10" s="292"/>
      <c r="BU10" s="292"/>
      <c r="BV10" s="292"/>
      <c r="BW10" s="292"/>
      <c r="BX10" s="292"/>
      <c r="BY10" s="292"/>
      <c r="BZ10" s="292"/>
      <c r="CA10" s="292"/>
      <c r="CB10" s="292"/>
      <c r="CC10" s="292"/>
      <c r="CD10" s="292"/>
      <c r="CE10" s="292"/>
      <c r="CF10" s="292"/>
      <c r="CG10" s="292"/>
      <c r="CH10" s="292"/>
      <c r="CI10" s="292"/>
      <c r="CJ10" s="292"/>
      <c r="CK10" s="292"/>
      <c r="CL10" s="292"/>
      <c r="CM10" s="292"/>
      <c r="CN10" s="292"/>
      <c r="CO10" s="292"/>
      <c r="CP10" s="292"/>
    </row>
    <row r="11" spans="2:94 1044:1046" s="293" customFormat="1" ht="24.95" customHeight="1" x14ac:dyDescent="0.2">
      <c r="B11" s="286" t="s">
        <v>6709</v>
      </c>
      <c r="C11" s="288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  <c r="AM11" s="306"/>
      <c r="AN11" s="288"/>
      <c r="AO11" s="290">
        <v>1</v>
      </c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2"/>
      <c r="BD11" s="292"/>
      <c r="BE11" s="292"/>
      <c r="BF11" s="292"/>
      <c r="BG11" s="292"/>
      <c r="BH11" s="292"/>
      <c r="BI11" s="292"/>
      <c r="BJ11" s="292"/>
      <c r="BK11" s="292"/>
      <c r="BL11" s="292"/>
      <c r="BM11" s="292"/>
      <c r="BN11" s="292"/>
      <c r="BO11" s="292"/>
      <c r="BP11" s="292"/>
      <c r="BQ11" s="292"/>
      <c r="BR11" s="292"/>
      <c r="BS11" s="292"/>
      <c r="BT11" s="292"/>
      <c r="BU11" s="292"/>
      <c r="BV11" s="292"/>
      <c r="BW11" s="292"/>
      <c r="BX11" s="292"/>
      <c r="BY11" s="292"/>
      <c r="BZ11" s="292"/>
      <c r="CA11" s="292"/>
      <c r="CB11" s="292"/>
      <c r="CC11" s="292"/>
      <c r="CD11" s="292"/>
      <c r="CE11" s="292"/>
      <c r="CF11" s="292"/>
      <c r="CG11" s="292"/>
      <c r="CH11" s="292"/>
      <c r="CI11" s="292"/>
      <c r="CJ11" s="292"/>
      <c r="CK11" s="292"/>
      <c r="CL11" s="292"/>
      <c r="CM11" s="292"/>
      <c r="CN11" s="292"/>
      <c r="CO11" s="292"/>
      <c r="CP11" s="292"/>
    </row>
    <row r="12" spans="2:94 1044:1046" s="293" customFormat="1" ht="24.95" customHeight="1" x14ac:dyDescent="0.2">
      <c r="B12" s="286" t="s">
        <v>6710</v>
      </c>
      <c r="C12" s="288"/>
      <c r="D12" s="289">
        <v>4</v>
      </c>
      <c r="E12" s="289">
        <v>4</v>
      </c>
      <c r="F12" s="289">
        <v>4</v>
      </c>
      <c r="G12" s="289">
        <v>4</v>
      </c>
      <c r="H12" s="289">
        <v>4</v>
      </c>
      <c r="I12" s="289">
        <v>4</v>
      </c>
      <c r="J12" s="289">
        <v>4</v>
      </c>
      <c r="K12" s="289">
        <v>4</v>
      </c>
      <c r="L12" s="289">
        <v>4</v>
      </c>
      <c r="M12" s="289">
        <v>4</v>
      </c>
      <c r="N12" s="289">
        <v>4</v>
      </c>
      <c r="O12" s="289">
        <v>4</v>
      </c>
      <c r="P12" s="289">
        <v>4</v>
      </c>
      <c r="Q12" s="289">
        <v>4</v>
      </c>
      <c r="R12" s="289">
        <v>4</v>
      </c>
      <c r="S12" s="289">
        <v>4</v>
      </c>
      <c r="T12" s="289">
        <v>4</v>
      </c>
      <c r="U12" s="289">
        <v>4</v>
      </c>
      <c r="V12" s="289">
        <v>4</v>
      </c>
      <c r="W12" s="289">
        <v>4</v>
      </c>
      <c r="X12" s="289">
        <v>4</v>
      </c>
      <c r="Y12" s="289">
        <v>4</v>
      </c>
      <c r="Z12" s="289">
        <v>4</v>
      </c>
      <c r="AA12" s="289">
        <v>4</v>
      </c>
      <c r="AB12" s="289">
        <v>4</v>
      </c>
      <c r="AC12" s="289">
        <v>4</v>
      </c>
      <c r="AD12" s="289">
        <v>4</v>
      </c>
      <c r="AE12" s="289">
        <v>4</v>
      </c>
      <c r="AF12" s="289">
        <v>4</v>
      </c>
      <c r="AG12" s="289">
        <v>4</v>
      </c>
      <c r="AH12" s="289">
        <v>4</v>
      </c>
      <c r="AI12" s="289">
        <v>4</v>
      </c>
      <c r="AJ12" s="289">
        <v>4</v>
      </c>
      <c r="AK12" s="289">
        <v>4</v>
      </c>
      <c r="AL12" s="289">
        <v>4</v>
      </c>
      <c r="AM12" s="289">
        <v>4</v>
      </c>
      <c r="AN12" s="288"/>
      <c r="AO12" s="290">
        <f t="shared" ref="AO12:AO36" si="1">SUM(D12:AM12)</f>
        <v>144</v>
      </c>
      <c r="AP12" s="292"/>
      <c r="AQ12" s="292"/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2"/>
      <c r="BD12" s="292"/>
      <c r="BE12" s="292"/>
      <c r="BF12" s="292"/>
      <c r="BG12" s="292"/>
      <c r="BH12" s="292"/>
      <c r="BI12" s="292"/>
      <c r="BJ12" s="292"/>
      <c r="BK12" s="292"/>
      <c r="BL12" s="292"/>
      <c r="BM12" s="292"/>
      <c r="BN12" s="292"/>
      <c r="BO12" s="292"/>
      <c r="BP12" s="292"/>
      <c r="BQ12" s="292"/>
      <c r="BR12" s="292"/>
      <c r="BS12" s="292"/>
      <c r="BT12" s="292"/>
      <c r="BU12" s="292"/>
      <c r="BV12" s="292"/>
      <c r="BW12" s="292"/>
      <c r="BX12" s="292"/>
      <c r="BY12" s="292"/>
      <c r="BZ12" s="292"/>
      <c r="CA12" s="292"/>
      <c r="CB12" s="292"/>
      <c r="CC12" s="292"/>
      <c r="CD12" s="292"/>
      <c r="CE12" s="292"/>
      <c r="CF12" s="292"/>
      <c r="CG12" s="292"/>
      <c r="CH12" s="292"/>
      <c r="CI12" s="292"/>
      <c r="CJ12" s="292"/>
      <c r="CK12" s="292"/>
      <c r="CL12" s="292"/>
      <c r="CM12" s="292"/>
      <c r="CN12" s="292"/>
      <c r="CO12" s="292"/>
      <c r="CP12" s="292"/>
    </row>
    <row r="13" spans="2:94 1044:1046" s="293" customFormat="1" ht="24.95" customHeight="1" x14ac:dyDescent="0.2">
      <c r="B13" s="286" t="s">
        <v>6711</v>
      </c>
      <c r="C13" s="288"/>
      <c r="D13" s="289"/>
      <c r="E13" s="289">
        <v>1</v>
      </c>
      <c r="F13" s="289">
        <v>1</v>
      </c>
      <c r="G13" s="289">
        <v>1</v>
      </c>
      <c r="H13" s="289">
        <v>1</v>
      </c>
      <c r="I13" s="289">
        <v>1</v>
      </c>
      <c r="J13" s="289">
        <v>1</v>
      </c>
      <c r="K13" s="289">
        <v>1</v>
      </c>
      <c r="L13" s="289">
        <v>1</v>
      </c>
      <c r="M13" s="289">
        <v>1</v>
      </c>
      <c r="N13" s="289">
        <v>1</v>
      </c>
      <c r="O13" s="289">
        <v>1</v>
      </c>
      <c r="P13" s="289">
        <v>1</v>
      </c>
      <c r="Q13" s="289">
        <v>1</v>
      </c>
      <c r="R13" s="289">
        <v>1</v>
      </c>
      <c r="S13" s="289">
        <v>1</v>
      </c>
      <c r="T13" s="289">
        <v>1</v>
      </c>
      <c r="U13" s="289">
        <v>1</v>
      </c>
      <c r="V13" s="289">
        <v>1</v>
      </c>
      <c r="W13" s="289">
        <v>1</v>
      </c>
      <c r="X13" s="289">
        <v>1</v>
      </c>
      <c r="Y13" s="289">
        <v>1</v>
      </c>
      <c r="Z13" s="289">
        <v>1</v>
      </c>
      <c r="AA13" s="289">
        <v>1</v>
      </c>
      <c r="AB13" s="289">
        <v>1</v>
      </c>
      <c r="AC13" s="289">
        <v>1</v>
      </c>
      <c r="AD13" s="289">
        <v>1</v>
      </c>
      <c r="AE13" s="289">
        <v>1</v>
      </c>
      <c r="AF13" s="289">
        <v>1</v>
      </c>
      <c r="AG13" s="289"/>
      <c r="AH13" s="289"/>
      <c r="AI13" s="289"/>
      <c r="AJ13" s="289"/>
      <c r="AK13" s="289"/>
      <c r="AL13" s="289"/>
      <c r="AM13" s="289"/>
      <c r="AN13" s="288"/>
      <c r="AO13" s="290">
        <f t="shared" si="1"/>
        <v>28</v>
      </c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292"/>
      <c r="BF13" s="292"/>
      <c r="BG13" s="292"/>
      <c r="BH13" s="292"/>
      <c r="BI13" s="292"/>
      <c r="BJ13" s="292"/>
      <c r="BK13" s="292"/>
      <c r="BL13" s="292"/>
      <c r="BM13" s="292"/>
      <c r="BN13" s="292"/>
      <c r="BO13" s="292"/>
      <c r="BP13" s="292"/>
      <c r="BQ13" s="292"/>
      <c r="BR13" s="292"/>
      <c r="BS13" s="292"/>
      <c r="BT13" s="292"/>
      <c r="BU13" s="292"/>
      <c r="BV13" s="292"/>
      <c r="BW13" s="292"/>
      <c r="BX13" s="292"/>
      <c r="BY13" s="292"/>
      <c r="BZ13" s="292"/>
      <c r="CA13" s="292"/>
      <c r="CB13" s="292"/>
      <c r="CC13" s="292"/>
      <c r="CD13" s="292"/>
      <c r="CE13" s="292"/>
      <c r="CF13" s="292"/>
      <c r="CG13" s="292"/>
      <c r="CH13" s="292"/>
      <c r="CI13" s="292"/>
      <c r="CJ13" s="292"/>
      <c r="CK13" s="292"/>
      <c r="CL13" s="292"/>
      <c r="CM13" s="292"/>
      <c r="CN13" s="292"/>
      <c r="CO13" s="292"/>
      <c r="CP13" s="292"/>
    </row>
    <row r="14" spans="2:94 1044:1046" s="293" customFormat="1" ht="24.95" customHeight="1" x14ac:dyDescent="0.2">
      <c r="B14" s="286" t="s">
        <v>6712</v>
      </c>
      <c r="C14" s="288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>
        <v>2</v>
      </c>
      <c r="Y14" s="289">
        <v>2</v>
      </c>
      <c r="Z14" s="289">
        <v>2</v>
      </c>
      <c r="AA14" s="289">
        <v>2</v>
      </c>
      <c r="AB14" s="289">
        <v>2</v>
      </c>
      <c r="AC14" s="289">
        <v>2</v>
      </c>
      <c r="AD14" s="289">
        <v>2</v>
      </c>
      <c r="AE14" s="289">
        <v>2</v>
      </c>
      <c r="AF14" s="289">
        <v>2</v>
      </c>
      <c r="AG14" s="289">
        <v>2</v>
      </c>
      <c r="AH14" s="289">
        <v>2</v>
      </c>
      <c r="AI14" s="289">
        <v>2</v>
      </c>
      <c r="AJ14" s="289">
        <v>2</v>
      </c>
      <c r="AK14" s="289">
        <v>2</v>
      </c>
      <c r="AL14" s="289">
        <v>2</v>
      </c>
      <c r="AM14" s="289"/>
      <c r="AN14" s="288"/>
      <c r="AO14" s="290">
        <f t="shared" si="1"/>
        <v>30</v>
      </c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292"/>
      <c r="BF14" s="292"/>
      <c r="BG14" s="292"/>
      <c r="BH14" s="292"/>
      <c r="BI14" s="292"/>
      <c r="BJ14" s="292"/>
      <c r="BK14" s="292"/>
      <c r="BL14" s="292"/>
      <c r="BM14" s="292"/>
      <c r="BN14" s="292"/>
      <c r="BO14" s="292"/>
      <c r="BP14" s="292"/>
      <c r="BQ14" s="292"/>
      <c r="BR14" s="292"/>
      <c r="BS14" s="292"/>
      <c r="BT14" s="292"/>
      <c r="BU14" s="292"/>
      <c r="BV14" s="292"/>
      <c r="BW14" s="292"/>
      <c r="BX14" s="292"/>
      <c r="BY14" s="292"/>
      <c r="BZ14" s="292"/>
      <c r="CA14" s="292"/>
      <c r="CB14" s="292"/>
      <c r="CC14" s="292"/>
      <c r="CD14" s="292"/>
      <c r="CE14" s="292"/>
      <c r="CF14" s="292"/>
      <c r="CG14" s="292"/>
      <c r="CH14" s="292"/>
      <c r="CI14" s="292"/>
      <c r="CJ14" s="292"/>
      <c r="CK14" s="292"/>
      <c r="CL14" s="292"/>
      <c r="CM14" s="292"/>
      <c r="CN14" s="292"/>
      <c r="CO14" s="292"/>
      <c r="CP14" s="292"/>
    </row>
    <row r="15" spans="2:94 1044:1046" s="293" customFormat="1" ht="24.95" customHeight="1" x14ac:dyDescent="0.2">
      <c r="B15" s="286" t="s">
        <v>2441</v>
      </c>
      <c r="C15" s="288"/>
      <c r="D15" s="289"/>
      <c r="E15" s="289"/>
      <c r="F15" s="289">
        <v>3</v>
      </c>
      <c r="G15" s="289">
        <v>3</v>
      </c>
      <c r="H15" s="289">
        <v>3</v>
      </c>
      <c r="I15" s="289">
        <v>3</v>
      </c>
      <c r="J15" s="289">
        <v>3</v>
      </c>
      <c r="K15" s="289">
        <v>3</v>
      </c>
      <c r="L15" s="289">
        <v>3</v>
      </c>
      <c r="M15" s="289">
        <v>3</v>
      </c>
      <c r="N15" s="289">
        <v>3</v>
      </c>
      <c r="O15" s="289">
        <v>3</v>
      </c>
      <c r="P15" s="289">
        <v>3</v>
      </c>
      <c r="Q15" s="289">
        <v>3</v>
      </c>
      <c r="R15" s="289">
        <v>3</v>
      </c>
      <c r="S15" s="289">
        <v>3</v>
      </c>
      <c r="T15" s="289">
        <v>3</v>
      </c>
      <c r="U15" s="289">
        <v>3</v>
      </c>
      <c r="V15" s="289">
        <v>3</v>
      </c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8"/>
      <c r="AO15" s="290">
        <f t="shared" si="1"/>
        <v>51</v>
      </c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292"/>
      <c r="BI15" s="292"/>
      <c r="BJ15" s="292"/>
      <c r="BK15" s="292"/>
      <c r="BL15" s="292"/>
      <c r="BM15" s="292"/>
      <c r="BN15" s="292"/>
      <c r="BO15" s="292"/>
      <c r="BP15" s="292"/>
      <c r="BQ15" s="292"/>
      <c r="BR15" s="292"/>
      <c r="BS15" s="292"/>
      <c r="BT15" s="292"/>
      <c r="BU15" s="292"/>
      <c r="BV15" s="292"/>
      <c r="BW15" s="292"/>
      <c r="BX15" s="292"/>
      <c r="BY15" s="292"/>
      <c r="BZ15" s="292"/>
      <c r="CA15" s="292"/>
      <c r="CB15" s="292"/>
      <c r="CC15" s="292"/>
      <c r="CD15" s="292"/>
      <c r="CE15" s="292"/>
      <c r="CF15" s="292"/>
      <c r="CG15" s="292"/>
      <c r="CH15" s="292"/>
      <c r="CI15" s="292"/>
      <c r="CJ15" s="292"/>
      <c r="CK15" s="292"/>
      <c r="CL15" s="292"/>
      <c r="CM15" s="292"/>
      <c r="CN15" s="292"/>
      <c r="CO15" s="292"/>
      <c r="CP15" s="292"/>
    </row>
    <row r="16" spans="2:94 1044:1046" s="293" customFormat="1" ht="24.95" customHeight="1" x14ac:dyDescent="0.2">
      <c r="B16" s="286" t="s">
        <v>6713</v>
      </c>
      <c r="C16" s="288"/>
      <c r="D16" s="289"/>
      <c r="E16" s="289">
        <v>1</v>
      </c>
      <c r="F16" s="289">
        <v>1</v>
      </c>
      <c r="G16" s="289">
        <v>1</v>
      </c>
      <c r="H16" s="289">
        <v>1</v>
      </c>
      <c r="I16" s="289">
        <v>1</v>
      </c>
      <c r="J16" s="289">
        <v>1</v>
      </c>
      <c r="K16" s="289">
        <v>1</v>
      </c>
      <c r="L16" s="289">
        <v>1</v>
      </c>
      <c r="M16" s="289">
        <v>1</v>
      </c>
      <c r="N16" s="289">
        <v>1</v>
      </c>
      <c r="O16" s="289">
        <v>1</v>
      </c>
      <c r="P16" s="289">
        <v>1</v>
      </c>
      <c r="Q16" s="289">
        <v>1</v>
      </c>
      <c r="R16" s="289">
        <v>1</v>
      </c>
      <c r="S16" s="289">
        <v>1</v>
      </c>
      <c r="T16" s="289">
        <v>1</v>
      </c>
      <c r="U16" s="289">
        <v>1</v>
      </c>
      <c r="V16" s="289">
        <v>1</v>
      </c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8"/>
      <c r="AO16" s="290">
        <f t="shared" si="1"/>
        <v>18</v>
      </c>
      <c r="AP16" s="292"/>
      <c r="AQ16" s="292"/>
      <c r="AR16" s="292"/>
      <c r="AS16" s="292"/>
      <c r="AT16" s="292"/>
      <c r="AU16" s="292"/>
      <c r="AV16" s="292"/>
      <c r="AW16" s="292"/>
      <c r="AX16" s="292"/>
      <c r="AY16" s="292"/>
      <c r="AZ16" s="292"/>
      <c r="BA16" s="292"/>
      <c r="BB16" s="292"/>
      <c r="BC16" s="292"/>
      <c r="BD16" s="292"/>
      <c r="BE16" s="292"/>
      <c r="BF16" s="292"/>
      <c r="BG16" s="292"/>
      <c r="BH16" s="292"/>
      <c r="BI16" s="292"/>
      <c r="BJ16" s="292"/>
      <c r="BK16" s="292"/>
      <c r="BL16" s="292"/>
      <c r="BM16" s="292"/>
      <c r="BN16" s="292"/>
      <c r="BO16" s="292"/>
      <c r="BP16" s="292"/>
      <c r="BQ16" s="292"/>
      <c r="BR16" s="292"/>
      <c r="BS16" s="292"/>
      <c r="BT16" s="292"/>
      <c r="BU16" s="292"/>
      <c r="BV16" s="292"/>
      <c r="BW16" s="292"/>
      <c r="BX16" s="292"/>
      <c r="BY16" s="292"/>
      <c r="BZ16" s="292"/>
      <c r="CA16" s="292"/>
      <c r="CB16" s="292"/>
      <c r="CC16" s="292"/>
      <c r="CD16" s="292"/>
      <c r="CE16" s="292"/>
      <c r="CF16" s="292"/>
      <c r="CG16" s="292"/>
      <c r="CH16" s="292"/>
      <c r="CI16" s="292"/>
      <c r="CJ16" s="292"/>
      <c r="CK16" s="292"/>
      <c r="CL16" s="292"/>
      <c r="CM16" s="292"/>
      <c r="CN16" s="292"/>
      <c r="CO16" s="292"/>
      <c r="CP16" s="292"/>
    </row>
    <row r="17" spans="1:94" s="293" customFormat="1" ht="24.95" customHeight="1" x14ac:dyDescent="0.2">
      <c r="B17" s="286" t="s">
        <v>6714</v>
      </c>
      <c r="C17" s="288"/>
      <c r="D17" s="289"/>
      <c r="E17" s="289">
        <v>1</v>
      </c>
      <c r="F17" s="289">
        <v>1</v>
      </c>
      <c r="G17" s="289">
        <v>1</v>
      </c>
      <c r="H17" s="289">
        <v>1</v>
      </c>
      <c r="I17" s="289">
        <v>1</v>
      </c>
      <c r="J17" s="289">
        <v>1</v>
      </c>
      <c r="K17" s="289">
        <v>1</v>
      </c>
      <c r="L17" s="289">
        <v>1</v>
      </c>
      <c r="M17" s="289">
        <v>1</v>
      </c>
      <c r="N17" s="289">
        <v>1</v>
      </c>
      <c r="O17" s="289">
        <v>1</v>
      </c>
      <c r="P17" s="289">
        <v>1</v>
      </c>
      <c r="Q17" s="289">
        <v>1</v>
      </c>
      <c r="R17" s="289">
        <v>1</v>
      </c>
      <c r="S17" s="289">
        <v>1</v>
      </c>
      <c r="T17" s="289">
        <v>1</v>
      </c>
      <c r="U17" s="289">
        <v>1</v>
      </c>
      <c r="V17" s="289">
        <v>1</v>
      </c>
      <c r="W17" s="289">
        <v>1</v>
      </c>
      <c r="X17" s="289">
        <v>1</v>
      </c>
      <c r="Y17" s="289">
        <v>1</v>
      </c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8"/>
      <c r="AO17" s="290">
        <f t="shared" si="1"/>
        <v>21</v>
      </c>
      <c r="AP17" s="292"/>
      <c r="AQ17" s="292"/>
      <c r="AR17" s="292"/>
      <c r="AS17" s="292"/>
      <c r="AT17" s="292"/>
      <c r="AU17" s="292"/>
      <c r="AV17" s="292"/>
      <c r="AW17" s="292"/>
      <c r="AX17" s="292"/>
      <c r="AY17" s="292"/>
      <c r="AZ17" s="292"/>
      <c r="BA17" s="292"/>
      <c r="BB17" s="292"/>
      <c r="BC17" s="292"/>
      <c r="BD17" s="292"/>
      <c r="BE17" s="292"/>
      <c r="BF17" s="292"/>
      <c r="BG17" s="292"/>
      <c r="BH17" s="292"/>
      <c r="BI17" s="292"/>
      <c r="BJ17" s="292"/>
      <c r="BK17" s="292"/>
      <c r="BL17" s="292"/>
      <c r="BM17" s="292"/>
      <c r="BN17" s="292"/>
      <c r="BO17" s="292"/>
      <c r="BP17" s="292"/>
      <c r="BQ17" s="292"/>
      <c r="BR17" s="292"/>
      <c r="BS17" s="292"/>
      <c r="BT17" s="292"/>
      <c r="BU17" s="292"/>
      <c r="BV17" s="292"/>
      <c r="BW17" s="292"/>
      <c r="BX17" s="292"/>
      <c r="BY17" s="292"/>
      <c r="BZ17" s="292"/>
      <c r="CA17" s="292"/>
      <c r="CB17" s="292"/>
      <c r="CC17" s="292"/>
      <c r="CD17" s="292"/>
      <c r="CE17" s="292"/>
      <c r="CF17" s="292"/>
      <c r="CG17" s="292"/>
      <c r="CH17" s="292"/>
      <c r="CI17" s="292"/>
      <c r="CJ17" s="292"/>
      <c r="CK17" s="292"/>
      <c r="CL17" s="292"/>
      <c r="CM17" s="292"/>
      <c r="CN17" s="292"/>
      <c r="CO17" s="292"/>
      <c r="CP17" s="292"/>
    </row>
    <row r="18" spans="1:94" s="293" customFormat="1" ht="24.95" customHeight="1" x14ac:dyDescent="0.2">
      <c r="B18" s="286" t="s">
        <v>2444</v>
      </c>
      <c r="C18" s="288"/>
      <c r="D18" s="289"/>
      <c r="E18" s="289"/>
      <c r="F18" s="289">
        <v>1</v>
      </c>
      <c r="G18" s="289">
        <v>1</v>
      </c>
      <c r="H18" s="289">
        <v>1</v>
      </c>
      <c r="I18" s="289">
        <v>1</v>
      </c>
      <c r="J18" s="289">
        <v>1</v>
      </c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>
        <v>1</v>
      </c>
      <c r="AL18" s="289">
        <v>1</v>
      </c>
      <c r="AM18" s="289"/>
      <c r="AN18" s="288"/>
      <c r="AO18" s="290">
        <f t="shared" ref="AO18:AO22" si="2">SUM(D18:AM18)</f>
        <v>7</v>
      </c>
      <c r="AP18" s="292"/>
      <c r="AQ18" s="292"/>
      <c r="AR18" s="292"/>
      <c r="AS18" s="292"/>
      <c r="AT18" s="292"/>
      <c r="AU18" s="292"/>
      <c r="AV18" s="292"/>
      <c r="AW18" s="292"/>
      <c r="AX18" s="292"/>
      <c r="AY18" s="292"/>
      <c r="AZ18" s="292"/>
      <c r="BA18" s="292"/>
      <c r="BB18" s="292"/>
      <c r="BC18" s="292"/>
      <c r="BD18" s="292"/>
      <c r="BE18" s="292"/>
      <c r="BF18" s="292"/>
      <c r="BG18" s="292"/>
      <c r="BH18" s="292"/>
      <c r="BI18" s="292"/>
      <c r="BJ18" s="292"/>
      <c r="BK18" s="292"/>
      <c r="BL18" s="292"/>
      <c r="BM18" s="292"/>
      <c r="BN18" s="292"/>
      <c r="BO18" s="292"/>
      <c r="BP18" s="292"/>
      <c r="BQ18" s="292"/>
      <c r="BR18" s="292"/>
      <c r="BS18" s="292"/>
      <c r="BT18" s="292"/>
      <c r="BU18" s="292"/>
      <c r="BV18" s="292"/>
      <c r="BW18" s="292"/>
      <c r="BX18" s="292"/>
      <c r="BY18" s="292"/>
      <c r="BZ18" s="292"/>
      <c r="CA18" s="292"/>
      <c r="CB18" s="292"/>
      <c r="CC18" s="292"/>
      <c r="CD18" s="292"/>
      <c r="CE18" s="292"/>
      <c r="CF18" s="292"/>
      <c r="CG18" s="292"/>
      <c r="CH18" s="292"/>
      <c r="CI18" s="292"/>
      <c r="CJ18" s="292"/>
      <c r="CK18" s="292"/>
      <c r="CL18" s="292"/>
      <c r="CM18" s="292"/>
      <c r="CN18" s="292"/>
      <c r="CO18" s="292"/>
      <c r="CP18" s="292"/>
    </row>
    <row r="19" spans="1:94" s="293" customFormat="1" ht="24.95" customHeight="1" x14ac:dyDescent="0.2">
      <c r="B19" s="286" t="s">
        <v>2445</v>
      </c>
      <c r="C19" s="288"/>
      <c r="D19" s="307"/>
      <c r="E19" s="289">
        <v>1</v>
      </c>
      <c r="F19" s="289">
        <v>1</v>
      </c>
      <c r="G19" s="289">
        <v>1</v>
      </c>
      <c r="H19" s="289">
        <v>1</v>
      </c>
      <c r="I19" s="289">
        <v>1</v>
      </c>
      <c r="J19" s="289">
        <v>1</v>
      </c>
      <c r="K19" s="289">
        <v>1</v>
      </c>
      <c r="L19" s="289">
        <v>1</v>
      </c>
      <c r="M19" s="289">
        <v>1</v>
      </c>
      <c r="N19" s="289">
        <v>1</v>
      </c>
      <c r="O19" s="289">
        <v>1</v>
      </c>
      <c r="P19" s="289">
        <v>1</v>
      </c>
      <c r="Q19" s="289">
        <v>1</v>
      </c>
      <c r="R19" s="289">
        <v>1</v>
      </c>
      <c r="S19" s="289">
        <v>1</v>
      </c>
      <c r="T19" s="289">
        <v>1</v>
      </c>
      <c r="U19" s="289">
        <v>1</v>
      </c>
      <c r="V19" s="289">
        <v>1</v>
      </c>
      <c r="W19" s="289">
        <v>1</v>
      </c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8"/>
      <c r="AO19" s="290">
        <f t="shared" si="2"/>
        <v>19</v>
      </c>
      <c r="AP19" s="292"/>
      <c r="AQ19" s="292"/>
      <c r="AR19" s="292"/>
      <c r="AS19" s="292"/>
      <c r="AT19" s="292"/>
      <c r="AU19" s="292"/>
      <c r="AV19" s="292"/>
      <c r="AW19" s="292"/>
      <c r="AX19" s="292"/>
      <c r="AY19" s="292"/>
      <c r="AZ19" s="292"/>
      <c r="BA19" s="292"/>
      <c r="BB19" s="292"/>
      <c r="BC19" s="292"/>
      <c r="BD19" s="292"/>
      <c r="BE19" s="292"/>
      <c r="BF19" s="292"/>
      <c r="BG19" s="292"/>
      <c r="BH19" s="292"/>
      <c r="BI19" s="292"/>
      <c r="BJ19" s="292"/>
      <c r="BK19" s="292"/>
      <c r="BL19" s="292"/>
      <c r="BM19" s="292"/>
      <c r="BN19" s="292"/>
      <c r="BO19" s="292"/>
      <c r="BP19" s="292"/>
      <c r="BQ19" s="292"/>
      <c r="BR19" s="292"/>
      <c r="BS19" s="292"/>
      <c r="BT19" s="292"/>
      <c r="BU19" s="292"/>
      <c r="BV19" s="292"/>
      <c r="BW19" s="292"/>
      <c r="BX19" s="292"/>
      <c r="BY19" s="292"/>
      <c r="BZ19" s="292"/>
      <c r="CA19" s="292"/>
      <c r="CB19" s="292"/>
      <c r="CC19" s="292"/>
      <c r="CD19" s="292"/>
      <c r="CE19" s="292"/>
      <c r="CF19" s="292"/>
      <c r="CG19" s="292"/>
      <c r="CH19" s="292"/>
      <c r="CI19" s="292"/>
      <c r="CJ19" s="292"/>
      <c r="CK19" s="292"/>
      <c r="CL19" s="292"/>
      <c r="CM19" s="292"/>
      <c r="CN19" s="292"/>
      <c r="CO19" s="292"/>
      <c r="CP19" s="292"/>
    </row>
    <row r="20" spans="1:94" s="293" customFormat="1" ht="24.95" customHeight="1" x14ac:dyDescent="0.2">
      <c r="B20" s="286" t="s">
        <v>6715</v>
      </c>
      <c r="C20" s="288"/>
      <c r="D20" s="307"/>
      <c r="E20" s="289"/>
      <c r="F20" s="289"/>
      <c r="G20" s="289"/>
      <c r="H20" s="289"/>
      <c r="I20" s="289"/>
      <c r="J20" s="289"/>
      <c r="K20" s="289"/>
      <c r="L20" s="289"/>
      <c r="M20" s="289">
        <v>1</v>
      </c>
      <c r="N20" s="289">
        <v>1</v>
      </c>
      <c r="O20" s="289">
        <v>1</v>
      </c>
      <c r="P20" s="289">
        <v>1</v>
      </c>
      <c r="Q20" s="289">
        <v>1</v>
      </c>
      <c r="R20" s="289">
        <v>1</v>
      </c>
      <c r="S20" s="289">
        <v>1</v>
      </c>
      <c r="T20" s="289">
        <v>1</v>
      </c>
      <c r="U20" s="289">
        <v>1</v>
      </c>
      <c r="V20" s="289">
        <v>1</v>
      </c>
      <c r="W20" s="289">
        <v>1</v>
      </c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  <c r="AN20" s="288"/>
      <c r="AO20" s="290">
        <f t="shared" si="2"/>
        <v>11</v>
      </c>
      <c r="AP20" s="292"/>
      <c r="AQ20" s="292"/>
      <c r="AR20" s="292"/>
      <c r="AS20" s="292"/>
      <c r="AT20" s="292"/>
      <c r="AU20" s="292"/>
      <c r="AV20" s="292"/>
      <c r="AW20" s="292"/>
      <c r="AX20" s="292"/>
      <c r="AY20" s="292"/>
      <c r="AZ20" s="292"/>
      <c r="BA20" s="292"/>
      <c r="BB20" s="292"/>
      <c r="BC20" s="292"/>
      <c r="BD20" s="292"/>
      <c r="BE20" s="292"/>
      <c r="BF20" s="292"/>
      <c r="BG20" s="292"/>
      <c r="BH20" s="292"/>
      <c r="BI20" s="292"/>
      <c r="BJ20" s="292"/>
      <c r="BK20" s="292"/>
      <c r="BL20" s="292"/>
      <c r="BM20" s="292"/>
      <c r="BN20" s="292"/>
      <c r="BO20" s="292"/>
      <c r="BP20" s="292"/>
      <c r="BQ20" s="292"/>
      <c r="BR20" s="292"/>
      <c r="BS20" s="292"/>
      <c r="BT20" s="292"/>
      <c r="BU20" s="292"/>
      <c r="BV20" s="292"/>
      <c r="BW20" s="292"/>
      <c r="BX20" s="292"/>
      <c r="BY20" s="292"/>
      <c r="BZ20" s="292"/>
      <c r="CA20" s="292"/>
      <c r="CB20" s="292"/>
      <c r="CC20" s="292"/>
      <c r="CD20" s="292"/>
      <c r="CE20" s="292"/>
      <c r="CF20" s="292"/>
      <c r="CG20" s="292"/>
      <c r="CH20" s="292"/>
      <c r="CI20" s="292"/>
      <c r="CJ20" s="292"/>
      <c r="CK20" s="292"/>
      <c r="CL20" s="292"/>
      <c r="CM20" s="292"/>
      <c r="CN20" s="292"/>
      <c r="CO20" s="292"/>
      <c r="CP20" s="292"/>
    </row>
    <row r="21" spans="1:94" s="293" customFormat="1" ht="24.95" customHeight="1" x14ac:dyDescent="0.2">
      <c r="B21" s="286" t="s">
        <v>6716</v>
      </c>
      <c r="C21" s="288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>
        <v>1</v>
      </c>
      <c r="O21" s="289">
        <v>1</v>
      </c>
      <c r="P21" s="289">
        <v>1</v>
      </c>
      <c r="Q21" s="289">
        <v>1</v>
      </c>
      <c r="R21" s="289">
        <v>1</v>
      </c>
      <c r="S21" s="289">
        <v>1</v>
      </c>
      <c r="T21" s="289">
        <v>1</v>
      </c>
      <c r="U21" s="289">
        <v>1</v>
      </c>
      <c r="V21" s="289">
        <v>1</v>
      </c>
      <c r="W21" s="289">
        <v>1</v>
      </c>
      <c r="X21" s="289">
        <v>1</v>
      </c>
      <c r="Y21" s="289">
        <v>1</v>
      </c>
      <c r="Z21" s="289">
        <v>1</v>
      </c>
      <c r="AA21" s="289">
        <v>1</v>
      </c>
      <c r="AB21" s="289">
        <v>1</v>
      </c>
      <c r="AC21" s="289">
        <v>1</v>
      </c>
      <c r="AD21" s="289">
        <v>1</v>
      </c>
      <c r="AE21" s="289">
        <v>1</v>
      </c>
      <c r="AF21" s="289">
        <v>1</v>
      </c>
      <c r="AG21" s="289">
        <v>1</v>
      </c>
      <c r="AH21" s="289">
        <v>1</v>
      </c>
      <c r="AI21" s="289">
        <v>1</v>
      </c>
      <c r="AJ21" s="289">
        <v>1</v>
      </c>
      <c r="AK21" s="289"/>
      <c r="AL21" s="289"/>
      <c r="AM21" s="289"/>
      <c r="AN21" s="288"/>
      <c r="AO21" s="290">
        <f t="shared" si="2"/>
        <v>23</v>
      </c>
      <c r="AP21" s="292"/>
      <c r="AQ21" s="292"/>
      <c r="AR21" s="292"/>
      <c r="AS21" s="292"/>
      <c r="AT21" s="292"/>
      <c r="AU21" s="292"/>
      <c r="AV21" s="292"/>
      <c r="AW21" s="292"/>
      <c r="AX21" s="292"/>
      <c r="AY21" s="292"/>
      <c r="AZ21" s="292"/>
      <c r="BA21" s="292"/>
      <c r="BB21" s="292"/>
      <c r="BC21" s="292"/>
      <c r="BD21" s="292"/>
      <c r="BE21" s="292"/>
      <c r="BF21" s="292"/>
      <c r="BG21" s="292"/>
      <c r="BH21" s="292"/>
      <c r="BI21" s="292"/>
      <c r="BJ21" s="292"/>
      <c r="BK21" s="292"/>
      <c r="BL21" s="292"/>
      <c r="BM21" s="292"/>
      <c r="BN21" s="292"/>
      <c r="BO21" s="292"/>
      <c r="BP21" s="292"/>
      <c r="BQ21" s="292"/>
      <c r="BR21" s="292"/>
      <c r="BS21" s="292"/>
      <c r="BT21" s="292"/>
      <c r="BU21" s="292"/>
      <c r="BV21" s="292"/>
      <c r="BW21" s="292"/>
      <c r="BX21" s="292"/>
      <c r="BY21" s="292"/>
      <c r="BZ21" s="292"/>
      <c r="CA21" s="292"/>
      <c r="CB21" s="292"/>
      <c r="CC21" s="292"/>
      <c r="CD21" s="292"/>
      <c r="CE21" s="292"/>
      <c r="CF21" s="292"/>
      <c r="CG21" s="292"/>
      <c r="CH21" s="292"/>
      <c r="CI21" s="292"/>
      <c r="CJ21" s="292"/>
      <c r="CK21" s="292"/>
      <c r="CL21" s="292"/>
      <c r="CM21" s="292"/>
      <c r="CN21" s="292"/>
      <c r="CO21" s="292"/>
      <c r="CP21" s="292"/>
    </row>
    <row r="22" spans="1:94" s="293" customFormat="1" ht="24.95" customHeight="1" x14ac:dyDescent="0.2">
      <c r="B22" s="286" t="s">
        <v>2449</v>
      </c>
      <c r="C22" s="288"/>
      <c r="D22" s="289">
        <v>2</v>
      </c>
      <c r="E22" s="289">
        <v>2</v>
      </c>
      <c r="F22" s="289">
        <v>2</v>
      </c>
      <c r="G22" s="289">
        <v>2</v>
      </c>
      <c r="H22" s="289">
        <v>2</v>
      </c>
      <c r="I22" s="289">
        <v>2</v>
      </c>
      <c r="J22" s="289">
        <v>2</v>
      </c>
      <c r="K22" s="289">
        <v>2</v>
      </c>
      <c r="L22" s="289">
        <v>2</v>
      </c>
      <c r="M22" s="289">
        <v>2</v>
      </c>
      <c r="N22" s="289">
        <v>2</v>
      </c>
      <c r="O22" s="289">
        <v>2</v>
      </c>
      <c r="P22" s="289">
        <v>2</v>
      </c>
      <c r="Q22" s="289">
        <v>2</v>
      </c>
      <c r="R22" s="289">
        <v>2</v>
      </c>
      <c r="S22" s="289">
        <v>2</v>
      </c>
      <c r="T22" s="289">
        <v>2</v>
      </c>
      <c r="U22" s="289">
        <v>2</v>
      </c>
      <c r="V22" s="289">
        <v>2</v>
      </c>
      <c r="W22" s="289">
        <v>2</v>
      </c>
      <c r="X22" s="289">
        <v>2</v>
      </c>
      <c r="Y22" s="289">
        <v>2</v>
      </c>
      <c r="Z22" s="289">
        <v>2</v>
      </c>
      <c r="AA22" s="289">
        <v>2</v>
      </c>
      <c r="AB22" s="289">
        <v>2</v>
      </c>
      <c r="AC22" s="289">
        <v>2</v>
      </c>
      <c r="AD22" s="289">
        <v>2</v>
      </c>
      <c r="AE22" s="289">
        <v>2</v>
      </c>
      <c r="AF22" s="289">
        <v>2</v>
      </c>
      <c r="AG22" s="289">
        <v>2</v>
      </c>
      <c r="AH22" s="289">
        <v>2</v>
      </c>
      <c r="AI22" s="289">
        <v>2</v>
      </c>
      <c r="AJ22" s="289">
        <v>2</v>
      </c>
      <c r="AK22" s="289">
        <v>2</v>
      </c>
      <c r="AL22" s="289">
        <v>2</v>
      </c>
      <c r="AM22" s="289">
        <v>2</v>
      </c>
      <c r="AN22" s="288"/>
      <c r="AO22" s="290">
        <f t="shared" si="2"/>
        <v>72</v>
      </c>
      <c r="AP22" s="292"/>
      <c r="AQ22" s="292"/>
      <c r="AR22" s="292"/>
      <c r="AS22" s="292"/>
      <c r="AT22" s="292"/>
      <c r="AU22" s="292"/>
      <c r="AV22" s="292"/>
      <c r="AW22" s="292"/>
      <c r="AX22" s="292"/>
      <c r="AY22" s="292"/>
      <c r="AZ22" s="292"/>
      <c r="BA22" s="292"/>
      <c r="BB22" s="292"/>
      <c r="BC22" s="292"/>
      <c r="BD22" s="292"/>
      <c r="BE22" s="292"/>
      <c r="BF22" s="292"/>
      <c r="BG22" s="292"/>
      <c r="BH22" s="292"/>
      <c r="BI22" s="292"/>
      <c r="BJ22" s="292"/>
      <c r="BK22" s="292"/>
      <c r="BL22" s="292"/>
      <c r="BM22" s="292"/>
      <c r="BN22" s="292"/>
      <c r="BO22" s="292"/>
      <c r="BP22" s="292"/>
      <c r="BQ22" s="292"/>
      <c r="BR22" s="292"/>
      <c r="BS22" s="292"/>
      <c r="BT22" s="292"/>
      <c r="BU22" s="292"/>
      <c r="BV22" s="292"/>
      <c r="BW22" s="292"/>
      <c r="BX22" s="292"/>
      <c r="BY22" s="292"/>
      <c r="BZ22" s="292"/>
      <c r="CA22" s="292"/>
      <c r="CB22" s="292"/>
      <c r="CC22" s="292"/>
      <c r="CD22" s="292"/>
      <c r="CE22" s="292"/>
      <c r="CF22" s="292"/>
      <c r="CG22" s="292"/>
      <c r="CH22" s="292"/>
      <c r="CI22" s="292"/>
      <c r="CJ22" s="292"/>
      <c r="CK22" s="292"/>
      <c r="CL22" s="292"/>
      <c r="CM22" s="292"/>
      <c r="CN22" s="292"/>
      <c r="CO22" s="292"/>
      <c r="CP22" s="292"/>
    </row>
    <row r="23" spans="1:94" s="293" customFormat="1" ht="24.95" customHeight="1" x14ac:dyDescent="0.2">
      <c r="B23" s="286" t="s">
        <v>2447</v>
      </c>
      <c r="C23" s="288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>
        <v>3</v>
      </c>
      <c r="Y23" s="289">
        <v>3</v>
      </c>
      <c r="Z23" s="289">
        <v>3</v>
      </c>
      <c r="AA23" s="289">
        <v>3</v>
      </c>
      <c r="AB23" s="289">
        <v>3</v>
      </c>
      <c r="AC23" s="289">
        <v>3</v>
      </c>
      <c r="AD23" s="289">
        <v>3</v>
      </c>
      <c r="AE23" s="289">
        <v>3</v>
      </c>
      <c r="AF23" s="289">
        <v>3</v>
      </c>
      <c r="AG23" s="289">
        <v>3</v>
      </c>
      <c r="AH23" s="289">
        <v>3</v>
      </c>
      <c r="AI23" s="289">
        <v>3</v>
      </c>
      <c r="AJ23" s="289">
        <v>3</v>
      </c>
      <c r="AK23" s="289">
        <v>3</v>
      </c>
      <c r="AL23" s="289">
        <v>3</v>
      </c>
      <c r="AM23" s="289"/>
      <c r="AN23" s="288"/>
      <c r="AO23" s="290">
        <f t="shared" si="1"/>
        <v>45</v>
      </c>
      <c r="AP23" s="292"/>
      <c r="AQ23" s="292"/>
      <c r="AR23" s="292"/>
      <c r="AS23" s="292"/>
      <c r="AT23" s="292"/>
      <c r="AU23" s="292"/>
      <c r="AV23" s="292"/>
      <c r="AW23" s="292"/>
      <c r="AX23" s="292"/>
      <c r="AY23" s="292"/>
      <c r="AZ23" s="292"/>
      <c r="BA23" s="292"/>
      <c r="BB23" s="292"/>
      <c r="BC23" s="292"/>
      <c r="BD23" s="292"/>
      <c r="BE23" s="292"/>
      <c r="BF23" s="292"/>
      <c r="BG23" s="292"/>
      <c r="BH23" s="292"/>
      <c r="BI23" s="292"/>
      <c r="BJ23" s="292"/>
      <c r="BK23" s="292"/>
      <c r="BL23" s="292"/>
      <c r="BM23" s="292"/>
      <c r="BN23" s="292"/>
      <c r="BO23" s="292"/>
      <c r="BP23" s="292"/>
      <c r="BQ23" s="292"/>
      <c r="BR23" s="292"/>
      <c r="BS23" s="292"/>
      <c r="BT23" s="292"/>
      <c r="BU23" s="292"/>
      <c r="BV23" s="292"/>
      <c r="BW23" s="292"/>
      <c r="BX23" s="292"/>
      <c r="BY23" s="292"/>
      <c r="BZ23" s="292"/>
      <c r="CA23" s="292"/>
      <c r="CB23" s="292"/>
      <c r="CC23" s="292"/>
      <c r="CD23" s="292"/>
      <c r="CE23" s="292"/>
      <c r="CF23" s="292"/>
      <c r="CG23" s="292"/>
      <c r="CH23" s="292"/>
      <c r="CI23" s="292"/>
      <c r="CJ23" s="292"/>
      <c r="CK23" s="292"/>
      <c r="CL23" s="292"/>
      <c r="CM23" s="292"/>
      <c r="CN23" s="292"/>
      <c r="CO23" s="292"/>
      <c r="CP23" s="292"/>
    </row>
    <row r="24" spans="1:94" s="293" customFormat="1" ht="24.95" customHeight="1" x14ac:dyDescent="0.2">
      <c r="B24" s="286" t="s">
        <v>6717</v>
      </c>
      <c r="C24" s="288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>
        <v>3</v>
      </c>
      <c r="Y24" s="289">
        <v>3</v>
      </c>
      <c r="Z24" s="289">
        <v>3</v>
      </c>
      <c r="AA24" s="289">
        <v>3</v>
      </c>
      <c r="AB24" s="289">
        <v>3</v>
      </c>
      <c r="AC24" s="289">
        <v>3</v>
      </c>
      <c r="AD24" s="289">
        <v>3</v>
      </c>
      <c r="AE24" s="289">
        <v>3</v>
      </c>
      <c r="AF24" s="289">
        <v>3</v>
      </c>
      <c r="AG24" s="289">
        <v>3</v>
      </c>
      <c r="AH24" s="289">
        <v>3</v>
      </c>
      <c r="AI24" s="289">
        <v>3</v>
      </c>
      <c r="AJ24" s="289">
        <v>3</v>
      </c>
      <c r="AK24" s="289">
        <v>3</v>
      </c>
      <c r="AL24" s="289">
        <v>3</v>
      </c>
      <c r="AM24" s="289"/>
      <c r="AN24" s="288"/>
      <c r="AO24" s="290">
        <f t="shared" si="1"/>
        <v>45</v>
      </c>
      <c r="AP24" s="292"/>
      <c r="AQ24" s="292"/>
      <c r="AR24" s="292"/>
      <c r="AS24" s="292"/>
      <c r="AT24" s="292"/>
      <c r="AU24" s="292"/>
      <c r="AV24" s="292"/>
      <c r="AW24" s="292"/>
      <c r="AX24" s="292"/>
      <c r="AY24" s="292"/>
      <c r="AZ24" s="292"/>
      <c r="BA24" s="292"/>
      <c r="BB24" s="292"/>
      <c r="BC24" s="292"/>
      <c r="BD24" s="292"/>
      <c r="BE24" s="292"/>
      <c r="BF24" s="292"/>
      <c r="BG24" s="292"/>
      <c r="BH24" s="292"/>
      <c r="BI24" s="292"/>
      <c r="BJ24" s="292"/>
      <c r="BK24" s="292"/>
      <c r="BL24" s="292"/>
      <c r="BM24" s="292"/>
      <c r="BN24" s="292"/>
      <c r="BO24" s="292"/>
      <c r="BP24" s="292"/>
      <c r="BQ24" s="292"/>
      <c r="BR24" s="292"/>
      <c r="BS24" s="292"/>
      <c r="BT24" s="292"/>
      <c r="BU24" s="292"/>
      <c r="BV24" s="292"/>
      <c r="BW24" s="292"/>
      <c r="BX24" s="292"/>
      <c r="BY24" s="292"/>
      <c r="BZ24" s="292"/>
      <c r="CA24" s="292"/>
      <c r="CB24" s="292"/>
      <c r="CC24" s="292"/>
      <c r="CD24" s="292"/>
      <c r="CE24" s="292"/>
      <c r="CF24" s="292"/>
      <c r="CG24" s="292"/>
      <c r="CH24" s="292"/>
      <c r="CI24" s="292"/>
      <c r="CJ24" s="292"/>
      <c r="CK24" s="292"/>
      <c r="CL24" s="292"/>
      <c r="CM24" s="292"/>
      <c r="CN24" s="292"/>
      <c r="CO24" s="292"/>
      <c r="CP24" s="292"/>
    </row>
    <row r="25" spans="1:94" s="293" customFormat="1" ht="24.95" customHeight="1" x14ac:dyDescent="0.2">
      <c r="B25" s="286" t="s">
        <v>2452</v>
      </c>
      <c r="C25" s="288"/>
      <c r="D25" s="289">
        <v>2</v>
      </c>
      <c r="E25" s="289">
        <v>2</v>
      </c>
      <c r="F25" s="289">
        <v>2</v>
      </c>
      <c r="G25" s="289">
        <v>2</v>
      </c>
      <c r="H25" s="289">
        <v>2</v>
      </c>
      <c r="I25" s="289">
        <v>2</v>
      </c>
      <c r="J25" s="289">
        <v>2</v>
      </c>
      <c r="K25" s="289">
        <v>2</v>
      </c>
      <c r="L25" s="289">
        <v>2</v>
      </c>
      <c r="M25" s="289">
        <v>2</v>
      </c>
      <c r="N25" s="289">
        <v>2</v>
      </c>
      <c r="O25" s="289">
        <v>2</v>
      </c>
      <c r="P25" s="289">
        <v>2</v>
      </c>
      <c r="Q25" s="289">
        <v>2</v>
      </c>
      <c r="R25" s="289">
        <v>2</v>
      </c>
      <c r="S25" s="289">
        <v>2</v>
      </c>
      <c r="T25" s="289">
        <v>2</v>
      </c>
      <c r="U25" s="289">
        <v>2</v>
      </c>
      <c r="V25" s="289">
        <v>2</v>
      </c>
      <c r="W25" s="289">
        <v>2</v>
      </c>
      <c r="X25" s="289">
        <v>2</v>
      </c>
      <c r="Y25" s="289">
        <v>2</v>
      </c>
      <c r="Z25" s="289">
        <v>2</v>
      </c>
      <c r="AA25" s="289">
        <v>2</v>
      </c>
      <c r="AB25" s="289">
        <v>2</v>
      </c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8"/>
      <c r="AO25" s="290">
        <f t="shared" si="1"/>
        <v>50</v>
      </c>
      <c r="AP25" s="292"/>
      <c r="AQ25" s="292"/>
      <c r="AR25" s="292"/>
      <c r="AS25" s="292"/>
      <c r="AT25" s="292"/>
      <c r="AU25" s="292"/>
      <c r="AV25" s="292"/>
      <c r="AW25" s="292"/>
      <c r="AX25" s="292"/>
      <c r="AY25" s="292"/>
      <c r="AZ25" s="292"/>
      <c r="BA25" s="292"/>
      <c r="BB25" s="292"/>
      <c r="BC25" s="292"/>
      <c r="BD25" s="292"/>
      <c r="BE25" s="292"/>
      <c r="BF25" s="292"/>
      <c r="BG25" s="292"/>
      <c r="BH25" s="292"/>
      <c r="BI25" s="292"/>
      <c r="BJ25" s="292"/>
      <c r="BK25" s="292"/>
      <c r="BL25" s="292"/>
      <c r="BM25" s="292"/>
      <c r="BN25" s="292"/>
      <c r="BO25" s="292"/>
      <c r="BP25" s="292"/>
      <c r="BQ25" s="292"/>
      <c r="BR25" s="292"/>
      <c r="BS25" s="292"/>
      <c r="BT25" s="292"/>
      <c r="BU25" s="292"/>
      <c r="BV25" s="292"/>
      <c r="BW25" s="292"/>
      <c r="BX25" s="292"/>
      <c r="BY25" s="292"/>
      <c r="BZ25" s="292"/>
      <c r="CA25" s="292"/>
      <c r="CB25" s="292"/>
      <c r="CC25" s="292"/>
      <c r="CD25" s="292"/>
      <c r="CE25" s="292"/>
      <c r="CF25" s="292"/>
      <c r="CG25" s="292"/>
      <c r="CH25" s="292"/>
      <c r="CI25" s="292"/>
      <c r="CJ25" s="292"/>
      <c r="CK25" s="292"/>
      <c r="CL25" s="292"/>
      <c r="CM25" s="292"/>
      <c r="CN25" s="292"/>
      <c r="CO25" s="292"/>
      <c r="CP25" s="292"/>
    </row>
    <row r="26" spans="1:94" s="293" customFormat="1" ht="24.95" customHeight="1" x14ac:dyDescent="0.2">
      <c r="B26" s="286" t="s">
        <v>6718</v>
      </c>
      <c r="C26" s="288"/>
      <c r="D26" s="289"/>
      <c r="E26" s="289"/>
      <c r="F26" s="289"/>
      <c r="G26" s="289"/>
      <c r="H26" s="289"/>
      <c r="I26" s="289"/>
      <c r="J26" s="289"/>
      <c r="K26" s="289">
        <v>1</v>
      </c>
      <c r="L26" s="289">
        <v>1</v>
      </c>
      <c r="M26" s="289">
        <v>1</v>
      </c>
      <c r="N26" s="289">
        <v>1</v>
      </c>
      <c r="O26" s="289">
        <v>1</v>
      </c>
      <c r="P26" s="289">
        <v>1</v>
      </c>
      <c r="Q26" s="289">
        <v>1</v>
      </c>
      <c r="R26" s="289">
        <v>1</v>
      </c>
      <c r="S26" s="289">
        <v>1</v>
      </c>
      <c r="T26" s="289">
        <v>1</v>
      </c>
      <c r="U26" s="289">
        <v>1</v>
      </c>
      <c r="V26" s="289">
        <v>1</v>
      </c>
      <c r="W26" s="289">
        <v>1</v>
      </c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289"/>
      <c r="AN26" s="288"/>
      <c r="AO26" s="290">
        <f t="shared" si="1"/>
        <v>13</v>
      </c>
      <c r="AP26" s="292"/>
      <c r="AQ26" s="292"/>
      <c r="AR26" s="292"/>
      <c r="AS26" s="292"/>
      <c r="AT26" s="292"/>
      <c r="AU26" s="292"/>
      <c r="AV26" s="292"/>
      <c r="AW26" s="292"/>
      <c r="AX26" s="292"/>
      <c r="AY26" s="292"/>
      <c r="AZ26" s="292"/>
      <c r="BA26" s="292"/>
      <c r="BB26" s="292"/>
      <c r="BC26" s="292"/>
      <c r="BD26" s="292"/>
      <c r="BE26" s="292"/>
      <c r="BF26" s="292"/>
      <c r="BG26" s="292"/>
      <c r="BH26" s="292"/>
      <c r="BI26" s="292"/>
      <c r="BJ26" s="292"/>
      <c r="BK26" s="292"/>
      <c r="BL26" s="292"/>
      <c r="BM26" s="292"/>
      <c r="BN26" s="292"/>
      <c r="BO26" s="292"/>
      <c r="BP26" s="292"/>
      <c r="BQ26" s="292"/>
      <c r="BR26" s="292"/>
      <c r="BS26" s="292"/>
      <c r="BT26" s="292"/>
      <c r="BU26" s="292"/>
      <c r="BV26" s="292"/>
      <c r="BW26" s="292"/>
      <c r="BX26" s="292"/>
      <c r="BY26" s="292"/>
      <c r="BZ26" s="292"/>
      <c r="CA26" s="292"/>
      <c r="CB26" s="292"/>
      <c r="CC26" s="292"/>
      <c r="CD26" s="292"/>
      <c r="CE26" s="292"/>
      <c r="CF26" s="292"/>
      <c r="CG26" s="292"/>
      <c r="CH26" s="292"/>
      <c r="CI26" s="292"/>
      <c r="CJ26" s="292"/>
      <c r="CK26" s="292"/>
      <c r="CL26" s="292"/>
      <c r="CM26" s="292"/>
      <c r="CN26" s="292"/>
      <c r="CO26" s="292"/>
      <c r="CP26" s="292"/>
    </row>
    <row r="27" spans="1:94" s="293" customFormat="1" ht="24.95" customHeight="1" x14ac:dyDescent="0.2">
      <c r="B27" s="286" t="s">
        <v>6719</v>
      </c>
      <c r="C27" s="288"/>
      <c r="D27" s="289"/>
      <c r="E27" s="289"/>
      <c r="F27" s="289">
        <v>1</v>
      </c>
      <c r="G27" s="289">
        <v>1</v>
      </c>
      <c r="H27" s="289">
        <v>1</v>
      </c>
      <c r="I27" s="289">
        <v>1</v>
      </c>
      <c r="J27" s="289">
        <v>1</v>
      </c>
      <c r="K27" s="289">
        <v>1</v>
      </c>
      <c r="L27" s="289">
        <v>1</v>
      </c>
      <c r="M27" s="289">
        <v>1</v>
      </c>
      <c r="N27" s="289">
        <v>1</v>
      </c>
      <c r="O27" s="289">
        <v>1</v>
      </c>
      <c r="P27" s="289">
        <v>1</v>
      </c>
      <c r="Q27" s="289">
        <v>1</v>
      </c>
      <c r="R27" s="289">
        <v>1</v>
      </c>
      <c r="S27" s="289">
        <v>1</v>
      </c>
      <c r="T27" s="289">
        <v>1</v>
      </c>
      <c r="U27" s="289">
        <v>1</v>
      </c>
      <c r="V27" s="289">
        <v>1</v>
      </c>
      <c r="W27" s="289">
        <v>1</v>
      </c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>
        <v>1</v>
      </c>
      <c r="AL27" s="289">
        <v>1</v>
      </c>
      <c r="AM27" s="289"/>
      <c r="AN27" s="288"/>
      <c r="AO27" s="290">
        <f t="shared" si="1"/>
        <v>20</v>
      </c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2"/>
      <c r="BT27" s="292"/>
      <c r="BU27" s="292"/>
      <c r="BV27" s="292"/>
      <c r="BW27" s="292"/>
      <c r="BX27" s="292"/>
      <c r="BY27" s="292"/>
      <c r="BZ27" s="292"/>
      <c r="CA27" s="292"/>
      <c r="CB27" s="292"/>
      <c r="CC27" s="292"/>
      <c r="CD27" s="292"/>
      <c r="CE27" s="292"/>
      <c r="CF27" s="292"/>
      <c r="CG27" s="292"/>
      <c r="CH27" s="292"/>
      <c r="CI27" s="292"/>
      <c r="CJ27" s="292"/>
      <c r="CK27" s="292"/>
      <c r="CL27" s="292"/>
      <c r="CM27" s="292"/>
      <c r="CN27" s="292"/>
      <c r="CO27" s="292"/>
      <c r="CP27" s="292"/>
    </row>
    <row r="28" spans="1:94" s="293" customFormat="1" ht="24.95" customHeight="1" x14ac:dyDescent="0.2">
      <c r="B28" s="286" t="s">
        <v>2456</v>
      </c>
      <c r="C28" s="288"/>
      <c r="D28" s="289">
        <v>3</v>
      </c>
      <c r="E28" s="289">
        <v>3</v>
      </c>
      <c r="F28" s="289">
        <v>3</v>
      </c>
      <c r="G28" s="289">
        <v>3</v>
      </c>
      <c r="H28" s="289">
        <v>3</v>
      </c>
      <c r="I28" s="289">
        <v>3</v>
      </c>
      <c r="J28" s="289">
        <v>3</v>
      </c>
      <c r="K28" s="289">
        <v>3</v>
      </c>
      <c r="L28" s="289">
        <v>3</v>
      </c>
      <c r="M28" s="289">
        <v>3</v>
      </c>
      <c r="N28" s="289">
        <v>3</v>
      </c>
      <c r="O28" s="289">
        <v>3</v>
      </c>
      <c r="P28" s="289">
        <v>3</v>
      </c>
      <c r="Q28" s="289">
        <v>3</v>
      </c>
      <c r="R28" s="289">
        <v>3</v>
      </c>
      <c r="S28" s="289">
        <v>3</v>
      </c>
      <c r="T28" s="289">
        <v>3</v>
      </c>
      <c r="U28" s="289">
        <v>3</v>
      </c>
      <c r="V28" s="289">
        <v>3</v>
      </c>
      <c r="W28" s="289">
        <v>3</v>
      </c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289"/>
      <c r="AN28" s="288"/>
      <c r="AO28" s="290">
        <f t="shared" si="1"/>
        <v>60</v>
      </c>
      <c r="AP28" s="292"/>
      <c r="AQ28" s="292"/>
      <c r="AR28" s="292"/>
      <c r="AS28" s="292"/>
      <c r="AT28" s="292"/>
      <c r="AU28" s="292"/>
      <c r="AV28" s="292"/>
      <c r="AW28" s="292"/>
      <c r="AX28" s="292"/>
      <c r="AY28" s="292"/>
      <c r="AZ28" s="292"/>
      <c r="BA28" s="292"/>
      <c r="BB28" s="292"/>
      <c r="BC28" s="292"/>
      <c r="BD28" s="292"/>
      <c r="BE28" s="292"/>
      <c r="BF28" s="292"/>
      <c r="BG28" s="292"/>
      <c r="BH28" s="292"/>
      <c r="BI28" s="292"/>
      <c r="BJ28" s="292"/>
      <c r="BK28" s="292"/>
      <c r="BL28" s="292"/>
      <c r="BM28" s="292"/>
      <c r="BN28" s="292"/>
      <c r="BO28" s="292"/>
      <c r="BP28" s="292"/>
      <c r="BQ28" s="292"/>
      <c r="BR28" s="292"/>
      <c r="BS28" s="292"/>
      <c r="BT28" s="292"/>
      <c r="BU28" s="292"/>
      <c r="BV28" s="292"/>
      <c r="BW28" s="292"/>
      <c r="BX28" s="292"/>
      <c r="BY28" s="292"/>
      <c r="BZ28" s="292"/>
      <c r="CA28" s="292"/>
      <c r="CB28" s="292"/>
      <c r="CC28" s="292"/>
      <c r="CD28" s="292"/>
      <c r="CE28" s="292"/>
      <c r="CF28" s="292"/>
      <c r="CG28" s="292"/>
      <c r="CH28" s="292"/>
      <c r="CI28" s="292"/>
      <c r="CJ28" s="292"/>
      <c r="CK28" s="292"/>
      <c r="CL28" s="292"/>
      <c r="CM28" s="292"/>
      <c r="CN28" s="292"/>
      <c r="CO28" s="292"/>
      <c r="CP28" s="292"/>
    </row>
    <row r="29" spans="1:94" s="296" customFormat="1" ht="24.95" customHeight="1" x14ac:dyDescent="0.2">
      <c r="A29" s="293"/>
      <c r="B29" s="286" t="s">
        <v>6720</v>
      </c>
      <c r="C29" s="288"/>
      <c r="D29" s="307">
        <v>1</v>
      </c>
      <c r="E29" s="307">
        <v>1</v>
      </c>
      <c r="F29" s="307">
        <v>1</v>
      </c>
      <c r="G29" s="307">
        <v>1</v>
      </c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  <c r="AA29" s="307"/>
      <c r="AB29" s="307"/>
      <c r="AC29" s="307"/>
      <c r="AD29" s="307"/>
      <c r="AE29" s="307"/>
      <c r="AF29" s="307"/>
      <c r="AG29" s="307"/>
      <c r="AH29" s="307"/>
      <c r="AI29" s="307"/>
      <c r="AJ29" s="307"/>
      <c r="AK29" s="307"/>
      <c r="AL29" s="307"/>
      <c r="AM29" s="307"/>
      <c r="AN29" s="288"/>
      <c r="AO29" s="290">
        <f t="shared" si="1"/>
        <v>4</v>
      </c>
      <c r="AP29" s="292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74"/>
      <c r="BI29" s="274"/>
      <c r="BJ29" s="274"/>
      <c r="BK29" s="274"/>
      <c r="BL29" s="274"/>
      <c r="BM29" s="274"/>
      <c r="BN29" s="274"/>
      <c r="BO29" s="274"/>
      <c r="BP29" s="274"/>
      <c r="BQ29" s="274"/>
      <c r="BR29" s="274"/>
      <c r="BS29" s="274"/>
      <c r="BT29" s="274"/>
      <c r="BU29" s="274"/>
      <c r="BV29" s="274"/>
      <c r="BW29" s="274"/>
      <c r="BX29" s="274"/>
      <c r="BY29" s="274"/>
      <c r="BZ29" s="274"/>
      <c r="CA29" s="274"/>
      <c r="CB29" s="274"/>
      <c r="CC29" s="274"/>
      <c r="CD29" s="274"/>
      <c r="CE29" s="274"/>
      <c r="CF29" s="274"/>
      <c r="CG29" s="274"/>
      <c r="CH29" s="274"/>
      <c r="CI29" s="274"/>
      <c r="CJ29" s="274"/>
      <c r="CK29" s="274"/>
      <c r="CL29" s="274"/>
      <c r="CM29" s="274"/>
      <c r="CN29" s="274"/>
      <c r="CO29" s="274"/>
      <c r="CP29" s="274"/>
    </row>
    <row r="30" spans="1:94" s="293" customFormat="1" ht="24.95" customHeight="1" x14ac:dyDescent="0.2">
      <c r="B30" s="286" t="s">
        <v>6721</v>
      </c>
      <c r="C30" s="288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  <c r="AI30" s="306"/>
      <c r="AJ30" s="306"/>
      <c r="AK30" s="306"/>
      <c r="AL30" s="306"/>
      <c r="AM30" s="306"/>
      <c r="AN30" s="288"/>
      <c r="AO30" s="290">
        <v>10</v>
      </c>
      <c r="AP30" s="292"/>
      <c r="AQ30" s="292"/>
      <c r="AR30" s="292"/>
      <c r="AS30" s="292"/>
      <c r="AT30" s="292"/>
      <c r="AU30" s="274"/>
      <c r="AV30" s="274"/>
      <c r="AW30" s="274"/>
      <c r="AX30" s="292"/>
      <c r="AY30" s="292"/>
      <c r="AZ30" s="292"/>
      <c r="BA30" s="292"/>
      <c r="BB30" s="292"/>
      <c r="BC30" s="292"/>
      <c r="BD30" s="292"/>
      <c r="BE30" s="292"/>
      <c r="BF30" s="292"/>
      <c r="BG30" s="292"/>
      <c r="BH30" s="292"/>
      <c r="BI30" s="292"/>
      <c r="BJ30" s="292"/>
      <c r="BK30" s="292"/>
      <c r="BL30" s="292"/>
      <c r="BM30" s="292"/>
      <c r="BN30" s="292"/>
      <c r="BO30" s="292"/>
      <c r="BP30" s="292"/>
      <c r="BQ30" s="292"/>
      <c r="BR30" s="292"/>
      <c r="BS30" s="292"/>
      <c r="BT30" s="292"/>
      <c r="BU30" s="292"/>
      <c r="BV30" s="292"/>
      <c r="BW30" s="292"/>
      <c r="BX30" s="292"/>
      <c r="BY30" s="292"/>
      <c r="BZ30" s="292"/>
      <c r="CA30" s="292"/>
      <c r="CB30" s="292"/>
      <c r="CC30" s="292"/>
      <c r="CD30" s="292"/>
      <c r="CE30" s="292"/>
      <c r="CF30" s="292"/>
      <c r="CG30" s="292"/>
      <c r="CH30" s="292"/>
      <c r="CI30" s="292"/>
      <c r="CJ30" s="292"/>
      <c r="CK30" s="292"/>
      <c r="CL30" s="292"/>
      <c r="CM30" s="292"/>
      <c r="CN30" s="292"/>
      <c r="CO30" s="292"/>
      <c r="CP30" s="292"/>
    </row>
    <row r="31" spans="1:94" s="293" customFormat="1" ht="24.95" customHeight="1" x14ac:dyDescent="0.2">
      <c r="B31" s="286" t="s">
        <v>6722</v>
      </c>
      <c r="C31" s="288"/>
      <c r="D31" s="289"/>
      <c r="E31" s="289"/>
      <c r="F31" s="289"/>
      <c r="G31" s="289"/>
      <c r="H31" s="289"/>
      <c r="I31" s="289"/>
      <c r="J31" s="289"/>
      <c r="K31" s="289"/>
      <c r="L31" s="289"/>
      <c r="M31" s="289">
        <v>1</v>
      </c>
      <c r="N31" s="289">
        <v>1</v>
      </c>
      <c r="O31" s="289">
        <v>1</v>
      </c>
      <c r="P31" s="289">
        <v>1</v>
      </c>
      <c r="Q31" s="289">
        <v>1</v>
      </c>
      <c r="R31" s="289">
        <v>1</v>
      </c>
      <c r="S31" s="289">
        <v>1</v>
      </c>
      <c r="T31" s="289">
        <v>1</v>
      </c>
      <c r="U31" s="289">
        <v>1</v>
      </c>
      <c r="V31" s="289">
        <v>1</v>
      </c>
      <c r="W31" s="289">
        <v>1</v>
      </c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8"/>
      <c r="AO31" s="290">
        <f t="shared" si="1"/>
        <v>11</v>
      </c>
      <c r="AP31" s="292"/>
      <c r="AQ31" s="292"/>
      <c r="AR31" s="292"/>
      <c r="AS31" s="292"/>
      <c r="AT31" s="292"/>
      <c r="AU31" s="292"/>
      <c r="AV31" s="292"/>
      <c r="AW31" s="292"/>
      <c r="AX31" s="292"/>
      <c r="AY31" s="292"/>
      <c r="AZ31" s="292"/>
      <c r="BA31" s="292"/>
      <c r="BB31" s="292"/>
      <c r="BC31" s="292"/>
      <c r="BD31" s="292"/>
      <c r="BE31" s="292"/>
      <c r="BF31" s="292"/>
      <c r="BG31" s="292"/>
      <c r="BH31" s="292"/>
      <c r="BI31" s="292"/>
      <c r="BJ31" s="292"/>
      <c r="BK31" s="292"/>
      <c r="BL31" s="292"/>
      <c r="BM31" s="292"/>
      <c r="BN31" s="292"/>
      <c r="BO31" s="292"/>
      <c r="BP31" s="292"/>
      <c r="BQ31" s="292"/>
      <c r="BR31" s="292"/>
      <c r="BS31" s="292"/>
      <c r="BT31" s="292"/>
      <c r="BU31" s="292"/>
      <c r="BV31" s="292"/>
      <c r="BW31" s="292"/>
      <c r="BX31" s="292"/>
      <c r="BY31" s="292"/>
      <c r="BZ31" s="292"/>
      <c r="CA31" s="292"/>
      <c r="CB31" s="292"/>
      <c r="CC31" s="292"/>
      <c r="CD31" s="292"/>
      <c r="CE31" s="292"/>
      <c r="CF31" s="292"/>
      <c r="CG31" s="292"/>
      <c r="CH31" s="292"/>
      <c r="CI31" s="292"/>
      <c r="CJ31" s="292"/>
      <c r="CK31" s="292"/>
      <c r="CL31" s="292"/>
      <c r="CM31" s="292"/>
      <c r="CN31" s="292"/>
      <c r="CO31" s="292"/>
      <c r="CP31" s="292"/>
    </row>
    <row r="32" spans="1:94" s="293" customFormat="1" ht="24.95" customHeight="1" x14ac:dyDescent="0.2">
      <c r="B32" s="286" t="s">
        <v>6723</v>
      </c>
      <c r="C32" s="288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>
        <v>1</v>
      </c>
      <c r="S32" s="289">
        <v>1</v>
      </c>
      <c r="T32" s="289">
        <v>1</v>
      </c>
      <c r="U32" s="289">
        <v>1</v>
      </c>
      <c r="V32" s="289">
        <v>1</v>
      </c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8"/>
      <c r="AO32" s="290">
        <f t="shared" ref="AO32" si="3">SUM(D32:AM32)</f>
        <v>5</v>
      </c>
      <c r="AP32" s="292"/>
      <c r="AQ32" s="292"/>
      <c r="AR32" s="292"/>
      <c r="AS32" s="292"/>
      <c r="AT32" s="292"/>
      <c r="AU32" s="274"/>
      <c r="AV32" s="274"/>
      <c r="AW32" s="274"/>
      <c r="AX32" s="292"/>
      <c r="AY32" s="292"/>
      <c r="AZ32" s="292"/>
      <c r="BA32" s="292"/>
      <c r="BB32" s="292"/>
      <c r="BC32" s="292"/>
      <c r="BD32" s="292"/>
      <c r="BE32" s="292"/>
      <c r="BF32" s="292"/>
      <c r="BG32" s="292"/>
      <c r="BH32" s="292"/>
      <c r="BI32" s="292"/>
      <c r="BJ32" s="292"/>
      <c r="BK32" s="292"/>
      <c r="BL32" s="292"/>
      <c r="BM32" s="292"/>
      <c r="BN32" s="292"/>
      <c r="BO32" s="292"/>
      <c r="BP32" s="292"/>
      <c r="BQ32" s="292"/>
      <c r="BR32" s="292"/>
      <c r="BS32" s="292"/>
      <c r="BT32" s="292"/>
      <c r="BU32" s="292"/>
      <c r="BV32" s="292"/>
      <c r="BW32" s="292"/>
      <c r="BX32" s="292"/>
      <c r="BY32" s="292"/>
      <c r="BZ32" s="292"/>
      <c r="CA32" s="292"/>
      <c r="CB32" s="292"/>
      <c r="CC32" s="292"/>
      <c r="CD32" s="292"/>
      <c r="CE32" s="292"/>
      <c r="CF32" s="292"/>
      <c r="CG32" s="292"/>
      <c r="CH32" s="292"/>
      <c r="CI32" s="292"/>
      <c r="CJ32" s="292"/>
      <c r="CK32" s="292"/>
      <c r="CL32" s="292"/>
      <c r="CM32" s="292"/>
      <c r="CN32" s="292"/>
      <c r="CO32" s="292"/>
      <c r="CP32" s="292"/>
    </row>
    <row r="33" spans="1:94 1044:1046" s="293" customFormat="1" ht="24.95" customHeight="1" x14ac:dyDescent="0.2">
      <c r="B33" s="286" t="s">
        <v>6724</v>
      </c>
      <c r="C33" s="288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>
        <v>1</v>
      </c>
      <c r="T33" s="289">
        <v>1</v>
      </c>
      <c r="U33" s="289">
        <v>1</v>
      </c>
      <c r="V33" s="289">
        <v>1</v>
      </c>
      <c r="W33" s="289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88"/>
      <c r="AO33" s="290">
        <f t="shared" si="1"/>
        <v>4</v>
      </c>
      <c r="AP33" s="292"/>
      <c r="AQ33" s="292"/>
      <c r="AR33" s="292"/>
      <c r="AS33" s="292"/>
      <c r="AT33" s="292"/>
      <c r="AU33" s="274"/>
      <c r="AV33" s="274"/>
      <c r="AW33" s="274"/>
      <c r="AX33" s="292"/>
      <c r="AY33" s="292"/>
      <c r="AZ33" s="292"/>
      <c r="BA33" s="292"/>
      <c r="BB33" s="292"/>
      <c r="BC33" s="292"/>
      <c r="BD33" s="292"/>
      <c r="BE33" s="292"/>
      <c r="BF33" s="292"/>
      <c r="BG33" s="292"/>
      <c r="BH33" s="292"/>
      <c r="BI33" s="292"/>
      <c r="BJ33" s="292"/>
      <c r="BK33" s="292"/>
      <c r="BL33" s="292"/>
      <c r="BM33" s="292"/>
      <c r="BN33" s="292"/>
      <c r="BO33" s="292"/>
      <c r="BP33" s="292"/>
      <c r="BQ33" s="292"/>
      <c r="BR33" s="292"/>
      <c r="BS33" s="292"/>
      <c r="BT33" s="292"/>
      <c r="BU33" s="292"/>
      <c r="BV33" s="292"/>
      <c r="BW33" s="292"/>
      <c r="BX33" s="292"/>
      <c r="BY33" s="292"/>
      <c r="BZ33" s="292"/>
      <c r="CA33" s="292"/>
      <c r="CB33" s="292"/>
      <c r="CC33" s="292"/>
      <c r="CD33" s="292"/>
      <c r="CE33" s="292"/>
      <c r="CF33" s="292"/>
      <c r="CG33" s="292"/>
      <c r="CH33" s="292"/>
      <c r="CI33" s="292"/>
      <c r="CJ33" s="292"/>
      <c r="CK33" s="292"/>
      <c r="CL33" s="292"/>
      <c r="CM33" s="292"/>
      <c r="CN33" s="292"/>
      <c r="CO33" s="292"/>
      <c r="CP33" s="292"/>
    </row>
    <row r="34" spans="1:94 1044:1046" s="293" customFormat="1" ht="24.95" customHeight="1" x14ac:dyDescent="0.2">
      <c r="B34" s="286" t="s">
        <v>6725</v>
      </c>
      <c r="C34" s="288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  <c r="AA34" s="289"/>
      <c r="AB34" s="289">
        <v>1</v>
      </c>
      <c r="AC34" s="289">
        <v>1</v>
      </c>
      <c r="AD34" s="289">
        <v>1</v>
      </c>
      <c r="AE34" s="289">
        <v>1</v>
      </c>
      <c r="AF34" s="289">
        <v>1</v>
      </c>
      <c r="AG34" s="289">
        <v>1</v>
      </c>
      <c r="AH34" s="289">
        <v>1</v>
      </c>
      <c r="AI34" s="289"/>
      <c r="AJ34" s="289"/>
      <c r="AK34" s="289"/>
      <c r="AL34" s="289"/>
      <c r="AM34" s="289"/>
      <c r="AN34" s="288"/>
      <c r="AO34" s="290">
        <f t="shared" ref="AO34" si="4">SUM(D34:AM34)</f>
        <v>7</v>
      </c>
      <c r="AP34" s="292"/>
      <c r="AQ34" s="292"/>
      <c r="AR34" s="292"/>
      <c r="AS34" s="292"/>
      <c r="AT34" s="292"/>
      <c r="AU34" s="274"/>
      <c r="AV34" s="274"/>
      <c r="AW34" s="274"/>
      <c r="AX34" s="292"/>
      <c r="AY34" s="292"/>
      <c r="AZ34" s="292"/>
      <c r="BA34" s="292"/>
      <c r="BB34" s="292"/>
      <c r="BC34" s="292"/>
      <c r="BD34" s="292"/>
      <c r="BE34" s="292"/>
      <c r="BF34" s="292"/>
      <c r="BG34" s="292"/>
      <c r="BH34" s="292"/>
      <c r="BI34" s="292"/>
      <c r="BJ34" s="292"/>
      <c r="BK34" s="292"/>
      <c r="BL34" s="292"/>
      <c r="BM34" s="292"/>
      <c r="BN34" s="292"/>
      <c r="BO34" s="292"/>
      <c r="BP34" s="292"/>
      <c r="BQ34" s="292"/>
      <c r="BR34" s="292"/>
      <c r="BS34" s="292"/>
      <c r="BT34" s="292"/>
      <c r="BU34" s="292"/>
      <c r="BV34" s="292"/>
      <c r="BW34" s="292"/>
      <c r="BX34" s="292"/>
      <c r="BY34" s="292"/>
      <c r="BZ34" s="292"/>
      <c r="CA34" s="292"/>
      <c r="CB34" s="292"/>
      <c r="CC34" s="292"/>
      <c r="CD34" s="292"/>
      <c r="CE34" s="292"/>
      <c r="CF34" s="292"/>
      <c r="CG34" s="292"/>
      <c r="CH34" s="292"/>
      <c r="CI34" s="292"/>
      <c r="CJ34" s="292"/>
      <c r="CK34" s="292"/>
      <c r="CL34" s="292"/>
      <c r="CM34" s="292"/>
      <c r="CN34" s="292"/>
      <c r="CO34" s="292"/>
      <c r="CP34" s="292"/>
    </row>
    <row r="35" spans="1:94 1044:1046" s="296" customFormat="1" ht="24.95" customHeight="1" x14ac:dyDescent="0.2">
      <c r="A35" s="293"/>
      <c r="B35" s="286" t="s">
        <v>6726</v>
      </c>
      <c r="C35" s="288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>
        <v>1</v>
      </c>
      <c r="AA35" s="289">
        <v>1</v>
      </c>
      <c r="AB35" s="289">
        <v>1</v>
      </c>
      <c r="AC35" s="289">
        <v>1</v>
      </c>
      <c r="AD35" s="289">
        <v>1</v>
      </c>
      <c r="AE35" s="289"/>
      <c r="AF35" s="289"/>
      <c r="AG35" s="289"/>
      <c r="AH35" s="289"/>
      <c r="AI35" s="289"/>
      <c r="AJ35" s="289"/>
      <c r="AK35" s="289"/>
      <c r="AL35" s="289"/>
      <c r="AM35" s="289"/>
      <c r="AN35" s="288"/>
      <c r="AO35" s="290">
        <f t="shared" si="1"/>
        <v>5</v>
      </c>
      <c r="AP35" s="292"/>
      <c r="AQ35" s="292"/>
      <c r="AR35" s="292"/>
      <c r="AS35" s="292"/>
      <c r="AT35" s="292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</row>
    <row r="36" spans="1:94 1044:1046" s="296" customFormat="1" ht="24.95" customHeight="1" x14ac:dyDescent="0.2">
      <c r="A36" s="293"/>
      <c r="B36" s="286" t="s">
        <v>6727</v>
      </c>
      <c r="C36" s="288"/>
      <c r="D36" s="289"/>
      <c r="E36" s="289">
        <f>1*4</f>
        <v>4</v>
      </c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89">
        <v>100</v>
      </c>
      <c r="AO36" s="290">
        <f t="shared" si="1"/>
        <v>4</v>
      </c>
      <c r="AP36" s="292"/>
      <c r="AQ36" s="292"/>
      <c r="AR36" s="292"/>
      <c r="AS36" s="292"/>
      <c r="AT36" s="292"/>
      <c r="AU36" s="274"/>
      <c r="AV36" s="274"/>
      <c r="AW36" s="274"/>
      <c r="AX36" s="274"/>
      <c r="AY36" s="274"/>
      <c r="AZ36" s="274"/>
      <c r="BA36" s="274"/>
      <c r="BB36" s="274"/>
      <c r="BC36" s="274"/>
      <c r="BD36" s="274"/>
      <c r="BE36" s="274"/>
      <c r="BF36" s="274"/>
      <c r="BG36" s="274"/>
      <c r="BH36" s="274"/>
      <c r="BI36" s="274"/>
      <c r="BJ36" s="274"/>
      <c r="BK36" s="274"/>
      <c r="BL36" s="274"/>
      <c r="BM36" s="274"/>
      <c r="BN36" s="274"/>
      <c r="BO36" s="274"/>
      <c r="BP36" s="274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74"/>
      <c r="CB36" s="274"/>
      <c r="CC36" s="274"/>
      <c r="CD36" s="274"/>
      <c r="CE36" s="274"/>
      <c r="CF36" s="274"/>
      <c r="CG36" s="274"/>
      <c r="CH36" s="274"/>
      <c r="CI36" s="274"/>
      <c r="CJ36" s="274"/>
      <c r="CK36" s="274"/>
      <c r="CL36" s="274"/>
      <c r="CM36" s="274"/>
      <c r="CN36" s="274"/>
      <c r="CO36" s="274"/>
      <c r="CP36" s="274"/>
    </row>
    <row r="37" spans="1:94 1044:1046" s="270" customFormat="1" ht="5.0999999999999996" customHeight="1" x14ac:dyDescent="0.2">
      <c r="C37" s="297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7"/>
      <c r="AO37" s="298"/>
      <c r="AP37" s="292"/>
      <c r="AQ37" s="292"/>
      <c r="AR37" s="292"/>
      <c r="AS37" s="292"/>
      <c r="AT37" s="292"/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74"/>
      <c r="BI37" s="274"/>
      <c r="BJ37" s="274"/>
      <c r="BK37" s="274"/>
      <c r="BL37" s="274"/>
      <c r="BM37" s="274"/>
      <c r="BN37" s="274"/>
      <c r="BO37" s="274"/>
      <c r="BP37" s="274"/>
      <c r="BQ37" s="274"/>
      <c r="BR37" s="274"/>
      <c r="BS37" s="274"/>
      <c r="BT37" s="274"/>
      <c r="BU37" s="274"/>
      <c r="BV37" s="274"/>
      <c r="BW37" s="274"/>
      <c r="BX37" s="274"/>
      <c r="BY37" s="274"/>
      <c r="BZ37" s="274"/>
      <c r="CA37" s="274"/>
      <c r="CB37" s="274"/>
      <c r="CC37" s="274"/>
      <c r="CD37" s="274"/>
      <c r="CE37" s="274"/>
      <c r="CF37" s="274"/>
      <c r="CG37" s="274"/>
      <c r="CH37" s="274"/>
      <c r="CI37" s="274"/>
      <c r="CJ37" s="274"/>
      <c r="CK37" s="274"/>
      <c r="CL37" s="274"/>
      <c r="CM37" s="274"/>
      <c r="CN37" s="274"/>
      <c r="CO37" s="274"/>
      <c r="CP37" s="274"/>
    </row>
    <row r="38" spans="1:94 1044:1046" s="299" customFormat="1" ht="30" customHeight="1" x14ac:dyDescent="0.2">
      <c r="B38" s="308" t="s">
        <v>6705</v>
      </c>
      <c r="C38" s="288"/>
      <c r="D38" s="300">
        <f t="shared" ref="D38:AM38" si="5">SUM(D8:D36)</f>
        <v>12</v>
      </c>
      <c r="E38" s="300">
        <f t="shared" si="5"/>
        <v>20</v>
      </c>
      <c r="F38" s="300">
        <f t="shared" si="5"/>
        <v>21</v>
      </c>
      <c r="G38" s="300">
        <f t="shared" si="5"/>
        <v>21</v>
      </c>
      <c r="H38" s="300">
        <f t="shared" si="5"/>
        <v>20</v>
      </c>
      <c r="I38" s="300">
        <f t="shared" si="5"/>
        <v>20</v>
      </c>
      <c r="J38" s="300">
        <f t="shared" si="5"/>
        <v>20</v>
      </c>
      <c r="K38" s="300">
        <f t="shared" si="5"/>
        <v>20</v>
      </c>
      <c r="L38" s="300">
        <f t="shared" si="5"/>
        <v>20</v>
      </c>
      <c r="M38" s="300">
        <f t="shared" si="5"/>
        <v>22</v>
      </c>
      <c r="N38" s="300">
        <f t="shared" si="5"/>
        <v>23</v>
      </c>
      <c r="O38" s="300">
        <f t="shared" si="5"/>
        <v>23</v>
      </c>
      <c r="P38" s="300">
        <f t="shared" si="5"/>
        <v>23</v>
      </c>
      <c r="Q38" s="300">
        <f t="shared" si="5"/>
        <v>23</v>
      </c>
      <c r="R38" s="300">
        <f t="shared" si="5"/>
        <v>24</v>
      </c>
      <c r="S38" s="300">
        <f t="shared" si="5"/>
        <v>25</v>
      </c>
      <c r="T38" s="300">
        <f t="shared" si="5"/>
        <v>25</v>
      </c>
      <c r="U38" s="300">
        <f t="shared" si="5"/>
        <v>25</v>
      </c>
      <c r="V38" s="300">
        <f t="shared" si="5"/>
        <v>25</v>
      </c>
      <c r="W38" s="300">
        <f t="shared" si="5"/>
        <v>19</v>
      </c>
      <c r="X38" s="300">
        <f t="shared" si="5"/>
        <v>19</v>
      </c>
      <c r="Y38" s="300">
        <f t="shared" si="5"/>
        <v>19</v>
      </c>
      <c r="Z38" s="300">
        <f t="shared" si="5"/>
        <v>19</v>
      </c>
      <c r="AA38" s="300">
        <f t="shared" si="5"/>
        <v>19</v>
      </c>
      <c r="AB38" s="300">
        <f t="shared" si="5"/>
        <v>20</v>
      </c>
      <c r="AC38" s="300">
        <f t="shared" si="5"/>
        <v>18</v>
      </c>
      <c r="AD38" s="300">
        <f t="shared" si="5"/>
        <v>18</v>
      </c>
      <c r="AE38" s="300">
        <f t="shared" si="5"/>
        <v>17</v>
      </c>
      <c r="AF38" s="300">
        <f t="shared" si="5"/>
        <v>17</v>
      </c>
      <c r="AG38" s="300">
        <f t="shared" si="5"/>
        <v>16</v>
      </c>
      <c r="AH38" s="300">
        <f t="shared" si="5"/>
        <v>16</v>
      </c>
      <c r="AI38" s="300">
        <f t="shared" si="5"/>
        <v>15</v>
      </c>
      <c r="AJ38" s="300">
        <f t="shared" si="5"/>
        <v>15</v>
      </c>
      <c r="AK38" s="300">
        <f t="shared" si="5"/>
        <v>16</v>
      </c>
      <c r="AL38" s="300">
        <f t="shared" si="5"/>
        <v>16</v>
      </c>
      <c r="AM38" s="300">
        <f t="shared" si="5"/>
        <v>6</v>
      </c>
      <c r="AN38" s="288"/>
      <c r="AO38" s="300">
        <f>SUM(AO9:AO36)</f>
        <v>714</v>
      </c>
      <c r="AP38" s="292"/>
      <c r="AQ38" s="292"/>
      <c r="AR38" s="292"/>
      <c r="AS38" s="292"/>
      <c r="AT38" s="292"/>
      <c r="AU38" s="274"/>
      <c r="AV38" s="304"/>
      <c r="AW38" s="304"/>
      <c r="AX38" s="304"/>
      <c r="AY38" s="304"/>
      <c r="AZ38" s="304"/>
      <c r="BA38" s="304"/>
      <c r="BB38" s="304"/>
      <c r="BC38" s="304"/>
      <c r="BD38" s="304"/>
      <c r="BE38" s="304"/>
      <c r="BF38" s="304"/>
      <c r="BG38" s="304"/>
      <c r="BH38" s="304"/>
      <c r="BI38" s="304"/>
      <c r="BJ38" s="304"/>
      <c r="BK38" s="304"/>
      <c r="BL38" s="304"/>
      <c r="BM38" s="304"/>
      <c r="BN38" s="304"/>
      <c r="BO38" s="304"/>
      <c r="BP38" s="304"/>
      <c r="BQ38" s="304"/>
      <c r="BR38" s="304"/>
      <c r="BS38" s="304"/>
      <c r="BT38" s="304"/>
      <c r="BU38" s="304"/>
      <c r="BV38" s="304"/>
      <c r="BW38" s="304"/>
      <c r="BX38" s="304"/>
      <c r="BY38" s="304"/>
      <c r="BZ38" s="304"/>
      <c r="CA38" s="304"/>
      <c r="CB38" s="304"/>
      <c r="CC38" s="304"/>
      <c r="CD38" s="304"/>
      <c r="CE38" s="304"/>
      <c r="CF38" s="304"/>
      <c r="CG38" s="304"/>
      <c r="CH38" s="304"/>
      <c r="CI38" s="304"/>
      <c r="CJ38" s="304"/>
      <c r="CK38" s="304"/>
      <c r="CL38" s="304"/>
      <c r="CM38" s="304"/>
      <c r="CN38" s="304"/>
      <c r="CO38" s="304"/>
      <c r="CP38" s="304"/>
    </row>
    <row r="39" spans="1:94 1044:1046" s="270" customFormat="1" x14ac:dyDescent="0.25"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P39" s="292"/>
      <c r="AQ39" s="292"/>
      <c r="AR39" s="292"/>
      <c r="AS39" s="292"/>
      <c r="AT39" s="292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AND39" s="275"/>
      <c r="ANE39" s="275"/>
      <c r="ANF39" s="275"/>
    </row>
    <row r="40" spans="1:94 1044:1046" s="270" customFormat="1" x14ac:dyDescent="0.25"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M40" s="305"/>
      <c r="AP40" s="292"/>
      <c r="AQ40" s="292"/>
      <c r="AR40" s="292"/>
      <c r="AS40" s="292"/>
      <c r="AT40" s="292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  <c r="BN40" s="274"/>
      <c r="BO40" s="274"/>
      <c r="BP40" s="274"/>
      <c r="BQ40" s="274"/>
      <c r="BR40" s="274"/>
      <c r="BS40" s="274"/>
      <c r="BT40" s="274"/>
      <c r="BU40" s="274"/>
      <c r="BV40" s="274"/>
      <c r="BW40" s="274"/>
      <c r="BX40" s="274"/>
      <c r="BY40" s="274"/>
      <c r="BZ40" s="274"/>
      <c r="CA40" s="274"/>
      <c r="CB40" s="274"/>
      <c r="CC40" s="274"/>
      <c r="CD40" s="274"/>
      <c r="CE40" s="274"/>
      <c r="CF40" s="274"/>
      <c r="CG40" s="274"/>
      <c r="CH40" s="274"/>
      <c r="CI40" s="274"/>
      <c r="CJ40" s="274"/>
      <c r="CK40" s="274"/>
      <c r="CL40" s="274"/>
      <c r="CM40" s="274"/>
      <c r="CN40" s="274"/>
      <c r="CO40" s="274"/>
      <c r="CP40" s="274"/>
      <c r="AND40" s="275"/>
      <c r="ANE40" s="275"/>
      <c r="ANF40" s="275"/>
    </row>
  </sheetData>
  <mergeCells count="5">
    <mergeCell ref="D5:J5"/>
    <mergeCell ref="K5:W5"/>
    <mergeCell ref="X5:AM5"/>
    <mergeCell ref="B6:B7"/>
    <mergeCell ref="AO6:AO7"/>
  </mergeCells>
  <pageMargins left="0.39374999999999999" right="0.196527777777778" top="0.59027777777777801" bottom="0" header="0.51180555555555496" footer="0"/>
  <pageSetup paperSize="9" scale="47" firstPageNumber="0" orientation="landscape" horizontalDpi="300" verticalDpi="300" r:id="rId1"/>
  <headerFooter>
    <oddFooter>&amp;R&amp;P 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39997558519241921"/>
  </sheetPr>
  <dimension ref="B2:AB141"/>
  <sheetViews>
    <sheetView showGridLines="0" zoomScale="80" zoomScaleNormal="80" workbookViewId="0">
      <selection activeCell="E6" sqref="E6:W6"/>
    </sheetView>
  </sheetViews>
  <sheetFormatPr defaultRowHeight="15" x14ac:dyDescent="0.25"/>
  <cols>
    <col min="1" max="1" width="3" style="312" customWidth="1"/>
    <col min="2" max="4" width="9.140625" style="312"/>
    <col min="5" max="5" width="4.7109375" style="312" customWidth="1"/>
    <col min="6" max="6" width="9.140625" style="312" customWidth="1"/>
    <col min="7" max="12" width="9.140625" style="312"/>
    <col min="13" max="13" width="12.7109375" style="312" customWidth="1"/>
    <col min="14" max="15" width="9.140625" style="312"/>
    <col min="16" max="16" width="12.7109375" style="312" customWidth="1"/>
    <col min="17" max="20" width="9.140625" style="312"/>
    <col min="21" max="21" width="4.7109375" style="312" customWidth="1"/>
    <col min="22" max="25" width="9.140625" style="312"/>
    <col min="26" max="27" width="14.5703125" style="312" bestFit="1" customWidth="1"/>
    <col min="28" max="28" width="14.42578125" style="312" bestFit="1" customWidth="1"/>
    <col min="29" max="16384" width="9.140625" style="312"/>
  </cols>
  <sheetData>
    <row r="2" spans="2:28" x14ac:dyDescent="0.25">
      <c r="B2" s="309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1"/>
    </row>
    <row r="3" spans="2:28" ht="15.75" x14ac:dyDescent="0.25">
      <c r="B3" s="313"/>
      <c r="G3" s="314" t="s">
        <v>13</v>
      </c>
      <c r="H3" s="315" t="s">
        <v>6654</v>
      </c>
      <c r="X3" s="316"/>
    </row>
    <row r="4" spans="2:28" ht="15.75" x14ac:dyDescent="0.25">
      <c r="B4" s="313"/>
      <c r="G4" s="314" t="s">
        <v>14</v>
      </c>
      <c r="H4" s="315" t="s">
        <v>6655</v>
      </c>
      <c r="X4" s="316"/>
    </row>
    <row r="5" spans="2:28" ht="15.75" x14ac:dyDescent="0.25">
      <c r="B5" s="313"/>
      <c r="X5" s="316"/>
      <c r="Z5" s="445" t="s">
        <v>6728</v>
      </c>
      <c r="AA5" s="445"/>
      <c r="AB5" s="445"/>
    </row>
    <row r="6" spans="2:28" ht="18.75" x14ac:dyDescent="0.25">
      <c r="B6" s="313"/>
      <c r="E6" s="446" t="s">
        <v>6729</v>
      </c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8"/>
      <c r="X6" s="316"/>
      <c r="Z6" s="317"/>
      <c r="AA6" s="318" t="s">
        <v>6730</v>
      </c>
      <c r="AB6" s="318" t="s">
        <v>6731</v>
      </c>
    </row>
    <row r="7" spans="2:28" ht="15.75" x14ac:dyDescent="0.25">
      <c r="B7" s="313"/>
      <c r="X7" s="316"/>
      <c r="Z7" s="319" t="s">
        <v>6732</v>
      </c>
      <c r="AA7" s="320">
        <f>SUM(M44,M78,M108,M138)</f>
        <v>40</v>
      </c>
      <c r="AB7" s="320">
        <f>SUM(P44,P78,P108,P138,AB11,AB12)</f>
        <v>1848.9692</v>
      </c>
    </row>
    <row r="8" spans="2:28" ht="15.75" x14ac:dyDescent="0.25">
      <c r="B8" s="313"/>
      <c r="X8" s="316"/>
      <c r="Z8" s="319" t="s">
        <v>6733</v>
      </c>
      <c r="AA8" s="320">
        <f>AA7/2</f>
        <v>20</v>
      </c>
      <c r="AB8" s="320">
        <f>AB7/2</f>
        <v>924.4846</v>
      </c>
    </row>
    <row r="9" spans="2:28" ht="39.950000000000003" customHeight="1" x14ac:dyDescent="0.25">
      <c r="B9" s="313"/>
      <c r="G9" s="449">
        <f>ROUNDUP(17.07/5,0)</f>
        <v>4</v>
      </c>
      <c r="H9" s="449"/>
      <c r="I9" s="449"/>
      <c r="J9" s="449"/>
      <c r="K9" s="449"/>
      <c r="L9" s="449"/>
      <c r="O9" s="449">
        <f>ROUNDUP(17.07/5,0)</f>
        <v>4</v>
      </c>
      <c r="P9" s="449"/>
      <c r="Q9" s="449"/>
      <c r="R9" s="449"/>
      <c r="S9" s="449"/>
      <c r="X9" s="316"/>
    </row>
    <row r="10" spans="2:28" ht="15.75" x14ac:dyDescent="0.25">
      <c r="B10" s="313"/>
      <c r="X10" s="316"/>
      <c r="AA10" s="321" t="s">
        <v>6734</v>
      </c>
    </row>
    <row r="11" spans="2:28" ht="15.75" x14ac:dyDescent="0.25">
      <c r="B11" s="313"/>
      <c r="X11" s="316"/>
      <c r="AA11" s="315" t="s">
        <v>6735</v>
      </c>
      <c r="AB11" s="315">
        <f>23.91*7.08</f>
        <v>169.28280000000001</v>
      </c>
    </row>
    <row r="12" spans="2:28" x14ac:dyDescent="0.25">
      <c r="B12" s="313"/>
      <c r="D12" s="449">
        <f>ROUNDUP(19.63/4,0)</f>
        <v>5</v>
      </c>
      <c r="V12" s="449">
        <f>ROUNDUP(19.63/4,0)</f>
        <v>5</v>
      </c>
      <c r="X12" s="316"/>
      <c r="AA12" s="312" t="s">
        <v>6736</v>
      </c>
      <c r="AB12" s="312">
        <f>((73.93*4.68)+(85.25*5.88))</f>
        <v>847.26240000000007</v>
      </c>
    </row>
    <row r="13" spans="2:28" x14ac:dyDescent="0.25">
      <c r="B13" s="313"/>
      <c r="D13" s="449"/>
      <c r="V13" s="449"/>
      <c r="X13" s="316"/>
    </row>
    <row r="14" spans="2:28" x14ac:dyDescent="0.25">
      <c r="B14" s="313"/>
      <c r="D14" s="449"/>
      <c r="V14" s="449"/>
      <c r="X14" s="316"/>
    </row>
    <row r="15" spans="2:28" x14ac:dyDescent="0.25">
      <c r="B15" s="313"/>
      <c r="D15" s="449"/>
      <c r="V15" s="449"/>
      <c r="X15" s="316"/>
    </row>
    <row r="16" spans="2:28" x14ac:dyDescent="0.25">
      <c r="B16" s="313"/>
      <c r="D16" s="449"/>
      <c r="V16" s="449"/>
      <c r="X16" s="316"/>
    </row>
    <row r="17" spans="2:26" x14ac:dyDescent="0.25">
      <c r="B17" s="313"/>
      <c r="D17" s="449"/>
      <c r="V17" s="449"/>
      <c r="X17" s="316"/>
    </row>
    <row r="18" spans="2:26" x14ac:dyDescent="0.25">
      <c r="B18" s="313"/>
      <c r="D18" s="449"/>
      <c r="V18" s="449"/>
      <c r="X18" s="316"/>
    </row>
    <row r="19" spans="2:26" x14ac:dyDescent="0.25">
      <c r="B19" s="313"/>
      <c r="D19" s="449"/>
      <c r="V19" s="449"/>
      <c r="X19" s="316"/>
    </row>
    <row r="20" spans="2:26" x14ac:dyDescent="0.25">
      <c r="B20" s="313"/>
      <c r="D20" s="449"/>
      <c r="V20" s="449"/>
      <c r="X20" s="316"/>
    </row>
    <row r="21" spans="2:26" x14ac:dyDescent="0.25">
      <c r="B21" s="313"/>
      <c r="D21" s="449"/>
      <c r="V21" s="449"/>
      <c r="X21" s="316"/>
    </row>
    <row r="22" spans="2:26" x14ac:dyDescent="0.25">
      <c r="B22" s="313"/>
      <c r="D22" s="449"/>
      <c r="V22" s="449"/>
      <c r="X22" s="316"/>
    </row>
    <row r="23" spans="2:26" x14ac:dyDescent="0.25">
      <c r="B23" s="313"/>
      <c r="D23" s="449"/>
      <c r="V23" s="449"/>
      <c r="X23" s="316"/>
    </row>
    <row r="24" spans="2:26" x14ac:dyDescent="0.25">
      <c r="B24" s="313"/>
      <c r="D24" s="449"/>
      <c r="V24" s="449"/>
      <c r="X24" s="316"/>
    </row>
    <row r="25" spans="2:26" x14ac:dyDescent="0.25">
      <c r="B25" s="313"/>
      <c r="D25" s="449"/>
      <c r="V25" s="449"/>
      <c r="X25" s="316"/>
    </row>
    <row r="26" spans="2:26" ht="15.75" x14ac:dyDescent="0.25">
      <c r="B26" s="313"/>
      <c r="D26" s="449"/>
      <c r="V26" s="449"/>
      <c r="X26" s="316"/>
      <c r="Z26" s="322">
        <f>(17.07+17.07+19.63+7+19.63+7+7.63)*12.84</f>
        <v>1220.1851999999999</v>
      </c>
    </row>
    <row r="27" spans="2:26" x14ac:dyDescent="0.25">
      <c r="B27" s="313"/>
      <c r="D27" s="449"/>
      <c r="V27" s="449"/>
      <c r="X27" s="316"/>
    </row>
    <row r="28" spans="2:26" x14ac:dyDescent="0.25">
      <c r="B28" s="313"/>
      <c r="D28" s="449"/>
      <c r="V28" s="449"/>
      <c r="X28" s="316"/>
    </row>
    <row r="29" spans="2:26" x14ac:dyDescent="0.25">
      <c r="B29" s="313"/>
      <c r="D29" s="449"/>
      <c r="V29" s="449"/>
      <c r="X29" s="316"/>
    </row>
    <row r="30" spans="2:26" x14ac:dyDescent="0.25">
      <c r="B30" s="313"/>
      <c r="D30" s="449"/>
      <c r="V30" s="449"/>
      <c r="X30" s="316"/>
    </row>
    <row r="31" spans="2:26" x14ac:dyDescent="0.25">
      <c r="B31" s="313"/>
      <c r="D31" s="449"/>
      <c r="V31" s="449"/>
      <c r="X31" s="316"/>
    </row>
    <row r="32" spans="2:26" x14ac:dyDescent="0.25">
      <c r="B32" s="313"/>
      <c r="D32" s="449"/>
      <c r="V32" s="449"/>
      <c r="X32" s="316"/>
    </row>
    <row r="33" spans="2:24" x14ac:dyDescent="0.25">
      <c r="B33" s="313"/>
      <c r="D33" s="449"/>
      <c r="V33" s="449"/>
      <c r="X33" s="316"/>
    </row>
    <row r="34" spans="2:24" x14ac:dyDescent="0.25">
      <c r="B34" s="313"/>
      <c r="D34" s="449"/>
      <c r="V34" s="449"/>
      <c r="X34" s="316"/>
    </row>
    <row r="35" spans="2:24" x14ac:dyDescent="0.25">
      <c r="B35" s="313"/>
      <c r="D35" s="449"/>
      <c r="V35" s="449"/>
      <c r="X35" s="316"/>
    </row>
    <row r="36" spans="2:24" x14ac:dyDescent="0.25">
      <c r="B36" s="313"/>
      <c r="X36" s="316"/>
    </row>
    <row r="37" spans="2:24" x14ac:dyDescent="0.25">
      <c r="B37" s="313"/>
      <c r="X37" s="316"/>
    </row>
    <row r="38" spans="2:24" x14ac:dyDescent="0.25">
      <c r="B38" s="313"/>
      <c r="X38" s="316"/>
    </row>
    <row r="39" spans="2:24" x14ac:dyDescent="0.25">
      <c r="B39" s="313"/>
      <c r="X39" s="316"/>
    </row>
    <row r="40" spans="2:24" ht="39.950000000000003" customHeight="1" x14ac:dyDescent="0.25">
      <c r="B40" s="313"/>
      <c r="G40" s="449">
        <f>7/7</f>
        <v>1</v>
      </c>
      <c r="H40" s="449"/>
      <c r="I40" s="449"/>
      <c r="M40" s="449">
        <f>ROUNDDOWN(7.63/2,0)</f>
        <v>3</v>
      </c>
      <c r="N40" s="449"/>
      <c r="Q40" s="449">
        <f>7/7</f>
        <v>1</v>
      </c>
      <c r="R40" s="449"/>
      <c r="S40" s="449"/>
      <c r="X40" s="316"/>
    </row>
    <row r="41" spans="2:24" x14ac:dyDescent="0.25">
      <c r="B41" s="313"/>
      <c r="X41" s="316"/>
    </row>
    <row r="42" spans="2:24" x14ac:dyDescent="0.25">
      <c r="B42" s="313"/>
      <c r="X42" s="316"/>
    </row>
    <row r="43" spans="2:24" ht="15.75" x14ac:dyDescent="0.25">
      <c r="B43" s="313"/>
      <c r="I43" s="323" t="s">
        <v>6737</v>
      </c>
      <c r="J43" s="324"/>
      <c r="K43" s="324"/>
      <c r="L43" s="450" t="s">
        <v>6730</v>
      </c>
      <c r="M43" s="450"/>
      <c r="O43" s="450" t="s">
        <v>6731</v>
      </c>
      <c r="P43" s="450"/>
      <c r="X43" s="316"/>
    </row>
    <row r="44" spans="2:24" ht="15.75" x14ac:dyDescent="0.25">
      <c r="B44" s="313"/>
      <c r="I44" s="325" t="s">
        <v>6738</v>
      </c>
      <c r="J44" s="326"/>
      <c r="K44" s="326"/>
      <c r="L44" s="327" t="s">
        <v>6732</v>
      </c>
      <c r="M44" s="320">
        <f>SUM(G9,O9,V12,Q40,M40,D12,G40)</f>
        <v>23</v>
      </c>
      <c r="O44" s="327" t="s">
        <v>6732</v>
      </c>
      <c r="P44" s="320">
        <f>(3.24+7.4+7.4)*12.84</f>
        <v>231.63359999999997</v>
      </c>
      <c r="X44" s="316"/>
    </row>
    <row r="45" spans="2:24" ht="15.75" x14ac:dyDescent="0.25">
      <c r="B45" s="313"/>
      <c r="G45" s="328"/>
      <c r="H45" s="328"/>
      <c r="X45" s="316"/>
    </row>
    <row r="46" spans="2:24" ht="15.75" x14ac:dyDescent="0.25">
      <c r="B46" s="313"/>
      <c r="G46" s="328"/>
      <c r="H46" s="328"/>
      <c r="X46" s="316"/>
    </row>
    <row r="47" spans="2:24" ht="18.75" x14ac:dyDescent="0.25">
      <c r="B47" s="313"/>
      <c r="E47" s="446" t="s">
        <v>6739</v>
      </c>
      <c r="F47" s="447"/>
      <c r="G47" s="447"/>
      <c r="H47" s="447"/>
      <c r="I47" s="447"/>
      <c r="J47" s="447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8"/>
      <c r="X47" s="316"/>
    </row>
    <row r="48" spans="2:24" x14ac:dyDescent="0.25">
      <c r="B48" s="313"/>
      <c r="X48" s="316"/>
    </row>
    <row r="49" spans="2:26" x14ac:dyDescent="0.25">
      <c r="B49" s="313"/>
      <c r="X49" s="316"/>
    </row>
    <row r="50" spans="2:26" ht="39.950000000000003" customHeight="1" x14ac:dyDescent="0.25">
      <c r="B50" s="313"/>
      <c r="G50" s="449">
        <f>ROUNDUP(11.35/6,0)</f>
        <v>2</v>
      </c>
      <c r="H50" s="449"/>
      <c r="I50" s="449"/>
      <c r="J50" s="449"/>
      <c r="K50" s="449"/>
      <c r="L50" s="449"/>
      <c r="O50" s="449">
        <f>ROUNDUP(11.35/6,0)</f>
        <v>2</v>
      </c>
      <c r="P50" s="449"/>
      <c r="Q50" s="449"/>
      <c r="R50" s="449"/>
      <c r="S50" s="449"/>
      <c r="X50" s="316"/>
    </row>
    <row r="51" spans="2:26" x14ac:dyDescent="0.25">
      <c r="B51" s="313"/>
      <c r="X51" s="316"/>
    </row>
    <row r="52" spans="2:26" ht="15" customHeight="1" x14ac:dyDescent="0.25">
      <c r="B52" s="313"/>
      <c r="X52" s="316"/>
    </row>
    <row r="53" spans="2:26" ht="15" customHeight="1" x14ac:dyDescent="0.25">
      <c r="B53" s="313"/>
      <c r="D53" s="449">
        <f>ROUNDUP(12.9/4,0)</f>
        <v>4</v>
      </c>
      <c r="V53" s="449">
        <f>ROUNDUP(12.9/4,0)</f>
        <v>4</v>
      </c>
      <c r="X53" s="316"/>
    </row>
    <row r="54" spans="2:26" ht="15" customHeight="1" x14ac:dyDescent="0.25">
      <c r="B54" s="313"/>
      <c r="D54" s="449"/>
      <c r="V54" s="449"/>
      <c r="X54" s="316"/>
    </row>
    <row r="55" spans="2:26" ht="15" customHeight="1" x14ac:dyDescent="0.25">
      <c r="B55" s="313"/>
      <c r="D55" s="449"/>
      <c r="V55" s="449"/>
      <c r="X55" s="316"/>
    </row>
    <row r="56" spans="2:26" ht="15" customHeight="1" x14ac:dyDescent="0.25">
      <c r="B56" s="313"/>
      <c r="D56" s="449"/>
      <c r="V56" s="449"/>
      <c r="X56" s="316"/>
    </row>
    <row r="57" spans="2:26" ht="15" customHeight="1" x14ac:dyDescent="0.25">
      <c r="B57" s="313"/>
      <c r="D57" s="449"/>
      <c r="V57" s="449"/>
      <c r="X57" s="316"/>
    </row>
    <row r="58" spans="2:26" ht="15" customHeight="1" x14ac:dyDescent="0.25">
      <c r="B58" s="313"/>
      <c r="D58" s="449"/>
      <c r="V58" s="449"/>
      <c r="X58" s="316"/>
    </row>
    <row r="59" spans="2:26" ht="15" customHeight="1" x14ac:dyDescent="0.25">
      <c r="B59" s="313"/>
      <c r="D59" s="449"/>
      <c r="V59" s="449"/>
      <c r="X59" s="316"/>
    </row>
    <row r="60" spans="2:26" ht="15" customHeight="1" x14ac:dyDescent="0.25">
      <c r="B60" s="313"/>
      <c r="D60" s="449"/>
      <c r="V60" s="449"/>
      <c r="X60" s="316"/>
    </row>
    <row r="61" spans="2:26" ht="15" customHeight="1" x14ac:dyDescent="0.25">
      <c r="B61" s="313"/>
      <c r="D61" s="449"/>
      <c r="V61" s="449"/>
      <c r="X61" s="316"/>
    </row>
    <row r="62" spans="2:26" ht="15" customHeight="1" x14ac:dyDescent="0.25">
      <c r="B62" s="313"/>
      <c r="D62" s="449"/>
      <c r="V62" s="449"/>
      <c r="X62" s="316"/>
    </row>
    <row r="63" spans="2:26" ht="15" customHeight="1" x14ac:dyDescent="0.25">
      <c r="B63" s="313"/>
      <c r="D63" s="449"/>
      <c r="V63" s="449"/>
      <c r="X63" s="316"/>
      <c r="Z63" s="322">
        <f>(11.35+11.35+12.9+12.9+28.46)*10.2</f>
        <v>784.99200000000008</v>
      </c>
    </row>
    <row r="64" spans="2:26" ht="15" customHeight="1" x14ac:dyDescent="0.25">
      <c r="B64" s="313"/>
      <c r="D64" s="449"/>
      <c r="V64" s="449"/>
      <c r="X64" s="316"/>
    </row>
    <row r="65" spans="2:24" ht="15" customHeight="1" x14ac:dyDescent="0.25">
      <c r="B65" s="313"/>
      <c r="D65" s="449"/>
      <c r="V65" s="449"/>
      <c r="X65" s="316"/>
    </row>
    <row r="66" spans="2:24" ht="15" customHeight="1" x14ac:dyDescent="0.25">
      <c r="B66" s="313"/>
      <c r="D66" s="449"/>
      <c r="V66" s="449"/>
      <c r="X66" s="316"/>
    </row>
    <row r="67" spans="2:24" ht="15" customHeight="1" x14ac:dyDescent="0.25">
      <c r="B67" s="313"/>
      <c r="D67" s="449"/>
      <c r="V67" s="449"/>
      <c r="X67" s="316"/>
    </row>
    <row r="68" spans="2:24" ht="15" customHeight="1" x14ac:dyDescent="0.25">
      <c r="B68" s="313"/>
      <c r="D68" s="449"/>
      <c r="V68" s="449"/>
      <c r="X68" s="316"/>
    </row>
    <row r="69" spans="2:24" ht="15" customHeight="1" x14ac:dyDescent="0.25">
      <c r="B69" s="313"/>
      <c r="D69" s="449"/>
      <c r="V69" s="449"/>
      <c r="X69" s="316"/>
    </row>
    <row r="70" spans="2:24" ht="15" customHeight="1" x14ac:dyDescent="0.25">
      <c r="B70" s="313"/>
      <c r="D70" s="449"/>
      <c r="V70" s="449"/>
      <c r="X70" s="316"/>
    </row>
    <row r="71" spans="2:24" ht="15" customHeight="1" x14ac:dyDescent="0.25">
      <c r="B71" s="313"/>
      <c r="D71" s="449"/>
      <c r="V71" s="449"/>
      <c r="X71" s="316"/>
    </row>
    <row r="72" spans="2:24" ht="15" customHeight="1" x14ac:dyDescent="0.25">
      <c r="B72" s="313"/>
      <c r="X72" s="316"/>
    </row>
    <row r="73" spans="2:24" ht="15" customHeight="1" x14ac:dyDescent="0.25">
      <c r="B73" s="313"/>
      <c r="X73" s="316"/>
    </row>
    <row r="74" spans="2:24" ht="39.950000000000003" customHeight="1" x14ac:dyDescent="0.25">
      <c r="B74" s="313"/>
      <c r="G74" s="449">
        <f>ROUNDUP(28.46/6,0)</f>
        <v>5</v>
      </c>
      <c r="H74" s="449"/>
      <c r="I74" s="449"/>
      <c r="J74" s="449"/>
      <c r="K74" s="449"/>
      <c r="L74" s="449"/>
      <c r="M74" s="449"/>
      <c r="N74" s="449"/>
      <c r="O74" s="449"/>
      <c r="P74" s="449"/>
      <c r="Q74" s="449"/>
      <c r="R74" s="449"/>
      <c r="S74" s="449"/>
      <c r="X74" s="316"/>
    </row>
    <row r="75" spans="2:24" x14ac:dyDescent="0.25">
      <c r="B75" s="313"/>
      <c r="X75" s="316"/>
    </row>
    <row r="76" spans="2:24" x14ac:dyDescent="0.25">
      <c r="B76" s="313"/>
      <c r="X76" s="316"/>
    </row>
    <row r="77" spans="2:24" ht="15.75" x14ac:dyDescent="0.25">
      <c r="B77" s="313"/>
      <c r="I77" s="323" t="s">
        <v>6737</v>
      </c>
      <c r="J77" s="324"/>
      <c r="K77" s="324"/>
      <c r="L77" s="450" t="s">
        <v>6730</v>
      </c>
      <c r="M77" s="450"/>
      <c r="O77" s="450" t="s">
        <v>6731</v>
      </c>
      <c r="P77" s="450"/>
      <c r="X77" s="316"/>
    </row>
    <row r="78" spans="2:24" ht="15.75" x14ac:dyDescent="0.25">
      <c r="B78" s="313"/>
      <c r="I78" s="325" t="s">
        <v>6738</v>
      </c>
      <c r="J78" s="326"/>
      <c r="K78" s="326"/>
      <c r="L78" s="327" t="s">
        <v>6732</v>
      </c>
      <c r="M78" s="320">
        <f>SUM(G50,O50,V53,G74,D53)</f>
        <v>17</v>
      </c>
      <c r="O78" s="327" t="s">
        <v>6732</v>
      </c>
      <c r="P78" s="320">
        <f>3.08*10.2</f>
        <v>31.415999999999997</v>
      </c>
      <c r="X78" s="316"/>
    </row>
    <row r="79" spans="2:24" ht="15.75" x14ac:dyDescent="0.25">
      <c r="B79" s="313"/>
      <c r="G79" s="328"/>
      <c r="H79" s="328"/>
      <c r="X79" s="316"/>
    </row>
    <row r="80" spans="2:24" ht="15.75" x14ac:dyDescent="0.25">
      <c r="B80" s="313"/>
      <c r="G80" s="328"/>
      <c r="H80" s="328"/>
      <c r="X80" s="316"/>
    </row>
    <row r="81" spans="2:26" ht="18.75" x14ac:dyDescent="0.25">
      <c r="B81" s="313"/>
      <c r="E81" s="446" t="s">
        <v>6740</v>
      </c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8"/>
      <c r="X81" s="316"/>
    </row>
    <row r="82" spans="2:26" x14ac:dyDescent="0.25">
      <c r="B82" s="313"/>
      <c r="X82" s="316"/>
    </row>
    <row r="83" spans="2:26" x14ac:dyDescent="0.25">
      <c r="B83" s="313"/>
      <c r="X83" s="316"/>
    </row>
    <row r="84" spans="2:26" ht="39.950000000000003" customHeight="1" x14ac:dyDescent="0.25">
      <c r="B84" s="313"/>
      <c r="G84" s="449">
        <f>ROUNDUP(25.8/6,0)</f>
        <v>5</v>
      </c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X84" s="316"/>
    </row>
    <row r="85" spans="2:26" x14ac:dyDescent="0.25">
      <c r="B85" s="313"/>
      <c r="X85" s="316"/>
    </row>
    <row r="86" spans="2:26" ht="15" customHeight="1" x14ac:dyDescent="0.25">
      <c r="B86" s="313"/>
      <c r="X86" s="316"/>
    </row>
    <row r="87" spans="2:26" ht="15" customHeight="1" x14ac:dyDescent="0.25">
      <c r="B87" s="313"/>
      <c r="X87" s="316"/>
    </row>
    <row r="88" spans="2:26" ht="15" customHeight="1" x14ac:dyDescent="0.25">
      <c r="B88" s="313"/>
      <c r="F88" s="449">
        <f>ROUNDUP(7.46/6,0)</f>
        <v>2</v>
      </c>
      <c r="V88" s="449">
        <f>ROUNDUP(7.46/6,0)</f>
        <v>2</v>
      </c>
      <c r="X88" s="316"/>
    </row>
    <row r="89" spans="2:26" ht="15" customHeight="1" x14ac:dyDescent="0.25">
      <c r="B89" s="313"/>
      <c r="F89" s="449"/>
      <c r="V89" s="449"/>
      <c r="X89" s="316"/>
    </row>
    <row r="90" spans="2:26" ht="15" customHeight="1" x14ac:dyDescent="0.25">
      <c r="B90" s="313"/>
      <c r="F90" s="449"/>
      <c r="V90" s="449"/>
      <c r="X90" s="316"/>
    </row>
    <row r="91" spans="2:26" ht="15" customHeight="1" x14ac:dyDescent="0.25">
      <c r="B91" s="313"/>
      <c r="F91" s="449"/>
      <c r="V91" s="449"/>
      <c r="X91" s="316"/>
      <c r="Z91" s="322">
        <f>(25.8+25.8+7.46+7.46)*5.94</f>
        <v>395.12880000000001</v>
      </c>
    </row>
    <row r="92" spans="2:26" ht="15" customHeight="1" x14ac:dyDescent="0.25">
      <c r="B92" s="313"/>
      <c r="F92" s="449"/>
      <c r="V92" s="449"/>
      <c r="X92" s="316"/>
    </row>
    <row r="93" spans="2:26" ht="15" customHeight="1" x14ac:dyDescent="0.25">
      <c r="B93" s="313"/>
      <c r="F93" s="449"/>
      <c r="V93" s="449"/>
      <c r="X93" s="316"/>
    </row>
    <row r="94" spans="2:26" ht="15" customHeight="1" x14ac:dyDescent="0.25">
      <c r="B94" s="313"/>
      <c r="F94" s="449"/>
      <c r="V94" s="449"/>
      <c r="X94" s="316"/>
    </row>
    <row r="95" spans="2:26" ht="15" customHeight="1" x14ac:dyDescent="0.25">
      <c r="B95" s="313"/>
      <c r="F95" s="449"/>
      <c r="V95" s="449"/>
      <c r="X95" s="316"/>
    </row>
    <row r="96" spans="2:26" ht="15" customHeight="1" x14ac:dyDescent="0.25">
      <c r="B96" s="313"/>
      <c r="F96" s="449"/>
      <c r="V96" s="449"/>
      <c r="X96" s="316"/>
    </row>
    <row r="97" spans="2:24" ht="15" customHeight="1" x14ac:dyDescent="0.25">
      <c r="B97" s="313"/>
      <c r="F97" s="449"/>
      <c r="V97" s="449"/>
      <c r="X97" s="316"/>
    </row>
    <row r="98" spans="2:24" ht="15" customHeight="1" x14ac:dyDescent="0.25">
      <c r="B98" s="313"/>
      <c r="F98" s="449"/>
      <c r="V98" s="449"/>
      <c r="X98" s="316"/>
    </row>
    <row r="99" spans="2:24" ht="15" customHeight="1" x14ac:dyDescent="0.25">
      <c r="B99" s="313"/>
      <c r="F99" s="449"/>
      <c r="V99" s="449"/>
      <c r="X99" s="316"/>
    </row>
    <row r="100" spans="2:24" ht="15" customHeight="1" x14ac:dyDescent="0.25">
      <c r="B100" s="313"/>
      <c r="F100" s="449"/>
      <c r="V100" s="449"/>
      <c r="X100" s="316"/>
    </row>
    <row r="101" spans="2:24" ht="15" customHeight="1" x14ac:dyDescent="0.25">
      <c r="B101" s="313"/>
      <c r="F101" s="449"/>
      <c r="V101" s="449"/>
      <c r="X101" s="316"/>
    </row>
    <row r="102" spans="2:24" ht="15" customHeight="1" x14ac:dyDescent="0.25">
      <c r="B102" s="313"/>
      <c r="X102" s="316"/>
    </row>
    <row r="103" spans="2:24" ht="15" customHeight="1" x14ac:dyDescent="0.25">
      <c r="B103" s="313"/>
      <c r="X103" s="316"/>
    </row>
    <row r="104" spans="2:24" ht="39.950000000000003" customHeight="1" x14ac:dyDescent="0.25">
      <c r="B104" s="313"/>
      <c r="G104" s="449">
        <f>ROUNDUP(25.8/6,0)</f>
        <v>5</v>
      </c>
      <c r="H104" s="449"/>
      <c r="I104" s="449"/>
      <c r="J104" s="449"/>
      <c r="K104" s="449"/>
      <c r="L104" s="449"/>
      <c r="M104" s="449"/>
      <c r="N104" s="449"/>
      <c r="O104" s="449"/>
      <c r="P104" s="449"/>
      <c r="Q104" s="449"/>
      <c r="R104" s="449"/>
      <c r="S104" s="449"/>
      <c r="X104" s="316"/>
    </row>
    <row r="105" spans="2:24" x14ac:dyDescent="0.25">
      <c r="B105" s="313"/>
      <c r="X105" s="316"/>
    </row>
    <row r="106" spans="2:24" x14ac:dyDescent="0.25">
      <c r="B106" s="313"/>
      <c r="X106" s="316"/>
    </row>
    <row r="107" spans="2:24" ht="15.75" x14ac:dyDescent="0.25">
      <c r="B107" s="313"/>
      <c r="I107" s="323" t="s">
        <v>6737</v>
      </c>
      <c r="J107" s="324"/>
      <c r="K107" s="324"/>
      <c r="L107" s="450" t="s">
        <v>6730</v>
      </c>
      <c r="M107" s="450"/>
      <c r="O107" s="450" t="s">
        <v>6731</v>
      </c>
      <c r="P107" s="450"/>
      <c r="X107" s="316"/>
    </row>
    <row r="108" spans="2:24" ht="15.75" x14ac:dyDescent="0.25">
      <c r="B108" s="313"/>
      <c r="I108" s="325" t="s">
        <v>6738</v>
      </c>
      <c r="J108" s="326"/>
      <c r="K108" s="326"/>
      <c r="L108" s="327" t="s">
        <v>6732</v>
      </c>
      <c r="M108" s="320"/>
      <c r="O108" s="327" t="s">
        <v>6732</v>
      </c>
      <c r="P108" s="320">
        <f>66.61*7.04</f>
        <v>468.93439999999998</v>
      </c>
      <c r="X108" s="316"/>
    </row>
    <row r="109" spans="2:24" ht="15.75" x14ac:dyDescent="0.25">
      <c r="B109" s="313"/>
      <c r="G109" s="328"/>
      <c r="H109" s="328"/>
      <c r="X109" s="316"/>
    </row>
    <row r="110" spans="2:24" ht="15.75" x14ac:dyDescent="0.25">
      <c r="B110" s="313"/>
      <c r="G110" s="328"/>
      <c r="H110" s="328"/>
      <c r="X110" s="316"/>
    </row>
    <row r="111" spans="2:24" ht="18.75" x14ac:dyDescent="0.25">
      <c r="B111" s="313"/>
      <c r="E111" s="446" t="s">
        <v>6741</v>
      </c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8"/>
      <c r="X111" s="316"/>
    </row>
    <row r="112" spans="2:24" x14ac:dyDescent="0.25">
      <c r="B112" s="313"/>
      <c r="X112" s="316"/>
    </row>
    <row r="113" spans="2:24" x14ac:dyDescent="0.25">
      <c r="B113" s="313"/>
      <c r="X113" s="316"/>
    </row>
    <row r="114" spans="2:24" ht="39.950000000000003" customHeight="1" x14ac:dyDescent="0.25">
      <c r="B114" s="313"/>
      <c r="G114" s="449">
        <v>0</v>
      </c>
      <c r="H114" s="449"/>
      <c r="I114" s="449"/>
      <c r="J114" s="449"/>
      <c r="K114" s="449"/>
      <c r="L114" s="449"/>
      <c r="M114" s="449"/>
      <c r="N114" s="449"/>
      <c r="O114" s="449"/>
      <c r="P114" s="449"/>
      <c r="Q114" s="449"/>
      <c r="R114" s="449"/>
      <c r="S114" s="449"/>
      <c r="X114" s="316"/>
    </row>
    <row r="115" spans="2:24" x14ac:dyDescent="0.25">
      <c r="B115" s="313"/>
      <c r="X115" s="316"/>
    </row>
    <row r="116" spans="2:24" ht="15" customHeight="1" x14ac:dyDescent="0.25">
      <c r="B116" s="313"/>
      <c r="X116" s="316"/>
    </row>
    <row r="117" spans="2:24" ht="15" customHeight="1" x14ac:dyDescent="0.25">
      <c r="B117" s="313"/>
      <c r="X117" s="316"/>
    </row>
    <row r="118" spans="2:24" ht="15" customHeight="1" x14ac:dyDescent="0.25">
      <c r="B118" s="313"/>
      <c r="F118" s="449">
        <v>0</v>
      </c>
      <c r="V118" s="449">
        <v>0</v>
      </c>
      <c r="X118" s="316"/>
    </row>
    <row r="119" spans="2:24" ht="15" customHeight="1" x14ac:dyDescent="0.25">
      <c r="B119" s="313"/>
      <c r="F119" s="449"/>
      <c r="V119" s="449"/>
      <c r="X119" s="316"/>
    </row>
    <row r="120" spans="2:24" ht="15" customHeight="1" x14ac:dyDescent="0.25">
      <c r="B120" s="313"/>
      <c r="F120" s="449"/>
      <c r="V120" s="449"/>
      <c r="X120" s="316"/>
    </row>
    <row r="121" spans="2:24" ht="15" customHeight="1" x14ac:dyDescent="0.25">
      <c r="B121" s="313"/>
      <c r="F121" s="449"/>
      <c r="V121" s="449"/>
      <c r="X121" s="316"/>
    </row>
    <row r="122" spans="2:24" ht="15" customHeight="1" x14ac:dyDescent="0.25">
      <c r="B122" s="313"/>
      <c r="F122" s="449"/>
      <c r="V122" s="449"/>
      <c r="X122" s="316"/>
    </row>
    <row r="123" spans="2:24" ht="15" customHeight="1" x14ac:dyDescent="0.25">
      <c r="B123" s="313"/>
      <c r="F123" s="449"/>
      <c r="V123" s="449"/>
      <c r="X123" s="316"/>
    </row>
    <row r="124" spans="2:24" ht="15" customHeight="1" x14ac:dyDescent="0.25">
      <c r="B124" s="313"/>
      <c r="F124" s="449"/>
      <c r="V124" s="449"/>
      <c r="X124" s="316"/>
    </row>
    <row r="125" spans="2:24" ht="15" customHeight="1" x14ac:dyDescent="0.25">
      <c r="B125" s="313"/>
      <c r="F125" s="449"/>
      <c r="V125" s="449"/>
      <c r="X125" s="316"/>
    </row>
    <row r="126" spans="2:24" ht="15" customHeight="1" x14ac:dyDescent="0.25">
      <c r="B126" s="313"/>
      <c r="F126" s="449"/>
      <c r="V126" s="449"/>
      <c r="X126" s="316"/>
    </row>
    <row r="127" spans="2:24" ht="15" customHeight="1" x14ac:dyDescent="0.25">
      <c r="B127" s="313"/>
      <c r="F127" s="449"/>
      <c r="V127" s="449"/>
      <c r="X127" s="316"/>
    </row>
    <row r="128" spans="2:24" ht="15" customHeight="1" x14ac:dyDescent="0.25">
      <c r="B128" s="313"/>
      <c r="F128" s="449"/>
      <c r="V128" s="449"/>
      <c r="X128" s="316"/>
    </row>
    <row r="129" spans="2:24" ht="15" customHeight="1" x14ac:dyDescent="0.25">
      <c r="B129" s="313"/>
      <c r="F129" s="449"/>
      <c r="V129" s="449"/>
      <c r="X129" s="316"/>
    </row>
    <row r="130" spans="2:24" ht="15" customHeight="1" x14ac:dyDescent="0.25">
      <c r="B130" s="313"/>
      <c r="F130" s="449"/>
      <c r="V130" s="449"/>
      <c r="X130" s="316"/>
    </row>
    <row r="131" spans="2:24" ht="15" customHeight="1" x14ac:dyDescent="0.25">
      <c r="B131" s="313"/>
      <c r="F131" s="449"/>
      <c r="V131" s="449"/>
      <c r="X131" s="316"/>
    </row>
    <row r="132" spans="2:24" ht="15" customHeight="1" x14ac:dyDescent="0.25">
      <c r="B132" s="313"/>
      <c r="X132" s="316"/>
    </row>
    <row r="133" spans="2:24" ht="15" customHeight="1" x14ac:dyDescent="0.25">
      <c r="B133" s="313"/>
      <c r="X133" s="316"/>
    </row>
    <row r="134" spans="2:24" ht="39.950000000000003" customHeight="1" x14ac:dyDescent="0.25">
      <c r="B134" s="313"/>
      <c r="G134" s="449">
        <v>0</v>
      </c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X134" s="316"/>
    </row>
    <row r="135" spans="2:24" x14ac:dyDescent="0.25">
      <c r="B135" s="313"/>
      <c r="X135" s="316"/>
    </row>
    <row r="136" spans="2:24" x14ac:dyDescent="0.25">
      <c r="B136" s="313"/>
      <c r="X136" s="316"/>
    </row>
    <row r="137" spans="2:24" ht="15.75" x14ac:dyDescent="0.25">
      <c r="B137" s="313"/>
      <c r="I137" s="323" t="s">
        <v>6737</v>
      </c>
      <c r="J137" s="324"/>
      <c r="K137" s="324"/>
      <c r="L137" s="450" t="s">
        <v>6730</v>
      </c>
      <c r="M137" s="450"/>
      <c r="O137" s="450" t="s">
        <v>6731</v>
      </c>
      <c r="P137" s="450"/>
      <c r="X137" s="316"/>
    </row>
    <row r="138" spans="2:24" ht="15.75" x14ac:dyDescent="0.25">
      <c r="B138" s="313"/>
      <c r="I138" s="325" t="s">
        <v>6738</v>
      </c>
      <c r="J138" s="326"/>
      <c r="K138" s="326"/>
      <c r="L138" s="327" t="s">
        <v>6732</v>
      </c>
      <c r="M138" s="320">
        <f>SUM(G114,V118,G134,F118)</f>
        <v>0</v>
      </c>
      <c r="O138" s="327" t="s">
        <v>6732</v>
      </c>
      <c r="P138" s="320">
        <f>22.32*4.5</f>
        <v>100.44</v>
      </c>
      <c r="X138" s="316"/>
    </row>
    <row r="139" spans="2:24" ht="15.75" x14ac:dyDescent="0.25">
      <c r="B139" s="313"/>
      <c r="G139" s="328"/>
      <c r="H139" s="328"/>
      <c r="X139" s="316"/>
    </row>
    <row r="140" spans="2:24" ht="15.75" x14ac:dyDescent="0.25">
      <c r="B140" s="313"/>
      <c r="G140" s="328"/>
      <c r="H140" s="328"/>
      <c r="X140" s="316"/>
    </row>
    <row r="141" spans="2:24" x14ac:dyDescent="0.25">
      <c r="B141" s="329"/>
      <c r="C141" s="330"/>
      <c r="D141" s="330"/>
      <c r="E141" s="330"/>
      <c r="F141" s="330"/>
      <c r="G141" s="330"/>
      <c r="H141" s="330"/>
      <c r="I141" s="330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1"/>
    </row>
  </sheetData>
  <mergeCells count="33">
    <mergeCell ref="G134:S134"/>
    <mergeCell ref="D53:D71"/>
    <mergeCell ref="V53:V71"/>
    <mergeCell ref="G74:S74"/>
    <mergeCell ref="L137:M137"/>
    <mergeCell ref="O137:P137"/>
    <mergeCell ref="E81:W81"/>
    <mergeCell ref="G84:S84"/>
    <mergeCell ref="F88:F101"/>
    <mergeCell ref="V88:V101"/>
    <mergeCell ref="G104:S104"/>
    <mergeCell ref="L107:M107"/>
    <mergeCell ref="O107:P107"/>
    <mergeCell ref="E111:W111"/>
    <mergeCell ref="G114:S114"/>
    <mergeCell ref="F118:F131"/>
    <mergeCell ref="V118:V131"/>
    <mergeCell ref="L77:M77"/>
    <mergeCell ref="O77:P77"/>
    <mergeCell ref="G40:I40"/>
    <mergeCell ref="M40:N40"/>
    <mergeCell ref="Q40:S40"/>
    <mergeCell ref="L43:M43"/>
    <mergeCell ref="O43:P43"/>
    <mergeCell ref="E47:W47"/>
    <mergeCell ref="G50:L50"/>
    <mergeCell ref="O50:S50"/>
    <mergeCell ref="Z5:AB5"/>
    <mergeCell ref="E6:W6"/>
    <mergeCell ref="G9:L9"/>
    <mergeCell ref="O9:S9"/>
    <mergeCell ref="D12:D35"/>
    <mergeCell ref="V12:V35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249977111117893"/>
  </sheetPr>
  <dimension ref="A1:L1549"/>
  <sheetViews>
    <sheetView workbookViewId="0"/>
  </sheetViews>
  <sheetFormatPr defaultRowHeight="15" x14ac:dyDescent="0.25"/>
  <cols>
    <col min="1" max="3" width="9.140625" style="341"/>
    <col min="4" max="4" width="18.5703125" style="341" customWidth="1"/>
    <col min="5" max="5" width="9.140625" style="341"/>
    <col min="6" max="6" width="9.140625" style="342"/>
    <col min="7" max="10" width="9.140625" style="341"/>
    <col min="11" max="11" width="16.28515625" style="342" customWidth="1"/>
    <col min="12" max="12" width="38.140625" style="341" customWidth="1"/>
    <col min="13" max="16384" width="9.140625" style="341"/>
  </cols>
  <sheetData>
    <row r="1" spans="1:12" x14ac:dyDescent="0.25">
      <c r="A1" s="341" t="s">
        <v>9684</v>
      </c>
      <c r="B1" s="341" t="s">
        <v>9685</v>
      </c>
      <c r="C1" s="341" t="s">
        <v>9686</v>
      </c>
      <c r="D1" s="341" t="s">
        <v>9687</v>
      </c>
      <c r="E1" s="341" t="s">
        <v>9688</v>
      </c>
      <c r="F1" s="342" t="s">
        <v>9689</v>
      </c>
      <c r="G1" s="341" t="s">
        <v>9690</v>
      </c>
      <c r="H1" s="341" t="s">
        <v>9691</v>
      </c>
      <c r="I1" s="341" t="s">
        <v>9692</v>
      </c>
      <c r="J1" s="341" t="s">
        <v>9693</v>
      </c>
      <c r="K1" s="342" t="s">
        <v>9694</v>
      </c>
      <c r="L1" s="341" t="s">
        <v>9695</v>
      </c>
    </row>
    <row r="3" spans="1:12" x14ac:dyDescent="0.25">
      <c r="A3" s="341" t="s">
        <v>143</v>
      </c>
      <c r="B3" s="341" t="s">
        <v>9696</v>
      </c>
      <c r="C3" s="341" t="s">
        <v>52</v>
      </c>
      <c r="D3" s="342">
        <v>1</v>
      </c>
      <c r="E3" s="342">
        <v>0</v>
      </c>
      <c r="F3" s="342" t="s">
        <v>9622</v>
      </c>
      <c r="G3" s="341" t="s">
        <v>1234</v>
      </c>
      <c r="H3" s="341" t="s">
        <v>6899</v>
      </c>
      <c r="I3" s="341" t="s">
        <v>4230</v>
      </c>
      <c r="J3" s="342">
        <v>0.45</v>
      </c>
      <c r="K3" s="342" t="s">
        <v>4230</v>
      </c>
      <c r="L3" s="342">
        <v>0</v>
      </c>
    </row>
    <row r="4" spans="1:12" x14ac:dyDescent="0.25">
      <c r="A4" s="341" t="s">
        <v>2420</v>
      </c>
      <c r="B4" s="341" t="s">
        <v>2420</v>
      </c>
      <c r="C4" s="341" t="s">
        <v>2420</v>
      </c>
      <c r="D4" s="342">
        <v>0</v>
      </c>
      <c r="E4" s="342" t="s">
        <v>2420</v>
      </c>
      <c r="F4" s="342" t="s">
        <v>9622</v>
      </c>
      <c r="G4" s="341" t="s">
        <v>1235</v>
      </c>
      <c r="H4" s="341" t="s">
        <v>6900</v>
      </c>
      <c r="I4" s="341" t="s">
        <v>4230</v>
      </c>
      <c r="J4" s="342">
        <v>4.5</v>
      </c>
      <c r="K4" s="342" t="s">
        <v>4230</v>
      </c>
      <c r="L4" s="342">
        <v>0</v>
      </c>
    </row>
    <row r="5" spans="1:12" x14ac:dyDescent="0.25">
      <c r="A5" s="341" t="s">
        <v>2420</v>
      </c>
      <c r="B5" s="341" t="s">
        <v>2420</v>
      </c>
      <c r="C5" s="341" t="s">
        <v>2420</v>
      </c>
      <c r="D5" s="342">
        <v>0</v>
      </c>
      <c r="E5" s="342" t="s">
        <v>2420</v>
      </c>
      <c r="F5" s="342" t="s">
        <v>9622</v>
      </c>
      <c r="G5" s="341" t="s">
        <v>1956</v>
      </c>
      <c r="H5" s="341" t="s">
        <v>9697</v>
      </c>
      <c r="I5" s="341" t="s">
        <v>52</v>
      </c>
      <c r="J5" s="342">
        <v>1</v>
      </c>
      <c r="K5" s="342" t="s">
        <v>9623</v>
      </c>
      <c r="L5" s="342">
        <v>0</v>
      </c>
    </row>
    <row r="6" spans="1:12" x14ac:dyDescent="0.25">
      <c r="A6" s="341" t="s">
        <v>239</v>
      </c>
      <c r="B6" s="341" t="s">
        <v>9698</v>
      </c>
      <c r="C6" s="341" t="s">
        <v>52</v>
      </c>
      <c r="D6" s="342">
        <v>1</v>
      </c>
      <c r="E6" s="342">
        <v>0</v>
      </c>
      <c r="F6" s="342" t="s">
        <v>9622</v>
      </c>
      <c r="G6" s="341" t="s">
        <v>1210</v>
      </c>
      <c r="H6" s="341" t="s">
        <v>6855</v>
      </c>
      <c r="I6" s="341" t="s">
        <v>4230</v>
      </c>
      <c r="J6" s="342">
        <v>16</v>
      </c>
      <c r="K6" s="342" t="s">
        <v>4230</v>
      </c>
      <c r="L6" s="342">
        <v>0</v>
      </c>
    </row>
    <row r="7" spans="1:12" x14ac:dyDescent="0.25">
      <c r="A7" s="341" t="s">
        <v>507</v>
      </c>
      <c r="B7" s="341" t="s">
        <v>9699</v>
      </c>
      <c r="C7" s="341" t="s">
        <v>52</v>
      </c>
      <c r="D7" s="342">
        <v>1</v>
      </c>
      <c r="E7" s="342">
        <v>0</v>
      </c>
      <c r="F7" s="342" t="s">
        <v>9622</v>
      </c>
      <c r="G7" s="341" t="s">
        <v>1204</v>
      </c>
      <c r="H7" s="341" t="s">
        <v>6854</v>
      </c>
      <c r="I7" s="341" t="s">
        <v>4230</v>
      </c>
      <c r="J7" s="342">
        <v>1.3</v>
      </c>
      <c r="K7" s="342" t="s">
        <v>4230</v>
      </c>
      <c r="L7" s="342">
        <v>0</v>
      </c>
    </row>
    <row r="8" spans="1:12" x14ac:dyDescent="0.25">
      <c r="A8" s="341" t="s">
        <v>2420</v>
      </c>
      <c r="B8" s="341" t="s">
        <v>2420</v>
      </c>
      <c r="C8" s="341" t="s">
        <v>2420</v>
      </c>
      <c r="D8" s="342">
        <v>0</v>
      </c>
      <c r="E8" s="342" t="s">
        <v>2420</v>
      </c>
      <c r="F8" s="342" t="s">
        <v>9622</v>
      </c>
      <c r="G8" s="341" t="s">
        <v>1210</v>
      </c>
      <c r="H8" s="341" t="s">
        <v>6855</v>
      </c>
      <c r="I8" s="341" t="s">
        <v>4230</v>
      </c>
      <c r="J8" s="342">
        <v>13</v>
      </c>
      <c r="K8" s="342" t="s">
        <v>4230</v>
      </c>
      <c r="L8" s="342">
        <v>0</v>
      </c>
    </row>
    <row r="9" spans="1:12" x14ac:dyDescent="0.25">
      <c r="A9" s="341" t="s">
        <v>9700</v>
      </c>
      <c r="B9" s="341" t="s">
        <v>9701</v>
      </c>
      <c r="C9" s="341" t="s">
        <v>52</v>
      </c>
      <c r="D9" s="342">
        <v>1</v>
      </c>
      <c r="E9" s="342">
        <v>0</v>
      </c>
      <c r="F9" s="342" t="s">
        <v>9622</v>
      </c>
      <c r="G9" s="341" t="s">
        <v>1204</v>
      </c>
      <c r="H9" s="341" t="s">
        <v>6854</v>
      </c>
      <c r="I9" s="341" t="s">
        <v>4230</v>
      </c>
      <c r="J9" s="342">
        <v>0.5</v>
      </c>
      <c r="K9" s="342" t="s">
        <v>4230</v>
      </c>
      <c r="L9" s="342">
        <v>0</v>
      </c>
    </row>
    <row r="10" spans="1:12" x14ac:dyDescent="0.25">
      <c r="A10" s="341" t="s">
        <v>2420</v>
      </c>
      <c r="B10" s="341" t="s">
        <v>2420</v>
      </c>
      <c r="C10" s="341" t="s">
        <v>2420</v>
      </c>
      <c r="D10" s="342">
        <v>0</v>
      </c>
      <c r="E10" s="342" t="s">
        <v>2420</v>
      </c>
      <c r="F10" s="342" t="s">
        <v>9622</v>
      </c>
      <c r="G10" s="341" t="s">
        <v>1295</v>
      </c>
      <c r="H10" s="341" t="s">
        <v>6966</v>
      </c>
      <c r="I10" s="341" t="s">
        <v>52</v>
      </c>
      <c r="J10" s="342">
        <v>1.05</v>
      </c>
      <c r="K10" s="342" t="s">
        <v>25</v>
      </c>
      <c r="L10" s="342">
        <v>0</v>
      </c>
    </row>
    <row r="11" spans="1:12" x14ac:dyDescent="0.25">
      <c r="A11" s="341" t="s">
        <v>144</v>
      </c>
      <c r="B11" s="341" t="s">
        <v>9702</v>
      </c>
      <c r="C11" s="341" t="s">
        <v>52</v>
      </c>
      <c r="D11" s="342">
        <v>1</v>
      </c>
      <c r="E11" s="342">
        <v>0</v>
      </c>
      <c r="F11" s="342" t="s">
        <v>9622</v>
      </c>
      <c r="G11" s="341" t="s">
        <v>1210</v>
      </c>
      <c r="H11" s="341" t="s">
        <v>6855</v>
      </c>
      <c r="I11" s="341" t="s">
        <v>4230</v>
      </c>
      <c r="J11" s="342">
        <v>3.5</v>
      </c>
      <c r="K11" s="342" t="s">
        <v>4230</v>
      </c>
      <c r="L11" s="342">
        <v>0</v>
      </c>
    </row>
    <row r="12" spans="1:12" x14ac:dyDescent="0.25">
      <c r="A12" s="341" t="s">
        <v>216</v>
      </c>
      <c r="B12" s="341" t="s">
        <v>9703</v>
      </c>
      <c r="C12" s="341" t="s">
        <v>52</v>
      </c>
      <c r="D12" s="342">
        <v>1</v>
      </c>
      <c r="E12" s="342">
        <v>0</v>
      </c>
      <c r="F12" s="342" t="s">
        <v>9622</v>
      </c>
      <c r="G12" s="341" t="s">
        <v>1210</v>
      </c>
      <c r="H12" s="341" t="s">
        <v>6855</v>
      </c>
      <c r="I12" s="341" t="s">
        <v>4230</v>
      </c>
      <c r="J12" s="342">
        <v>0.65</v>
      </c>
      <c r="K12" s="342" t="s">
        <v>4230</v>
      </c>
      <c r="L12" s="342">
        <v>0</v>
      </c>
    </row>
    <row r="13" spans="1:12" x14ac:dyDescent="0.25">
      <c r="A13" s="341" t="s">
        <v>257</v>
      </c>
      <c r="B13" s="341" t="s">
        <v>9704</v>
      </c>
      <c r="C13" s="341" t="s">
        <v>11</v>
      </c>
      <c r="D13" s="342">
        <v>1</v>
      </c>
      <c r="E13" s="342">
        <v>0</v>
      </c>
      <c r="F13" s="342" t="s">
        <v>9622</v>
      </c>
      <c r="G13" s="341" t="s">
        <v>1204</v>
      </c>
      <c r="H13" s="341" t="s">
        <v>6854</v>
      </c>
      <c r="I13" s="341" t="s">
        <v>4230</v>
      </c>
      <c r="J13" s="342">
        <v>0.35</v>
      </c>
      <c r="K13" s="342" t="s">
        <v>4230</v>
      </c>
      <c r="L13" s="342">
        <v>0</v>
      </c>
    </row>
    <row r="14" spans="1:12" x14ac:dyDescent="0.25">
      <c r="A14" s="341" t="s">
        <v>2420</v>
      </c>
      <c r="B14" s="341" t="s">
        <v>2420</v>
      </c>
      <c r="C14" s="341" t="s">
        <v>2420</v>
      </c>
      <c r="D14" s="342">
        <v>0</v>
      </c>
      <c r="E14" s="342" t="s">
        <v>2420</v>
      </c>
      <c r="F14" s="342" t="s">
        <v>9622</v>
      </c>
      <c r="G14" s="341" t="s">
        <v>1210</v>
      </c>
      <c r="H14" s="341" t="s">
        <v>6855</v>
      </c>
      <c r="I14" s="341" t="s">
        <v>4230</v>
      </c>
      <c r="J14" s="342">
        <v>3.5</v>
      </c>
      <c r="K14" s="342" t="s">
        <v>4230</v>
      </c>
      <c r="L14" s="342">
        <v>0</v>
      </c>
    </row>
    <row r="15" spans="1:12" x14ac:dyDescent="0.25">
      <c r="A15" s="341" t="s">
        <v>9705</v>
      </c>
      <c r="B15" s="341" t="s">
        <v>9706</v>
      </c>
      <c r="C15" s="341" t="s">
        <v>16</v>
      </c>
      <c r="D15" s="342">
        <v>1</v>
      </c>
      <c r="E15" s="342">
        <v>0</v>
      </c>
      <c r="F15" s="342" t="s">
        <v>9622</v>
      </c>
      <c r="G15" s="341" t="s">
        <v>1210</v>
      </c>
      <c r="H15" s="341" t="s">
        <v>6855</v>
      </c>
      <c r="I15" s="341" t="s">
        <v>4230</v>
      </c>
      <c r="J15" s="342">
        <v>0.03</v>
      </c>
      <c r="K15" s="342" t="s">
        <v>4230</v>
      </c>
      <c r="L15" s="342">
        <v>0</v>
      </c>
    </row>
    <row r="16" spans="1:12" x14ac:dyDescent="0.25">
      <c r="A16" s="341" t="s">
        <v>2420</v>
      </c>
      <c r="B16" s="341" t="s">
        <v>2420</v>
      </c>
      <c r="C16" s="341" t="s">
        <v>2420</v>
      </c>
      <c r="D16" s="342">
        <v>0</v>
      </c>
      <c r="E16" s="342" t="s">
        <v>2420</v>
      </c>
      <c r="F16" s="342" t="s">
        <v>9622</v>
      </c>
      <c r="G16" s="341" t="s">
        <v>1324</v>
      </c>
      <c r="H16" s="341" t="s">
        <v>7016</v>
      </c>
      <c r="I16" s="341" t="s">
        <v>16</v>
      </c>
      <c r="J16" s="342">
        <v>1.1000000000000001</v>
      </c>
      <c r="K16" s="342" t="s">
        <v>25</v>
      </c>
      <c r="L16" s="342">
        <v>0</v>
      </c>
    </row>
    <row r="17" spans="1:12" x14ac:dyDescent="0.25">
      <c r="A17" s="341" t="s">
        <v>9707</v>
      </c>
      <c r="B17" s="341" t="s">
        <v>9708</v>
      </c>
      <c r="C17" s="341" t="s">
        <v>52</v>
      </c>
      <c r="D17" s="342">
        <v>1</v>
      </c>
      <c r="E17" s="342">
        <v>0</v>
      </c>
      <c r="F17" s="342" t="s">
        <v>9622</v>
      </c>
      <c r="G17" s="341" t="s">
        <v>1210</v>
      </c>
      <c r="H17" s="341" t="s">
        <v>6855</v>
      </c>
      <c r="I17" s="341" t="s">
        <v>4230</v>
      </c>
      <c r="J17" s="342">
        <v>0</v>
      </c>
      <c r="K17" s="342" t="s">
        <v>4230</v>
      </c>
      <c r="L17" s="342">
        <v>0</v>
      </c>
    </row>
    <row r="18" spans="1:12" x14ac:dyDescent="0.25">
      <c r="A18" s="341" t="s">
        <v>2420</v>
      </c>
      <c r="B18" s="341" t="s">
        <v>2420</v>
      </c>
      <c r="C18" s="341" t="s">
        <v>2420</v>
      </c>
      <c r="D18" s="342">
        <v>0</v>
      </c>
      <c r="E18" s="342" t="s">
        <v>2420</v>
      </c>
      <c r="F18" s="342" t="s">
        <v>9622</v>
      </c>
      <c r="G18" s="341" t="s">
        <v>1275</v>
      </c>
      <c r="H18" s="341" t="s">
        <v>6938</v>
      </c>
      <c r="I18" s="341" t="s">
        <v>52</v>
      </c>
      <c r="J18" s="342">
        <v>0.77800000000000002</v>
      </c>
      <c r="K18" s="342" t="s">
        <v>25</v>
      </c>
      <c r="L18" s="342">
        <v>0</v>
      </c>
    </row>
    <row r="19" spans="1:12" x14ac:dyDescent="0.25">
      <c r="A19" s="341" t="s">
        <v>2420</v>
      </c>
      <c r="B19" s="341" t="s">
        <v>2420</v>
      </c>
      <c r="C19" s="341" t="s">
        <v>2420</v>
      </c>
      <c r="D19" s="342">
        <v>0</v>
      </c>
      <c r="E19" s="342" t="s">
        <v>2420</v>
      </c>
      <c r="F19" s="342" t="s">
        <v>9622</v>
      </c>
      <c r="G19" s="341" t="s">
        <v>1295</v>
      </c>
      <c r="H19" s="341" t="s">
        <v>6966</v>
      </c>
      <c r="I19" s="341" t="s">
        <v>52</v>
      </c>
      <c r="J19" s="342">
        <v>0.96579999999999999</v>
      </c>
      <c r="K19" s="342" t="s">
        <v>25</v>
      </c>
      <c r="L19" s="342">
        <v>0</v>
      </c>
    </row>
    <row r="20" spans="1:12" x14ac:dyDescent="0.25">
      <c r="A20" s="341" t="s">
        <v>2420</v>
      </c>
      <c r="B20" s="341" t="s">
        <v>2420</v>
      </c>
      <c r="C20" s="341" t="s">
        <v>2420</v>
      </c>
      <c r="D20" s="342">
        <v>0</v>
      </c>
      <c r="E20" s="342" t="s">
        <v>2420</v>
      </c>
      <c r="F20" s="342" t="s">
        <v>9622</v>
      </c>
      <c r="G20" s="341" t="s">
        <v>1303</v>
      </c>
      <c r="H20" s="341" t="s">
        <v>6980</v>
      </c>
      <c r="I20" s="341" t="s">
        <v>2557</v>
      </c>
      <c r="J20" s="342">
        <v>220</v>
      </c>
      <c r="K20" s="342" t="s">
        <v>25</v>
      </c>
      <c r="L20" s="342">
        <v>0</v>
      </c>
    </row>
    <row r="21" spans="1:12" x14ac:dyDescent="0.25">
      <c r="A21" s="341" t="s">
        <v>508</v>
      </c>
      <c r="B21" s="341" t="s">
        <v>9709</v>
      </c>
      <c r="C21" s="341" t="s">
        <v>25</v>
      </c>
      <c r="D21" s="342">
        <v>1</v>
      </c>
      <c r="E21" s="342">
        <v>0</v>
      </c>
      <c r="F21" s="342" t="s">
        <v>9622</v>
      </c>
      <c r="G21" s="341" t="s">
        <v>1234</v>
      </c>
      <c r="H21" s="341" t="s">
        <v>6899</v>
      </c>
      <c r="I21" s="341" t="s">
        <v>4230</v>
      </c>
      <c r="J21" s="342">
        <v>0.3</v>
      </c>
      <c r="K21" s="342" t="s">
        <v>4230</v>
      </c>
      <c r="L21" s="342">
        <v>0</v>
      </c>
    </row>
    <row r="22" spans="1:12" x14ac:dyDescent="0.25">
      <c r="A22" s="341" t="s">
        <v>2420</v>
      </c>
      <c r="B22" s="341" t="s">
        <v>2420</v>
      </c>
      <c r="C22" s="341" t="s">
        <v>2420</v>
      </c>
      <c r="D22" s="342">
        <v>0</v>
      </c>
      <c r="E22" s="342" t="s">
        <v>2420</v>
      </c>
      <c r="F22" s="342" t="s">
        <v>9622</v>
      </c>
      <c r="G22" s="341" t="s">
        <v>1235</v>
      </c>
      <c r="H22" s="341" t="s">
        <v>6900</v>
      </c>
      <c r="I22" s="341" t="s">
        <v>4230</v>
      </c>
      <c r="J22" s="342">
        <v>0.3</v>
      </c>
      <c r="K22" s="342" t="s">
        <v>4230</v>
      </c>
      <c r="L22" s="342">
        <v>0</v>
      </c>
    </row>
    <row r="23" spans="1:12" x14ac:dyDescent="0.25">
      <c r="A23" s="341" t="s">
        <v>2420</v>
      </c>
      <c r="B23" s="341" t="s">
        <v>2420</v>
      </c>
      <c r="C23" s="341" t="s">
        <v>2420</v>
      </c>
      <c r="D23" s="342">
        <v>0</v>
      </c>
      <c r="E23" s="342" t="s">
        <v>2420</v>
      </c>
      <c r="F23" s="342" t="s">
        <v>9622</v>
      </c>
      <c r="G23" s="341" t="s">
        <v>1325</v>
      </c>
      <c r="H23" s="341" t="s">
        <v>9710</v>
      </c>
      <c r="I23" s="341" t="s">
        <v>11</v>
      </c>
      <c r="J23" s="342">
        <v>1.3125</v>
      </c>
      <c r="K23" s="342" t="s">
        <v>25</v>
      </c>
      <c r="L23" s="342">
        <v>0</v>
      </c>
    </row>
    <row r="24" spans="1:12" x14ac:dyDescent="0.25">
      <c r="A24" s="341" t="s">
        <v>2420</v>
      </c>
      <c r="B24" s="341" t="s">
        <v>2420</v>
      </c>
      <c r="C24" s="341" t="s">
        <v>2420</v>
      </c>
      <c r="D24" s="342">
        <v>0</v>
      </c>
      <c r="E24" s="342" t="s">
        <v>2420</v>
      </c>
      <c r="F24" s="342" t="s">
        <v>9622</v>
      </c>
      <c r="G24" s="341" t="s">
        <v>2225</v>
      </c>
      <c r="H24" s="341" t="s">
        <v>9711</v>
      </c>
      <c r="I24" s="341" t="s">
        <v>25</v>
      </c>
      <c r="J24" s="342">
        <v>1</v>
      </c>
      <c r="K24" s="342" t="s">
        <v>9623</v>
      </c>
      <c r="L24" s="342">
        <v>0</v>
      </c>
    </row>
    <row r="25" spans="1:12" x14ac:dyDescent="0.25">
      <c r="A25" s="341" t="s">
        <v>2420</v>
      </c>
      <c r="B25" s="341" t="s">
        <v>2420</v>
      </c>
      <c r="C25" s="341" t="s">
        <v>2420</v>
      </c>
      <c r="D25" s="342">
        <v>0</v>
      </c>
      <c r="E25" s="342" t="s">
        <v>2420</v>
      </c>
      <c r="F25" s="342" t="s">
        <v>9624</v>
      </c>
      <c r="G25" s="341" t="s">
        <v>9712</v>
      </c>
      <c r="H25" s="341" t="s">
        <v>9713</v>
      </c>
      <c r="I25" s="341" t="s">
        <v>52</v>
      </c>
      <c r="J25" s="342">
        <v>0.01</v>
      </c>
      <c r="K25" s="342" t="s">
        <v>2420</v>
      </c>
      <c r="L25" s="342">
        <v>0</v>
      </c>
    </row>
    <row r="26" spans="1:12" x14ac:dyDescent="0.25">
      <c r="A26" s="341" t="s">
        <v>2420</v>
      </c>
      <c r="B26" s="341" t="s">
        <v>2420</v>
      </c>
      <c r="C26" s="341" t="s">
        <v>2420</v>
      </c>
      <c r="D26" s="342">
        <v>0</v>
      </c>
      <c r="E26" s="342" t="s">
        <v>2420</v>
      </c>
      <c r="F26" s="342" t="s">
        <v>9624</v>
      </c>
      <c r="G26" s="341" t="s">
        <v>9714</v>
      </c>
      <c r="H26" s="341" t="s">
        <v>9715</v>
      </c>
      <c r="I26" s="341" t="s">
        <v>16</v>
      </c>
      <c r="J26" s="342">
        <v>0.35</v>
      </c>
      <c r="K26" s="342" t="s">
        <v>2420</v>
      </c>
      <c r="L26" s="342">
        <v>0</v>
      </c>
    </row>
    <row r="27" spans="1:12" x14ac:dyDescent="0.25">
      <c r="A27" s="341" t="s">
        <v>2420</v>
      </c>
      <c r="B27" s="341" t="s">
        <v>2420</v>
      </c>
      <c r="C27" s="341" t="s">
        <v>2420</v>
      </c>
      <c r="D27" s="342">
        <v>0</v>
      </c>
      <c r="E27" s="342" t="s">
        <v>2420</v>
      </c>
      <c r="F27" s="342" t="s">
        <v>9624</v>
      </c>
      <c r="G27" s="341" t="s">
        <v>145</v>
      </c>
      <c r="H27" s="341" t="s">
        <v>9716</v>
      </c>
      <c r="I27" s="341" t="s">
        <v>16</v>
      </c>
      <c r="J27" s="342">
        <v>0.35</v>
      </c>
      <c r="K27" s="342" t="s">
        <v>2420</v>
      </c>
      <c r="L27" s="342">
        <v>0</v>
      </c>
    </row>
    <row r="28" spans="1:12" x14ac:dyDescent="0.25">
      <c r="A28" s="341" t="s">
        <v>2420</v>
      </c>
      <c r="B28" s="341" t="s">
        <v>2420</v>
      </c>
      <c r="C28" s="341" t="s">
        <v>2420</v>
      </c>
      <c r="D28" s="342">
        <v>0</v>
      </c>
      <c r="E28" s="342" t="s">
        <v>2420</v>
      </c>
      <c r="F28" s="342" t="s">
        <v>9624</v>
      </c>
      <c r="G28" s="341" t="s">
        <v>216</v>
      </c>
      <c r="H28" s="341" t="s">
        <v>9703</v>
      </c>
      <c r="I28" s="341" t="s">
        <v>52</v>
      </c>
      <c r="J28" s="342">
        <v>0.25</v>
      </c>
      <c r="K28" s="342" t="s">
        <v>2420</v>
      </c>
      <c r="L28" s="342">
        <v>0</v>
      </c>
    </row>
    <row r="29" spans="1:12" x14ac:dyDescent="0.25">
      <c r="A29" s="341" t="s">
        <v>2420</v>
      </c>
      <c r="B29" s="341" t="s">
        <v>2420</v>
      </c>
      <c r="C29" s="341" t="s">
        <v>2420</v>
      </c>
      <c r="D29" s="342">
        <v>0</v>
      </c>
      <c r="E29" s="342" t="s">
        <v>2420</v>
      </c>
      <c r="F29" s="342" t="s">
        <v>9624</v>
      </c>
      <c r="G29" s="341" t="s">
        <v>144</v>
      </c>
      <c r="H29" s="341" t="s">
        <v>9702</v>
      </c>
      <c r="I29" s="341" t="s">
        <v>52</v>
      </c>
      <c r="J29" s="342">
        <v>0.25</v>
      </c>
      <c r="K29" s="342" t="s">
        <v>2420</v>
      </c>
      <c r="L29" s="342">
        <v>0</v>
      </c>
    </row>
    <row r="30" spans="1:12" x14ac:dyDescent="0.25">
      <c r="A30" s="341" t="s">
        <v>145</v>
      </c>
      <c r="B30" s="341" t="s">
        <v>9716</v>
      </c>
      <c r="C30" s="341" t="s">
        <v>16</v>
      </c>
      <c r="D30" s="342">
        <v>1</v>
      </c>
      <c r="E30" s="342">
        <v>0</v>
      </c>
      <c r="F30" s="342" t="s">
        <v>9622</v>
      </c>
      <c r="G30" s="341" t="s">
        <v>1210</v>
      </c>
      <c r="H30" s="341" t="s">
        <v>6855</v>
      </c>
      <c r="I30" s="341" t="s">
        <v>4230</v>
      </c>
      <c r="J30" s="342">
        <v>0.2</v>
      </c>
      <c r="K30" s="342" t="s">
        <v>4230</v>
      </c>
      <c r="L30" s="342">
        <v>0</v>
      </c>
    </row>
    <row r="31" spans="1:12" x14ac:dyDescent="0.25">
      <c r="A31" s="341" t="s">
        <v>9714</v>
      </c>
      <c r="B31" s="341" t="s">
        <v>9715</v>
      </c>
      <c r="C31" s="341" t="s">
        <v>16</v>
      </c>
      <c r="D31" s="342">
        <v>1</v>
      </c>
      <c r="E31" s="342">
        <v>0</v>
      </c>
      <c r="F31" s="342" t="s">
        <v>9622</v>
      </c>
      <c r="G31" s="341" t="s">
        <v>1204</v>
      </c>
      <c r="H31" s="341" t="s">
        <v>6854</v>
      </c>
      <c r="I31" s="341" t="s">
        <v>4230</v>
      </c>
      <c r="J31" s="342">
        <v>0.125</v>
      </c>
      <c r="K31" s="342" t="s">
        <v>4230</v>
      </c>
      <c r="L31" s="342">
        <v>0</v>
      </c>
    </row>
    <row r="32" spans="1:12" x14ac:dyDescent="0.25">
      <c r="A32" s="341" t="s">
        <v>2420</v>
      </c>
      <c r="B32" s="341" t="s">
        <v>2420</v>
      </c>
      <c r="C32" s="341" t="s">
        <v>2420</v>
      </c>
      <c r="D32" s="342">
        <v>0</v>
      </c>
      <c r="E32" s="342" t="s">
        <v>2420</v>
      </c>
      <c r="F32" s="342" t="s">
        <v>9622</v>
      </c>
      <c r="G32" s="341" t="s">
        <v>1210</v>
      </c>
      <c r="H32" s="341" t="s">
        <v>6855</v>
      </c>
      <c r="I32" s="341" t="s">
        <v>4230</v>
      </c>
      <c r="J32" s="342">
        <v>0.125</v>
      </c>
      <c r="K32" s="342" t="s">
        <v>4230</v>
      </c>
      <c r="L32" s="342">
        <v>0</v>
      </c>
    </row>
    <row r="33" spans="1:12" x14ac:dyDescent="0.25">
      <c r="A33" s="341" t="s">
        <v>2420</v>
      </c>
      <c r="B33" s="341" t="s">
        <v>2420</v>
      </c>
      <c r="C33" s="341" t="s">
        <v>2420</v>
      </c>
      <c r="D33" s="342">
        <v>0</v>
      </c>
      <c r="E33" s="342" t="s">
        <v>2420</v>
      </c>
      <c r="F33" s="342" t="s">
        <v>9624</v>
      </c>
      <c r="G33" s="341" t="s">
        <v>9707</v>
      </c>
      <c r="H33" s="341" t="s">
        <v>9708</v>
      </c>
      <c r="I33" s="341" t="s">
        <v>52</v>
      </c>
      <c r="J33" s="342">
        <v>0.06</v>
      </c>
      <c r="K33" s="342" t="s">
        <v>2420</v>
      </c>
      <c r="L33" s="342">
        <v>0</v>
      </c>
    </row>
    <row r="34" spans="1:12" x14ac:dyDescent="0.25">
      <c r="A34" s="341" t="s">
        <v>9717</v>
      </c>
      <c r="B34" s="341" t="s">
        <v>9718</v>
      </c>
      <c r="C34" s="341" t="s">
        <v>2557</v>
      </c>
      <c r="D34" s="342">
        <v>1</v>
      </c>
      <c r="E34" s="342">
        <v>0</v>
      </c>
      <c r="F34" s="342" t="s">
        <v>9622</v>
      </c>
      <c r="G34" s="341" t="s">
        <v>1194</v>
      </c>
      <c r="H34" s="341" t="s">
        <v>9719</v>
      </c>
      <c r="I34" s="341" t="s">
        <v>4230</v>
      </c>
      <c r="J34" s="342">
        <v>7.0000000000000007E-2</v>
      </c>
      <c r="K34" s="342" t="s">
        <v>4230</v>
      </c>
      <c r="L34" s="342">
        <v>0</v>
      </c>
    </row>
    <row r="35" spans="1:12" x14ac:dyDescent="0.25">
      <c r="A35" s="341" t="s">
        <v>2420</v>
      </c>
      <c r="B35" s="341" t="s">
        <v>2420</v>
      </c>
      <c r="C35" s="341" t="s">
        <v>2420</v>
      </c>
      <c r="D35" s="342">
        <v>0</v>
      </c>
      <c r="E35" s="342" t="s">
        <v>2420</v>
      </c>
      <c r="F35" s="342" t="s">
        <v>9622</v>
      </c>
      <c r="G35" s="341" t="s">
        <v>1196</v>
      </c>
      <c r="H35" s="341" t="s">
        <v>6831</v>
      </c>
      <c r="I35" s="341" t="s">
        <v>4230</v>
      </c>
      <c r="J35" s="342">
        <v>7.0000000000000007E-2</v>
      </c>
      <c r="K35" s="342" t="s">
        <v>4230</v>
      </c>
      <c r="L35" s="342">
        <v>0</v>
      </c>
    </row>
    <row r="36" spans="1:12" x14ac:dyDescent="0.25">
      <c r="A36" s="341" t="s">
        <v>2420</v>
      </c>
      <c r="B36" s="341" t="s">
        <v>2420</v>
      </c>
      <c r="C36" s="341" t="s">
        <v>2420</v>
      </c>
      <c r="D36" s="342">
        <v>0</v>
      </c>
      <c r="E36" s="342" t="s">
        <v>2420</v>
      </c>
      <c r="F36" s="342" t="s">
        <v>9622</v>
      </c>
      <c r="G36" s="341" t="s">
        <v>1272</v>
      </c>
      <c r="H36" s="341" t="s">
        <v>9720</v>
      </c>
      <c r="I36" s="341" t="s">
        <v>2557</v>
      </c>
      <c r="J36" s="342">
        <v>0.02</v>
      </c>
      <c r="K36" s="342" t="s">
        <v>25</v>
      </c>
      <c r="L36" s="342">
        <v>0</v>
      </c>
    </row>
    <row r="37" spans="1:12" x14ac:dyDescent="0.25">
      <c r="A37" s="341" t="s">
        <v>2420</v>
      </c>
      <c r="B37" s="341" t="s">
        <v>2420</v>
      </c>
      <c r="C37" s="341" t="s">
        <v>2420</v>
      </c>
      <c r="D37" s="342">
        <v>0</v>
      </c>
      <c r="E37" s="342" t="s">
        <v>2420</v>
      </c>
      <c r="F37" s="342" t="s">
        <v>9622</v>
      </c>
      <c r="G37" s="341" t="s">
        <v>1278</v>
      </c>
      <c r="H37" s="341" t="s">
        <v>9721</v>
      </c>
      <c r="I37" s="341" t="s">
        <v>2557</v>
      </c>
      <c r="J37" s="342">
        <v>1.02</v>
      </c>
      <c r="K37" s="342" t="s">
        <v>25</v>
      </c>
      <c r="L37" s="342">
        <v>0</v>
      </c>
    </row>
    <row r="38" spans="1:12" x14ac:dyDescent="0.25">
      <c r="A38" s="341" t="s">
        <v>9722</v>
      </c>
      <c r="B38" s="341" t="s">
        <v>9723</v>
      </c>
      <c r="C38" s="341" t="s">
        <v>52</v>
      </c>
      <c r="D38" s="342">
        <v>1</v>
      </c>
      <c r="E38" s="342">
        <v>0</v>
      </c>
      <c r="F38" s="342" t="s">
        <v>9622</v>
      </c>
      <c r="G38" s="341" t="s">
        <v>1210</v>
      </c>
      <c r="H38" s="341" t="s">
        <v>6855</v>
      </c>
      <c r="I38" s="341" t="s">
        <v>4230</v>
      </c>
      <c r="J38" s="342">
        <v>0</v>
      </c>
      <c r="K38" s="342" t="s">
        <v>4230</v>
      </c>
      <c r="L38" s="342">
        <v>0</v>
      </c>
    </row>
    <row r="39" spans="1:12" x14ac:dyDescent="0.25">
      <c r="A39" s="341" t="s">
        <v>2420</v>
      </c>
      <c r="B39" s="341" t="s">
        <v>2420</v>
      </c>
      <c r="C39" s="341" t="s">
        <v>2420</v>
      </c>
      <c r="D39" s="342">
        <v>0</v>
      </c>
      <c r="E39" s="342" t="s">
        <v>2420</v>
      </c>
      <c r="F39" s="342" t="s">
        <v>9622</v>
      </c>
      <c r="G39" s="341" t="s">
        <v>1275</v>
      </c>
      <c r="H39" s="341" t="s">
        <v>6938</v>
      </c>
      <c r="I39" s="341" t="s">
        <v>52</v>
      </c>
      <c r="J39" s="342">
        <v>0.89039999999999997</v>
      </c>
      <c r="K39" s="342" t="s">
        <v>25</v>
      </c>
      <c r="L39" s="342">
        <v>0</v>
      </c>
    </row>
    <row r="40" spans="1:12" x14ac:dyDescent="0.25">
      <c r="A40" s="341" t="s">
        <v>2420</v>
      </c>
      <c r="B40" s="341" t="s">
        <v>2420</v>
      </c>
      <c r="C40" s="341" t="s">
        <v>2420</v>
      </c>
      <c r="D40" s="342">
        <v>0</v>
      </c>
      <c r="E40" s="342" t="s">
        <v>2420</v>
      </c>
      <c r="F40" s="342" t="s">
        <v>9622</v>
      </c>
      <c r="G40" s="341" t="s">
        <v>1295</v>
      </c>
      <c r="H40" s="341" t="s">
        <v>6966</v>
      </c>
      <c r="I40" s="341" t="s">
        <v>52</v>
      </c>
      <c r="J40" s="342">
        <v>0.83599999999999997</v>
      </c>
      <c r="K40" s="342" t="s">
        <v>25</v>
      </c>
      <c r="L40" s="342">
        <v>0</v>
      </c>
    </row>
    <row r="41" spans="1:12" x14ac:dyDescent="0.25">
      <c r="A41" s="341" t="s">
        <v>2420</v>
      </c>
      <c r="B41" s="341" t="s">
        <v>2420</v>
      </c>
      <c r="C41" s="341" t="s">
        <v>2420</v>
      </c>
      <c r="D41" s="342">
        <v>0</v>
      </c>
      <c r="E41" s="342" t="s">
        <v>2420</v>
      </c>
      <c r="F41" s="342" t="s">
        <v>9622</v>
      </c>
      <c r="G41" s="341" t="s">
        <v>1303</v>
      </c>
      <c r="H41" s="341" t="s">
        <v>6980</v>
      </c>
      <c r="I41" s="341" t="s">
        <v>2557</v>
      </c>
      <c r="J41" s="342">
        <v>320</v>
      </c>
      <c r="K41" s="342" t="s">
        <v>25</v>
      </c>
      <c r="L41" s="342">
        <v>0</v>
      </c>
    </row>
    <row r="42" spans="1:12" x14ac:dyDescent="0.25">
      <c r="A42" s="341" t="s">
        <v>146</v>
      </c>
      <c r="B42" s="341" t="s">
        <v>9724</v>
      </c>
      <c r="C42" s="341" t="s">
        <v>52</v>
      </c>
      <c r="D42" s="342">
        <v>1</v>
      </c>
      <c r="E42" s="342">
        <v>0</v>
      </c>
      <c r="F42" s="342" t="s">
        <v>9624</v>
      </c>
      <c r="G42" s="341" t="s">
        <v>9725</v>
      </c>
      <c r="H42" s="341" t="s">
        <v>9726</v>
      </c>
      <c r="I42" s="341" t="s">
        <v>52</v>
      </c>
      <c r="J42" s="342">
        <v>1</v>
      </c>
      <c r="K42" s="342" t="s">
        <v>2420</v>
      </c>
      <c r="L42" s="342">
        <v>0</v>
      </c>
    </row>
    <row r="43" spans="1:12" x14ac:dyDescent="0.25">
      <c r="A43" s="341" t="s">
        <v>2420</v>
      </c>
      <c r="B43" s="341" t="s">
        <v>2420</v>
      </c>
      <c r="C43" s="341" t="s">
        <v>2420</v>
      </c>
      <c r="D43" s="342">
        <v>0</v>
      </c>
      <c r="E43" s="342" t="s">
        <v>2420</v>
      </c>
      <c r="F43" s="342" t="s">
        <v>9624</v>
      </c>
      <c r="G43" s="341" t="s">
        <v>9707</v>
      </c>
      <c r="H43" s="341" t="s">
        <v>9708</v>
      </c>
      <c r="I43" s="341" t="s">
        <v>52</v>
      </c>
      <c r="J43" s="342">
        <v>1.05</v>
      </c>
      <c r="K43" s="342" t="s">
        <v>2420</v>
      </c>
      <c r="L43" s="342">
        <v>0</v>
      </c>
    </row>
    <row r="44" spans="1:12" x14ac:dyDescent="0.25">
      <c r="A44" s="341" t="s">
        <v>235</v>
      </c>
      <c r="B44" s="341" t="s">
        <v>9727</v>
      </c>
      <c r="C44" s="341" t="s">
        <v>52</v>
      </c>
      <c r="D44" s="342">
        <v>1</v>
      </c>
      <c r="E44" s="342">
        <v>0</v>
      </c>
      <c r="F44" s="342" t="s">
        <v>9622</v>
      </c>
      <c r="G44" s="341" t="s">
        <v>1458</v>
      </c>
      <c r="H44" s="341" t="s">
        <v>9728</v>
      </c>
      <c r="I44" s="341" t="s">
        <v>52</v>
      </c>
      <c r="J44" s="342">
        <v>1.05</v>
      </c>
      <c r="K44" s="342" t="s">
        <v>25</v>
      </c>
      <c r="L44" s="342">
        <v>0</v>
      </c>
    </row>
    <row r="45" spans="1:12" x14ac:dyDescent="0.25">
      <c r="A45" s="341" t="s">
        <v>2420</v>
      </c>
      <c r="B45" s="341" t="s">
        <v>2420</v>
      </c>
      <c r="C45" s="341" t="s">
        <v>2420</v>
      </c>
      <c r="D45" s="342">
        <v>0</v>
      </c>
      <c r="E45" s="342" t="s">
        <v>2420</v>
      </c>
      <c r="F45" s="342" t="s">
        <v>9624</v>
      </c>
      <c r="G45" s="341" t="s">
        <v>9725</v>
      </c>
      <c r="H45" s="341" t="s">
        <v>9726</v>
      </c>
      <c r="I45" s="341" t="s">
        <v>52</v>
      </c>
      <c r="J45" s="342">
        <v>1</v>
      </c>
      <c r="K45" s="342" t="s">
        <v>2420</v>
      </c>
      <c r="L45" s="342">
        <v>0</v>
      </c>
    </row>
    <row r="46" spans="1:12" x14ac:dyDescent="0.25">
      <c r="A46" s="341" t="s">
        <v>646</v>
      </c>
      <c r="B46" s="341" t="s">
        <v>9729</v>
      </c>
      <c r="C46" s="341" t="s">
        <v>52</v>
      </c>
      <c r="D46" s="342">
        <v>1</v>
      </c>
      <c r="E46" s="342">
        <v>0</v>
      </c>
      <c r="F46" s="342" t="s">
        <v>9622</v>
      </c>
      <c r="G46" s="341" t="s">
        <v>9730</v>
      </c>
      <c r="H46" s="341" t="s">
        <v>9731</v>
      </c>
      <c r="I46" s="341" t="s">
        <v>52</v>
      </c>
      <c r="J46" s="342">
        <v>1.05</v>
      </c>
      <c r="K46" s="342" t="s">
        <v>25</v>
      </c>
      <c r="L46" s="342">
        <v>0</v>
      </c>
    </row>
    <row r="47" spans="1:12" x14ac:dyDescent="0.25">
      <c r="A47" s="341" t="s">
        <v>2420</v>
      </c>
      <c r="B47" s="341" t="s">
        <v>2420</v>
      </c>
      <c r="C47" s="341" t="s">
        <v>2420</v>
      </c>
      <c r="D47" s="342">
        <v>0</v>
      </c>
      <c r="E47" s="342" t="s">
        <v>2420</v>
      </c>
      <c r="F47" s="342" t="s">
        <v>9622</v>
      </c>
      <c r="G47" s="341" t="s">
        <v>1837</v>
      </c>
      <c r="H47" s="341" t="s">
        <v>7965</v>
      </c>
      <c r="I47" s="341" t="s">
        <v>52</v>
      </c>
      <c r="J47" s="342">
        <v>1</v>
      </c>
      <c r="K47" s="342" t="s">
        <v>9623</v>
      </c>
      <c r="L47" s="342">
        <v>0</v>
      </c>
    </row>
    <row r="48" spans="1:12" x14ac:dyDescent="0.25">
      <c r="A48" s="341" t="s">
        <v>2420</v>
      </c>
      <c r="B48" s="341" t="s">
        <v>2420</v>
      </c>
      <c r="C48" s="341" t="s">
        <v>2420</v>
      </c>
      <c r="D48" s="342">
        <v>0</v>
      </c>
      <c r="E48" s="342" t="s">
        <v>2420</v>
      </c>
      <c r="F48" s="342" t="s">
        <v>9624</v>
      </c>
      <c r="G48" s="341" t="s">
        <v>9732</v>
      </c>
      <c r="H48" s="341" t="s">
        <v>9733</v>
      </c>
      <c r="I48" s="341" t="s">
        <v>52</v>
      </c>
      <c r="J48" s="342">
        <v>1</v>
      </c>
      <c r="K48" s="342" t="s">
        <v>2420</v>
      </c>
      <c r="L48" s="342">
        <v>0</v>
      </c>
    </row>
    <row r="49" spans="1:12" x14ac:dyDescent="0.25">
      <c r="A49" s="341" t="s">
        <v>248</v>
      </c>
      <c r="B49" s="341" t="s">
        <v>9734</v>
      </c>
      <c r="C49" s="341" t="s">
        <v>52</v>
      </c>
      <c r="D49" s="342">
        <v>1</v>
      </c>
      <c r="E49" s="342">
        <v>0</v>
      </c>
      <c r="F49" s="342" t="s">
        <v>9622</v>
      </c>
      <c r="G49" s="341" t="s">
        <v>1461</v>
      </c>
      <c r="H49" s="341" t="s">
        <v>7202</v>
      </c>
      <c r="I49" s="341" t="s">
        <v>52</v>
      </c>
      <c r="J49" s="342">
        <v>1.05</v>
      </c>
      <c r="K49" s="342" t="s">
        <v>25</v>
      </c>
      <c r="L49" s="342">
        <v>0</v>
      </c>
    </row>
    <row r="50" spans="1:12" x14ac:dyDescent="0.25">
      <c r="A50" s="341" t="s">
        <v>2420</v>
      </c>
      <c r="B50" s="341" t="s">
        <v>2420</v>
      </c>
      <c r="C50" s="341" t="s">
        <v>2420</v>
      </c>
      <c r="D50" s="342">
        <v>0</v>
      </c>
      <c r="E50" s="342" t="s">
        <v>2420</v>
      </c>
      <c r="F50" s="342" t="s">
        <v>9622</v>
      </c>
      <c r="G50" s="341" t="s">
        <v>1837</v>
      </c>
      <c r="H50" s="341" t="s">
        <v>7965</v>
      </c>
      <c r="I50" s="341" t="s">
        <v>52</v>
      </c>
      <c r="J50" s="342">
        <v>1</v>
      </c>
      <c r="K50" s="342" t="s">
        <v>9623</v>
      </c>
      <c r="L50" s="342">
        <v>0</v>
      </c>
    </row>
    <row r="51" spans="1:12" x14ac:dyDescent="0.25">
      <c r="A51" s="341" t="s">
        <v>2420</v>
      </c>
      <c r="B51" s="341" t="s">
        <v>2420</v>
      </c>
      <c r="C51" s="341" t="s">
        <v>2420</v>
      </c>
      <c r="D51" s="342">
        <v>0</v>
      </c>
      <c r="E51" s="342" t="s">
        <v>2420</v>
      </c>
      <c r="F51" s="342" t="s">
        <v>9624</v>
      </c>
      <c r="G51" s="341" t="s">
        <v>9732</v>
      </c>
      <c r="H51" s="341" t="s">
        <v>9733</v>
      </c>
      <c r="I51" s="341" t="s">
        <v>52</v>
      </c>
      <c r="J51" s="342">
        <v>1</v>
      </c>
      <c r="K51" s="342" t="s">
        <v>2420</v>
      </c>
      <c r="L51" s="342">
        <v>0</v>
      </c>
    </row>
    <row r="52" spans="1:12" x14ac:dyDescent="0.25">
      <c r="A52" s="341" t="s">
        <v>648</v>
      </c>
      <c r="B52" s="341" t="s">
        <v>9735</v>
      </c>
      <c r="C52" s="341" t="s">
        <v>52</v>
      </c>
      <c r="D52" s="342">
        <v>1</v>
      </c>
      <c r="E52" s="342">
        <v>0</v>
      </c>
      <c r="F52" s="342" t="s">
        <v>9622</v>
      </c>
      <c r="G52" s="341" t="s">
        <v>1462</v>
      </c>
      <c r="H52" s="341" t="s">
        <v>7203</v>
      </c>
      <c r="I52" s="341" t="s">
        <v>52</v>
      </c>
      <c r="J52" s="342">
        <v>1.05</v>
      </c>
      <c r="K52" s="342" t="s">
        <v>25</v>
      </c>
      <c r="L52" s="342">
        <v>0</v>
      </c>
    </row>
    <row r="53" spans="1:12" x14ac:dyDescent="0.25">
      <c r="A53" s="341" t="s">
        <v>2420</v>
      </c>
      <c r="B53" s="341" t="s">
        <v>2420</v>
      </c>
      <c r="C53" s="341" t="s">
        <v>2420</v>
      </c>
      <c r="D53" s="342">
        <v>0</v>
      </c>
      <c r="E53" s="342" t="s">
        <v>2420</v>
      </c>
      <c r="F53" s="342" t="s">
        <v>9622</v>
      </c>
      <c r="G53" s="341" t="s">
        <v>1837</v>
      </c>
      <c r="H53" s="341" t="s">
        <v>7965</v>
      </c>
      <c r="I53" s="341" t="s">
        <v>52</v>
      </c>
      <c r="J53" s="342">
        <v>1</v>
      </c>
      <c r="K53" s="342" t="s">
        <v>9623</v>
      </c>
      <c r="L53" s="342">
        <v>0</v>
      </c>
    </row>
    <row r="54" spans="1:12" x14ac:dyDescent="0.25">
      <c r="A54" s="341" t="s">
        <v>2420</v>
      </c>
      <c r="B54" s="341" t="s">
        <v>2420</v>
      </c>
      <c r="C54" s="341" t="s">
        <v>2420</v>
      </c>
      <c r="D54" s="342">
        <v>0</v>
      </c>
      <c r="E54" s="342" t="s">
        <v>2420</v>
      </c>
      <c r="F54" s="342" t="s">
        <v>9624</v>
      </c>
      <c r="G54" s="341" t="s">
        <v>9732</v>
      </c>
      <c r="H54" s="341" t="s">
        <v>9733</v>
      </c>
      <c r="I54" s="341" t="s">
        <v>52</v>
      </c>
      <c r="J54" s="342">
        <v>1</v>
      </c>
      <c r="K54" s="342" t="s">
        <v>2420</v>
      </c>
      <c r="L54" s="342">
        <v>0</v>
      </c>
    </row>
    <row r="55" spans="1:12" x14ac:dyDescent="0.25">
      <c r="A55" s="341" t="s">
        <v>650</v>
      </c>
      <c r="B55" s="341" t="s">
        <v>9736</v>
      </c>
      <c r="C55" s="341" t="s">
        <v>52</v>
      </c>
      <c r="D55" s="342">
        <v>1</v>
      </c>
      <c r="E55" s="342">
        <v>0</v>
      </c>
      <c r="F55" s="342" t="s">
        <v>9622</v>
      </c>
      <c r="G55" s="341" t="s">
        <v>1464</v>
      </c>
      <c r="H55" s="341" t="s">
        <v>7204</v>
      </c>
      <c r="I55" s="341" t="s">
        <v>52</v>
      </c>
      <c r="J55" s="342">
        <v>1.05</v>
      </c>
      <c r="K55" s="342" t="s">
        <v>25</v>
      </c>
      <c r="L55" s="342">
        <v>0</v>
      </c>
    </row>
    <row r="56" spans="1:12" x14ac:dyDescent="0.25">
      <c r="A56" s="341" t="s">
        <v>2420</v>
      </c>
      <c r="B56" s="341" t="s">
        <v>2420</v>
      </c>
      <c r="C56" s="341" t="s">
        <v>2420</v>
      </c>
      <c r="D56" s="342">
        <v>0</v>
      </c>
      <c r="E56" s="342" t="s">
        <v>2420</v>
      </c>
      <c r="F56" s="342" t="s">
        <v>9622</v>
      </c>
      <c r="G56" s="341" t="s">
        <v>1837</v>
      </c>
      <c r="H56" s="341" t="s">
        <v>7965</v>
      </c>
      <c r="I56" s="341" t="s">
        <v>52</v>
      </c>
      <c r="J56" s="342">
        <v>1</v>
      </c>
      <c r="K56" s="342" t="s">
        <v>9623</v>
      </c>
      <c r="L56" s="342">
        <v>0</v>
      </c>
    </row>
    <row r="57" spans="1:12" x14ac:dyDescent="0.25">
      <c r="A57" s="341" t="s">
        <v>2420</v>
      </c>
      <c r="B57" s="341" t="s">
        <v>2420</v>
      </c>
      <c r="C57" s="341" t="s">
        <v>2420</v>
      </c>
      <c r="D57" s="342">
        <v>0</v>
      </c>
      <c r="E57" s="342" t="s">
        <v>2420</v>
      </c>
      <c r="F57" s="342" t="s">
        <v>9624</v>
      </c>
      <c r="G57" s="341" t="s">
        <v>9732</v>
      </c>
      <c r="H57" s="341" t="s">
        <v>9733</v>
      </c>
      <c r="I57" s="341" t="s">
        <v>52</v>
      </c>
      <c r="J57" s="342">
        <v>1</v>
      </c>
      <c r="K57" s="342" t="s">
        <v>2420</v>
      </c>
      <c r="L57" s="342">
        <v>0</v>
      </c>
    </row>
    <row r="58" spans="1:12" x14ac:dyDescent="0.25">
      <c r="A58" s="341" t="s">
        <v>652</v>
      </c>
      <c r="B58" s="341" t="s">
        <v>9737</v>
      </c>
      <c r="C58" s="341" t="s">
        <v>52</v>
      </c>
      <c r="D58" s="342">
        <v>1</v>
      </c>
      <c r="E58" s="342">
        <v>0</v>
      </c>
      <c r="F58" s="342" t="s">
        <v>9622</v>
      </c>
      <c r="G58" s="341" t="s">
        <v>1463</v>
      </c>
      <c r="H58" s="341" t="s">
        <v>4500</v>
      </c>
      <c r="I58" s="341" t="s">
        <v>52</v>
      </c>
      <c r="J58" s="342">
        <v>1.05</v>
      </c>
      <c r="K58" s="342" t="s">
        <v>25</v>
      </c>
      <c r="L58" s="342">
        <v>0</v>
      </c>
    </row>
    <row r="59" spans="1:12" x14ac:dyDescent="0.25">
      <c r="A59" s="341" t="s">
        <v>2420</v>
      </c>
      <c r="B59" s="341" t="s">
        <v>2420</v>
      </c>
      <c r="C59" s="341" t="s">
        <v>2420</v>
      </c>
      <c r="D59" s="342">
        <v>0</v>
      </c>
      <c r="E59" s="342" t="s">
        <v>2420</v>
      </c>
      <c r="F59" s="342" t="s">
        <v>9622</v>
      </c>
      <c r="G59" s="341" t="s">
        <v>1837</v>
      </c>
      <c r="H59" s="341" t="s">
        <v>7965</v>
      </c>
      <c r="I59" s="341" t="s">
        <v>52</v>
      </c>
      <c r="J59" s="342">
        <v>1</v>
      </c>
      <c r="K59" s="342" t="s">
        <v>9623</v>
      </c>
      <c r="L59" s="342">
        <v>0</v>
      </c>
    </row>
    <row r="60" spans="1:12" x14ac:dyDescent="0.25">
      <c r="A60" s="341" t="s">
        <v>2420</v>
      </c>
      <c r="B60" s="341" t="s">
        <v>2420</v>
      </c>
      <c r="C60" s="341" t="s">
        <v>2420</v>
      </c>
      <c r="D60" s="342">
        <v>0</v>
      </c>
      <c r="E60" s="342" t="s">
        <v>2420</v>
      </c>
      <c r="F60" s="342" t="s">
        <v>9624</v>
      </c>
      <c r="G60" s="341" t="s">
        <v>9732</v>
      </c>
      <c r="H60" s="341" t="s">
        <v>9733</v>
      </c>
      <c r="I60" s="341" t="s">
        <v>52</v>
      </c>
      <c r="J60" s="342">
        <v>1</v>
      </c>
      <c r="K60" s="342" t="s">
        <v>2420</v>
      </c>
      <c r="L60" s="342">
        <v>0</v>
      </c>
    </row>
    <row r="61" spans="1:12" x14ac:dyDescent="0.25">
      <c r="A61" s="341" t="s">
        <v>9712</v>
      </c>
      <c r="B61" s="341" t="s">
        <v>9713</v>
      </c>
      <c r="C61" s="341" t="s">
        <v>52</v>
      </c>
      <c r="D61" s="342">
        <v>1</v>
      </c>
      <c r="E61" s="342">
        <v>0</v>
      </c>
      <c r="F61" s="342" t="s">
        <v>9622</v>
      </c>
      <c r="G61" s="341" t="s">
        <v>1210</v>
      </c>
      <c r="H61" s="341" t="s">
        <v>6855</v>
      </c>
      <c r="I61" s="341" t="s">
        <v>4230</v>
      </c>
      <c r="J61" s="342">
        <v>0</v>
      </c>
      <c r="K61" s="342" t="s">
        <v>4230</v>
      </c>
      <c r="L61" s="342">
        <v>0</v>
      </c>
    </row>
    <row r="62" spans="1:12" x14ac:dyDescent="0.25">
      <c r="A62" s="341" t="s">
        <v>2420</v>
      </c>
      <c r="B62" s="341" t="s">
        <v>2420</v>
      </c>
      <c r="C62" s="341" t="s">
        <v>2420</v>
      </c>
      <c r="D62" s="342">
        <v>0</v>
      </c>
      <c r="E62" s="342" t="s">
        <v>2420</v>
      </c>
      <c r="F62" s="342" t="s">
        <v>9622</v>
      </c>
      <c r="G62" s="341" t="s">
        <v>1275</v>
      </c>
      <c r="H62" s="341" t="s">
        <v>6938</v>
      </c>
      <c r="I62" s="341" t="s">
        <v>52</v>
      </c>
      <c r="J62" s="342">
        <v>1.216</v>
      </c>
      <c r="K62" s="342" t="s">
        <v>25</v>
      </c>
      <c r="L62" s="342">
        <v>0</v>
      </c>
    </row>
    <row r="63" spans="1:12" x14ac:dyDescent="0.25">
      <c r="A63" s="341" t="s">
        <v>2420</v>
      </c>
      <c r="B63" s="341" t="s">
        <v>2420</v>
      </c>
      <c r="C63" s="341" t="s">
        <v>2420</v>
      </c>
      <c r="D63" s="342">
        <v>0</v>
      </c>
      <c r="E63" s="342" t="s">
        <v>2420</v>
      </c>
      <c r="F63" s="342" t="s">
        <v>9622</v>
      </c>
      <c r="G63" s="341" t="s">
        <v>1303</v>
      </c>
      <c r="H63" s="341" t="s">
        <v>6980</v>
      </c>
      <c r="I63" s="341" t="s">
        <v>2557</v>
      </c>
      <c r="J63" s="342">
        <v>486</v>
      </c>
      <c r="K63" s="342" t="s">
        <v>25</v>
      </c>
      <c r="L63" s="342">
        <v>0</v>
      </c>
    </row>
    <row r="64" spans="1:12" x14ac:dyDescent="0.25">
      <c r="A64" s="341" t="s">
        <v>9738</v>
      </c>
      <c r="B64" s="341" t="s">
        <v>9739</v>
      </c>
      <c r="C64" s="341" t="s">
        <v>52</v>
      </c>
      <c r="D64" s="342">
        <v>1</v>
      </c>
      <c r="E64" s="342">
        <v>0</v>
      </c>
      <c r="F64" s="342" t="s">
        <v>9622</v>
      </c>
      <c r="G64" s="341" t="s">
        <v>1210</v>
      </c>
      <c r="H64" s="341" t="s">
        <v>6855</v>
      </c>
      <c r="I64" s="341" t="s">
        <v>4230</v>
      </c>
      <c r="J64" s="342">
        <v>0</v>
      </c>
      <c r="K64" s="342" t="s">
        <v>4230</v>
      </c>
      <c r="L64" s="342">
        <v>0</v>
      </c>
    </row>
    <row r="65" spans="1:12" x14ac:dyDescent="0.25">
      <c r="A65" s="341" t="s">
        <v>2420</v>
      </c>
      <c r="B65" s="341" t="s">
        <v>2420</v>
      </c>
      <c r="C65" s="341" t="s">
        <v>2420</v>
      </c>
      <c r="D65" s="342">
        <v>0</v>
      </c>
      <c r="E65" s="342" t="s">
        <v>2420</v>
      </c>
      <c r="F65" s="342" t="s">
        <v>9622</v>
      </c>
      <c r="G65" s="341" t="s">
        <v>1275</v>
      </c>
      <c r="H65" s="341" t="s">
        <v>6938</v>
      </c>
      <c r="I65" s="341" t="s">
        <v>52</v>
      </c>
      <c r="J65" s="342">
        <v>0.93500000000000005</v>
      </c>
      <c r="K65" s="342" t="s">
        <v>25</v>
      </c>
      <c r="L65" s="342">
        <v>0</v>
      </c>
    </row>
    <row r="66" spans="1:12" x14ac:dyDescent="0.25">
      <c r="A66" s="341" t="s">
        <v>2420</v>
      </c>
      <c r="B66" s="341" t="s">
        <v>2420</v>
      </c>
      <c r="C66" s="341" t="s">
        <v>2420</v>
      </c>
      <c r="D66" s="342">
        <v>0</v>
      </c>
      <c r="E66" s="342" t="s">
        <v>2420</v>
      </c>
      <c r="F66" s="342" t="s">
        <v>9622</v>
      </c>
      <c r="G66" s="341" t="s">
        <v>1303</v>
      </c>
      <c r="H66" s="341" t="s">
        <v>6980</v>
      </c>
      <c r="I66" s="341" t="s">
        <v>2557</v>
      </c>
      <c r="J66" s="342">
        <v>365</v>
      </c>
      <c r="K66" s="342" t="s">
        <v>25</v>
      </c>
      <c r="L66" s="342">
        <v>0</v>
      </c>
    </row>
    <row r="67" spans="1:12" x14ac:dyDescent="0.25">
      <c r="A67" s="341" t="s">
        <v>9740</v>
      </c>
      <c r="B67" s="341" t="s">
        <v>9741</v>
      </c>
      <c r="C67" s="341" t="s">
        <v>52</v>
      </c>
      <c r="D67" s="342">
        <v>1</v>
      </c>
      <c r="E67" s="342">
        <v>0</v>
      </c>
      <c r="F67" s="342" t="s">
        <v>9622</v>
      </c>
      <c r="G67" s="341" t="s">
        <v>1210</v>
      </c>
      <c r="H67" s="341" t="s">
        <v>6855</v>
      </c>
      <c r="I67" s="341" t="s">
        <v>4230</v>
      </c>
      <c r="J67" s="342">
        <v>0</v>
      </c>
      <c r="K67" s="342" t="s">
        <v>4230</v>
      </c>
      <c r="L67" s="342">
        <v>0</v>
      </c>
    </row>
    <row r="68" spans="1:12" x14ac:dyDescent="0.25">
      <c r="A68" s="341" t="s">
        <v>2420</v>
      </c>
      <c r="B68" s="341" t="s">
        <v>2420</v>
      </c>
      <c r="C68" s="341" t="s">
        <v>2420</v>
      </c>
      <c r="D68" s="342">
        <v>0</v>
      </c>
      <c r="E68" s="342" t="s">
        <v>2420</v>
      </c>
      <c r="F68" s="342" t="s">
        <v>9622</v>
      </c>
      <c r="G68" s="341" t="s">
        <v>1275</v>
      </c>
      <c r="H68" s="341" t="s">
        <v>6938</v>
      </c>
      <c r="I68" s="341" t="s">
        <v>52</v>
      </c>
      <c r="J68" s="342">
        <v>0.93500000000000005</v>
      </c>
      <c r="K68" s="342" t="s">
        <v>25</v>
      </c>
      <c r="L68" s="342">
        <v>0</v>
      </c>
    </row>
    <row r="69" spans="1:12" x14ac:dyDescent="0.25">
      <c r="A69" s="341" t="s">
        <v>2420</v>
      </c>
      <c r="B69" s="341" t="s">
        <v>2420</v>
      </c>
      <c r="C69" s="341" t="s">
        <v>2420</v>
      </c>
      <c r="D69" s="342">
        <v>0</v>
      </c>
      <c r="E69" s="342" t="s">
        <v>2420</v>
      </c>
      <c r="F69" s="342" t="s">
        <v>9622</v>
      </c>
      <c r="G69" s="341" t="s">
        <v>1303</v>
      </c>
      <c r="H69" s="341" t="s">
        <v>6980</v>
      </c>
      <c r="I69" s="341" t="s">
        <v>2557</v>
      </c>
      <c r="J69" s="342">
        <v>243</v>
      </c>
      <c r="K69" s="342" t="s">
        <v>25</v>
      </c>
      <c r="L69" s="342">
        <v>0</v>
      </c>
    </row>
    <row r="70" spans="1:12" x14ac:dyDescent="0.25">
      <c r="A70" s="341" t="s">
        <v>9642</v>
      </c>
      <c r="B70" s="341" t="s">
        <v>9742</v>
      </c>
      <c r="C70" s="341" t="s">
        <v>52</v>
      </c>
      <c r="D70" s="342">
        <v>1</v>
      </c>
      <c r="E70" s="342">
        <v>0</v>
      </c>
      <c r="F70" s="342" t="s">
        <v>9622</v>
      </c>
      <c r="G70" s="341" t="s">
        <v>1210</v>
      </c>
      <c r="H70" s="341" t="s">
        <v>6855</v>
      </c>
      <c r="I70" s="341" t="s">
        <v>4230</v>
      </c>
      <c r="J70" s="342">
        <v>0</v>
      </c>
      <c r="K70" s="342" t="s">
        <v>4230</v>
      </c>
      <c r="L70" s="342">
        <v>0</v>
      </c>
    </row>
    <row r="71" spans="1:12" x14ac:dyDescent="0.25">
      <c r="A71" s="341" t="s">
        <v>2420</v>
      </c>
      <c r="B71" s="341" t="s">
        <v>2420</v>
      </c>
      <c r="C71" s="341" t="s">
        <v>2420</v>
      </c>
      <c r="D71" s="342">
        <v>0</v>
      </c>
      <c r="E71" s="342" t="s">
        <v>2420</v>
      </c>
      <c r="F71" s="342" t="s">
        <v>9622</v>
      </c>
      <c r="G71" s="341" t="s">
        <v>1275</v>
      </c>
      <c r="H71" s="341" t="s">
        <v>6938</v>
      </c>
      <c r="I71" s="341" t="s">
        <v>52</v>
      </c>
      <c r="J71" s="342">
        <v>1.216</v>
      </c>
      <c r="K71" s="342" t="s">
        <v>25</v>
      </c>
      <c r="L71" s="342">
        <v>0</v>
      </c>
    </row>
    <row r="72" spans="1:12" x14ac:dyDescent="0.25">
      <c r="A72" s="341" t="s">
        <v>2420</v>
      </c>
      <c r="B72" s="341" t="s">
        <v>2420</v>
      </c>
      <c r="C72" s="341" t="s">
        <v>2420</v>
      </c>
      <c r="D72" s="342">
        <v>0</v>
      </c>
      <c r="E72" s="342" t="s">
        <v>2420</v>
      </c>
      <c r="F72" s="342" t="s">
        <v>9622</v>
      </c>
      <c r="G72" s="341" t="s">
        <v>1303</v>
      </c>
      <c r="H72" s="341" t="s">
        <v>6980</v>
      </c>
      <c r="I72" s="341" t="s">
        <v>2557</v>
      </c>
      <c r="J72" s="342">
        <v>182</v>
      </c>
      <c r="K72" s="342" t="s">
        <v>25</v>
      </c>
      <c r="L72" s="342">
        <v>0</v>
      </c>
    </row>
    <row r="73" spans="1:12" x14ac:dyDescent="0.25">
      <c r="A73" s="341" t="s">
        <v>2420</v>
      </c>
      <c r="B73" s="341" t="s">
        <v>2420</v>
      </c>
      <c r="C73" s="341" t="s">
        <v>2420</v>
      </c>
      <c r="D73" s="342">
        <v>0</v>
      </c>
      <c r="E73" s="342" t="s">
        <v>2420</v>
      </c>
      <c r="F73" s="342" t="s">
        <v>9622</v>
      </c>
      <c r="G73" s="341" t="s">
        <v>1304</v>
      </c>
      <c r="H73" s="341" t="s">
        <v>6981</v>
      </c>
      <c r="I73" s="341" t="s">
        <v>2557</v>
      </c>
      <c r="J73" s="342">
        <v>182</v>
      </c>
      <c r="K73" s="342" t="s">
        <v>25</v>
      </c>
      <c r="L73" s="342">
        <v>0</v>
      </c>
    </row>
    <row r="74" spans="1:12" x14ac:dyDescent="0.25">
      <c r="A74" s="341" t="s">
        <v>238</v>
      </c>
      <c r="B74" s="341" t="s">
        <v>9743</v>
      </c>
      <c r="C74" s="341" t="s">
        <v>52</v>
      </c>
      <c r="D74" s="342">
        <v>1</v>
      </c>
      <c r="E74" s="342">
        <v>0</v>
      </c>
      <c r="F74" s="342" t="s">
        <v>9622</v>
      </c>
      <c r="G74" s="341" t="s">
        <v>1837</v>
      </c>
      <c r="H74" s="341" t="s">
        <v>7965</v>
      </c>
      <c r="I74" s="341" t="s">
        <v>52</v>
      </c>
      <c r="J74" s="342">
        <v>1.25</v>
      </c>
      <c r="K74" s="342" t="s">
        <v>9623</v>
      </c>
      <c r="L74" s="342">
        <v>0</v>
      </c>
    </row>
    <row r="75" spans="1:12" x14ac:dyDescent="0.25">
      <c r="A75" s="341" t="s">
        <v>2420</v>
      </c>
      <c r="B75" s="341" t="s">
        <v>2420</v>
      </c>
      <c r="C75" s="341" t="s">
        <v>2420</v>
      </c>
      <c r="D75" s="342">
        <v>0</v>
      </c>
      <c r="E75" s="342" t="s">
        <v>2420</v>
      </c>
      <c r="F75" s="342" t="s">
        <v>9622</v>
      </c>
      <c r="G75" s="341" t="s">
        <v>1577</v>
      </c>
      <c r="H75" s="341" t="s">
        <v>9744</v>
      </c>
      <c r="I75" s="341" t="s">
        <v>52</v>
      </c>
      <c r="J75" s="342">
        <v>1.25</v>
      </c>
      <c r="K75" s="342" t="s">
        <v>25</v>
      </c>
      <c r="L75" s="342">
        <v>0</v>
      </c>
    </row>
    <row r="76" spans="1:12" x14ac:dyDescent="0.25">
      <c r="A76" s="341" t="s">
        <v>241</v>
      </c>
      <c r="B76" s="341" t="s">
        <v>9745</v>
      </c>
      <c r="C76" s="341" t="s">
        <v>16</v>
      </c>
      <c r="D76" s="342">
        <v>1</v>
      </c>
      <c r="E76" s="342">
        <v>0</v>
      </c>
      <c r="F76" s="342" t="s">
        <v>9622</v>
      </c>
      <c r="G76" s="341" t="s">
        <v>1204</v>
      </c>
      <c r="H76" s="341" t="s">
        <v>6854</v>
      </c>
      <c r="I76" s="341" t="s">
        <v>4230</v>
      </c>
      <c r="J76" s="342">
        <v>1.375</v>
      </c>
      <c r="K76" s="342" t="s">
        <v>4230</v>
      </c>
      <c r="L76" s="342">
        <v>0</v>
      </c>
    </row>
    <row r="77" spans="1:12" x14ac:dyDescent="0.25">
      <c r="A77" s="341" t="s">
        <v>2420</v>
      </c>
      <c r="B77" s="341" t="s">
        <v>2420</v>
      </c>
      <c r="C77" s="341" t="s">
        <v>2420</v>
      </c>
      <c r="D77" s="342">
        <v>0</v>
      </c>
      <c r="E77" s="342" t="s">
        <v>2420</v>
      </c>
      <c r="F77" s="342" t="s">
        <v>9622</v>
      </c>
      <c r="G77" s="341" t="s">
        <v>1210</v>
      </c>
      <c r="H77" s="341" t="s">
        <v>6855</v>
      </c>
      <c r="I77" s="341" t="s">
        <v>4230</v>
      </c>
      <c r="J77" s="342">
        <v>1.1000000000000001</v>
      </c>
      <c r="K77" s="342" t="s">
        <v>4230</v>
      </c>
      <c r="L77" s="342">
        <v>0</v>
      </c>
    </row>
    <row r="78" spans="1:12" x14ac:dyDescent="0.25">
      <c r="A78" s="341" t="s">
        <v>2420</v>
      </c>
      <c r="B78" s="341" t="s">
        <v>2420</v>
      </c>
      <c r="C78" s="341" t="s">
        <v>2420</v>
      </c>
      <c r="D78" s="342">
        <v>0</v>
      </c>
      <c r="E78" s="342" t="s">
        <v>2420</v>
      </c>
      <c r="F78" s="342" t="s">
        <v>9622</v>
      </c>
      <c r="G78" s="341" t="s">
        <v>1469</v>
      </c>
      <c r="H78" s="341" t="s">
        <v>7209</v>
      </c>
      <c r="I78" s="341" t="s">
        <v>11</v>
      </c>
      <c r="J78" s="342">
        <v>13.4</v>
      </c>
      <c r="K78" s="342" t="s">
        <v>25</v>
      </c>
      <c r="L78" s="342">
        <v>0</v>
      </c>
    </row>
    <row r="79" spans="1:12" x14ac:dyDescent="0.25">
      <c r="A79" s="341" t="s">
        <v>2420</v>
      </c>
      <c r="B79" s="341" t="s">
        <v>2420</v>
      </c>
      <c r="C79" s="341" t="s">
        <v>2420</v>
      </c>
      <c r="D79" s="342">
        <v>0</v>
      </c>
      <c r="E79" s="342" t="s">
        <v>2420</v>
      </c>
      <c r="F79" s="342" t="s">
        <v>9624</v>
      </c>
      <c r="G79" s="341" t="s">
        <v>9642</v>
      </c>
      <c r="H79" s="341" t="s">
        <v>9742</v>
      </c>
      <c r="I79" s="341" t="s">
        <v>52</v>
      </c>
      <c r="J79" s="342">
        <v>1.4999999999999999E-2</v>
      </c>
      <c r="K79" s="342" t="s">
        <v>2420</v>
      </c>
      <c r="L79" s="342">
        <v>0</v>
      </c>
    </row>
    <row r="80" spans="1:12" x14ac:dyDescent="0.25">
      <c r="A80" s="341" t="s">
        <v>2420</v>
      </c>
      <c r="B80" s="341" t="s">
        <v>2420</v>
      </c>
      <c r="C80" s="341" t="s">
        <v>2420</v>
      </c>
      <c r="D80" s="342">
        <v>0</v>
      </c>
      <c r="E80" s="342" t="s">
        <v>2420</v>
      </c>
      <c r="F80" s="342" t="s">
        <v>9624</v>
      </c>
      <c r="G80" s="341" t="s">
        <v>9746</v>
      </c>
      <c r="H80" s="341" t="s">
        <v>9747</v>
      </c>
      <c r="I80" s="341" t="s">
        <v>52</v>
      </c>
      <c r="J80" s="342">
        <v>9.8000000000000004E-2</v>
      </c>
      <c r="K80" s="342" t="s">
        <v>2420</v>
      </c>
      <c r="L80" s="342">
        <v>0</v>
      </c>
    </row>
    <row r="81" spans="1:12" x14ac:dyDescent="0.25">
      <c r="A81" s="341" t="s">
        <v>2420</v>
      </c>
      <c r="B81" s="341" t="s">
        <v>2420</v>
      </c>
      <c r="C81" s="341" t="s">
        <v>2420</v>
      </c>
      <c r="D81" s="342">
        <v>0</v>
      </c>
      <c r="E81" s="342" t="s">
        <v>2420</v>
      </c>
      <c r="F81" s="342" t="s">
        <v>9624</v>
      </c>
      <c r="G81" s="341" t="s">
        <v>148</v>
      </c>
      <c r="H81" s="341" t="s">
        <v>9748</v>
      </c>
      <c r="I81" s="341" t="s">
        <v>2557</v>
      </c>
      <c r="J81" s="342">
        <v>5.7750000000000004</v>
      </c>
      <c r="K81" s="342" t="s">
        <v>2420</v>
      </c>
      <c r="L81" s="342">
        <v>0</v>
      </c>
    </row>
    <row r="82" spans="1:12" x14ac:dyDescent="0.25">
      <c r="A82" s="341" t="s">
        <v>242</v>
      </c>
      <c r="B82" s="341" t="s">
        <v>9749</v>
      </c>
      <c r="C82" s="341" t="s">
        <v>16</v>
      </c>
      <c r="D82" s="342">
        <v>1</v>
      </c>
      <c r="E82" s="342">
        <v>0</v>
      </c>
      <c r="F82" s="342" t="s">
        <v>9622</v>
      </c>
      <c r="G82" s="341" t="s">
        <v>1204</v>
      </c>
      <c r="H82" s="341" t="s">
        <v>6854</v>
      </c>
      <c r="I82" s="341" t="s">
        <v>4230</v>
      </c>
      <c r="J82" s="342">
        <v>1.75</v>
      </c>
      <c r="K82" s="342" t="s">
        <v>4230</v>
      </c>
      <c r="L82" s="342">
        <v>0</v>
      </c>
    </row>
    <row r="83" spans="1:12" x14ac:dyDescent="0.25">
      <c r="A83" s="341" t="s">
        <v>2420</v>
      </c>
      <c r="B83" s="341" t="s">
        <v>2420</v>
      </c>
      <c r="C83" s="341" t="s">
        <v>2420</v>
      </c>
      <c r="D83" s="342">
        <v>0</v>
      </c>
      <c r="E83" s="342" t="s">
        <v>2420</v>
      </c>
      <c r="F83" s="342" t="s">
        <v>9622</v>
      </c>
      <c r="G83" s="341" t="s">
        <v>1210</v>
      </c>
      <c r="H83" s="341" t="s">
        <v>6855</v>
      </c>
      <c r="I83" s="341" t="s">
        <v>4230</v>
      </c>
      <c r="J83" s="342">
        <v>1.4</v>
      </c>
      <c r="K83" s="342" t="s">
        <v>4230</v>
      </c>
      <c r="L83" s="342">
        <v>0</v>
      </c>
    </row>
    <row r="84" spans="1:12" x14ac:dyDescent="0.25">
      <c r="A84" s="341" t="s">
        <v>2420</v>
      </c>
      <c r="B84" s="341" t="s">
        <v>2420</v>
      </c>
      <c r="C84" s="341" t="s">
        <v>2420</v>
      </c>
      <c r="D84" s="342">
        <v>0</v>
      </c>
      <c r="E84" s="342" t="s">
        <v>2420</v>
      </c>
      <c r="F84" s="342" t="s">
        <v>9622</v>
      </c>
      <c r="G84" s="341" t="s">
        <v>1470</v>
      </c>
      <c r="H84" s="341" t="s">
        <v>7210</v>
      </c>
      <c r="I84" s="341" t="s">
        <v>11</v>
      </c>
      <c r="J84" s="342">
        <v>13.4</v>
      </c>
      <c r="K84" s="342" t="s">
        <v>25</v>
      </c>
      <c r="L84" s="342">
        <v>0</v>
      </c>
    </row>
    <row r="85" spans="1:12" x14ac:dyDescent="0.25">
      <c r="A85" s="341" t="s">
        <v>2420</v>
      </c>
      <c r="B85" s="341" t="s">
        <v>2420</v>
      </c>
      <c r="C85" s="341" t="s">
        <v>2420</v>
      </c>
      <c r="D85" s="342">
        <v>0</v>
      </c>
      <c r="E85" s="342" t="s">
        <v>2420</v>
      </c>
      <c r="F85" s="342" t="s">
        <v>9624</v>
      </c>
      <c r="G85" s="341" t="s">
        <v>9642</v>
      </c>
      <c r="H85" s="341" t="s">
        <v>9742</v>
      </c>
      <c r="I85" s="341" t="s">
        <v>52</v>
      </c>
      <c r="J85" s="342">
        <v>0.02</v>
      </c>
      <c r="K85" s="342" t="s">
        <v>2420</v>
      </c>
      <c r="L85" s="342">
        <v>0</v>
      </c>
    </row>
    <row r="86" spans="1:12" x14ac:dyDescent="0.25">
      <c r="A86" s="341" t="s">
        <v>2420</v>
      </c>
      <c r="B86" s="341" t="s">
        <v>2420</v>
      </c>
      <c r="C86" s="341" t="s">
        <v>2420</v>
      </c>
      <c r="D86" s="342">
        <v>0</v>
      </c>
      <c r="E86" s="342" t="s">
        <v>2420</v>
      </c>
      <c r="F86" s="342" t="s">
        <v>9624</v>
      </c>
      <c r="G86" s="341" t="s">
        <v>9746</v>
      </c>
      <c r="H86" s="341" t="s">
        <v>9747</v>
      </c>
      <c r="I86" s="341" t="s">
        <v>52</v>
      </c>
      <c r="J86" s="342">
        <v>0.13</v>
      </c>
      <c r="K86" s="342" t="s">
        <v>2420</v>
      </c>
      <c r="L86" s="342">
        <v>0</v>
      </c>
    </row>
    <row r="87" spans="1:12" x14ac:dyDescent="0.25">
      <c r="A87" s="341" t="s">
        <v>2420</v>
      </c>
      <c r="B87" s="341" t="s">
        <v>2420</v>
      </c>
      <c r="C87" s="341" t="s">
        <v>2420</v>
      </c>
      <c r="D87" s="342">
        <v>0</v>
      </c>
      <c r="E87" s="342" t="s">
        <v>2420</v>
      </c>
      <c r="F87" s="342" t="s">
        <v>9624</v>
      </c>
      <c r="G87" s="341" t="s">
        <v>148</v>
      </c>
      <c r="H87" s="341" t="s">
        <v>9748</v>
      </c>
      <c r="I87" s="341" t="s">
        <v>2557</v>
      </c>
      <c r="J87" s="342">
        <v>5.7750000000000004</v>
      </c>
      <c r="K87" s="342" t="s">
        <v>2420</v>
      </c>
      <c r="L87" s="342">
        <v>0</v>
      </c>
    </row>
    <row r="88" spans="1:12" x14ac:dyDescent="0.25">
      <c r="A88" s="341" t="s">
        <v>174</v>
      </c>
      <c r="B88" s="341" t="s">
        <v>9750</v>
      </c>
      <c r="C88" s="341" t="s">
        <v>16</v>
      </c>
      <c r="D88" s="342">
        <v>1</v>
      </c>
      <c r="E88" s="342">
        <v>0</v>
      </c>
      <c r="F88" s="342" t="s">
        <v>9622</v>
      </c>
      <c r="G88" s="341" t="s">
        <v>1234</v>
      </c>
      <c r="H88" s="341" t="s">
        <v>6899</v>
      </c>
      <c r="I88" s="341" t="s">
        <v>4230</v>
      </c>
      <c r="J88" s="342">
        <v>0.4</v>
      </c>
      <c r="K88" s="342" t="s">
        <v>4230</v>
      </c>
      <c r="L88" s="342">
        <v>0</v>
      </c>
    </row>
    <row r="89" spans="1:12" x14ac:dyDescent="0.25">
      <c r="A89" s="341" t="s">
        <v>2420</v>
      </c>
      <c r="B89" s="341" t="s">
        <v>2420</v>
      </c>
      <c r="C89" s="341" t="s">
        <v>2420</v>
      </c>
      <c r="D89" s="342">
        <v>0</v>
      </c>
      <c r="E89" s="342" t="s">
        <v>2420</v>
      </c>
      <c r="F89" s="342" t="s">
        <v>9622</v>
      </c>
      <c r="G89" s="341" t="s">
        <v>1235</v>
      </c>
      <c r="H89" s="341" t="s">
        <v>6900</v>
      </c>
      <c r="I89" s="341" t="s">
        <v>4230</v>
      </c>
      <c r="J89" s="342">
        <v>0.2</v>
      </c>
      <c r="K89" s="342" t="s">
        <v>4230</v>
      </c>
      <c r="L89" s="342">
        <v>0</v>
      </c>
    </row>
    <row r="90" spans="1:12" x14ac:dyDescent="0.25">
      <c r="A90" s="341" t="s">
        <v>2420</v>
      </c>
      <c r="B90" s="341" t="s">
        <v>2420</v>
      </c>
      <c r="C90" s="341" t="s">
        <v>2420</v>
      </c>
      <c r="D90" s="342">
        <v>0</v>
      </c>
      <c r="E90" s="342" t="s">
        <v>2420</v>
      </c>
      <c r="F90" s="342" t="s">
        <v>9622</v>
      </c>
      <c r="G90" s="341" t="s">
        <v>1303</v>
      </c>
      <c r="H90" s="341" t="s">
        <v>6980</v>
      </c>
      <c r="I90" s="341" t="s">
        <v>2557</v>
      </c>
      <c r="J90" s="342">
        <v>1</v>
      </c>
      <c r="K90" s="342" t="s">
        <v>25</v>
      </c>
      <c r="L90" s="342">
        <v>0</v>
      </c>
    </row>
    <row r="91" spans="1:12" x14ac:dyDescent="0.25">
      <c r="A91" s="341" t="s">
        <v>2420</v>
      </c>
      <c r="B91" s="341" t="s">
        <v>2420</v>
      </c>
      <c r="C91" s="341" t="s">
        <v>2420</v>
      </c>
      <c r="D91" s="342">
        <v>0</v>
      </c>
      <c r="E91" s="342" t="s">
        <v>2420</v>
      </c>
      <c r="F91" s="342" t="s">
        <v>9622</v>
      </c>
      <c r="G91" s="341" t="s">
        <v>1648</v>
      </c>
      <c r="H91" s="341" t="s">
        <v>9751</v>
      </c>
      <c r="I91" s="341" t="s">
        <v>2557</v>
      </c>
      <c r="J91" s="342">
        <v>70</v>
      </c>
      <c r="K91" s="342" t="s">
        <v>25</v>
      </c>
      <c r="L91" s="342">
        <v>0</v>
      </c>
    </row>
    <row r="92" spans="1:12" x14ac:dyDescent="0.25">
      <c r="A92" s="341" t="s">
        <v>2420</v>
      </c>
      <c r="B92" s="341" t="s">
        <v>2420</v>
      </c>
      <c r="C92" s="341" t="s">
        <v>2420</v>
      </c>
      <c r="D92" s="342">
        <v>0</v>
      </c>
      <c r="E92" s="342" t="s">
        <v>2420</v>
      </c>
      <c r="F92" s="342" t="s">
        <v>9622</v>
      </c>
      <c r="G92" s="341" t="s">
        <v>1910</v>
      </c>
      <c r="H92" s="341" t="s">
        <v>9752</v>
      </c>
      <c r="I92" s="341" t="s">
        <v>16</v>
      </c>
      <c r="J92" s="342">
        <v>1</v>
      </c>
      <c r="K92" s="342" t="s">
        <v>9623</v>
      </c>
      <c r="L92" s="342">
        <v>0</v>
      </c>
    </row>
    <row r="93" spans="1:12" x14ac:dyDescent="0.25">
      <c r="A93" s="341" t="s">
        <v>223</v>
      </c>
      <c r="B93" s="341" t="s">
        <v>9753</v>
      </c>
      <c r="C93" s="341" t="s">
        <v>16</v>
      </c>
      <c r="D93" s="342">
        <v>1</v>
      </c>
      <c r="E93" s="342">
        <v>0</v>
      </c>
      <c r="F93" s="342" t="s">
        <v>9622</v>
      </c>
      <c r="G93" s="341" t="s">
        <v>1210</v>
      </c>
      <c r="H93" s="341" t="s">
        <v>6855</v>
      </c>
      <c r="I93" s="341" t="s">
        <v>4230</v>
      </c>
      <c r="J93" s="342">
        <v>0.3</v>
      </c>
      <c r="K93" s="342" t="s">
        <v>4230</v>
      </c>
      <c r="L93" s="342">
        <v>0</v>
      </c>
    </row>
    <row r="94" spans="1:12" x14ac:dyDescent="0.25">
      <c r="A94" s="341" t="s">
        <v>159</v>
      </c>
      <c r="B94" s="341" t="s">
        <v>9754</v>
      </c>
      <c r="C94" s="341" t="s">
        <v>25</v>
      </c>
      <c r="D94" s="342">
        <v>1</v>
      </c>
      <c r="E94" s="342">
        <v>0</v>
      </c>
      <c r="F94" s="342" t="s">
        <v>9622</v>
      </c>
      <c r="G94" s="341" t="s">
        <v>1482</v>
      </c>
      <c r="H94" s="341" t="s">
        <v>9755</v>
      </c>
      <c r="I94" s="341" t="s">
        <v>25</v>
      </c>
      <c r="J94" s="342">
        <v>1</v>
      </c>
      <c r="K94" s="342" t="s">
        <v>25</v>
      </c>
      <c r="L94" s="342">
        <v>0</v>
      </c>
    </row>
    <row r="95" spans="1:12" x14ac:dyDescent="0.25">
      <c r="A95" s="341" t="s">
        <v>2420</v>
      </c>
      <c r="B95" s="341" t="s">
        <v>2420</v>
      </c>
      <c r="C95" s="341" t="s">
        <v>2420</v>
      </c>
      <c r="D95" s="342">
        <v>0</v>
      </c>
      <c r="E95" s="342" t="s">
        <v>2420</v>
      </c>
      <c r="F95" s="342" t="s">
        <v>9624</v>
      </c>
      <c r="G95" s="341" t="s">
        <v>9628</v>
      </c>
      <c r="H95" s="341" t="s">
        <v>9756</v>
      </c>
      <c r="I95" s="341" t="s">
        <v>16</v>
      </c>
      <c r="J95" s="342">
        <v>0.5</v>
      </c>
      <c r="K95" s="342" t="s">
        <v>2420</v>
      </c>
      <c r="L95" s="342">
        <v>0</v>
      </c>
    </row>
    <row r="96" spans="1:12" x14ac:dyDescent="0.25">
      <c r="A96" s="341" t="s">
        <v>9757</v>
      </c>
      <c r="B96" s="341" t="s">
        <v>9758</v>
      </c>
      <c r="C96" s="341" t="s">
        <v>16</v>
      </c>
      <c r="D96" s="342">
        <v>1</v>
      </c>
      <c r="E96" s="342">
        <v>0</v>
      </c>
      <c r="F96" s="342" t="s">
        <v>9622</v>
      </c>
      <c r="G96" s="341" t="s">
        <v>1210</v>
      </c>
      <c r="H96" s="341" t="s">
        <v>6855</v>
      </c>
      <c r="I96" s="341" t="s">
        <v>4230</v>
      </c>
      <c r="J96" s="342">
        <v>0.6</v>
      </c>
      <c r="K96" s="342" t="s">
        <v>4230</v>
      </c>
      <c r="L96" s="342">
        <v>0</v>
      </c>
    </row>
    <row r="97" spans="1:12" x14ac:dyDescent="0.25">
      <c r="A97" s="341" t="s">
        <v>2420</v>
      </c>
      <c r="B97" s="341" t="s">
        <v>2420</v>
      </c>
      <c r="C97" s="341" t="s">
        <v>2420</v>
      </c>
      <c r="D97" s="342">
        <v>0</v>
      </c>
      <c r="E97" s="342" t="s">
        <v>2420</v>
      </c>
      <c r="F97" s="342" t="s">
        <v>9622</v>
      </c>
      <c r="G97" s="341" t="s">
        <v>1415</v>
      </c>
      <c r="H97" s="341" t="s">
        <v>7135</v>
      </c>
      <c r="I97" s="341" t="s">
        <v>52</v>
      </c>
      <c r="J97" s="342">
        <v>0.105</v>
      </c>
      <c r="K97" s="342" t="s">
        <v>25</v>
      </c>
      <c r="L97" s="342">
        <v>0</v>
      </c>
    </row>
    <row r="98" spans="1:12" x14ac:dyDescent="0.25">
      <c r="A98" s="341" t="s">
        <v>344</v>
      </c>
      <c r="B98" s="341" t="s">
        <v>9759</v>
      </c>
      <c r="C98" s="341" t="s">
        <v>11</v>
      </c>
      <c r="D98" s="342">
        <v>1</v>
      </c>
      <c r="E98" s="342">
        <v>0</v>
      </c>
      <c r="F98" s="342" t="s">
        <v>9622</v>
      </c>
      <c r="G98" s="341" t="s">
        <v>1651</v>
      </c>
      <c r="H98" s="341" t="s">
        <v>7367</v>
      </c>
      <c r="I98" s="341" t="s">
        <v>11</v>
      </c>
      <c r="J98" s="342">
        <v>1</v>
      </c>
      <c r="K98" s="342" t="s">
        <v>25</v>
      </c>
      <c r="L98" s="342">
        <v>0</v>
      </c>
    </row>
    <row r="99" spans="1:12" x14ac:dyDescent="0.25">
      <c r="A99" s="341" t="s">
        <v>2420</v>
      </c>
      <c r="B99" s="341" t="s">
        <v>2420</v>
      </c>
      <c r="C99" s="341" t="s">
        <v>2420</v>
      </c>
      <c r="D99" s="342">
        <v>0</v>
      </c>
      <c r="E99" s="342" t="s">
        <v>2420</v>
      </c>
      <c r="F99" s="342" t="s">
        <v>9624</v>
      </c>
      <c r="G99" s="341" t="s">
        <v>297</v>
      </c>
      <c r="H99" s="341" t="s">
        <v>9756</v>
      </c>
      <c r="I99" s="341" t="s">
        <v>16</v>
      </c>
      <c r="J99" s="342">
        <v>0.49</v>
      </c>
      <c r="K99" s="342" t="s">
        <v>2420</v>
      </c>
      <c r="L99" s="342">
        <v>0</v>
      </c>
    </row>
    <row r="100" spans="1:12" x14ac:dyDescent="0.25">
      <c r="A100" s="341" t="s">
        <v>347</v>
      </c>
      <c r="B100" s="341" t="s">
        <v>9760</v>
      </c>
      <c r="C100" s="341" t="s">
        <v>16</v>
      </c>
      <c r="D100" s="342">
        <v>1</v>
      </c>
      <c r="E100" s="342">
        <v>0</v>
      </c>
      <c r="F100" s="342" t="s">
        <v>9622</v>
      </c>
      <c r="G100" s="341" t="s">
        <v>1518</v>
      </c>
      <c r="H100" s="341" t="s">
        <v>2700</v>
      </c>
      <c r="I100" s="341" t="s">
        <v>16</v>
      </c>
      <c r="J100" s="342">
        <v>1</v>
      </c>
      <c r="K100" s="342" t="s">
        <v>25</v>
      </c>
      <c r="L100" s="342">
        <v>0</v>
      </c>
    </row>
    <row r="101" spans="1:12" x14ac:dyDescent="0.25">
      <c r="A101" s="341" t="s">
        <v>2420</v>
      </c>
      <c r="B101" s="341" t="s">
        <v>2420</v>
      </c>
      <c r="C101" s="341" t="s">
        <v>2420</v>
      </c>
      <c r="D101" s="342">
        <v>0</v>
      </c>
      <c r="E101" s="342" t="s">
        <v>2420</v>
      </c>
      <c r="F101" s="342" t="s">
        <v>9624</v>
      </c>
      <c r="G101" s="341" t="s">
        <v>9628</v>
      </c>
      <c r="H101" s="341" t="s">
        <v>9756</v>
      </c>
      <c r="I101" s="341" t="s">
        <v>16</v>
      </c>
      <c r="J101" s="342">
        <v>1</v>
      </c>
      <c r="K101" s="342" t="s">
        <v>2420</v>
      </c>
      <c r="L101" s="342">
        <v>0</v>
      </c>
    </row>
    <row r="102" spans="1:12" x14ac:dyDescent="0.25">
      <c r="A102" s="341" t="s">
        <v>150</v>
      </c>
      <c r="B102" s="341" t="s">
        <v>2640</v>
      </c>
      <c r="C102" s="341" t="s">
        <v>25</v>
      </c>
      <c r="D102" s="342">
        <v>1</v>
      </c>
      <c r="E102" s="342">
        <v>0</v>
      </c>
      <c r="F102" s="342" t="s">
        <v>9622</v>
      </c>
      <c r="G102" s="341" t="s">
        <v>1204</v>
      </c>
      <c r="H102" s="341" t="s">
        <v>6854</v>
      </c>
      <c r="I102" s="341" t="s">
        <v>4230</v>
      </c>
      <c r="J102" s="342">
        <v>0.22</v>
      </c>
      <c r="K102" s="342" t="s">
        <v>4230</v>
      </c>
      <c r="L102" s="342">
        <v>0</v>
      </c>
    </row>
    <row r="103" spans="1:12" x14ac:dyDescent="0.25">
      <c r="A103" s="341" t="s">
        <v>2420</v>
      </c>
      <c r="B103" s="341" t="s">
        <v>2420</v>
      </c>
      <c r="C103" s="341" t="s">
        <v>2420</v>
      </c>
      <c r="D103" s="342">
        <v>0</v>
      </c>
      <c r="E103" s="342" t="s">
        <v>2420</v>
      </c>
      <c r="F103" s="342" t="s">
        <v>9622</v>
      </c>
      <c r="G103" s="341" t="s">
        <v>1210</v>
      </c>
      <c r="H103" s="341" t="s">
        <v>6855</v>
      </c>
      <c r="I103" s="341" t="s">
        <v>4230</v>
      </c>
      <c r="J103" s="342">
        <v>9.9000000000000005E-2</v>
      </c>
      <c r="K103" s="342" t="s">
        <v>4230</v>
      </c>
      <c r="L103" s="342">
        <v>0</v>
      </c>
    </row>
    <row r="104" spans="1:12" x14ac:dyDescent="0.25">
      <c r="A104" s="341" t="s">
        <v>9761</v>
      </c>
      <c r="B104" s="341" t="s">
        <v>9762</v>
      </c>
      <c r="C104" s="341" t="s">
        <v>16</v>
      </c>
      <c r="D104" s="342">
        <v>1</v>
      </c>
      <c r="E104" s="342">
        <v>0</v>
      </c>
      <c r="F104" s="342" t="s">
        <v>9622</v>
      </c>
      <c r="G104" s="341" t="s">
        <v>1234</v>
      </c>
      <c r="H104" s="341" t="s">
        <v>6899</v>
      </c>
      <c r="I104" s="341" t="s">
        <v>4230</v>
      </c>
      <c r="J104" s="342">
        <v>0.3</v>
      </c>
      <c r="K104" s="342" t="s">
        <v>4230</v>
      </c>
      <c r="L104" s="342">
        <v>0</v>
      </c>
    </row>
    <row r="105" spans="1:12" x14ac:dyDescent="0.25">
      <c r="A105" s="341" t="s">
        <v>402</v>
      </c>
      <c r="B105" s="341" t="s">
        <v>2847</v>
      </c>
      <c r="C105" s="341" t="s">
        <v>16</v>
      </c>
      <c r="D105" s="342">
        <v>1</v>
      </c>
      <c r="E105" s="342">
        <v>0</v>
      </c>
      <c r="F105" s="342" t="s">
        <v>9622</v>
      </c>
      <c r="G105" s="341" t="s">
        <v>1204</v>
      </c>
      <c r="H105" s="341" t="s">
        <v>6854</v>
      </c>
      <c r="I105" s="341" t="s">
        <v>4230</v>
      </c>
      <c r="J105" s="342">
        <v>0.25</v>
      </c>
      <c r="K105" s="342" t="s">
        <v>4230</v>
      </c>
      <c r="L105" s="342">
        <v>0</v>
      </c>
    </row>
    <row r="106" spans="1:12" x14ac:dyDescent="0.25">
      <c r="A106" s="341" t="s">
        <v>2420</v>
      </c>
      <c r="B106" s="341" t="s">
        <v>2420</v>
      </c>
      <c r="C106" s="341" t="s">
        <v>2420</v>
      </c>
      <c r="D106" s="342">
        <v>0</v>
      </c>
      <c r="E106" s="342" t="s">
        <v>2420</v>
      </c>
      <c r="F106" s="342" t="s">
        <v>9622</v>
      </c>
      <c r="G106" s="341" t="s">
        <v>1210</v>
      </c>
      <c r="H106" s="341" t="s">
        <v>6855</v>
      </c>
      <c r="I106" s="341" t="s">
        <v>4230</v>
      </c>
      <c r="J106" s="342">
        <v>0.25</v>
      </c>
      <c r="K106" s="342" t="s">
        <v>4230</v>
      </c>
      <c r="L106" s="342">
        <v>0</v>
      </c>
    </row>
    <row r="107" spans="1:12" x14ac:dyDescent="0.25">
      <c r="A107" s="341" t="s">
        <v>2420</v>
      </c>
      <c r="B107" s="341" t="s">
        <v>2420</v>
      </c>
      <c r="C107" s="341" t="s">
        <v>2420</v>
      </c>
      <c r="D107" s="342">
        <v>0</v>
      </c>
      <c r="E107" s="342" t="s">
        <v>2420</v>
      </c>
      <c r="F107" s="342" t="s">
        <v>9622</v>
      </c>
      <c r="G107" s="341" t="s">
        <v>1373</v>
      </c>
      <c r="H107" s="341" t="s">
        <v>9763</v>
      </c>
      <c r="I107" s="341" t="s">
        <v>16</v>
      </c>
      <c r="J107" s="342">
        <v>1.1000000000000001</v>
      </c>
      <c r="K107" s="342" t="s">
        <v>25</v>
      </c>
      <c r="L107" s="342">
        <v>0</v>
      </c>
    </row>
    <row r="108" spans="1:12" x14ac:dyDescent="0.25">
      <c r="A108" s="341" t="s">
        <v>389</v>
      </c>
      <c r="B108" s="341" t="s">
        <v>9764</v>
      </c>
      <c r="C108" s="341" t="s">
        <v>25</v>
      </c>
      <c r="D108" s="342">
        <v>1</v>
      </c>
      <c r="E108" s="342">
        <v>0</v>
      </c>
      <c r="F108" s="342" t="s">
        <v>9622</v>
      </c>
      <c r="G108" s="341" t="s">
        <v>1234</v>
      </c>
      <c r="H108" s="341" t="s">
        <v>6899</v>
      </c>
      <c r="I108" s="341" t="s">
        <v>4230</v>
      </c>
      <c r="J108" s="342">
        <v>0.59</v>
      </c>
      <c r="K108" s="342" t="s">
        <v>4230</v>
      </c>
      <c r="L108" s="342">
        <v>0</v>
      </c>
    </row>
    <row r="109" spans="1:12" x14ac:dyDescent="0.25">
      <c r="A109" s="341" t="s">
        <v>2420</v>
      </c>
      <c r="B109" s="341" t="s">
        <v>2420</v>
      </c>
      <c r="C109" s="341" t="s">
        <v>2420</v>
      </c>
      <c r="D109" s="342">
        <v>0</v>
      </c>
      <c r="E109" s="342" t="s">
        <v>2420</v>
      </c>
      <c r="F109" s="342" t="s">
        <v>9622</v>
      </c>
      <c r="G109" s="341" t="s">
        <v>1235</v>
      </c>
      <c r="H109" s="341" t="s">
        <v>6900</v>
      </c>
      <c r="I109" s="341" t="s">
        <v>4230</v>
      </c>
      <c r="J109" s="342">
        <v>0.59</v>
      </c>
      <c r="K109" s="342" t="s">
        <v>4230</v>
      </c>
      <c r="L109" s="342">
        <v>0</v>
      </c>
    </row>
    <row r="110" spans="1:12" x14ac:dyDescent="0.25">
      <c r="A110" s="341" t="s">
        <v>2420</v>
      </c>
      <c r="B110" s="341" t="s">
        <v>2420</v>
      </c>
      <c r="C110" s="341" t="s">
        <v>2420</v>
      </c>
      <c r="D110" s="342">
        <v>0</v>
      </c>
      <c r="E110" s="342" t="s">
        <v>2420</v>
      </c>
      <c r="F110" s="342" t="s">
        <v>9622</v>
      </c>
      <c r="G110" s="341" t="s">
        <v>1378</v>
      </c>
      <c r="H110" s="341" t="s">
        <v>7096</v>
      </c>
      <c r="I110" s="341" t="s">
        <v>2557</v>
      </c>
      <c r="J110" s="342">
        <v>0.7</v>
      </c>
      <c r="K110" s="342" t="s">
        <v>25</v>
      </c>
      <c r="L110" s="342">
        <v>0</v>
      </c>
    </row>
    <row r="111" spans="1:12" x14ac:dyDescent="0.25">
      <c r="A111" s="341" t="s">
        <v>2420</v>
      </c>
      <c r="B111" s="341" t="s">
        <v>2420</v>
      </c>
      <c r="C111" s="341" t="s">
        <v>2420</v>
      </c>
      <c r="D111" s="342">
        <v>0</v>
      </c>
      <c r="E111" s="342" t="s">
        <v>2420</v>
      </c>
      <c r="F111" s="342" t="s">
        <v>9622</v>
      </c>
      <c r="G111" s="341" t="s">
        <v>1585</v>
      </c>
      <c r="H111" s="341" t="s">
        <v>9765</v>
      </c>
      <c r="I111" s="341" t="s">
        <v>25</v>
      </c>
      <c r="J111" s="342">
        <v>1.05</v>
      </c>
      <c r="K111" s="342" t="s">
        <v>25</v>
      </c>
      <c r="L111" s="342">
        <v>0</v>
      </c>
    </row>
    <row r="112" spans="1:12" x14ac:dyDescent="0.25">
      <c r="A112" s="341" t="s">
        <v>2420</v>
      </c>
      <c r="B112" s="341" t="s">
        <v>2420</v>
      </c>
      <c r="C112" s="341" t="s">
        <v>2420</v>
      </c>
      <c r="D112" s="342">
        <v>0</v>
      </c>
      <c r="E112" s="342" t="s">
        <v>2420</v>
      </c>
      <c r="F112" s="342" t="s">
        <v>9622</v>
      </c>
      <c r="G112" s="341" t="s">
        <v>1613</v>
      </c>
      <c r="H112" s="341" t="s">
        <v>7333</v>
      </c>
      <c r="I112" s="341" t="s">
        <v>2557</v>
      </c>
      <c r="J112" s="342">
        <v>7.0000000000000007E-2</v>
      </c>
      <c r="K112" s="342" t="s">
        <v>25</v>
      </c>
      <c r="L112" s="342">
        <v>0</v>
      </c>
    </row>
    <row r="113" spans="1:12" x14ac:dyDescent="0.25">
      <c r="A113" s="341" t="s">
        <v>2420</v>
      </c>
      <c r="B113" s="341" t="s">
        <v>2420</v>
      </c>
      <c r="C113" s="341" t="s">
        <v>2420</v>
      </c>
      <c r="D113" s="342">
        <v>0</v>
      </c>
      <c r="E113" s="342" t="s">
        <v>2420</v>
      </c>
      <c r="F113" s="342" t="s">
        <v>9622</v>
      </c>
      <c r="G113" s="341" t="s">
        <v>1866</v>
      </c>
      <c r="H113" s="341" t="s">
        <v>9766</v>
      </c>
      <c r="I113" s="341" t="s">
        <v>25</v>
      </c>
      <c r="J113" s="342">
        <v>1</v>
      </c>
      <c r="K113" s="342" t="s">
        <v>9623</v>
      </c>
      <c r="L113" s="342">
        <v>0</v>
      </c>
    </row>
    <row r="114" spans="1:12" x14ac:dyDescent="0.25">
      <c r="A114" s="341" t="s">
        <v>2420</v>
      </c>
      <c r="B114" s="341" t="s">
        <v>2420</v>
      </c>
      <c r="C114" s="341" t="s">
        <v>2420</v>
      </c>
      <c r="D114" s="342">
        <v>0</v>
      </c>
      <c r="E114" s="342" t="s">
        <v>2420</v>
      </c>
      <c r="F114" s="342" t="s">
        <v>9622</v>
      </c>
      <c r="G114" s="341" t="s">
        <v>2038</v>
      </c>
      <c r="H114" s="341" t="s">
        <v>8372</v>
      </c>
      <c r="I114" s="341" t="s">
        <v>16</v>
      </c>
      <c r="J114" s="342">
        <v>0.5</v>
      </c>
      <c r="K114" s="342" t="s">
        <v>9623</v>
      </c>
      <c r="L114" s="342">
        <v>0</v>
      </c>
    </row>
    <row r="115" spans="1:12" x14ac:dyDescent="0.25">
      <c r="A115" s="341" t="s">
        <v>346</v>
      </c>
      <c r="B115" s="341" t="s">
        <v>7228</v>
      </c>
      <c r="C115" s="341" t="s">
        <v>25</v>
      </c>
      <c r="D115" s="342">
        <v>1</v>
      </c>
      <c r="E115" s="342">
        <v>0</v>
      </c>
      <c r="F115" s="342" t="s">
        <v>9622</v>
      </c>
      <c r="G115" s="341" t="s">
        <v>1488</v>
      </c>
      <c r="H115" s="341" t="s">
        <v>7228</v>
      </c>
      <c r="I115" s="341" t="s">
        <v>25</v>
      </c>
      <c r="J115" s="342">
        <v>1</v>
      </c>
      <c r="K115" s="342" t="s">
        <v>25</v>
      </c>
      <c r="L115" s="342">
        <v>0</v>
      </c>
    </row>
    <row r="116" spans="1:12" x14ac:dyDescent="0.25">
      <c r="A116" s="341" t="s">
        <v>2420</v>
      </c>
      <c r="B116" s="341" t="s">
        <v>2420</v>
      </c>
      <c r="C116" s="341" t="s">
        <v>2420</v>
      </c>
      <c r="D116" s="342">
        <v>0</v>
      </c>
      <c r="E116" s="342" t="s">
        <v>2420</v>
      </c>
      <c r="F116" s="342" t="s">
        <v>9624</v>
      </c>
      <c r="G116" s="341" t="s">
        <v>9628</v>
      </c>
      <c r="H116" s="341" t="s">
        <v>9756</v>
      </c>
      <c r="I116" s="341" t="s">
        <v>16</v>
      </c>
      <c r="J116" s="342">
        <v>0.5</v>
      </c>
      <c r="K116" s="342" t="s">
        <v>2420</v>
      </c>
      <c r="L116" s="342">
        <v>0</v>
      </c>
    </row>
    <row r="117" spans="1:12" x14ac:dyDescent="0.25">
      <c r="A117" s="341" t="s">
        <v>368</v>
      </c>
      <c r="B117" s="341" t="s">
        <v>2671</v>
      </c>
      <c r="C117" s="341" t="s">
        <v>52</v>
      </c>
      <c r="D117" s="342">
        <v>1</v>
      </c>
      <c r="E117" s="342">
        <v>0</v>
      </c>
      <c r="F117" s="342" t="s">
        <v>9622</v>
      </c>
      <c r="G117" s="341" t="s">
        <v>1210</v>
      </c>
      <c r="H117" s="341" t="s">
        <v>6855</v>
      </c>
      <c r="I117" s="341" t="s">
        <v>4230</v>
      </c>
      <c r="J117" s="342">
        <v>4</v>
      </c>
      <c r="K117" s="342" t="s">
        <v>4230</v>
      </c>
      <c r="L117" s="342">
        <v>0</v>
      </c>
    </row>
    <row r="118" spans="1:12" x14ac:dyDescent="0.25">
      <c r="A118" s="341" t="s">
        <v>2420</v>
      </c>
      <c r="B118" s="341" t="s">
        <v>2420</v>
      </c>
      <c r="C118" s="341" t="s">
        <v>2420</v>
      </c>
      <c r="D118" s="342">
        <v>0</v>
      </c>
      <c r="E118" s="342" t="s">
        <v>2420</v>
      </c>
      <c r="F118" s="342" t="s">
        <v>9622</v>
      </c>
      <c r="G118" s="341" t="s">
        <v>1553</v>
      </c>
      <c r="H118" s="341" t="s">
        <v>7284</v>
      </c>
      <c r="I118" s="341" t="s">
        <v>52</v>
      </c>
      <c r="J118" s="342">
        <v>1</v>
      </c>
      <c r="K118" s="342" t="s">
        <v>25</v>
      </c>
      <c r="L118" s="342">
        <v>0</v>
      </c>
    </row>
    <row r="119" spans="1:12" x14ac:dyDescent="0.25">
      <c r="A119" s="341" t="s">
        <v>2420</v>
      </c>
      <c r="B119" s="341" t="s">
        <v>2420</v>
      </c>
      <c r="C119" s="341" t="s">
        <v>2420</v>
      </c>
      <c r="D119" s="342">
        <v>0</v>
      </c>
      <c r="E119" s="342" t="s">
        <v>2420</v>
      </c>
      <c r="F119" s="342" t="s">
        <v>9622</v>
      </c>
      <c r="G119" s="341" t="s">
        <v>1648</v>
      </c>
      <c r="H119" s="341" t="s">
        <v>9751</v>
      </c>
      <c r="I119" s="341" t="s">
        <v>2557</v>
      </c>
      <c r="J119" s="342">
        <v>100</v>
      </c>
      <c r="K119" s="342" t="s">
        <v>25</v>
      </c>
      <c r="L119" s="342">
        <v>0</v>
      </c>
    </row>
    <row r="120" spans="1:12" x14ac:dyDescent="0.25">
      <c r="A120" s="341" t="s">
        <v>367</v>
      </c>
      <c r="B120" s="341" t="s">
        <v>9767</v>
      </c>
      <c r="C120" s="341" t="s">
        <v>16</v>
      </c>
      <c r="D120" s="342">
        <v>1</v>
      </c>
      <c r="E120" s="342">
        <v>0</v>
      </c>
      <c r="F120" s="342" t="s">
        <v>9622</v>
      </c>
      <c r="G120" s="341" t="s">
        <v>1210</v>
      </c>
      <c r="H120" s="341" t="s">
        <v>6855</v>
      </c>
      <c r="I120" s="341" t="s">
        <v>4230</v>
      </c>
      <c r="J120" s="342">
        <v>0.5</v>
      </c>
      <c r="K120" s="342" t="s">
        <v>4230</v>
      </c>
      <c r="L120" s="342">
        <v>0</v>
      </c>
    </row>
    <row r="121" spans="1:12" x14ac:dyDescent="0.25">
      <c r="A121" s="341" t="s">
        <v>2420</v>
      </c>
      <c r="B121" s="341" t="s">
        <v>2420</v>
      </c>
      <c r="C121" s="341" t="s">
        <v>2420</v>
      </c>
      <c r="D121" s="342">
        <v>0</v>
      </c>
      <c r="E121" s="342" t="s">
        <v>2420</v>
      </c>
      <c r="F121" s="342" t="s">
        <v>9622</v>
      </c>
      <c r="G121" s="341" t="s">
        <v>1238</v>
      </c>
      <c r="H121" s="341" t="s">
        <v>6903</v>
      </c>
      <c r="I121" s="341" t="s">
        <v>4230</v>
      </c>
      <c r="J121" s="342">
        <v>0.154</v>
      </c>
      <c r="K121" s="342" t="s">
        <v>4230</v>
      </c>
      <c r="L121" s="342">
        <v>0</v>
      </c>
    </row>
    <row r="122" spans="1:12" x14ac:dyDescent="0.25">
      <c r="A122" s="341" t="s">
        <v>2420</v>
      </c>
      <c r="B122" s="341" t="s">
        <v>2420</v>
      </c>
      <c r="C122" s="341" t="s">
        <v>2420</v>
      </c>
      <c r="D122" s="342">
        <v>0</v>
      </c>
      <c r="E122" s="342" t="s">
        <v>2420</v>
      </c>
      <c r="F122" s="342" t="s">
        <v>9622</v>
      </c>
      <c r="G122" s="341" t="s">
        <v>1239</v>
      </c>
      <c r="H122" s="341" t="s">
        <v>9768</v>
      </c>
      <c r="I122" s="341" t="s">
        <v>4230</v>
      </c>
      <c r="J122" s="342">
        <v>0.154</v>
      </c>
      <c r="K122" s="342" t="s">
        <v>4230</v>
      </c>
      <c r="L122" s="342">
        <v>0</v>
      </c>
    </row>
    <row r="123" spans="1:12" x14ac:dyDescent="0.25">
      <c r="A123" s="341" t="s">
        <v>2420</v>
      </c>
      <c r="B123" s="341" t="s">
        <v>2420</v>
      </c>
      <c r="C123" s="341" t="s">
        <v>2420</v>
      </c>
      <c r="D123" s="342">
        <v>0</v>
      </c>
      <c r="E123" s="342" t="s">
        <v>2420</v>
      </c>
      <c r="F123" s="342" t="s">
        <v>9622</v>
      </c>
      <c r="G123" s="341" t="s">
        <v>1295</v>
      </c>
      <c r="H123" s="341" t="s">
        <v>6966</v>
      </c>
      <c r="I123" s="341" t="s">
        <v>52</v>
      </c>
      <c r="J123" s="342">
        <v>0.105</v>
      </c>
      <c r="K123" s="342" t="s">
        <v>25</v>
      </c>
      <c r="L123" s="342">
        <v>0</v>
      </c>
    </row>
    <row r="124" spans="1:12" x14ac:dyDescent="0.25">
      <c r="A124" s="341" t="s">
        <v>2420</v>
      </c>
      <c r="B124" s="341" t="s">
        <v>2420</v>
      </c>
      <c r="C124" s="341" t="s">
        <v>2420</v>
      </c>
      <c r="D124" s="342">
        <v>0</v>
      </c>
      <c r="E124" s="342" t="s">
        <v>2420</v>
      </c>
      <c r="F124" s="342" t="s">
        <v>9622</v>
      </c>
      <c r="G124" s="341" t="s">
        <v>1416</v>
      </c>
      <c r="H124" s="341" t="s">
        <v>9769</v>
      </c>
      <c r="I124" s="341" t="s">
        <v>2557</v>
      </c>
      <c r="J124" s="342">
        <v>2.31</v>
      </c>
      <c r="K124" s="342" t="s">
        <v>25</v>
      </c>
      <c r="L124" s="342">
        <v>0</v>
      </c>
    </row>
    <row r="125" spans="1:12" x14ac:dyDescent="0.25">
      <c r="A125" s="341" t="s">
        <v>2420</v>
      </c>
      <c r="B125" s="341" t="s">
        <v>2420</v>
      </c>
      <c r="C125" s="341" t="s">
        <v>2420</v>
      </c>
      <c r="D125" s="342">
        <v>0</v>
      </c>
      <c r="E125" s="342" t="s">
        <v>2420</v>
      </c>
      <c r="F125" s="342" t="s">
        <v>9622</v>
      </c>
      <c r="G125" s="341" t="s">
        <v>1527</v>
      </c>
      <c r="H125" s="341" t="s">
        <v>9770</v>
      </c>
      <c r="I125" s="341" t="s">
        <v>16</v>
      </c>
      <c r="J125" s="342">
        <v>1.1000000000000001</v>
      </c>
      <c r="K125" s="342" t="s">
        <v>25</v>
      </c>
      <c r="L125" s="342">
        <v>0</v>
      </c>
    </row>
    <row r="126" spans="1:12" x14ac:dyDescent="0.25">
      <c r="A126" s="341" t="s">
        <v>2420</v>
      </c>
      <c r="B126" s="341" t="s">
        <v>2420</v>
      </c>
      <c r="C126" s="341" t="s">
        <v>2420</v>
      </c>
      <c r="D126" s="342">
        <v>0</v>
      </c>
      <c r="E126" s="342" t="s">
        <v>2420</v>
      </c>
      <c r="F126" s="342" t="s">
        <v>9622</v>
      </c>
      <c r="G126" s="341" t="s">
        <v>1853</v>
      </c>
      <c r="H126" s="341" t="s">
        <v>7980</v>
      </c>
      <c r="I126" s="341" t="s">
        <v>2557</v>
      </c>
      <c r="J126" s="342">
        <v>2.2000000000000002</v>
      </c>
      <c r="K126" s="342" t="s">
        <v>9623</v>
      </c>
      <c r="L126" s="342">
        <v>0</v>
      </c>
    </row>
    <row r="127" spans="1:12" x14ac:dyDescent="0.25">
      <c r="A127" s="341" t="s">
        <v>2420</v>
      </c>
      <c r="B127" s="341" t="s">
        <v>2420</v>
      </c>
      <c r="C127" s="341" t="s">
        <v>2420</v>
      </c>
      <c r="D127" s="342">
        <v>0</v>
      </c>
      <c r="E127" s="342" t="s">
        <v>2420</v>
      </c>
      <c r="F127" s="342" t="s">
        <v>9622</v>
      </c>
      <c r="G127" s="341" t="s">
        <v>654</v>
      </c>
      <c r="H127" s="341" t="s">
        <v>2634</v>
      </c>
      <c r="I127" s="341" t="s">
        <v>16</v>
      </c>
      <c r="J127" s="342">
        <v>1</v>
      </c>
      <c r="K127" s="342" t="s">
        <v>9623</v>
      </c>
      <c r="L127" s="342">
        <v>0</v>
      </c>
    </row>
    <row r="128" spans="1:12" x14ac:dyDescent="0.25">
      <c r="A128" s="341" t="s">
        <v>2420</v>
      </c>
      <c r="B128" s="341" t="s">
        <v>2420</v>
      </c>
      <c r="C128" s="341" t="s">
        <v>2420</v>
      </c>
      <c r="D128" s="342">
        <v>0</v>
      </c>
      <c r="E128" s="342" t="s">
        <v>2420</v>
      </c>
      <c r="F128" s="342" t="s">
        <v>9624</v>
      </c>
      <c r="G128" s="341" t="s">
        <v>246</v>
      </c>
      <c r="H128" s="341" t="s">
        <v>9771</v>
      </c>
      <c r="I128" s="341" t="s">
        <v>52</v>
      </c>
      <c r="J128" s="342">
        <v>0.1</v>
      </c>
      <c r="K128" s="342" t="s">
        <v>2420</v>
      </c>
      <c r="L128" s="342">
        <v>0</v>
      </c>
    </row>
    <row r="129" spans="1:12" x14ac:dyDescent="0.25">
      <c r="A129" s="341" t="s">
        <v>516</v>
      </c>
      <c r="B129" s="341" t="s">
        <v>2985</v>
      </c>
      <c r="C129" s="341" t="s">
        <v>16</v>
      </c>
      <c r="D129" s="342">
        <v>1</v>
      </c>
      <c r="E129" s="342">
        <v>0</v>
      </c>
      <c r="F129" s="342" t="s">
        <v>9622</v>
      </c>
      <c r="G129" s="341" t="s">
        <v>9772</v>
      </c>
      <c r="H129" s="341" t="s">
        <v>9773</v>
      </c>
      <c r="I129" s="341" t="s">
        <v>16</v>
      </c>
      <c r="J129" s="342">
        <v>1</v>
      </c>
      <c r="K129" s="342" t="s">
        <v>9623</v>
      </c>
      <c r="L129" s="342">
        <v>0</v>
      </c>
    </row>
    <row r="130" spans="1:12" x14ac:dyDescent="0.25">
      <c r="A130" s="341" t="s">
        <v>2420</v>
      </c>
      <c r="B130" s="341" t="s">
        <v>2420</v>
      </c>
      <c r="C130" s="341" t="s">
        <v>2420</v>
      </c>
      <c r="D130" s="342">
        <v>0</v>
      </c>
      <c r="E130" s="342" t="s">
        <v>2420</v>
      </c>
      <c r="F130" s="342" t="s">
        <v>9622</v>
      </c>
      <c r="G130" s="341" t="s">
        <v>9774</v>
      </c>
      <c r="H130" s="341" t="s">
        <v>9775</v>
      </c>
      <c r="I130" s="341" t="s">
        <v>52</v>
      </c>
      <c r="J130" s="342">
        <v>0.2</v>
      </c>
      <c r="K130" s="342" t="s">
        <v>25</v>
      </c>
      <c r="L130" s="342">
        <v>0</v>
      </c>
    </row>
    <row r="131" spans="1:12" x14ac:dyDescent="0.25">
      <c r="A131" s="341" t="s">
        <v>2420</v>
      </c>
      <c r="B131" s="341" t="s">
        <v>2420</v>
      </c>
      <c r="C131" s="341" t="s">
        <v>2420</v>
      </c>
      <c r="D131" s="342">
        <v>0</v>
      </c>
      <c r="E131" s="342" t="s">
        <v>2420</v>
      </c>
      <c r="F131" s="342" t="s">
        <v>9622</v>
      </c>
      <c r="G131" s="341" t="s">
        <v>9776</v>
      </c>
      <c r="H131" s="341" t="s">
        <v>9777</v>
      </c>
      <c r="I131" s="341" t="s">
        <v>16</v>
      </c>
      <c r="J131" s="342">
        <v>1</v>
      </c>
      <c r="K131" s="342" t="s">
        <v>9623</v>
      </c>
      <c r="L131" s="342">
        <v>0</v>
      </c>
    </row>
    <row r="132" spans="1:12" x14ac:dyDescent="0.25">
      <c r="A132" s="341" t="s">
        <v>2420</v>
      </c>
      <c r="B132" s="341" t="s">
        <v>2420</v>
      </c>
      <c r="C132" s="341" t="s">
        <v>2420</v>
      </c>
      <c r="D132" s="342">
        <v>0</v>
      </c>
      <c r="E132" s="342" t="s">
        <v>2420</v>
      </c>
      <c r="F132" s="342" t="s">
        <v>9622</v>
      </c>
      <c r="G132" s="341" t="s">
        <v>9778</v>
      </c>
      <c r="H132" s="341" t="s">
        <v>9779</v>
      </c>
      <c r="I132" s="341" t="s">
        <v>16</v>
      </c>
      <c r="J132" s="342">
        <v>1</v>
      </c>
      <c r="K132" s="342" t="s">
        <v>9623</v>
      </c>
      <c r="L132" s="342">
        <v>0</v>
      </c>
    </row>
    <row r="133" spans="1:12" x14ac:dyDescent="0.25">
      <c r="A133" s="341" t="s">
        <v>9627</v>
      </c>
      <c r="B133" s="341" t="s">
        <v>9780</v>
      </c>
      <c r="C133" s="341" t="s">
        <v>11</v>
      </c>
      <c r="D133" s="342">
        <v>1</v>
      </c>
      <c r="E133" s="342">
        <v>0</v>
      </c>
      <c r="F133" s="342" t="s">
        <v>9622</v>
      </c>
      <c r="G133" s="341" t="s">
        <v>1236</v>
      </c>
      <c r="H133" s="341" t="s">
        <v>6901</v>
      </c>
      <c r="I133" s="341" t="s">
        <v>4230</v>
      </c>
      <c r="J133" s="342">
        <v>1.47</v>
      </c>
      <c r="K133" s="342" t="s">
        <v>4230</v>
      </c>
      <c r="L133" s="342">
        <v>0</v>
      </c>
    </row>
    <row r="134" spans="1:12" x14ac:dyDescent="0.25">
      <c r="A134" s="341" t="s">
        <v>2420</v>
      </c>
      <c r="B134" s="341" t="s">
        <v>2420</v>
      </c>
      <c r="C134" s="341" t="s">
        <v>2420</v>
      </c>
      <c r="D134" s="342">
        <v>0</v>
      </c>
      <c r="E134" s="342" t="s">
        <v>2420</v>
      </c>
      <c r="F134" s="342" t="s">
        <v>9622</v>
      </c>
      <c r="G134" s="341" t="s">
        <v>1237</v>
      </c>
      <c r="H134" s="341" t="s">
        <v>9781</v>
      </c>
      <c r="I134" s="341" t="s">
        <v>4230</v>
      </c>
      <c r="J134" s="342">
        <v>1.47</v>
      </c>
      <c r="K134" s="342" t="s">
        <v>4230</v>
      </c>
      <c r="L134" s="342">
        <v>0</v>
      </c>
    </row>
    <row r="135" spans="1:12" x14ac:dyDescent="0.25">
      <c r="A135" s="341" t="s">
        <v>2420</v>
      </c>
      <c r="B135" s="341" t="s">
        <v>2420</v>
      </c>
      <c r="C135" s="341" t="s">
        <v>2420</v>
      </c>
      <c r="D135" s="342">
        <v>0</v>
      </c>
      <c r="E135" s="342" t="s">
        <v>2420</v>
      </c>
      <c r="F135" s="342" t="s">
        <v>9622</v>
      </c>
      <c r="G135" s="341" t="s">
        <v>1600</v>
      </c>
      <c r="H135" s="341" t="s">
        <v>9782</v>
      </c>
      <c r="I135" s="341" t="s">
        <v>11</v>
      </c>
      <c r="J135" s="342">
        <v>0.14280000000000001</v>
      </c>
      <c r="K135" s="342" t="s">
        <v>25</v>
      </c>
      <c r="L135" s="342">
        <v>0</v>
      </c>
    </row>
    <row r="136" spans="1:12" x14ac:dyDescent="0.25">
      <c r="A136" s="341" t="s">
        <v>2420</v>
      </c>
      <c r="B136" s="341" t="s">
        <v>2420</v>
      </c>
      <c r="C136" s="341" t="s">
        <v>2420</v>
      </c>
      <c r="D136" s="342">
        <v>0</v>
      </c>
      <c r="E136" s="342" t="s">
        <v>2420</v>
      </c>
      <c r="F136" s="342" t="s">
        <v>9622</v>
      </c>
      <c r="G136" s="341" t="s">
        <v>1846</v>
      </c>
      <c r="H136" s="341" t="s">
        <v>7973</v>
      </c>
      <c r="I136" s="341" t="s">
        <v>11</v>
      </c>
      <c r="J136" s="342">
        <v>1</v>
      </c>
      <c r="K136" s="342" t="s">
        <v>9623</v>
      </c>
      <c r="L136" s="342">
        <v>0</v>
      </c>
    </row>
    <row r="137" spans="1:12" x14ac:dyDescent="0.25">
      <c r="A137" s="341" t="s">
        <v>268</v>
      </c>
      <c r="B137" s="341" t="s">
        <v>9783</v>
      </c>
      <c r="C137" s="341" t="s">
        <v>25</v>
      </c>
      <c r="D137" s="342">
        <v>1</v>
      </c>
      <c r="E137" s="342">
        <v>0</v>
      </c>
      <c r="F137" s="342" t="s">
        <v>9622</v>
      </c>
      <c r="G137" s="341" t="s">
        <v>1210</v>
      </c>
      <c r="H137" s="341" t="s">
        <v>6855</v>
      </c>
      <c r="I137" s="341" t="s">
        <v>4230</v>
      </c>
      <c r="J137" s="342">
        <v>0.6</v>
      </c>
      <c r="K137" s="342" t="s">
        <v>4230</v>
      </c>
      <c r="L137" s="342">
        <v>0</v>
      </c>
    </row>
    <row r="138" spans="1:12" x14ac:dyDescent="0.25">
      <c r="A138" s="341" t="s">
        <v>2420</v>
      </c>
      <c r="B138" s="341" t="s">
        <v>2420</v>
      </c>
      <c r="C138" s="341" t="s">
        <v>2420</v>
      </c>
      <c r="D138" s="342">
        <v>0</v>
      </c>
      <c r="E138" s="342" t="s">
        <v>2420</v>
      </c>
      <c r="F138" s="342" t="s">
        <v>9622</v>
      </c>
      <c r="G138" s="341" t="s">
        <v>1332</v>
      </c>
      <c r="H138" s="341" t="s">
        <v>9784</v>
      </c>
      <c r="I138" s="341" t="s">
        <v>11</v>
      </c>
      <c r="J138" s="342">
        <v>0.24</v>
      </c>
      <c r="K138" s="342" t="s">
        <v>25</v>
      </c>
      <c r="L138" s="342">
        <v>0</v>
      </c>
    </row>
    <row r="139" spans="1:12" x14ac:dyDescent="0.25">
      <c r="A139" s="341" t="s">
        <v>153</v>
      </c>
      <c r="B139" s="341" t="s">
        <v>9785</v>
      </c>
      <c r="C139" s="341" t="s">
        <v>52</v>
      </c>
      <c r="D139" s="342">
        <v>1</v>
      </c>
      <c r="E139" s="342">
        <v>0</v>
      </c>
      <c r="F139" s="342" t="s">
        <v>9622</v>
      </c>
      <c r="G139" s="341" t="s">
        <v>1204</v>
      </c>
      <c r="H139" s="341" t="s">
        <v>6854</v>
      </c>
      <c r="I139" s="341" t="s">
        <v>4230</v>
      </c>
      <c r="J139" s="342">
        <v>13.7</v>
      </c>
      <c r="K139" s="342" t="s">
        <v>4230</v>
      </c>
      <c r="L139" s="342">
        <v>0</v>
      </c>
    </row>
    <row r="140" spans="1:12" x14ac:dyDescent="0.25">
      <c r="A140" s="341" t="s">
        <v>2420</v>
      </c>
      <c r="B140" s="341" t="s">
        <v>2420</v>
      </c>
      <c r="C140" s="341" t="s">
        <v>2420</v>
      </c>
      <c r="D140" s="342">
        <v>0</v>
      </c>
      <c r="E140" s="342" t="s">
        <v>2420</v>
      </c>
      <c r="F140" s="342" t="s">
        <v>9622</v>
      </c>
      <c r="G140" s="341" t="s">
        <v>1210</v>
      </c>
      <c r="H140" s="341" t="s">
        <v>6855</v>
      </c>
      <c r="I140" s="341" t="s">
        <v>4230</v>
      </c>
      <c r="J140" s="342">
        <v>21.6</v>
      </c>
      <c r="K140" s="342" t="s">
        <v>4230</v>
      </c>
      <c r="L140" s="342">
        <v>0</v>
      </c>
    </row>
    <row r="141" spans="1:12" x14ac:dyDescent="0.25">
      <c r="A141" s="341" t="s">
        <v>2420</v>
      </c>
      <c r="B141" s="341" t="s">
        <v>2420</v>
      </c>
      <c r="C141" s="341" t="s">
        <v>2420</v>
      </c>
      <c r="D141" s="342">
        <v>0</v>
      </c>
      <c r="E141" s="342" t="s">
        <v>2420</v>
      </c>
      <c r="F141" s="342" t="s">
        <v>9622</v>
      </c>
      <c r="G141" s="341" t="s">
        <v>1272</v>
      </c>
      <c r="H141" s="341" t="s">
        <v>9720</v>
      </c>
      <c r="I141" s="341" t="s">
        <v>2557</v>
      </c>
      <c r="J141" s="342">
        <v>2.4</v>
      </c>
      <c r="K141" s="342" t="s">
        <v>25</v>
      </c>
      <c r="L141" s="342">
        <v>0</v>
      </c>
    </row>
    <row r="142" spans="1:12" x14ac:dyDescent="0.25">
      <c r="A142" s="341" t="s">
        <v>2420</v>
      </c>
      <c r="B142" s="341" t="s">
        <v>2420</v>
      </c>
      <c r="C142" s="341" t="s">
        <v>2420</v>
      </c>
      <c r="D142" s="342">
        <v>0</v>
      </c>
      <c r="E142" s="342" t="s">
        <v>2420</v>
      </c>
      <c r="F142" s="342" t="s">
        <v>9622</v>
      </c>
      <c r="G142" s="341" t="s">
        <v>1275</v>
      </c>
      <c r="H142" s="341" t="s">
        <v>6938</v>
      </c>
      <c r="I142" s="341" t="s">
        <v>52</v>
      </c>
      <c r="J142" s="342">
        <v>0.93259999999999998</v>
      </c>
      <c r="K142" s="342" t="s">
        <v>25</v>
      </c>
      <c r="L142" s="342">
        <v>0</v>
      </c>
    </row>
    <row r="143" spans="1:12" x14ac:dyDescent="0.25">
      <c r="A143" s="341" t="s">
        <v>2420</v>
      </c>
      <c r="B143" s="341" t="s">
        <v>2420</v>
      </c>
      <c r="C143" s="341" t="s">
        <v>2420</v>
      </c>
      <c r="D143" s="342">
        <v>0</v>
      </c>
      <c r="E143" s="342" t="s">
        <v>2420</v>
      </c>
      <c r="F143" s="342" t="s">
        <v>9622</v>
      </c>
      <c r="G143" s="341" t="s">
        <v>1278</v>
      </c>
      <c r="H143" s="341" t="s">
        <v>9721</v>
      </c>
      <c r="I143" s="341" t="s">
        <v>2557</v>
      </c>
      <c r="J143" s="342">
        <v>63</v>
      </c>
      <c r="K143" s="342" t="s">
        <v>25</v>
      </c>
      <c r="L143" s="342">
        <v>0</v>
      </c>
    </row>
    <row r="144" spans="1:12" x14ac:dyDescent="0.25">
      <c r="A144" s="341" t="s">
        <v>2420</v>
      </c>
      <c r="B144" s="341" t="s">
        <v>2420</v>
      </c>
      <c r="C144" s="341" t="s">
        <v>2420</v>
      </c>
      <c r="D144" s="342">
        <v>0</v>
      </c>
      <c r="E144" s="342" t="s">
        <v>2420</v>
      </c>
      <c r="F144" s="342" t="s">
        <v>9622</v>
      </c>
      <c r="G144" s="341" t="s">
        <v>1295</v>
      </c>
      <c r="H144" s="341" t="s">
        <v>6966</v>
      </c>
      <c r="I144" s="341" t="s">
        <v>52</v>
      </c>
      <c r="J144" s="342">
        <v>0.83599999999999997</v>
      </c>
      <c r="K144" s="342" t="s">
        <v>25</v>
      </c>
      <c r="L144" s="342">
        <v>0</v>
      </c>
    </row>
    <row r="145" spans="1:12" x14ac:dyDescent="0.25">
      <c r="A145" s="341" t="s">
        <v>2420</v>
      </c>
      <c r="B145" s="341" t="s">
        <v>2420</v>
      </c>
      <c r="C145" s="341" t="s">
        <v>2420</v>
      </c>
      <c r="D145" s="342">
        <v>0</v>
      </c>
      <c r="E145" s="342" t="s">
        <v>2420</v>
      </c>
      <c r="F145" s="342" t="s">
        <v>9622</v>
      </c>
      <c r="G145" s="341" t="s">
        <v>1303</v>
      </c>
      <c r="H145" s="341" t="s">
        <v>6980</v>
      </c>
      <c r="I145" s="341" t="s">
        <v>2557</v>
      </c>
      <c r="J145" s="342">
        <v>268</v>
      </c>
      <c r="K145" s="342" t="s">
        <v>25</v>
      </c>
      <c r="L145" s="342">
        <v>0</v>
      </c>
    </row>
    <row r="146" spans="1:12" x14ac:dyDescent="0.25">
      <c r="A146" s="341" t="s">
        <v>2420</v>
      </c>
      <c r="B146" s="341" t="s">
        <v>2420</v>
      </c>
      <c r="C146" s="341" t="s">
        <v>2420</v>
      </c>
      <c r="D146" s="342">
        <v>0</v>
      </c>
      <c r="E146" s="342" t="s">
        <v>2420</v>
      </c>
      <c r="F146" s="342" t="s">
        <v>9622</v>
      </c>
      <c r="G146" s="341" t="s">
        <v>1359</v>
      </c>
      <c r="H146" s="341" t="s">
        <v>7078</v>
      </c>
      <c r="I146" s="341" t="s">
        <v>25</v>
      </c>
      <c r="J146" s="342">
        <v>0.6</v>
      </c>
      <c r="K146" s="342" t="s">
        <v>25</v>
      </c>
      <c r="L146" s="342">
        <v>0</v>
      </c>
    </row>
    <row r="147" spans="1:12" x14ac:dyDescent="0.25">
      <c r="A147" s="341" t="s">
        <v>2420</v>
      </c>
      <c r="B147" s="341" t="s">
        <v>2420</v>
      </c>
      <c r="C147" s="341" t="s">
        <v>2420</v>
      </c>
      <c r="D147" s="342">
        <v>0</v>
      </c>
      <c r="E147" s="342" t="s">
        <v>2420</v>
      </c>
      <c r="F147" s="342" t="s">
        <v>9622</v>
      </c>
      <c r="G147" s="341" t="s">
        <v>1360</v>
      </c>
      <c r="H147" s="341" t="s">
        <v>7079</v>
      </c>
      <c r="I147" s="341" t="s">
        <v>2557</v>
      </c>
      <c r="J147" s="342">
        <v>2</v>
      </c>
      <c r="K147" s="342" t="s">
        <v>25</v>
      </c>
      <c r="L147" s="342">
        <v>0</v>
      </c>
    </row>
    <row r="148" spans="1:12" x14ac:dyDescent="0.25">
      <c r="A148" s="341" t="s">
        <v>2420</v>
      </c>
      <c r="B148" s="341" t="s">
        <v>2420</v>
      </c>
      <c r="C148" s="341" t="s">
        <v>2420</v>
      </c>
      <c r="D148" s="342">
        <v>0</v>
      </c>
      <c r="E148" s="342" t="s">
        <v>2420</v>
      </c>
      <c r="F148" s="342" t="s">
        <v>9622</v>
      </c>
      <c r="G148" s="341" t="s">
        <v>1382</v>
      </c>
      <c r="H148" s="341" t="s">
        <v>9786</v>
      </c>
      <c r="I148" s="341" t="s">
        <v>16</v>
      </c>
      <c r="J148" s="342">
        <v>5</v>
      </c>
      <c r="K148" s="342" t="s">
        <v>25</v>
      </c>
      <c r="L148" s="342">
        <v>0</v>
      </c>
    </row>
    <row r="149" spans="1:12" x14ac:dyDescent="0.25">
      <c r="A149" s="341" t="s">
        <v>9643</v>
      </c>
      <c r="B149" s="341" t="s">
        <v>9787</v>
      </c>
      <c r="C149" s="341" t="s">
        <v>16</v>
      </c>
      <c r="D149" s="342">
        <v>1</v>
      </c>
      <c r="E149" s="342">
        <v>0</v>
      </c>
      <c r="F149" s="342" t="s">
        <v>9622</v>
      </c>
      <c r="G149" s="341" t="s">
        <v>1374</v>
      </c>
      <c r="H149" s="341" t="s">
        <v>9788</v>
      </c>
      <c r="I149" s="341" t="s">
        <v>11</v>
      </c>
      <c r="J149" s="342">
        <v>1.3</v>
      </c>
      <c r="K149" s="342" t="s">
        <v>25</v>
      </c>
      <c r="L149" s="342">
        <v>0</v>
      </c>
    </row>
    <row r="150" spans="1:12" x14ac:dyDescent="0.25">
      <c r="A150" s="341" t="s">
        <v>2420</v>
      </c>
      <c r="B150" s="341" t="s">
        <v>2420</v>
      </c>
      <c r="C150" s="341" t="s">
        <v>2420</v>
      </c>
      <c r="D150" s="342">
        <v>0</v>
      </c>
      <c r="E150" s="342" t="s">
        <v>2420</v>
      </c>
      <c r="F150" s="342" t="s">
        <v>9622</v>
      </c>
      <c r="G150" s="341" t="s">
        <v>1375</v>
      </c>
      <c r="H150" s="341" t="s">
        <v>9789</v>
      </c>
      <c r="I150" s="341" t="s">
        <v>16</v>
      </c>
      <c r="J150" s="342">
        <v>1.7000000000000001E-2</v>
      </c>
      <c r="K150" s="342" t="s">
        <v>25</v>
      </c>
      <c r="L150" s="342">
        <v>0</v>
      </c>
    </row>
    <row r="151" spans="1:12" x14ac:dyDescent="0.25">
      <c r="A151" s="341" t="s">
        <v>2420</v>
      </c>
      <c r="B151" s="341" t="s">
        <v>2420</v>
      </c>
      <c r="C151" s="341" t="s">
        <v>2420</v>
      </c>
      <c r="D151" s="342">
        <v>0</v>
      </c>
      <c r="E151" s="342" t="s">
        <v>2420</v>
      </c>
      <c r="F151" s="342" t="s">
        <v>9622</v>
      </c>
      <c r="G151" s="341" t="s">
        <v>1414</v>
      </c>
      <c r="H151" s="341" t="s">
        <v>9790</v>
      </c>
      <c r="I151" s="341" t="s">
        <v>11</v>
      </c>
      <c r="J151" s="342">
        <v>1.3</v>
      </c>
      <c r="K151" s="342" t="s">
        <v>25</v>
      </c>
      <c r="L151" s="342">
        <v>0</v>
      </c>
    </row>
    <row r="152" spans="1:12" x14ac:dyDescent="0.25">
      <c r="A152" s="341" t="s">
        <v>186</v>
      </c>
      <c r="B152" s="341" t="s">
        <v>2816</v>
      </c>
      <c r="C152" s="341" t="s">
        <v>16</v>
      </c>
      <c r="D152" s="342">
        <v>1</v>
      </c>
      <c r="E152" s="342">
        <v>0</v>
      </c>
      <c r="F152" s="342" t="s">
        <v>9622</v>
      </c>
      <c r="G152" s="341" t="s">
        <v>1210</v>
      </c>
      <c r="H152" s="341" t="s">
        <v>6855</v>
      </c>
      <c r="I152" s="341" t="s">
        <v>4230</v>
      </c>
      <c r="J152" s="342">
        <v>0.2</v>
      </c>
      <c r="K152" s="342" t="s">
        <v>4230</v>
      </c>
      <c r="L152" s="342">
        <v>0</v>
      </c>
    </row>
    <row r="153" spans="1:12" x14ac:dyDescent="0.25">
      <c r="A153" s="341" t="s">
        <v>2420</v>
      </c>
      <c r="B153" s="341" t="s">
        <v>2420</v>
      </c>
      <c r="C153" s="341" t="s">
        <v>2420</v>
      </c>
      <c r="D153" s="342">
        <v>0</v>
      </c>
      <c r="E153" s="342" t="s">
        <v>2420</v>
      </c>
      <c r="F153" s="342" t="s">
        <v>9622</v>
      </c>
      <c r="G153" s="341" t="s">
        <v>1380</v>
      </c>
      <c r="H153" s="341" t="s">
        <v>7097</v>
      </c>
      <c r="I153" s="341" t="s">
        <v>11</v>
      </c>
      <c r="J153" s="342">
        <v>0.1</v>
      </c>
      <c r="K153" s="342" t="s">
        <v>25</v>
      </c>
      <c r="L153" s="342">
        <v>0</v>
      </c>
    </row>
    <row r="154" spans="1:12" x14ac:dyDescent="0.25">
      <c r="A154" s="341" t="s">
        <v>2420</v>
      </c>
      <c r="B154" s="341" t="s">
        <v>2420</v>
      </c>
      <c r="C154" s="341" t="s">
        <v>2420</v>
      </c>
      <c r="D154" s="342">
        <v>0</v>
      </c>
      <c r="E154" s="342" t="s">
        <v>2420</v>
      </c>
      <c r="F154" s="342" t="s">
        <v>9622</v>
      </c>
      <c r="G154" s="341" t="s">
        <v>1387</v>
      </c>
      <c r="H154" s="341" t="s">
        <v>7105</v>
      </c>
      <c r="I154" s="341" t="s">
        <v>16</v>
      </c>
      <c r="J154" s="342">
        <v>1.05</v>
      </c>
      <c r="K154" s="342" t="s">
        <v>25</v>
      </c>
      <c r="L154" s="342">
        <v>0</v>
      </c>
    </row>
    <row r="155" spans="1:12" x14ac:dyDescent="0.25">
      <c r="A155" s="341" t="s">
        <v>2420</v>
      </c>
      <c r="B155" s="341" t="s">
        <v>2420</v>
      </c>
      <c r="C155" s="341" t="s">
        <v>2420</v>
      </c>
      <c r="D155" s="342">
        <v>0</v>
      </c>
      <c r="E155" s="342" t="s">
        <v>2420</v>
      </c>
      <c r="F155" s="342" t="s">
        <v>9622</v>
      </c>
      <c r="G155" s="341" t="s">
        <v>1389</v>
      </c>
      <c r="H155" s="341" t="s">
        <v>7107</v>
      </c>
      <c r="I155" s="341" t="s">
        <v>16</v>
      </c>
      <c r="J155" s="342">
        <v>1.05</v>
      </c>
      <c r="K155" s="342" t="s">
        <v>25</v>
      </c>
      <c r="L155" s="342">
        <v>0</v>
      </c>
    </row>
    <row r="156" spans="1:12" x14ac:dyDescent="0.25">
      <c r="A156" s="341" t="s">
        <v>267</v>
      </c>
      <c r="B156" s="341" t="s">
        <v>9791</v>
      </c>
      <c r="C156" s="341" t="s">
        <v>16</v>
      </c>
      <c r="D156" s="342">
        <v>1</v>
      </c>
      <c r="E156" s="342">
        <v>0</v>
      </c>
      <c r="F156" s="342" t="s">
        <v>9622</v>
      </c>
      <c r="G156" s="341" t="s">
        <v>1193</v>
      </c>
      <c r="H156" s="341" t="s">
        <v>9792</v>
      </c>
      <c r="I156" s="341" t="s">
        <v>4230</v>
      </c>
      <c r="J156" s="342">
        <v>0.25</v>
      </c>
      <c r="K156" s="342" t="s">
        <v>4230</v>
      </c>
      <c r="L156" s="342">
        <v>0</v>
      </c>
    </row>
    <row r="157" spans="1:12" x14ac:dyDescent="0.25">
      <c r="A157" s="341" t="s">
        <v>2420</v>
      </c>
      <c r="B157" s="341" t="s">
        <v>2420</v>
      </c>
      <c r="C157" s="341" t="s">
        <v>2420</v>
      </c>
      <c r="D157" s="342">
        <v>0</v>
      </c>
      <c r="E157" s="342" t="s">
        <v>2420</v>
      </c>
      <c r="F157" s="342" t="s">
        <v>9622</v>
      </c>
      <c r="G157" s="341" t="s">
        <v>1202</v>
      </c>
      <c r="H157" s="341" t="s">
        <v>9793</v>
      </c>
      <c r="I157" s="341" t="s">
        <v>4230</v>
      </c>
      <c r="J157" s="342">
        <v>0.1</v>
      </c>
      <c r="K157" s="342" t="s">
        <v>4230</v>
      </c>
      <c r="L157" s="342">
        <v>0</v>
      </c>
    </row>
    <row r="158" spans="1:12" x14ac:dyDescent="0.25">
      <c r="A158" s="341" t="s">
        <v>2420</v>
      </c>
      <c r="B158" s="341" t="s">
        <v>2420</v>
      </c>
      <c r="C158" s="341" t="s">
        <v>2420</v>
      </c>
      <c r="D158" s="342">
        <v>0</v>
      </c>
      <c r="E158" s="342" t="s">
        <v>2420</v>
      </c>
      <c r="F158" s="342" t="s">
        <v>9622</v>
      </c>
      <c r="G158" s="341" t="s">
        <v>1528</v>
      </c>
      <c r="H158" s="341" t="s">
        <v>7261</v>
      </c>
      <c r="I158" s="341" t="s">
        <v>52</v>
      </c>
      <c r="J158" s="342">
        <v>0.02</v>
      </c>
      <c r="K158" s="342" t="s">
        <v>25</v>
      </c>
      <c r="L158" s="342">
        <v>0</v>
      </c>
    </row>
    <row r="159" spans="1:12" x14ac:dyDescent="0.25">
      <c r="A159" s="341" t="s">
        <v>149</v>
      </c>
      <c r="B159" s="341" t="s">
        <v>9794</v>
      </c>
      <c r="C159" s="341" t="s">
        <v>52</v>
      </c>
      <c r="D159" s="342">
        <v>1</v>
      </c>
      <c r="E159" s="342">
        <v>0</v>
      </c>
      <c r="F159" s="342" t="s">
        <v>9622</v>
      </c>
      <c r="G159" s="341" t="s">
        <v>1460</v>
      </c>
      <c r="H159" s="341" t="s">
        <v>9795</v>
      </c>
      <c r="I159" s="341" t="s">
        <v>52</v>
      </c>
      <c r="J159" s="342">
        <v>1.05</v>
      </c>
      <c r="K159" s="342" t="s">
        <v>25</v>
      </c>
      <c r="L159" s="342">
        <v>0</v>
      </c>
    </row>
    <row r="160" spans="1:12" x14ac:dyDescent="0.25">
      <c r="A160" s="341" t="s">
        <v>2420</v>
      </c>
      <c r="B160" s="341" t="s">
        <v>2420</v>
      </c>
      <c r="C160" s="341" t="s">
        <v>2420</v>
      </c>
      <c r="D160" s="342">
        <v>0</v>
      </c>
      <c r="E160" s="342" t="s">
        <v>2420</v>
      </c>
      <c r="F160" s="342" t="s">
        <v>9624</v>
      </c>
      <c r="G160" s="341" t="s">
        <v>9725</v>
      </c>
      <c r="H160" s="341" t="s">
        <v>9726</v>
      </c>
      <c r="I160" s="341" t="s">
        <v>52</v>
      </c>
      <c r="J160" s="342">
        <v>1</v>
      </c>
      <c r="K160" s="342" t="s">
        <v>2420</v>
      </c>
      <c r="L160" s="342">
        <v>0</v>
      </c>
    </row>
    <row r="161" spans="1:12" x14ac:dyDescent="0.25">
      <c r="A161" s="341" t="s">
        <v>266</v>
      </c>
      <c r="B161" s="341" t="s">
        <v>9796</v>
      </c>
      <c r="C161" s="341" t="s">
        <v>52</v>
      </c>
      <c r="D161" s="342">
        <v>1</v>
      </c>
      <c r="E161" s="342">
        <v>0</v>
      </c>
      <c r="F161" s="342" t="s">
        <v>9622</v>
      </c>
      <c r="G161" s="341" t="s">
        <v>9797</v>
      </c>
      <c r="H161" s="341" t="s">
        <v>9798</v>
      </c>
      <c r="I161" s="341" t="s">
        <v>52</v>
      </c>
      <c r="J161" s="342">
        <v>1.05</v>
      </c>
      <c r="K161" s="342" t="s">
        <v>25</v>
      </c>
      <c r="L161" s="342">
        <v>0</v>
      </c>
    </row>
    <row r="162" spans="1:12" x14ac:dyDescent="0.25">
      <c r="A162" s="341" t="s">
        <v>2420</v>
      </c>
      <c r="B162" s="341" t="s">
        <v>2420</v>
      </c>
      <c r="C162" s="341" t="s">
        <v>2420</v>
      </c>
      <c r="D162" s="342">
        <v>0</v>
      </c>
      <c r="E162" s="342" t="s">
        <v>2420</v>
      </c>
      <c r="F162" s="342" t="s">
        <v>9624</v>
      </c>
      <c r="G162" s="341" t="s">
        <v>9725</v>
      </c>
      <c r="H162" s="341" t="s">
        <v>9726</v>
      </c>
      <c r="I162" s="341" t="s">
        <v>52</v>
      </c>
      <c r="J162" s="342">
        <v>1</v>
      </c>
      <c r="K162" s="342" t="s">
        <v>2420</v>
      </c>
      <c r="L162" s="342">
        <v>0</v>
      </c>
    </row>
    <row r="163" spans="1:12" x14ac:dyDescent="0.25">
      <c r="A163" s="341" t="s">
        <v>9799</v>
      </c>
      <c r="B163" s="341" t="s">
        <v>9800</v>
      </c>
      <c r="C163" s="341" t="s">
        <v>52</v>
      </c>
      <c r="D163" s="342">
        <v>1</v>
      </c>
      <c r="E163" s="342">
        <v>0</v>
      </c>
      <c r="F163" s="342" t="s">
        <v>9622</v>
      </c>
      <c r="G163" s="341" t="s">
        <v>1275</v>
      </c>
      <c r="H163" s="341" t="s">
        <v>6938</v>
      </c>
      <c r="I163" s="341" t="s">
        <v>52</v>
      </c>
      <c r="J163" s="342">
        <v>1.216</v>
      </c>
      <c r="K163" s="342" t="s">
        <v>25</v>
      </c>
      <c r="L163" s="342">
        <v>0</v>
      </c>
    </row>
    <row r="164" spans="1:12" x14ac:dyDescent="0.25">
      <c r="A164" s="341" t="s">
        <v>2420</v>
      </c>
      <c r="B164" s="341" t="s">
        <v>2420</v>
      </c>
      <c r="C164" s="341" t="s">
        <v>2420</v>
      </c>
      <c r="D164" s="342">
        <v>0</v>
      </c>
      <c r="E164" s="342" t="s">
        <v>2420</v>
      </c>
      <c r="F164" s="342" t="s">
        <v>9622</v>
      </c>
      <c r="G164" s="341" t="s">
        <v>1303</v>
      </c>
      <c r="H164" s="341" t="s">
        <v>6980</v>
      </c>
      <c r="I164" s="341" t="s">
        <v>2557</v>
      </c>
      <c r="J164" s="342">
        <v>208</v>
      </c>
      <c r="K164" s="342" t="s">
        <v>25</v>
      </c>
      <c r="L164" s="342">
        <v>0</v>
      </c>
    </row>
    <row r="165" spans="1:12" x14ac:dyDescent="0.25">
      <c r="A165" s="341" t="s">
        <v>2420</v>
      </c>
      <c r="B165" s="341" t="s">
        <v>2420</v>
      </c>
      <c r="C165" s="341" t="s">
        <v>2420</v>
      </c>
      <c r="D165" s="342">
        <v>0</v>
      </c>
      <c r="E165" s="342" t="s">
        <v>2420</v>
      </c>
      <c r="F165" s="342" t="s">
        <v>9622</v>
      </c>
      <c r="G165" s="341" t="s">
        <v>1210</v>
      </c>
      <c r="H165" s="341" t="s">
        <v>6855</v>
      </c>
      <c r="I165" s="341" t="s">
        <v>4230</v>
      </c>
      <c r="J165" s="342">
        <v>0</v>
      </c>
      <c r="K165" s="342" t="s">
        <v>4230</v>
      </c>
      <c r="L165" s="342">
        <v>0</v>
      </c>
    </row>
    <row r="166" spans="1:12" x14ac:dyDescent="0.25">
      <c r="A166" s="341" t="s">
        <v>9801</v>
      </c>
      <c r="B166" s="341" t="s">
        <v>9802</v>
      </c>
      <c r="C166" s="341" t="s">
        <v>52</v>
      </c>
      <c r="D166" s="342">
        <v>1</v>
      </c>
      <c r="E166" s="342">
        <v>0</v>
      </c>
      <c r="F166" s="342" t="s">
        <v>9622</v>
      </c>
      <c r="G166" s="341" t="s">
        <v>1210</v>
      </c>
      <c r="H166" s="341" t="s">
        <v>6855</v>
      </c>
      <c r="I166" s="341" t="s">
        <v>4230</v>
      </c>
      <c r="J166" s="342">
        <v>5</v>
      </c>
      <c r="K166" s="342" t="s">
        <v>4230</v>
      </c>
      <c r="L166" s="342">
        <v>0</v>
      </c>
    </row>
    <row r="167" spans="1:12" x14ac:dyDescent="0.25">
      <c r="A167" s="341" t="s">
        <v>2420</v>
      </c>
      <c r="B167" s="341" t="s">
        <v>2420</v>
      </c>
      <c r="C167" s="341" t="s">
        <v>2420</v>
      </c>
      <c r="D167" s="342">
        <v>0</v>
      </c>
      <c r="E167" s="342" t="s">
        <v>2420</v>
      </c>
      <c r="F167" s="342" t="s">
        <v>9622</v>
      </c>
      <c r="G167" s="341" t="s">
        <v>1653</v>
      </c>
      <c r="H167" s="341" t="s">
        <v>7369</v>
      </c>
      <c r="I167" s="341" t="s">
        <v>2557</v>
      </c>
      <c r="J167" s="342">
        <v>2100</v>
      </c>
      <c r="K167" s="342" t="s">
        <v>25</v>
      </c>
      <c r="L167" s="342">
        <v>0</v>
      </c>
    </row>
    <row r="168" spans="1:12" x14ac:dyDescent="0.25">
      <c r="A168" s="341" t="s">
        <v>429</v>
      </c>
      <c r="B168" s="341" t="s">
        <v>9803</v>
      </c>
      <c r="C168" s="341" t="s">
        <v>16</v>
      </c>
      <c r="D168" s="342">
        <v>1</v>
      </c>
      <c r="E168" s="342">
        <v>0</v>
      </c>
      <c r="F168" s="342" t="s">
        <v>9622</v>
      </c>
      <c r="G168" s="341" t="s">
        <v>1236</v>
      </c>
      <c r="H168" s="341" t="s">
        <v>6901</v>
      </c>
      <c r="I168" s="341" t="s">
        <v>4230</v>
      </c>
      <c r="J168" s="342">
        <v>1.5</v>
      </c>
      <c r="K168" s="342" t="s">
        <v>4230</v>
      </c>
      <c r="L168" s="342">
        <v>0</v>
      </c>
    </row>
    <row r="169" spans="1:12" x14ac:dyDescent="0.25">
      <c r="A169" s="341" t="s">
        <v>2420</v>
      </c>
      <c r="B169" s="341" t="s">
        <v>2420</v>
      </c>
      <c r="C169" s="341" t="s">
        <v>2420</v>
      </c>
      <c r="D169" s="342">
        <v>0</v>
      </c>
      <c r="E169" s="342" t="s">
        <v>2420</v>
      </c>
      <c r="F169" s="342" t="s">
        <v>9622</v>
      </c>
      <c r="G169" s="341" t="s">
        <v>1237</v>
      </c>
      <c r="H169" s="341" t="s">
        <v>9781</v>
      </c>
      <c r="I169" s="341" t="s">
        <v>4230</v>
      </c>
      <c r="J169" s="342">
        <v>1.5</v>
      </c>
      <c r="K169" s="342" t="s">
        <v>4230</v>
      </c>
      <c r="L169" s="342">
        <v>0</v>
      </c>
    </row>
    <row r="170" spans="1:12" x14ac:dyDescent="0.25">
      <c r="A170" s="341" t="s">
        <v>2420</v>
      </c>
      <c r="B170" s="341" t="s">
        <v>2420</v>
      </c>
      <c r="C170" s="341" t="s">
        <v>2420</v>
      </c>
      <c r="D170" s="342">
        <v>0</v>
      </c>
      <c r="E170" s="342" t="s">
        <v>2420</v>
      </c>
      <c r="F170" s="342" t="s">
        <v>9622</v>
      </c>
      <c r="G170" s="341" t="s">
        <v>9804</v>
      </c>
      <c r="H170" s="341" t="s">
        <v>9805</v>
      </c>
      <c r="I170" s="341" t="s">
        <v>2557</v>
      </c>
      <c r="J170" s="342">
        <v>0.23</v>
      </c>
      <c r="K170" s="342" t="s">
        <v>25</v>
      </c>
      <c r="L170" s="342">
        <v>0</v>
      </c>
    </row>
    <row r="171" spans="1:12" x14ac:dyDescent="0.25">
      <c r="A171" s="341" t="s">
        <v>2420</v>
      </c>
      <c r="B171" s="341" t="s">
        <v>2420</v>
      </c>
      <c r="C171" s="341" t="s">
        <v>2420</v>
      </c>
      <c r="D171" s="342">
        <v>0</v>
      </c>
      <c r="E171" s="342" t="s">
        <v>2420</v>
      </c>
      <c r="F171" s="342" t="s">
        <v>9622</v>
      </c>
      <c r="G171" s="341" t="s">
        <v>9806</v>
      </c>
      <c r="H171" s="341" t="s">
        <v>9807</v>
      </c>
      <c r="I171" s="341" t="s">
        <v>52</v>
      </c>
      <c r="J171" s="342">
        <v>2.5999999999999999E-2</v>
      </c>
      <c r="K171" s="342" t="s">
        <v>25</v>
      </c>
      <c r="L171" s="342">
        <v>0</v>
      </c>
    </row>
    <row r="172" spans="1:12" x14ac:dyDescent="0.25">
      <c r="A172" s="341" t="s">
        <v>2420</v>
      </c>
      <c r="B172" s="341" t="s">
        <v>2420</v>
      </c>
      <c r="C172" s="341" t="s">
        <v>2420</v>
      </c>
      <c r="D172" s="342">
        <v>0</v>
      </c>
      <c r="E172" s="342" t="s">
        <v>2420</v>
      </c>
      <c r="F172" s="342" t="s">
        <v>9622</v>
      </c>
      <c r="G172" s="341" t="s">
        <v>9808</v>
      </c>
      <c r="H172" s="341" t="s">
        <v>9809</v>
      </c>
      <c r="I172" s="341" t="s">
        <v>2557</v>
      </c>
      <c r="J172" s="342">
        <v>0.12</v>
      </c>
      <c r="K172" s="342" t="s">
        <v>25</v>
      </c>
      <c r="L172" s="342">
        <v>0</v>
      </c>
    </row>
    <row r="173" spans="1:12" x14ac:dyDescent="0.25">
      <c r="A173" s="341" t="s">
        <v>2420</v>
      </c>
      <c r="B173" s="341" t="s">
        <v>2420</v>
      </c>
      <c r="C173" s="341" t="s">
        <v>2420</v>
      </c>
      <c r="D173" s="342">
        <v>0</v>
      </c>
      <c r="E173" s="342" t="s">
        <v>2420</v>
      </c>
      <c r="F173" s="342" t="s">
        <v>9622</v>
      </c>
      <c r="G173" s="341" t="s">
        <v>9810</v>
      </c>
      <c r="H173" s="341" t="s">
        <v>9811</v>
      </c>
      <c r="I173" s="341" t="s">
        <v>16</v>
      </c>
      <c r="J173" s="342">
        <v>1</v>
      </c>
      <c r="K173" s="342" t="s">
        <v>9623</v>
      </c>
      <c r="L173" s="342">
        <v>0</v>
      </c>
    </row>
    <row r="174" spans="1:12" x14ac:dyDescent="0.25">
      <c r="A174" s="341" t="s">
        <v>2486</v>
      </c>
      <c r="B174" s="341" t="s">
        <v>9812</v>
      </c>
      <c r="C174" s="341" t="s">
        <v>25</v>
      </c>
      <c r="D174" s="342">
        <v>1</v>
      </c>
      <c r="E174" s="342">
        <v>0</v>
      </c>
      <c r="F174" s="342" t="s">
        <v>9622</v>
      </c>
      <c r="G174" s="341" t="s">
        <v>1360</v>
      </c>
      <c r="H174" s="341" t="s">
        <v>7079</v>
      </c>
      <c r="I174" s="341" t="s">
        <v>2557</v>
      </c>
      <c r="J174" s="342">
        <v>0.4</v>
      </c>
      <c r="K174" s="342" t="s">
        <v>25</v>
      </c>
      <c r="L174" s="342">
        <v>0</v>
      </c>
    </row>
    <row r="175" spans="1:12" x14ac:dyDescent="0.25">
      <c r="A175" s="341" t="s">
        <v>2420</v>
      </c>
      <c r="B175" s="341" t="s">
        <v>2420</v>
      </c>
      <c r="C175" s="341" t="s">
        <v>2420</v>
      </c>
      <c r="D175" s="342">
        <v>0</v>
      </c>
      <c r="E175" s="342" t="s">
        <v>2420</v>
      </c>
      <c r="F175" s="342" t="s">
        <v>9622</v>
      </c>
      <c r="G175" s="341" t="s">
        <v>1382</v>
      </c>
      <c r="H175" s="341" t="s">
        <v>9786</v>
      </c>
      <c r="I175" s="341" t="s">
        <v>16</v>
      </c>
      <c r="J175" s="342">
        <v>0.82499999999999996</v>
      </c>
      <c r="K175" s="342" t="s">
        <v>25</v>
      </c>
      <c r="L175" s="342">
        <v>0</v>
      </c>
    </row>
    <row r="176" spans="1:12" x14ac:dyDescent="0.25">
      <c r="A176" s="341" t="s">
        <v>2420</v>
      </c>
      <c r="B176" s="341" t="s">
        <v>2420</v>
      </c>
      <c r="C176" s="341" t="s">
        <v>2420</v>
      </c>
      <c r="D176" s="342">
        <v>0</v>
      </c>
      <c r="E176" s="342" t="s">
        <v>2420</v>
      </c>
      <c r="F176" s="342" t="s">
        <v>9622</v>
      </c>
      <c r="G176" s="341" t="s">
        <v>1480</v>
      </c>
      <c r="H176" s="341" t="s">
        <v>9813</v>
      </c>
      <c r="I176" s="341" t="s">
        <v>16</v>
      </c>
      <c r="J176" s="342">
        <v>3.52</v>
      </c>
      <c r="K176" s="342" t="s">
        <v>25</v>
      </c>
      <c r="L176" s="342">
        <v>0</v>
      </c>
    </row>
    <row r="177" spans="1:12" x14ac:dyDescent="0.25">
      <c r="A177" s="341" t="s">
        <v>2493</v>
      </c>
      <c r="B177" s="341" t="s">
        <v>9814</v>
      </c>
      <c r="C177" s="341" t="s">
        <v>25</v>
      </c>
      <c r="D177" s="342">
        <v>1</v>
      </c>
      <c r="E177" s="342">
        <v>0</v>
      </c>
      <c r="F177" s="342" t="s">
        <v>9622</v>
      </c>
      <c r="G177" s="341" t="s">
        <v>1360</v>
      </c>
      <c r="H177" s="341" t="s">
        <v>7079</v>
      </c>
      <c r="I177" s="341" t="s">
        <v>2557</v>
      </c>
      <c r="J177" s="342">
        <v>0.4</v>
      </c>
      <c r="K177" s="342" t="s">
        <v>25</v>
      </c>
      <c r="L177" s="342">
        <v>0</v>
      </c>
    </row>
    <row r="178" spans="1:12" x14ac:dyDescent="0.25">
      <c r="A178" s="341" t="s">
        <v>2420</v>
      </c>
      <c r="B178" s="341" t="s">
        <v>2420</v>
      </c>
      <c r="C178" s="341" t="s">
        <v>2420</v>
      </c>
      <c r="D178" s="342">
        <v>0</v>
      </c>
      <c r="E178" s="342" t="s">
        <v>2420</v>
      </c>
      <c r="F178" s="342" t="s">
        <v>9622</v>
      </c>
      <c r="G178" s="341" t="s">
        <v>1382</v>
      </c>
      <c r="H178" s="341" t="s">
        <v>9786</v>
      </c>
      <c r="I178" s="341" t="s">
        <v>16</v>
      </c>
      <c r="J178" s="342">
        <v>0.66</v>
      </c>
      <c r="K178" s="342" t="s">
        <v>25</v>
      </c>
      <c r="L178" s="342">
        <v>0</v>
      </c>
    </row>
    <row r="179" spans="1:12" x14ac:dyDescent="0.25">
      <c r="A179" s="341" t="s">
        <v>2420</v>
      </c>
      <c r="B179" s="341" t="s">
        <v>2420</v>
      </c>
      <c r="C179" s="341" t="s">
        <v>2420</v>
      </c>
      <c r="D179" s="342">
        <v>0</v>
      </c>
      <c r="E179" s="342" t="s">
        <v>2420</v>
      </c>
      <c r="F179" s="342" t="s">
        <v>9622</v>
      </c>
      <c r="G179" s="341" t="s">
        <v>1480</v>
      </c>
      <c r="H179" s="341" t="s">
        <v>9813</v>
      </c>
      <c r="I179" s="341" t="s">
        <v>16</v>
      </c>
      <c r="J179" s="342">
        <v>2.42</v>
      </c>
      <c r="K179" s="342" t="s">
        <v>25</v>
      </c>
      <c r="L179" s="342">
        <v>0</v>
      </c>
    </row>
    <row r="180" spans="1:12" x14ac:dyDescent="0.25">
      <c r="A180" s="341" t="s">
        <v>2498</v>
      </c>
      <c r="B180" s="341" t="s">
        <v>2499</v>
      </c>
      <c r="C180" s="341" t="s">
        <v>16</v>
      </c>
      <c r="D180" s="342">
        <v>1</v>
      </c>
      <c r="E180" s="342">
        <v>0</v>
      </c>
      <c r="F180" s="342" t="s">
        <v>9622</v>
      </c>
      <c r="G180" s="341" t="s">
        <v>1344</v>
      </c>
      <c r="H180" s="341" t="s">
        <v>9815</v>
      </c>
      <c r="I180" s="341" t="s">
        <v>16</v>
      </c>
      <c r="J180" s="342">
        <v>1.3</v>
      </c>
      <c r="K180" s="342" t="s">
        <v>25</v>
      </c>
      <c r="L180" s="342">
        <v>0</v>
      </c>
    </row>
    <row r="181" spans="1:12" x14ac:dyDescent="0.25">
      <c r="A181" s="341" t="s">
        <v>2420</v>
      </c>
      <c r="B181" s="341" t="s">
        <v>2420</v>
      </c>
      <c r="C181" s="341" t="s">
        <v>2420</v>
      </c>
      <c r="D181" s="342">
        <v>0</v>
      </c>
      <c r="E181" s="342" t="s">
        <v>2420</v>
      </c>
      <c r="F181" s="342" t="s">
        <v>9622</v>
      </c>
      <c r="G181" s="341" t="s">
        <v>1382</v>
      </c>
      <c r="H181" s="341" t="s">
        <v>9786</v>
      </c>
      <c r="I181" s="341" t="s">
        <v>16</v>
      </c>
      <c r="J181" s="342">
        <v>0.33</v>
      </c>
      <c r="K181" s="342" t="s">
        <v>25</v>
      </c>
      <c r="L181" s="342">
        <v>0</v>
      </c>
    </row>
    <row r="182" spans="1:12" x14ac:dyDescent="0.25">
      <c r="A182" s="341" t="s">
        <v>2420</v>
      </c>
      <c r="B182" s="341" t="s">
        <v>2420</v>
      </c>
      <c r="C182" s="341" t="s">
        <v>2420</v>
      </c>
      <c r="D182" s="342">
        <v>0</v>
      </c>
      <c r="E182" s="342" t="s">
        <v>2420</v>
      </c>
      <c r="F182" s="342" t="s">
        <v>9622</v>
      </c>
      <c r="G182" s="341" t="s">
        <v>1383</v>
      </c>
      <c r="H182" s="341" t="s">
        <v>7101</v>
      </c>
      <c r="I182" s="341" t="s">
        <v>25</v>
      </c>
      <c r="J182" s="342">
        <v>1.1000000000000001</v>
      </c>
      <c r="K182" s="342" t="s">
        <v>25</v>
      </c>
      <c r="L182" s="342">
        <v>0</v>
      </c>
    </row>
    <row r="183" spans="1:12" x14ac:dyDescent="0.25">
      <c r="A183" s="341" t="s">
        <v>2420</v>
      </c>
      <c r="B183" s="341" t="s">
        <v>2420</v>
      </c>
      <c r="C183" s="341" t="s">
        <v>2420</v>
      </c>
      <c r="D183" s="342">
        <v>0</v>
      </c>
      <c r="E183" s="342" t="s">
        <v>2420</v>
      </c>
      <c r="F183" s="342" t="s">
        <v>9622</v>
      </c>
      <c r="G183" s="341" t="s">
        <v>1526</v>
      </c>
      <c r="H183" s="341" t="s">
        <v>9816</v>
      </c>
      <c r="I183" s="341" t="s">
        <v>16</v>
      </c>
      <c r="J183" s="342">
        <v>1.1000000000000001</v>
      </c>
      <c r="K183" s="342" t="s">
        <v>25</v>
      </c>
      <c r="L183" s="342">
        <v>0</v>
      </c>
    </row>
    <row r="184" spans="1:12" x14ac:dyDescent="0.25">
      <c r="A184" s="341" t="s">
        <v>432</v>
      </c>
      <c r="B184" s="341" t="s">
        <v>9817</v>
      </c>
      <c r="C184" s="341" t="s">
        <v>25</v>
      </c>
      <c r="D184" s="342">
        <v>1</v>
      </c>
      <c r="E184" s="342">
        <v>0</v>
      </c>
      <c r="F184" s="342" t="s">
        <v>9622</v>
      </c>
      <c r="G184" s="341" t="s">
        <v>1358</v>
      </c>
      <c r="H184" s="341" t="s">
        <v>7077</v>
      </c>
      <c r="I184" s="341" t="s">
        <v>2557</v>
      </c>
      <c r="J184" s="342">
        <v>7.0000000000000007E-2</v>
      </c>
      <c r="K184" s="342" t="s">
        <v>25</v>
      </c>
      <c r="L184" s="342">
        <v>0</v>
      </c>
    </row>
    <row r="185" spans="1:12" x14ac:dyDescent="0.25">
      <c r="A185" s="341" t="s">
        <v>2420</v>
      </c>
      <c r="B185" s="341" t="s">
        <v>2420</v>
      </c>
      <c r="C185" s="341" t="s">
        <v>2420</v>
      </c>
      <c r="D185" s="342">
        <v>0</v>
      </c>
      <c r="E185" s="342" t="s">
        <v>2420</v>
      </c>
      <c r="F185" s="342" t="s">
        <v>9622</v>
      </c>
      <c r="G185" s="341" t="s">
        <v>1388</v>
      </c>
      <c r="H185" s="341" t="s">
        <v>7106</v>
      </c>
      <c r="I185" s="341" t="s">
        <v>25</v>
      </c>
      <c r="J185" s="342">
        <v>1.03</v>
      </c>
      <c r="K185" s="342" t="s">
        <v>25</v>
      </c>
      <c r="L185" s="342">
        <v>0</v>
      </c>
    </row>
    <row r="186" spans="1:12" x14ac:dyDescent="0.25">
      <c r="A186" s="341" t="s">
        <v>431</v>
      </c>
      <c r="B186" s="341" t="s">
        <v>9818</v>
      </c>
      <c r="C186" s="341" t="s">
        <v>25</v>
      </c>
      <c r="D186" s="342">
        <v>1</v>
      </c>
      <c r="E186" s="342">
        <v>0</v>
      </c>
      <c r="F186" s="342" t="s">
        <v>9622</v>
      </c>
      <c r="G186" s="341" t="s">
        <v>1358</v>
      </c>
      <c r="H186" s="341" t="s">
        <v>7077</v>
      </c>
      <c r="I186" s="341" t="s">
        <v>2557</v>
      </c>
      <c r="J186" s="342">
        <v>0.09</v>
      </c>
      <c r="K186" s="342" t="s">
        <v>25</v>
      </c>
      <c r="L186" s="342">
        <v>0</v>
      </c>
    </row>
    <row r="187" spans="1:12" x14ac:dyDescent="0.25">
      <c r="A187" s="341" t="s">
        <v>2420</v>
      </c>
      <c r="B187" s="341" t="s">
        <v>2420</v>
      </c>
      <c r="C187" s="341" t="s">
        <v>2420</v>
      </c>
      <c r="D187" s="342">
        <v>0</v>
      </c>
      <c r="E187" s="342" t="s">
        <v>2420</v>
      </c>
      <c r="F187" s="342" t="s">
        <v>9622</v>
      </c>
      <c r="G187" s="341" t="s">
        <v>1640</v>
      </c>
      <c r="H187" s="341" t="s">
        <v>7356</v>
      </c>
      <c r="I187" s="341" t="s">
        <v>25</v>
      </c>
      <c r="J187" s="342">
        <v>1.03</v>
      </c>
      <c r="K187" s="342" t="s">
        <v>25</v>
      </c>
      <c r="L187" s="342">
        <v>0</v>
      </c>
    </row>
    <row r="188" spans="1:12" x14ac:dyDescent="0.25">
      <c r="A188" s="341" t="s">
        <v>420</v>
      </c>
      <c r="B188" s="341" t="s">
        <v>9819</v>
      </c>
      <c r="C188" s="341" t="s">
        <v>16</v>
      </c>
      <c r="D188" s="342">
        <v>1</v>
      </c>
      <c r="E188" s="342">
        <v>0</v>
      </c>
      <c r="F188" s="342" t="s">
        <v>9622</v>
      </c>
      <c r="G188" s="341" t="s">
        <v>1210</v>
      </c>
      <c r="H188" s="341" t="s">
        <v>6855</v>
      </c>
      <c r="I188" s="341" t="s">
        <v>4230</v>
      </c>
      <c r="J188" s="342">
        <v>0.4</v>
      </c>
      <c r="K188" s="342" t="s">
        <v>4230</v>
      </c>
      <c r="L188" s="342">
        <v>0</v>
      </c>
    </row>
    <row r="189" spans="1:12" x14ac:dyDescent="0.25">
      <c r="A189" s="341" t="s">
        <v>2420</v>
      </c>
      <c r="B189" s="341" t="s">
        <v>2420</v>
      </c>
      <c r="C189" s="341" t="s">
        <v>2420</v>
      </c>
      <c r="D189" s="342">
        <v>0</v>
      </c>
      <c r="E189" s="342" t="s">
        <v>2420</v>
      </c>
      <c r="F189" s="342" t="s">
        <v>9622</v>
      </c>
      <c r="G189" s="341" t="s">
        <v>1598</v>
      </c>
      <c r="H189" s="341" t="s">
        <v>7319</v>
      </c>
      <c r="I189" s="341" t="s">
        <v>2557</v>
      </c>
      <c r="J189" s="342">
        <v>7.2</v>
      </c>
      <c r="K189" s="342" t="s">
        <v>25</v>
      </c>
      <c r="L189" s="342">
        <v>0</v>
      </c>
    </row>
    <row r="190" spans="1:12" x14ac:dyDescent="0.25">
      <c r="A190" s="341" t="s">
        <v>388</v>
      </c>
      <c r="B190" s="341" t="s">
        <v>9820</v>
      </c>
      <c r="C190" s="341" t="s">
        <v>25</v>
      </c>
      <c r="D190" s="342">
        <v>1</v>
      </c>
      <c r="E190" s="342">
        <v>0</v>
      </c>
      <c r="F190" s="342" t="s">
        <v>9622</v>
      </c>
      <c r="G190" s="341" t="s">
        <v>1234</v>
      </c>
      <c r="H190" s="341" t="s">
        <v>6899</v>
      </c>
      <c r="I190" s="341" t="s">
        <v>4230</v>
      </c>
      <c r="J190" s="342">
        <v>0.59</v>
      </c>
      <c r="K190" s="342" t="s">
        <v>4230</v>
      </c>
      <c r="L190" s="342">
        <v>0</v>
      </c>
    </row>
    <row r="191" spans="1:12" x14ac:dyDescent="0.25">
      <c r="A191" s="341" t="s">
        <v>2420</v>
      </c>
      <c r="B191" s="341" t="s">
        <v>2420</v>
      </c>
      <c r="C191" s="341" t="s">
        <v>2420</v>
      </c>
      <c r="D191" s="342">
        <v>0</v>
      </c>
      <c r="E191" s="342" t="s">
        <v>2420</v>
      </c>
      <c r="F191" s="342" t="s">
        <v>9622</v>
      </c>
      <c r="G191" s="341" t="s">
        <v>1235</v>
      </c>
      <c r="H191" s="341" t="s">
        <v>6900</v>
      </c>
      <c r="I191" s="341" t="s">
        <v>4230</v>
      </c>
      <c r="J191" s="342">
        <v>0.59</v>
      </c>
      <c r="K191" s="342" t="s">
        <v>4230</v>
      </c>
      <c r="L191" s="342">
        <v>0</v>
      </c>
    </row>
    <row r="192" spans="1:12" x14ac:dyDescent="0.25">
      <c r="A192" s="341" t="s">
        <v>2420</v>
      </c>
      <c r="B192" s="341" t="s">
        <v>2420</v>
      </c>
      <c r="C192" s="341" t="s">
        <v>2420</v>
      </c>
      <c r="D192" s="342">
        <v>0</v>
      </c>
      <c r="E192" s="342" t="s">
        <v>2420</v>
      </c>
      <c r="F192" s="342" t="s">
        <v>9622</v>
      </c>
      <c r="G192" s="341" t="s">
        <v>1613</v>
      </c>
      <c r="H192" s="341" t="s">
        <v>7333</v>
      </c>
      <c r="I192" s="341" t="s">
        <v>2557</v>
      </c>
      <c r="J192" s="342">
        <v>7.0000000000000007E-2</v>
      </c>
      <c r="K192" s="342" t="s">
        <v>25</v>
      </c>
      <c r="L192" s="342">
        <v>0</v>
      </c>
    </row>
    <row r="193" spans="1:12" x14ac:dyDescent="0.25">
      <c r="A193" s="341" t="s">
        <v>2420</v>
      </c>
      <c r="B193" s="341" t="s">
        <v>2420</v>
      </c>
      <c r="C193" s="341" t="s">
        <v>2420</v>
      </c>
      <c r="D193" s="342">
        <v>0</v>
      </c>
      <c r="E193" s="342" t="s">
        <v>2420</v>
      </c>
      <c r="F193" s="342" t="s">
        <v>9622</v>
      </c>
      <c r="G193" s="341" t="s">
        <v>1621</v>
      </c>
      <c r="H193" s="341" t="s">
        <v>7341</v>
      </c>
      <c r="I193" s="341" t="s">
        <v>2557</v>
      </c>
      <c r="J193" s="342">
        <v>0.7</v>
      </c>
      <c r="K193" s="342" t="s">
        <v>25</v>
      </c>
      <c r="L193" s="342">
        <v>0</v>
      </c>
    </row>
    <row r="194" spans="1:12" x14ac:dyDescent="0.25">
      <c r="A194" s="341" t="s">
        <v>2420</v>
      </c>
      <c r="B194" s="341" t="s">
        <v>2420</v>
      </c>
      <c r="C194" s="341" t="s">
        <v>2420</v>
      </c>
      <c r="D194" s="342">
        <v>0</v>
      </c>
      <c r="E194" s="342" t="s">
        <v>2420</v>
      </c>
      <c r="F194" s="342" t="s">
        <v>9622</v>
      </c>
      <c r="G194" s="341" t="s">
        <v>1693</v>
      </c>
      <c r="H194" s="341" t="s">
        <v>9820</v>
      </c>
      <c r="I194" s="341" t="s">
        <v>25</v>
      </c>
      <c r="J194" s="342">
        <v>1.05</v>
      </c>
      <c r="K194" s="342" t="s">
        <v>25</v>
      </c>
      <c r="L194" s="342">
        <v>0</v>
      </c>
    </row>
    <row r="195" spans="1:12" x14ac:dyDescent="0.25">
      <c r="A195" s="341" t="s">
        <v>2420</v>
      </c>
      <c r="B195" s="341" t="s">
        <v>2420</v>
      </c>
      <c r="C195" s="341" t="s">
        <v>2420</v>
      </c>
      <c r="D195" s="342">
        <v>0</v>
      </c>
      <c r="E195" s="342" t="s">
        <v>2420</v>
      </c>
      <c r="F195" s="342" t="s">
        <v>9622</v>
      </c>
      <c r="G195" s="341" t="s">
        <v>1866</v>
      </c>
      <c r="H195" s="341" t="s">
        <v>9766</v>
      </c>
      <c r="I195" s="341" t="s">
        <v>25</v>
      </c>
      <c r="J195" s="342">
        <v>1</v>
      </c>
      <c r="K195" s="342" t="s">
        <v>9623</v>
      </c>
      <c r="L195" s="342">
        <v>0</v>
      </c>
    </row>
    <row r="196" spans="1:12" x14ac:dyDescent="0.25">
      <c r="A196" s="341" t="s">
        <v>2420</v>
      </c>
      <c r="B196" s="341" t="s">
        <v>2420</v>
      </c>
      <c r="C196" s="341" t="s">
        <v>2420</v>
      </c>
      <c r="D196" s="342">
        <v>0</v>
      </c>
      <c r="E196" s="342" t="s">
        <v>2420</v>
      </c>
      <c r="F196" s="342" t="s">
        <v>9622</v>
      </c>
      <c r="G196" s="341" t="s">
        <v>2038</v>
      </c>
      <c r="H196" s="341" t="s">
        <v>8372</v>
      </c>
      <c r="I196" s="341" t="s">
        <v>16</v>
      </c>
      <c r="J196" s="342">
        <v>0.5</v>
      </c>
      <c r="K196" s="342" t="s">
        <v>9623</v>
      </c>
      <c r="L196" s="342">
        <v>0</v>
      </c>
    </row>
    <row r="197" spans="1:12" x14ac:dyDescent="0.25">
      <c r="A197" s="341" t="s">
        <v>513</v>
      </c>
      <c r="B197" s="341" t="s">
        <v>7091</v>
      </c>
      <c r="C197" s="341" t="s">
        <v>16</v>
      </c>
      <c r="D197" s="342">
        <v>1</v>
      </c>
      <c r="E197" s="342">
        <v>0</v>
      </c>
      <c r="F197" s="342" t="s">
        <v>9622</v>
      </c>
      <c r="G197" s="341" t="s">
        <v>1234</v>
      </c>
      <c r="H197" s="341" t="s">
        <v>6899</v>
      </c>
      <c r="I197" s="341" t="s">
        <v>4230</v>
      </c>
      <c r="J197" s="342">
        <v>0.88</v>
      </c>
      <c r="K197" s="342" t="s">
        <v>4230</v>
      </c>
      <c r="L197" s="342">
        <v>0</v>
      </c>
    </row>
    <row r="198" spans="1:12" x14ac:dyDescent="0.25">
      <c r="A198" s="341" t="s">
        <v>2420</v>
      </c>
      <c r="B198" s="341" t="s">
        <v>2420</v>
      </c>
      <c r="C198" s="341" t="s">
        <v>2420</v>
      </c>
      <c r="D198" s="342">
        <v>0</v>
      </c>
      <c r="E198" s="342" t="s">
        <v>2420</v>
      </c>
      <c r="F198" s="342" t="s">
        <v>9622</v>
      </c>
      <c r="G198" s="341" t="s">
        <v>1235</v>
      </c>
      <c r="H198" s="341" t="s">
        <v>6900</v>
      </c>
      <c r="I198" s="341" t="s">
        <v>4230</v>
      </c>
      <c r="J198" s="342">
        <v>0.44</v>
      </c>
      <c r="K198" s="342" t="s">
        <v>4230</v>
      </c>
      <c r="L198" s="342">
        <v>0</v>
      </c>
    </row>
    <row r="199" spans="1:12" x14ac:dyDescent="0.25">
      <c r="A199" s="341" t="s">
        <v>2420</v>
      </c>
      <c r="B199" s="341" t="s">
        <v>2420</v>
      </c>
      <c r="C199" s="341" t="s">
        <v>2420</v>
      </c>
      <c r="D199" s="342">
        <v>0</v>
      </c>
      <c r="E199" s="342" t="s">
        <v>2420</v>
      </c>
      <c r="F199" s="342" t="s">
        <v>9622</v>
      </c>
      <c r="G199" s="341" t="s">
        <v>1372</v>
      </c>
      <c r="H199" s="341" t="s">
        <v>7091</v>
      </c>
      <c r="I199" s="341" t="s">
        <v>16</v>
      </c>
      <c r="J199" s="342">
        <v>1.05</v>
      </c>
      <c r="K199" s="342" t="s">
        <v>25</v>
      </c>
      <c r="L199" s="342">
        <v>0</v>
      </c>
    </row>
    <row r="200" spans="1:12" x14ac:dyDescent="0.25">
      <c r="A200" s="341" t="s">
        <v>2420</v>
      </c>
      <c r="B200" s="341" t="s">
        <v>2420</v>
      </c>
      <c r="C200" s="341" t="s">
        <v>2420</v>
      </c>
      <c r="D200" s="342">
        <v>0</v>
      </c>
      <c r="E200" s="342" t="s">
        <v>2420</v>
      </c>
      <c r="F200" s="342" t="s">
        <v>9622</v>
      </c>
      <c r="G200" s="341" t="s">
        <v>2088</v>
      </c>
      <c r="H200" s="341" t="s">
        <v>8626</v>
      </c>
      <c r="I200" s="341" t="s">
        <v>16</v>
      </c>
      <c r="J200" s="342">
        <v>1</v>
      </c>
      <c r="K200" s="342" t="s">
        <v>9623</v>
      </c>
      <c r="L200" s="342">
        <v>0</v>
      </c>
    </row>
    <row r="201" spans="1:12" x14ac:dyDescent="0.25">
      <c r="A201" s="341" t="s">
        <v>2420</v>
      </c>
      <c r="B201" s="341" t="s">
        <v>2420</v>
      </c>
      <c r="C201" s="341" t="s">
        <v>2420</v>
      </c>
      <c r="D201" s="342">
        <v>0</v>
      </c>
      <c r="E201" s="342" t="s">
        <v>2420</v>
      </c>
      <c r="F201" s="342" t="s">
        <v>9624</v>
      </c>
      <c r="G201" s="341" t="s">
        <v>9738</v>
      </c>
      <c r="H201" s="341" t="s">
        <v>9739</v>
      </c>
      <c r="I201" s="341" t="s">
        <v>52</v>
      </c>
      <c r="J201" s="342">
        <v>2.5000000000000001E-2</v>
      </c>
      <c r="K201" s="342" t="s">
        <v>2420</v>
      </c>
      <c r="L201" s="342">
        <v>0</v>
      </c>
    </row>
    <row r="202" spans="1:12" x14ac:dyDescent="0.25">
      <c r="A202" s="341" t="s">
        <v>392</v>
      </c>
      <c r="B202" s="341" t="s">
        <v>9821</v>
      </c>
      <c r="C202" s="341" t="s">
        <v>25</v>
      </c>
      <c r="D202" s="342">
        <v>1</v>
      </c>
      <c r="E202" s="342">
        <v>0</v>
      </c>
      <c r="F202" s="342" t="s">
        <v>9622</v>
      </c>
      <c r="G202" s="341" t="s">
        <v>1234</v>
      </c>
      <c r="H202" s="341" t="s">
        <v>6899</v>
      </c>
      <c r="I202" s="341" t="s">
        <v>4230</v>
      </c>
      <c r="J202" s="342">
        <v>0.59</v>
      </c>
      <c r="K202" s="342" t="s">
        <v>4230</v>
      </c>
      <c r="L202" s="342">
        <v>0</v>
      </c>
    </row>
    <row r="203" spans="1:12" x14ac:dyDescent="0.25">
      <c r="A203" s="341" t="s">
        <v>2420</v>
      </c>
      <c r="B203" s="341" t="s">
        <v>2420</v>
      </c>
      <c r="C203" s="341" t="s">
        <v>2420</v>
      </c>
      <c r="D203" s="342">
        <v>0</v>
      </c>
      <c r="E203" s="342" t="s">
        <v>2420</v>
      </c>
      <c r="F203" s="342" t="s">
        <v>9622</v>
      </c>
      <c r="G203" s="341" t="s">
        <v>1235</v>
      </c>
      <c r="H203" s="341" t="s">
        <v>6900</v>
      </c>
      <c r="I203" s="341" t="s">
        <v>4230</v>
      </c>
      <c r="J203" s="342">
        <v>0.59</v>
      </c>
      <c r="K203" s="342" t="s">
        <v>4230</v>
      </c>
      <c r="L203" s="342">
        <v>0</v>
      </c>
    </row>
    <row r="204" spans="1:12" x14ac:dyDescent="0.25">
      <c r="A204" s="341" t="s">
        <v>2420</v>
      </c>
      <c r="B204" s="341" t="s">
        <v>2420</v>
      </c>
      <c r="C204" s="341" t="s">
        <v>2420</v>
      </c>
      <c r="D204" s="342">
        <v>0</v>
      </c>
      <c r="E204" s="342" t="s">
        <v>2420</v>
      </c>
      <c r="F204" s="342" t="s">
        <v>9622</v>
      </c>
      <c r="G204" s="341" t="s">
        <v>1378</v>
      </c>
      <c r="H204" s="341" t="s">
        <v>7096</v>
      </c>
      <c r="I204" s="341" t="s">
        <v>2557</v>
      </c>
      <c r="J204" s="342">
        <v>1.05</v>
      </c>
      <c r="K204" s="342" t="s">
        <v>25</v>
      </c>
      <c r="L204" s="342">
        <v>0</v>
      </c>
    </row>
    <row r="205" spans="1:12" x14ac:dyDescent="0.25">
      <c r="A205" s="341" t="s">
        <v>2420</v>
      </c>
      <c r="B205" s="341" t="s">
        <v>2420</v>
      </c>
      <c r="C205" s="341" t="s">
        <v>2420</v>
      </c>
      <c r="D205" s="342">
        <v>0</v>
      </c>
      <c r="E205" s="342" t="s">
        <v>2420</v>
      </c>
      <c r="F205" s="342" t="s">
        <v>9622</v>
      </c>
      <c r="G205" s="341" t="s">
        <v>1580</v>
      </c>
      <c r="H205" s="341" t="s">
        <v>9822</v>
      </c>
      <c r="I205" s="341" t="s">
        <v>25</v>
      </c>
      <c r="J205" s="342">
        <v>1.05</v>
      </c>
      <c r="K205" s="342" t="s">
        <v>25</v>
      </c>
      <c r="L205" s="342">
        <v>0</v>
      </c>
    </row>
    <row r="206" spans="1:12" x14ac:dyDescent="0.25">
      <c r="A206" s="341" t="s">
        <v>2420</v>
      </c>
      <c r="B206" s="341" t="s">
        <v>2420</v>
      </c>
      <c r="C206" s="341" t="s">
        <v>2420</v>
      </c>
      <c r="D206" s="342">
        <v>0</v>
      </c>
      <c r="E206" s="342" t="s">
        <v>2420</v>
      </c>
      <c r="F206" s="342" t="s">
        <v>9622</v>
      </c>
      <c r="G206" s="341" t="s">
        <v>1613</v>
      </c>
      <c r="H206" s="341" t="s">
        <v>7333</v>
      </c>
      <c r="I206" s="341" t="s">
        <v>2557</v>
      </c>
      <c r="J206" s="342">
        <v>0.105</v>
      </c>
      <c r="K206" s="342" t="s">
        <v>25</v>
      </c>
      <c r="L206" s="342">
        <v>0</v>
      </c>
    </row>
    <row r="207" spans="1:12" x14ac:dyDescent="0.25">
      <c r="A207" s="341" t="s">
        <v>2420</v>
      </c>
      <c r="B207" s="341" t="s">
        <v>2420</v>
      </c>
      <c r="C207" s="341" t="s">
        <v>2420</v>
      </c>
      <c r="D207" s="342">
        <v>0</v>
      </c>
      <c r="E207" s="342" t="s">
        <v>2420</v>
      </c>
      <c r="F207" s="342" t="s">
        <v>9622</v>
      </c>
      <c r="G207" s="341" t="s">
        <v>1869</v>
      </c>
      <c r="H207" s="341" t="s">
        <v>7996</v>
      </c>
      <c r="I207" s="341" t="s">
        <v>25</v>
      </c>
      <c r="J207" s="342">
        <v>1</v>
      </c>
      <c r="K207" s="342" t="s">
        <v>9623</v>
      </c>
      <c r="L207" s="342">
        <v>0</v>
      </c>
    </row>
    <row r="208" spans="1:12" x14ac:dyDescent="0.25">
      <c r="A208" s="341" t="s">
        <v>2420</v>
      </c>
      <c r="B208" s="341" t="s">
        <v>2420</v>
      </c>
      <c r="C208" s="341" t="s">
        <v>2420</v>
      </c>
      <c r="D208" s="342">
        <v>0</v>
      </c>
      <c r="E208" s="342" t="s">
        <v>2420</v>
      </c>
      <c r="F208" s="342" t="s">
        <v>9622</v>
      </c>
      <c r="G208" s="341" t="s">
        <v>2038</v>
      </c>
      <c r="H208" s="341" t="s">
        <v>8372</v>
      </c>
      <c r="I208" s="341" t="s">
        <v>16</v>
      </c>
      <c r="J208" s="342">
        <v>0.5</v>
      </c>
      <c r="K208" s="342" t="s">
        <v>9623</v>
      </c>
      <c r="L208" s="342">
        <v>0</v>
      </c>
    </row>
    <row r="209" spans="1:12" x14ac:dyDescent="0.25">
      <c r="A209" s="341" t="s">
        <v>419</v>
      </c>
      <c r="B209" s="341" t="s">
        <v>9823</v>
      </c>
      <c r="C209" s="341" t="s">
        <v>25</v>
      </c>
      <c r="D209" s="342">
        <v>1</v>
      </c>
      <c r="E209" s="342">
        <v>0</v>
      </c>
      <c r="F209" s="342" t="s">
        <v>9622</v>
      </c>
      <c r="G209" s="341" t="s">
        <v>1234</v>
      </c>
      <c r="H209" s="341" t="s">
        <v>6899</v>
      </c>
      <c r="I209" s="341" t="s">
        <v>4230</v>
      </c>
      <c r="J209" s="342">
        <v>1.25</v>
      </c>
      <c r="K209" s="342" t="s">
        <v>4230</v>
      </c>
      <c r="L209" s="342">
        <v>0</v>
      </c>
    </row>
    <row r="210" spans="1:12" x14ac:dyDescent="0.25">
      <c r="A210" s="341" t="s">
        <v>2420</v>
      </c>
      <c r="B210" s="341" t="s">
        <v>2420</v>
      </c>
      <c r="C210" s="341" t="s">
        <v>2420</v>
      </c>
      <c r="D210" s="342">
        <v>0</v>
      </c>
      <c r="E210" s="342" t="s">
        <v>2420</v>
      </c>
      <c r="F210" s="342" t="s">
        <v>9622</v>
      </c>
      <c r="G210" s="341" t="s">
        <v>1235</v>
      </c>
      <c r="H210" s="341" t="s">
        <v>6900</v>
      </c>
      <c r="I210" s="341" t="s">
        <v>4230</v>
      </c>
      <c r="J210" s="342">
        <v>0.5</v>
      </c>
      <c r="K210" s="342" t="s">
        <v>4230</v>
      </c>
      <c r="L210" s="342">
        <v>0</v>
      </c>
    </row>
    <row r="211" spans="1:12" x14ac:dyDescent="0.25">
      <c r="A211" s="341" t="s">
        <v>2420</v>
      </c>
      <c r="B211" s="341" t="s">
        <v>2420</v>
      </c>
      <c r="C211" s="341" t="s">
        <v>2420</v>
      </c>
      <c r="D211" s="342">
        <v>0</v>
      </c>
      <c r="E211" s="342" t="s">
        <v>2420</v>
      </c>
      <c r="F211" s="342" t="s">
        <v>9622</v>
      </c>
      <c r="G211" s="341" t="s">
        <v>1378</v>
      </c>
      <c r="H211" s="341" t="s">
        <v>7096</v>
      </c>
      <c r="I211" s="341" t="s">
        <v>2557</v>
      </c>
      <c r="J211" s="342">
        <v>1.54</v>
      </c>
      <c r="K211" s="342" t="s">
        <v>25</v>
      </c>
      <c r="L211" s="342">
        <v>0</v>
      </c>
    </row>
    <row r="212" spans="1:12" x14ac:dyDescent="0.25">
      <c r="A212" s="341" t="s">
        <v>2420</v>
      </c>
      <c r="B212" s="341" t="s">
        <v>2420</v>
      </c>
      <c r="C212" s="341" t="s">
        <v>2420</v>
      </c>
      <c r="D212" s="342">
        <v>0</v>
      </c>
      <c r="E212" s="342" t="s">
        <v>2420</v>
      </c>
      <c r="F212" s="342" t="s">
        <v>9622</v>
      </c>
      <c r="G212" s="341" t="s">
        <v>1581</v>
      </c>
      <c r="H212" s="341" t="s">
        <v>9824</v>
      </c>
      <c r="I212" s="341" t="s">
        <v>25</v>
      </c>
      <c r="J212" s="342">
        <v>1.05</v>
      </c>
      <c r="K212" s="342" t="s">
        <v>25</v>
      </c>
      <c r="L212" s="342">
        <v>0</v>
      </c>
    </row>
    <row r="213" spans="1:12" x14ac:dyDescent="0.25">
      <c r="A213" s="341" t="s">
        <v>2420</v>
      </c>
      <c r="B213" s="341" t="s">
        <v>2420</v>
      </c>
      <c r="C213" s="341" t="s">
        <v>2420</v>
      </c>
      <c r="D213" s="342">
        <v>0</v>
      </c>
      <c r="E213" s="342" t="s">
        <v>2420</v>
      </c>
      <c r="F213" s="342" t="s">
        <v>9622</v>
      </c>
      <c r="G213" s="341" t="s">
        <v>1613</v>
      </c>
      <c r="H213" s="341" t="s">
        <v>7333</v>
      </c>
      <c r="I213" s="341" t="s">
        <v>2557</v>
      </c>
      <c r="J213" s="342">
        <v>0.154</v>
      </c>
      <c r="K213" s="342" t="s">
        <v>25</v>
      </c>
      <c r="L213" s="342">
        <v>0</v>
      </c>
    </row>
    <row r="214" spans="1:12" x14ac:dyDescent="0.25">
      <c r="A214" s="341" t="s">
        <v>2420</v>
      </c>
      <c r="B214" s="341" t="s">
        <v>2420</v>
      </c>
      <c r="C214" s="341" t="s">
        <v>2420</v>
      </c>
      <c r="D214" s="342">
        <v>0</v>
      </c>
      <c r="E214" s="342" t="s">
        <v>2420</v>
      </c>
      <c r="F214" s="342" t="s">
        <v>9622</v>
      </c>
      <c r="G214" s="341" t="s">
        <v>1869</v>
      </c>
      <c r="H214" s="341" t="s">
        <v>7996</v>
      </c>
      <c r="I214" s="341" t="s">
        <v>25</v>
      </c>
      <c r="J214" s="342">
        <v>1</v>
      </c>
      <c r="K214" s="342" t="s">
        <v>9623</v>
      </c>
      <c r="L214" s="342">
        <v>0</v>
      </c>
    </row>
    <row r="215" spans="1:12" x14ac:dyDescent="0.25">
      <c r="A215" s="341" t="s">
        <v>2420</v>
      </c>
      <c r="B215" s="341" t="s">
        <v>2420</v>
      </c>
      <c r="C215" s="341" t="s">
        <v>2420</v>
      </c>
      <c r="D215" s="342">
        <v>0</v>
      </c>
      <c r="E215" s="342" t="s">
        <v>2420</v>
      </c>
      <c r="F215" s="342" t="s">
        <v>9622</v>
      </c>
      <c r="G215" s="341" t="s">
        <v>2038</v>
      </c>
      <c r="H215" s="341" t="s">
        <v>8372</v>
      </c>
      <c r="I215" s="341" t="s">
        <v>16</v>
      </c>
      <c r="J215" s="342">
        <v>1</v>
      </c>
      <c r="K215" s="342" t="s">
        <v>9623</v>
      </c>
      <c r="L215" s="342">
        <v>0</v>
      </c>
    </row>
    <row r="216" spans="1:12" x14ac:dyDescent="0.25">
      <c r="A216" s="341" t="s">
        <v>407</v>
      </c>
      <c r="B216" s="341" t="s">
        <v>9825</v>
      </c>
      <c r="C216" s="341" t="s">
        <v>16</v>
      </c>
      <c r="D216" s="342">
        <v>1</v>
      </c>
      <c r="E216" s="342">
        <v>0</v>
      </c>
      <c r="F216" s="342" t="s">
        <v>9622</v>
      </c>
      <c r="G216" s="341" t="s">
        <v>1234</v>
      </c>
      <c r="H216" s="341" t="s">
        <v>6899</v>
      </c>
      <c r="I216" s="341" t="s">
        <v>4230</v>
      </c>
      <c r="J216" s="342">
        <v>0.88</v>
      </c>
      <c r="K216" s="342" t="s">
        <v>4230</v>
      </c>
      <c r="L216" s="342">
        <v>0</v>
      </c>
    </row>
    <row r="217" spans="1:12" x14ac:dyDescent="0.25">
      <c r="A217" s="341" t="s">
        <v>2420</v>
      </c>
      <c r="B217" s="341" t="s">
        <v>2420</v>
      </c>
      <c r="C217" s="341" t="s">
        <v>2420</v>
      </c>
      <c r="D217" s="342">
        <v>0</v>
      </c>
      <c r="E217" s="342" t="s">
        <v>2420</v>
      </c>
      <c r="F217" s="342" t="s">
        <v>9622</v>
      </c>
      <c r="G217" s="341" t="s">
        <v>1235</v>
      </c>
      <c r="H217" s="341" t="s">
        <v>6900</v>
      </c>
      <c r="I217" s="341" t="s">
        <v>4230</v>
      </c>
      <c r="J217" s="342">
        <v>0.44</v>
      </c>
      <c r="K217" s="342" t="s">
        <v>4230</v>
      </c>
      <c r="L217" s="342">
        <v>0</v>
      </c>
    </row>
    <row r="218" spans="1:12" x14ac:dyDescent="0.25">
      <c r="A218" s="341" t="s">
        <v>2420</v>
      </c>
      <c r="B218" s="341" t="s">
        <v>2420</v>
      </c>
      <c r="C218" s="341" t="s">
        <v>2420</v>
      </c>
      <c r="D218" s="342">
        <v>0</v>
      </c>
      <c r="E218" s="342" t="s">
        <v>2420</v>
      </c>
      <c r="F218" s="342" t="s">
        <v>9622</v>
      </c>
      <c r="G218" s="341" t="s">
        <v>1472</v>
      </c>
      <c r="H218" s="341" t="s">
        <v>7212</v>
      </c>
      <c r="I218" s="341" t="s">
        <v>2557</v>
      </c>
      <c r="J218" s="342">
        <v>8</v>
      </c>
      <c r="K218" s="342" t="s">
        <v>25</v>
      </c>
      <c r="L218" s="342">
        <v>0</v>
      </c>
    </row>
    <row r="219" spans="1:12" x14ac:dyDescent="0.25">
      <c r="A219" s="341" t="s">
        <v>2420</v>
      </c>
      <c r="B219" s="341" t="s">
        <v>2420</v>
      </c>
      <c r="C219" s="341" t="s">
        <v>2420</v>
      </c>
      <c r="D219" s="342">
        <v>0</v>
      </c>
      <c r="E219" s="342" t="s">
        <v>2420</v>
      </c>
      <c r="F219" s="342" t="s">
        <v>9622</v>
      </c>
      <c r="G219" s="341" t="s">
        <v>1623</v>
      </c>
      <c r="H219" s="341" t="s">
        <v>7343</v>
      </c>
      <c r="I219" s="341" t="s">
        <v>11</v>
      </c>
      <c r="J219" s="342">
        <v>10</v>
      </c>
      <c r="K219" s="342" t="s">
        <v>25</v>
      </c>
      <c r="L219" s="342">
        <v>0</v>
      </c>
    </row>
    <row r="220" spans="1:12" x14ac:dyDescent="0.25">
      <c r="A220" s="341" t="s">
        <v>2420</v>
      </c>
      <c r="B220" s="341" t="s">
        <v>2420</v>
      </c>
      <c r="C220" s="341" t="s">
        <v>2420</v>
      </c>
      <c r="D220" s="342">
        <v>0</v>
      </c>
      <c r="E220" s="342" t="s">
        <v>2420</v>
      </c>
      <c r="F220" s="342" t="s">
        <v>9622</v>
      </c>
      <c r="G220" s="341" t="s">
        <v>1686</v>
      </c>
      <c r="H220" s="341" t="s">
        <v>9826</v>
      </c>
      <c r="I220" s="341" t="s">
        <v>16</v>
      </c>
      <c r="J220" s="342">
        <v>1.05</v>
      </c>
      <c r="K220" s="342" t="s">
        <v>25</v>
      </c>
      <c r="L220" s="342">
        <v>0</v>
      </c>
    </row>
    <row r="221" spans="1:12" x14ac:dyDescent="0.25">
      <c r="A221" s="341" t="s">
        <v>2420</v>
      </c>
      <c r="B221" s="341" t="s">
        <v>2420</v>
      </c>
      <c r="C221" s="341" t="s">
        <v>2420</v>
      </c>
      <c r="D221" s="342">
        <v>0</v>
      </c>
      <c r="E221" s="342" t="s">
        <v>2420</v>
      </c>
      <c r="F221" s="342" t="s">
        <v>9622</v>
      </c>
      <c r="G221" s="341" t="s">
        <v>1864</v>
      </c>
      <c r="H221" s="341" t="s">
        <v>9827</v>
      </c>
      <c r="I221" s="341" t="s">
        <v>16</v>
      </c>
      <c r="J221" s="342">
        <v>1</v>
      </c>
      <c r="K221" s="342" t="s">
        <v>9623</v>
      </c>
      <c r="L221" s="342">
        <v>0</v>
      </c>
    </row>
    <row r="222" spans="1:12" x14ac:dyDescent="0.25">
      <c r="A222" s="341" t="s">
        <v>2420</v>
      </c>
      <c r="B222" s="341" t="s">
        <v>2420</v>
      </c>
      <c r="C222" s="341" t="s">
        <v>2420</v>
      </c>
      <c r="D222" s="342">
        <v>0</v>
      </c>
      <c r="E222" s="342" t="s">
        <v>2420</v>
      </c>
      <c r="F222" s="342" t="s">
        <v>9624</v>
      </c>
      <c r="G222" s="341" t="s">
        <v>9828</v>
      </c>
      <c r="H222" s="341" t="s">
        <v>9829</v>
      </c>
      <c r="I222" s="341" t="s">
        <v>16</v>
      </c>
      <c r="J222" s="342">
        <v>1</v>
      </c>
      <c r="K222" s="342" t="s">
        <v>2420</v>
      </c>
      <c r="L222" s="342">
        <v>0</v>
      </c>
    </row>
    <row r="223" spans="1:12" x14ac:dyDescent="0.25">
      <c r="A223" s="341" t="s">
        <v>359</v>
      </c>
      <c r="B223" s="341" t="s">
        <v>9830</v>
      </c>
      <c r="C223" s="341" t="s">
        <v>16</v>
      </c>
      <c r="D223" s="342">
        <v>1</v>
      </c>
      <c r="E223" s="342">
        <v>0</v>
      </c>
      <c r="F223" s="342" t="s">
        <v>9622</v>
      </c>
      <c r="G223" s="341" t="s">
        <v>1234</v>
      </c>
      <c r="H223" s="341" t="s">
        <v>6899</v>
      </c>
      <c r="I223" s="341" t="s">
        <v>4230</v>
      </c>
      <c r="J223" s="342">
        <v>0.88</v>
      </c>
      <c r="K223" s="342" t="s">
        <v>4230</v>
      </c>
      <c r="L223" s="342">
        <v>0</v>
      </c>
    </row>
    <row r="224" spans="1:12" x14ac:dyDescent="0.25">
      <c r="A224" s="341" t="s">
        <v>2420</v>
      </c>
      <c r="B224" s="341" t="s">
        <v>2420</v>
      </c>
      <c r="C224" s="341" t="s">
        <v>2420</v>
      </c>
      <c r="D224" s="342">
        <v>0</v>
      </c>
      <c r="E224" s="342" t="s">
        <v>2420</v>
      </c>
      <c r="F224" s="342" t="s">
        <v>9622</v>
      </c>
      <c r="G224" s="341" t="s">
        <v>1235</v>
      </c>
      <c r="H224" s="341" t="s">
        <v>6900</v>
      </c>
      <c r="I224" s="341" t="s">
        <v>4230</v>
      </c>
      <c r="J224" s="342">
        <v>0.44</v>
      </c>
      <c r="K224" s="342" t="s">
        <v>4230</v>
      </c>
      <c r="L224" s="342">
        <v>0</v>
      </c>
    </row>
    <row r="225" spans="1:12" x14ac:dyDescent="0.25">
      <c r="A225" s="341" t="s">
        <v>2420</v>
      </c>
      <c r="B225" s="341" t="s">
        <v>2420</v>
      </c>
      <c r="C225" s="341" t="s">
        <v>2420</v>
      </c>
      <c r="D225" s="342">
        <v>0</v>
      </c>
      <c r="E225" s="342" t="s">
        <v>2420</v>
      </c>
      <c r="F225" s="342" t="s">
        <v>9622</v>
      </c>
      <c r="G225" s="341" t="s">
        <v>1472</v>
      </c>
      <c r="H225" s="341" t="s">
        <v>7212</v>
      </c>
      <c r="I225" s="341" t="s">
        <v>2557</v>
      </c>
      <c r="J225" s="342">
        <v>7</v>
      </c>
      <c r="K225" s="342" t="s">
        <v>25</v>
      </c>
      <c r="L225" s="342">
        <v>0</v>
      </c>
    </row>
    <row r="226" spans="1:12" x14ac:dyDescent="0.25">
      <c r="A226" s="341" t="s">
        <v>2420</v>
      </c>
      <c r="B226" s="341" t="s">
        <v>2420</v>
      </c>
      <c r="C226" s="341" t="s">
        <v>2420</v>
      </c>
      <c r="D226" s="342">
        <v>0</v>
      </c>
      <c r="E226" s="342" t="s">
        <v>2420</v>
      </c>
      <c r="F226" s="342" t="s">
        <v>9622</v>
      </c>
      <c r="G226" s="341" t="s">
        <v>1519</v>
      </c>
      <c r="H226" s="341" t="s">
        <v>2791</v>
      </c>
      <c r="I226" s="341" t="s">
        <v>16</v>
      </c>
      <c r="J226" s="342">
        <v>1.05</v>
      </c>
      <c r="K226" s="342" t="s">
        <v>25</v>
      </c>
      <c r="L226" s="342">
        <v>0</v>
      </c>
    </row>
    <row r="227" spans="1:12" x14ac:dyDescent="0.25">
      <c r="A227" s="341" t="s">
        <v>2420</v>
      </c>
      <c r="B227" s="341" t="s">
        <v>2420</v>
      </c>
      <c r="C227" s="341" t="s">
        <v>2420</v>
      </c>
      <c r="D227" s="342">
        <v>0</v>
      </c>
      <c r="E227" s="342" t="s">
        <v>2420</v>
      </c>
      <c r="F227" s="342" t="s">
        <v>9622</v>
      </c>
      <c r="G227" s="341" t="s">
        <v>1623</v>
      </c>
      <c r="H227" s="341" t="s">
        <v>7343</v>
      </c>
      <c r="I227" s="341" t="s">
        <v>11</v>
      </c>
      <c r="J227" s="342">
        <v>10</v>
      </c>
      <c r="K227" s="342" t="s">
        <v>25</v>
      </c>
      <c r="L227" s="342">
        <v>0</v>
      </c>
    </row>
    <row r="228" spans="1:12" x14ac:dyDescent="0.25">
      <c r="A228" s="341" t="s">
        <v>2420</v>
      </c>
      <c r="B228" s="341" t="s">
        <v>2420</v>
      </c>
      <c r="C228" s="341" t="s">
        <v>2420</v>
      </c>
      <c r="D228" s="342">
        <v>0</v>
      </c>
      <c r="E228" s="342" t="s">
        <v>2420</v>
      </c>
      <c r="F228" s="342" t="s">
        <v>9622</v>
      </c>
      <c r="G228" s="341" t="s">
        <v>1864</v>
      </c>
      <c r="H228" s="341" t="s">
        <v>9827</v>
      </c>
      <c r="I228" s="341" t="s">
        <v>16</v>
      </c>
      <c r="J228" s="342">
        <v>1</v>
      </c>
      <c r="K228" s="342" t="s">
        <v>9623</v>
      </c>
      <c r="L228" s="342">
        <v>0</v>
      </c>
    </row>
    <row r="229" spans="1:12" x14ac:dyDescent="0.25">
      <c r="A229" s="341" t="s">
        <v>2420</v>
      </c>
      <c r="B229" s="341" t="s">
        <v>2420</v>
      </c>
      <c r="C229" s="341" t="s">
        <v>2420</v>
      </c>
      <c r="D229" s="342">
        <v>0</v>
      </c>
      <c r="E229" s="342" t="s">
        <v>2420</v>
      </c>
      <c r="F229" s="342" t="s">
        <v>9624</v>
      </c>
      <c r="G229" s="341" t="s">
        <v>9828</v>
      </c>
      <c r="H229" s="341" t="s">
        <v>9829</v>
      </c>
      <c r="I229" s="341" t="s">
        <v>16</v>
      </c>
      <c r="J229" s="342">
        <v>1</v>
      </c>
      <c r="K229" s="342" t="s">
        <v>2420</v>
      </c>
      <c r="L229" s="342">
        <v>0</v>
      </c>
    </row>
    <row r="230" spans="1:12" x14ac:dyDescent="0.25">
      <c r="A230" s="341" t="s">
        <v>187</v>
      </c>
      <c r="B230" s="341" t="s">
        <v>2859</v>
      </c>
      <c r="C230" s="341" t="s">
        <v>16</v>
      </c>
      <c r="D230" s="342">
        <v>1</v>
      </c>
      <c r="E230" s="342">
        <v>0</v>
      </c>
      <c r="F230" s="342" t="s">
        <v>9622</v>
      </c>
      <c r="G230" s="341" t="s">
        <v>9831</v>
      </c>
      <c r="H230" s="341" t="s">
        <v>9832</v>
      </c>
      <c r="I230" s="341" t="s">
        <v>16</v>
      </c>
      <c r="J230" s="342">
        <v>1</v>
      </c>
      <c r="K230" s="342" t="s">
        <v>9623</v>
      </c>
      <c r="L230" s="342">
        <v>0</v>
      </c>
    </row>
    <row r="231" spans="1:12" x14ac:dyDescent="0.25">
      <c r="A231" s="341" t="s">
        <v>2420</v>
      </c>
      <c r="B231" s="341" t="s">
        <v>2420</v>
      </c>
      <c r="C231" s="341" t="s">
        <v>2420</v>
      </c>
      <c r="D231" s="342">
        <v>0</v>
      </c>
      <c r="E231" s="342" t="s">
        <v>2420</v>
      </c>
      <c r="F231" s="342" t="s">
        <v>9622</v>
      </c>
      <c r="G231" s="341" t="s">
        <v>1241</v>
      </c>
      <c r="H231" s="341" t="s">
        <v>6905</v>
      </c>
      <c r="I231" s="341" t="s">
        <v>4230</v>
      </c>
      <c r="J231" s="342">
        <v>0.5</v>
      </c>
      <c r="K231" s="342" t="s">
        <v>4230</v>
      </c>
      <c r="L231" s="342">
        <v>0</v>
      </c>
    </row>
    <row r="232" spans="1:12" x14ac:dyDescent="0.25">
      <c r="A232" s="341" t="s">
        <v>2420</v>
      </c>
      <c r="B232" s="341" t="s">
        <v>2420</v>
      </c>
      <c r="C232" s="341" t="s">
        <v>2420</v>
      </c>
      <c r="D232" s="342">
        <v>0</v>
      </c>
      <c r="E232" s="342" t="s">
        <v>2420</v>
      </c>
      <c r="F232" s="342" t="s">
        <v>9622</v>
      </c>
      <c r="G232" s="341" t="s">
        <v>1242</v>
      </c>
      <c r="H232" s="341" t="s">
        <v>9833</v>
      </c>
      <c r="I232" s="341" t="s">
        <v>4230</v>
      </c>
      <c r="J232" s="342">
        <v>0.4</v>
      </c>
      <c r="K232" s="342" t="s">
        <v>4230</v>
      </c>
      <c r="L232" s="342">
        <v>0</v>
      </c>
    </row>
    <row r="233" spans="1:12" x14ac:dyDescent="0.25">
      <c r="A233" s="341" t="s">
        <v>378</v>
      </c>
      <c r="B233" s="341" t="s">
        <v>9834</v>
      </c>
      <c r="C233" s="341" t="s">
        <v>16</v>
      </c>
      <c r="D233" s="342">
        <v>1</v>
      </c>
      <c r="E233" s="342">
        <v>0</v>
      </c>
      <c r="F233" s="342" t="s">
        <v>9622</v>
      </c>
      <c r="G233" s="341" t="s">
        <v>1234</v>
      </c>
      <c r="H233" s="341" t="s">
        <v>6899</v>
      </c>
      <c r="I233" s="341" t="s">
        <v>4230</v>
      </c>
      <c r="J233" s="342">
        <v>0.88</v>
      </c>
      <c r="K233" s="342" t="s">
        <v>4230</v>
      </c>
      <c r="L233" s="342">
        <v>0</v>
      </c>
    </row>
    <row r="234" spans="1:12" x14ac:dyDescent="0.25">
      <c r="A234" s="341" t="s">
        <v>2420</v>
      </c>
      <c r="B234" s="341" t="s">
        <v>2420</v>
      </c>
      <c r="C234" s="341" t="s">
        <v>2420</v>
      </c>
      <c r="D234" s="342">
        <v>0</v>
      </c>
      <c r="E234" s="342" t="s">
        <v>2420</v>
      </c>
      <c r="F234" s="342" t="s">
        <v>9622</v>
      </c>
      <c r="G234" s="341" t="s">
        <v>1235</v>
      </c>
      <c r="H234" s="341" t="s">
        <v>6900</v>
      </c>
      <c r="I234" s="341" t="s">
        <v>4230</v>
      </c>
      <c r="J234" s="342">
        <v>0.44</v>
      </c>
      <c r="K234" s="342" t="s">
        <v>4230</v>
      </c>
      <c r="L234" s="342">
        <v>0</v>
      </c>
    </row>
    <row r="235" spans="1:12" x14ac:dyDescent="0.25">
      <c r="A235" s="341" t="s">
        <v>2420</v>
      </c>
      <c r="B235" s="341" t="s">
        <v>2420</v>
      </c>
      <c r="C235" s="341" t="s">
        <v>2420</v>
      </c>
      <c r="D235" s="342">
        <v>0</v>
      </c>
      <c r="E235" s="342" t="s">
        <v>2420</v>
      </c>
      <c r="F235" s="342" t="s">
        <v>9622</v>
      </c>
      <c r="G235" s="341" t="s">
        <v>1472</v>
      </c>
      <c r="H235" s="341" t="s">
        <v>7212</v>
      </c>
      <c r="I235" s="341" t="s">
        <v>2557</v>
      </c>
      <c r="J235" s="342">
        <v>7</v>
      </c>
      <c r="K235" s="342" t="s">
        <v>25</v>
      </c>
      <c r="L235" s="342">
        <v>0</v>
      </c>
    </row>
    <row r="236" spans="1:12" x14ac:dyDescent="0.25">
      <c r="A236" s="341" t="s">
        <v>2420</v>
      </c>
      <c r="B236" s="341" t="s">
        <v>2420</v>
      </c>
      <c r="C236" s="341" t="s">
        <v>2420</v>
      </c>
      <c r="D236" s="342">
        <v>0</v>
      </c>
      <c r="E236" s="342" t="s">
        <v>2420</v>
      </c>
      <c r="F236" s="342" t="s">
        <v>9622</v>
      </c>
      <c r="G236" s="341" t="s">
        <v>1687</v>
      </c>
      <c r="H236" s="341" t="s">
        <v>2806</v>
      </c>
      <c r="I236" s="341" t="s">
        <v>16</v>
      </c>
      <c r="J236" s="342">
        <v>1.05</v>
      </c>
      <c r="K236" s="342" t="s">
        <v>25</v>
      </c>
      <c r="L236" s="342">
        <v>0</v>
      </c>
    </row>
    <row r="237" spans="1:12" x14ac:dyDescent="0.25">
      <c r="A237" s="341" t="s">
        <v>2420</v>
      </c>
      <c r="B237" s="341" t="s">
        <v>2420</v>
      </c>
      <c r="C237" s="341" t="s">
        <v>2420</v>
      </c>
      <c r="D237" s="342">
        <v>0</v>
      </c>
      <c r="E237" s="342" t="s">
        <v>2420</v>
      </c>
      <c r="F237" s="342" t="s">
        <v>9622</v>
      </c>
      <c r="G237" s="341" t="s">
        <v>1865</v>
      </c>
      <c r="H237" s="341" t="s">
        <v>9835</v>
      </c>
      <c r="I237" s="341" t="s">
        <v>16</v>
      </c>
      <c r="J237" s="342">
        <v>1</v>
      </c>
      <c r="K237" s="342" t="s">
        <v>9623</v>
      </c>
      <c r="L237" s="342">
        <v>0</v>
      </c>
    </row>
    <row r="238" spans="1:12" x14ac:dyDescent="0.25">
      <c r="A238" s="341" t="s">
        <v>2420</v>
      </c>
      <c r="B238" s="341" t="s">
        <v>2420</v>
      </c>
      <c r="C238" s="341" t="s">
        <v>2420</v>
      </c>
      <c r="D238" s="342">
        <v>0</v>
      </c>
      <c r="E238" s="342" t="s">
        <v>2420</v>
      </c>
      <c r="F238" s="342" t="s">
        <v>9624</v>
      </c>
      <c r="G238" s="341" t="s">
        <v>9828</v>
      </c>
      <c r="H238" s="341" t="s">
        <v>9829</v>
      </c>
      <c r="I238" s="341" t="s">
        <v>16</v>
      </c>
      <c r="J238" s="342">
        <v>1</v>
      </c>
      <c r="K238" s="342" t="s">
        <v>2420</v>
      </c>
      <c r="L238" s="342">
        <v>0</v>
      </c>
    </row>
    <row r="239" spans="1:12" x14ac:dyDescent="0.25">
      <c r="A239" s="341" t="s">
        <v>379</v>
      </c>
      <c r="B239" s="341" t="s">
        <v>9836</v>
      </c>
      <c r="C239" s="341" t="s">
        <v>16</v>
      </c>
      <c r="D239" s="342">
        <v>1</v>
      </c>
      <c r="E239" s="342">
        <v>0</v>
      </c>
      <c r="F239" s="342" t="s">
        <v>9622</v>
      </c>
      <c r="G239" s="341" t="s">
        <v>1234</v>
      </c>
      <c r="H239" s="341" t="s">
        <v>6899</v>
      </c>
      <c r="I239" s="341" t="s">
        <v>4230</v>
      </c>
      <c r="J239" s="342">
        <v>0.88</v>
      </c>
      <c r="K239" s="342" t="s">
        <v>4230</v>
      </c>
      <c r="L239" s="342">
        <v>0</v>
      </c>
    </row>
    <row r="240" spans="1:12" x14ac:dyDescent="0.25">
      <c r="A240" s="341" t="s">
        <v>2420</v>
      </c>
      <c r="B240" s="341" t="s">
        <v>2420</v>
      </c>
      <c r="C240" s="341" t="s">
        <v>2420</v>
      </c>
      <c r="D240" s="342">
        <v>0</v>
      </c>
      <c r="E240" s="342" t="s">
        <v>2420</v>
      </c>
      <c r="F240" s="342" t="s">
        <v>9622</v>
      </c>
      <c r="G240" s="341" t="s">
        <v>1235</v>
      </c>
      <c r="H240" s="341" t="s">
        <v>6900</v>
      </c>
      <c r="I240" s="341" t="s">
        <v>4230</v>
      </c>
      <c r="J240" s="342">
        <v>0.44</v>
      </c>
      <c r="K240" s="342" t="s">
        <v>4230</v>
      </c>
      <c r="L240" s="342">
        <v>0</v>
      </c>
    </row>
    <row r="241" spans="1:12" x14ac:dyDescent="0.25">
      <c r="A241" s="341" t="s">
        <v>2420</v>
      </c>
      <c r="B241" s="341" t="s">
        <v>2420</v>
      </c>
      <c r="C241" s="341" t="s">
        <v>2420</v>
      </c>
      <c r="D241" s="342">
        <v>0</v>
      </c>
      <c r="E241" s="342" t="s">
        <v>2420</v>
      </c>
      <c r="F241" s="342" t="s">
        <v>9622</v>
      </c>
      <c r="G241" s="341" t="s">
        <v>1472</v>
      </c>
      <c r="H241" s="341" t="s">
        <v>7212</v>
      </c>
      <c r="I241" s="341" t="s">
        <v>2557</v>
      </c>
      <c r="J241" s="342">
        <v>7</v>
      </c>
      <c r="K241" s="342" t="s">
        <v>25</v>
      </c>
      <c r="L241" s="342">
        <v>0</v>
      </c>
    </row>
    <row r="242" spans="1:12" x14ac:dyDescent="0.25">
      <c r="A242" s="341" t="s">
        <v>2420</v>
      </c>
      <c r="B242" s="341" t="s">
        <v>2420</v>
      </c>
      <c r="C242" s="341" t="s">
        <v>2420</v>
      </c>
      <c r="D242" s="342">
        <v>0</v>
      </c>
      <c r="E242" s="342" t="s">
        <v>2420</v>
      </c>
      <c r="F242" s="342" t="s">
        <v>9622</v>
      </c>
      <c r="G242" s="341" t="s">
        <v>1552</v>
      </c>
      <c r="H242" s="341" t="s">
        <v>2807</v>
      </c>
      <c r="I242" s="341" t="s">
        <v>16</v>
      </c>
      <c r="J242" s="342">
        <v>1.05</v>
      </c>
      <c r="K242" s="342" t="s">
        <v>25</v>
      </c>
      <c r="L242" s="342">
        <v>0</v>
      </c>
    </row>
    <row r="243" spans="1:12" x14ac:dyDescent="0.25">
      <c r="A243" s="341" t="s">
        <v>2420</v>
      </c>
      <c r="B243" s="341" t="s">
        <v>2420</v>
      </c>
      <c r="C243" s="341" t="s">
        <v>2420</v>
      </c>
      <c r="D243" s="342">
        <v>0</v>
      </c>
      <c r="E243" s="342" t="s">
        <v>2420</v>
      </c>
      <c r="F243" s="342" t="s">
        <v>9622</v>
      </c>
      <c r="G243" s="341" t="s">
        <v>1865</v>
      </c>
      <c r="H243" s="341" t="s">
        <v>9835</v>
      </c>
      <c r="I243" s="341" t="s">
        <v>16</v>
      </c>
      <c r="J243" s="342">
        <v>1</v>
      </c>
      <c r="K243" s="342" t="s">
        <v>9623</v>
      </c>
      <c r="L243" s="342">
        <v>0</v>
      </c>
    </row>
    <row r="244" spans="1:12" x14ac:dyDescent="0.25">
      <c r="A244" s="341" t="s">
        <v>2420</v>
      </c>
      <c r="B244" s="341" t="s">
        <v>2420</v>
      </c>
      <c r="C244" s="341" t="s">
        <v>2420</v>
      </c>
      <c r="D244" s="342">
        <v>0</v>
      </c>
      <c r="E244" s="342" t="s">
        <v>2420</v>
      </c>
      <c r="F244" s="342" t="s">
        <v>9624</v>
      </c>
      <c r="G244" s="341" t="s">
        <v>9828</v>
      </c>
      <c r="H244" s="341" t="s">
        <v>9829</v>
      </c>
      <c r="I244" s="341" t="s">
        <v>16</v>
      </c>
      <c r="J244" s="342">
        <v>1</v>
      </c>
      <c r="K244" s="342" t="s">
        <v>2420</v>
      </c>
      <c r="L244" s="342">
        <v>0</v>
      </c>
    </row>
    <row r="245" spans="1:12" x14ac:dyDescent="0.25">
      <c r="A245" s="341" t="s">
        <v>380</v>
      </c>
      <c r="B245" s="341" t="s">
        <v>9837</v>
      </c>
      <c r="C245" s="341" t="s">
        <v>16</v>
      </c>
      <c r="D245" s="342">
        <v>1</v>
      </c>
      <c r="E245" s="342">
        <v>0</v>
      </c>
      <c r="F245" s="342" t="s">
        <v>9622</v>
      </c>
      <c r="G245" s="341" t="s">
        <v>1234</v>
      </c>
      <c r="H245" s="341" t="s">
        <v>6899</v>
      </c>
      <c r="I245" s="341" t="s">
        <v>4230</v>
      </c>
      <c r="J245" s="342">
        <v>0.88</v>
      </c>
      <c r="K245" s="342" t="s">
        <v>4230</v>
      </c>
      <c r="L245" s="342">
        <v>0</v>
      </c>
    </row>
    <row r="246" spans="1:12" x14ac:dyDescent="0.25">
      <c r="A246" s="341" t="s">
        <v>2420</v>
      </c>
      <c r="B246" s="341" t="s">
        <v>2420</v>
      </c>
      <c r="C246" s="341" t="s">
        <v>2420</v>
      </c>
      <c r="D246" s="342">
        <v>0</v>
      </c>
      <c r="E246" s="342" t="s">
        <v>2420</v>
      </c>
      <c r="F246" s="342" t="s">
        <v>9622</v>
      </c>
      <c r="G246" s="341" t="s">
        <v>1235</v>
      </c>
      <c r="H246" s="341" t="s">
        <v>6900</v>
      </c>
      <c r="I246" s="341" t="s">
        <v>4230</v>
      </c>
      <c r="J246" s="342">
        <v>0.44</v>
      </c>
      <c r="K246" s="342" t="s">
        <v>4230</v>
      </c>
      <c r="L246" s="342">
        <v>0</v>
      </c>
    </row>
    <row r="247" spans="1:12" x14ac:dyDescent="0.25">
      <c r="A247" s="341" t="s">
        <v>2420</v>
      </c>
      <c r="B247" s="341" t="s">
        <v>2420</v>
      </c>
      <c r="C247" s="341" t="s">
        <v>2420</v>
      </c>
      <c r="D247" s="342">
        <v>0</v>
      </c>
      <c r="E247" s="342" t="s">
        <v>2420</v>
      </c>
      <c r="F247" s="342" t="s">
        <v>9622</v>
      </c>
      <c r="G247" s="341" t="s">
        <v>1472</v>
      </c>
      <c r="H247" s="341" t="s">
        <v>7212</v>
      </c>
      <c r="I247" s="341" t="s">
        <v>2557</v>
      </c>
      <c r="J247" s="342">
        <v>7</v>
      </c>
      <c r="K247" s="342" t="s">
        <v>25</v>
      </c>
      <c r="L247" s="342">
        <v>0</v>
      </c>
    </row>
    <row r="248" spans="1:12" x14ac:dyDescent="0.25">
      <c r="A248" s="341" t="s">
        <v>2420</v>
      </c>
      <c r="B248" s="341" t="s">
        <v>2420</v>
      </c>
      <c r="C248" s="341" t="s">
        <v>2420</v>
      </c>
      <c r="D248" s="342">
        <v>0</v>
      </c>
      <c r="E248" s="342" t="s">
        <v>2420</v>
      </c>
      <c r="F248" s="342" t="s">
        <v>9622</v>
      </c>
      <c r="G248" s="341" t="s">
        <v>1593</v>
      </c>
      <c r="H248" s="341" t="s">
        <v>2808</v>
      </c>
      <c r="I248" s="341" t="s">
        <v>16</v>
      </c>
      <c r="J248" s="342">
        <v>1.05</v>
      </c>
      <c r="K248" s="342" t="s">
        <v>25</v>
      </c>
      <c r="L248" s="342">
        <v>0</v>
      </c>
    </row>
    <row r="249" spans="1:12" x14ac:dyDescent="0.25">
      <c r="A249" s="341" t="s">
        <v>2420</v>
      </c>
      <c r="B249" s="341" t="s">
        <v>2420</v>
      </c>
      <c r="C249" s="341" t="s">
        <v>2420</v>
      </c>
      <c r="D249" s="342">
        <v>0</v>
      </c>
      <c r="E249" s="342" t="s">
        <v>2420</v>
      </c>
      <c r="F249" s="342" t="s">
        <v>9622</v>
      </c>
      <c r="G249" s="341" t="s">
        <v>1865</v>
      </c>
      <c r="H249" s="341" t="s">
        <v>9835</v>
      </c>
      <c r="I249" s="341" t="s">
        <v>16</v>
      </c>
      <c r="J249" s="342">
        <v>1</v>
      </c>
      <c r="K249" s="342" t="s">
        <v>9623</v>
      </c>
      <c r="L249" s="342">
        <v>0</v>
      </c>
    </row>
    <row r="250" spans="1:12" x14ac:dyDescent="0.25">
      <c r="A250" s="341" t="s">
        <v>2420</v>
      </c>
      <c r="B250" s="341" t="s">
        <v>2420</v>
      </c>
      <c r="C250" s="341" t="s">
        <v>2420</v>
      </c>
      <c r="D250" s="342">
        <v>0</v>
      </c>
      <c r="E250" s="342" t="s">
        <v>2420</v>
      </c>
      <c r="F250" s="342" t="s">
        <v>9624</v>
      </c>
      <c r="G250" s="341" t="s">
        <v>9828</v>
      </c>
      <c r="H250" s="341" t="s">
        <v>9829</v>
      </c>
      <c r="I250" s="341" t="s">
        <v>16</v>
      </c>
      <c r="J250" s="342">
        <v>1</v>
      </c>
      <c r="K250" s="342" t="s">
        <v>2420</v>
      </c>
      <c r="L250" s="342">
        <v>0</v>
      </c>
    </row>
    <row r="251" spans="1:12" x14ac:dyDescent="0.25">
      <c r="A251" s="341" t="s">
        <v>178</v>
      </c>
      <c r="B251" s="341" t="s">
        <v>9838</v>
      </c>
      <c r="C251" s="341" t="s">
        <v>16</v>
      </c>
      <c r="D251" s="342">
        <v>1</v>
      </c>
      <c r="E251" s="342">
        <v>0</v>
      </c>
      <c r="F251" s="342" t="s">
        <v>9622</v>
      </c>
      <c r="G251" s="341" t="s">
        <v>1234</v>
      </c>
      <c r="H251" s="341" t="s">
        <v>6899</v>
      </c>
      <c r="I251" s="341" t="s">
        <v>4230</v>
      </c>
      <c r="J251" s="342">
        <v>0.88</v>
      </c>
      <c r="K251" s="342" t="s">
        <v>4230</v>
      </c>
      <c r="L251" s="342">
        <v>0</v>
      </c>
    </row>
    <row r="252" spans="1:12" x14ac:dyDescent="0.25">
      <c r="A252" s="341" t="s">
        <v>2420</v>
      </c>
      <c r="B252" s="341" t="s">
        <v>2420</v>
      </c>
      <c r="C252" s="341" t="s">
        <v>2420</v>
      </c>
      <c r="D252" s="342">
        <v>0</v>
      </c>
      <c r="E252" s="342" t="s">
        <v>2420</v>
      </c>
      <c r="F252" s="342" t="s">
        <v>9622</v>
      </c>
      <c r="G252" s="341" t="s">
        <v>1235</v>
      </c>
      <c r="H252" s="341" t="s">
        <v>6900</v>
      </c>
      <c r="I252" s="341" t="s">
        <v>4230</v>
      </c>
      <c r="J252" s="342">
        <v>0.44</v>
      </c>
      <c r="K252" s="342" t="s">
        <v>4230</v>
      </c>
      <c r="L252" s="342">
        <v>0</v>
      </c>
    </row>
    <row r="253" spans="1:12" x14ac:dyDescent="0.25">
      <c r="A253" s="341" t="s">
        <v>2420</v>
      </c>
      <c r="B253" s="341" t="s">
        <v>2420</v>
      </c>
      <c r="C253" s="341" t="s">
        <v>2420</v>
      </c>
      <c r="D253" s="342">
        <v>0</v>
      </c>
      <c r="E253" s="342" t="s">
        <v>2420</v>
      </c>
      <c r="F253" s="342" t="s">
        <v>9622</v>
      </c>
      <c r="G253" s="341" t="s">
        <v>1472</v>
      </c>
      <c r="H253" s="341" t="s">
        <v>7212</v>
      </c>
      <c r="I253" s="341" t="s">
        <v>2557</v>
      </c>
      <c r="J253" s="342">
        <v>7</v>
      </c>
      <c r="K253" s="342" t="s">
        <v>25</v>
      </c>
      <c r="L253" s="342">
        <v>0</v>
      </c>
    </row>
    <row r="254" spans="1:12" x14ac:dyDescent="0.25">
      <c r="A254" s="341" t="s">
        <v>2420</v>
      </c>
      <c r="B254" s="341" t="s">
        <v>2420</v>
      </c>
      <c r="C254" s="341" t="s">
        <v>2420</v>
      </c>
      <c r="D254" s="342">
        <v>0</v>
      </c>
      <c r="E254" s="342" t="s">
        <v>2420</v>
      </c>
      <c r="F254" s="342" t="s">
        <v>9622</v>
      </c>
      <c r="G254" s="341" t="s">
        <v>1592</v>
      </c>
      <c r="H254" s="341" t="s">
        <v>2809</v>
      </c>
      <c r="I254" s="341" t="s">
        <v>16</v>
      </c>
      <c r="J254" s="342">
        <v>1.05</v>
      </c>
      <c r="K254" s="342" t="s">
        <v>25</v>
      </c>
      <c r="L254" s="342">
        <v>0</v>
      </c>
    </row>
    <row r="255" spans="1:12" x14ac:dyDescent="0.25">
      <c r="A255" s="341" t="s">
        <v>2420</v>
      </c>
      <c r="B255" s="341" t="s">
        <v>2420</v>
      </c>
      <c r="C255" s="341" t="s">
        <v>2420</v>
      </c>
      <c r="D255" s="342">
        <v>0</v>
      </c>
      <c r="E255" s="342" t="s">
        <v>2420</v>
      </c>
      <c r="F255" s="342" t="s">
        <v>9622</v>
      </c>
      <c r="G255" s="341" t="s">
        <v>1865</v>
      </c>
      <c r="H255" s="341" t="s">
        <v>9835</v>
      </c>
      <c r="I255" s="341" t="s">
        <v>16</v>
      </c>
      <c r="J255" s="342">
        <v>1</v>
      </c>
      <c r="K255" s="342" t="s">
        <v>9623</v>
      </c>
      <c r="L255" s="342">
        <v>0</v>
      </c>
    </row>
    <row r="256" spans="1:12" x14ac:dyDescent="0.25">
      <c r="A256" s="341" t="s">
        <v>2420</v>
      </c>
      <c r="B256" s="341" t="s">
        <v>2420</v>
      </c>
      <c r="C256" s="341" t="s">
        <v>2420</v>
      </c>
      <c r="D256" s="342">
        <v>0</v>
      </c>
      <c r="E256" s="342" t="s">
        <v>2420</v>
      </c>
      <c r="F256" s="342" t="s">
        <v>9624</v>
      </c>
      <c r="G256" s="341" t="s">
        <v>9828</v>
      </c>
      <c r="H256" s="341" t="s">
        <v>9829</v>
      </c>
      <c r="I256" s="341" t="s">
        <v>16</v>
      </c>
      <c r="J256" s="342">
        <v>1</v>
      </c>
      <c r="K256" s="342" t="s">
        <v>2420</v>
      </c>
      <c r="L256" s="342">
        <v>0</v>
      </c>
    </row>
    <row r="257" spans="1:12" x14ac:dyDescent="0.25">
      <c r="A257" s="341" t="s">
        <v>9839</v>
      </c>
      <c r="B257" s="341" t="s">
        <v>9840</v>
      </c>
      <c r="C257" s="341" t="s">
        <v>52</v>
      </c>
      <c r="D257" s="342">
        <v>1</v>
      </c>
      <c r="E257" s="342">
        <v>0</v>
      </c>
      <c r="F257" s="342" t="s">
        <v>9622</v>
      </c>
      <c r="G257" s="341" t="s">
        <v>1210</v>
      </c>
      <c r="H257" s="341" t="s">
        <v>6855</v>
      </c>
      <c r="I257" s="341" t="s">
        <v>4230</v>
      </c>
      <c r="J257" s="342">
        <v>1.5</v>
      </c>
      <c r="K257" s="342" t="s">
        <v>4230</v>
      </c>
      <c r="L257" s="342">
        <v>0</v>
      </c>
    </row>
    <row r="258" spans="1:12" x14ac:dyDescent="0.25">
      <c r="A258" s="341" t="s">
        <v>236</v>
      </c>
      <c r="B258" s="341" t="s">
        <v>9841</v>
      </c>
      <c r="C258" s="341" t="s">
        <v>52</v>
      </c>
      <c r="D258" s="342">
        <v>1</v>
      </c>
      <c r="E258" s="342">
        <v>0</v>
      </c>
      <c r="F258" s="342" t="s">
        <v>9622</v>
      </c>
      <c r="G258" s="341" t="s">
        <v>1139</v>
      </c>
      <c r="H258" s="341" t="s">
        <v>6785</v>
      </c>
      <c r="I258" s="341" t="s">
        <v>52</v>
      </c>
      <c r="J258" s="342">
        <v>1</v>
      </c>
      <c r="K258" s="342" t="s">
        <v>9842</v>
      </c>
      <c r="L258" s="342">
        <v>0</v>
      </c>
    </row>
    <row r="259" spans="1:12" x14ac:dyDescent="0.25">
      <c r="A259" s="341" t="s">
        <v>2420</v>
      </c>
      <c r="B259" s="341" t="s">
        <v>2420</v>
      </c>
      <c r="C259" s="341" t="s">
        <v>2420</v>
      </c>
      <c r="D259" s="342">
        <v>0</v>
      </c>
      <c r="E259" s="342" t="s">
        <v>2420</v>
      </c>
      <c r="F259" s="342" t="s">
        <v>9624</v>
      </c>
      <c r="G259" s="341" t="s">
        <v>9839</v>
      </c>
      <c r="H259" s="341" t="s">
        <v>9840</v>
      </c>
      <c r="I259" s="341" t="s">
        <v>52</v>
      </c>
      <c r="J259" s="342">
        <v>1</v>
      </c>
      <c r="K259" s="342" t="s">
        <v>2420</v>
      </c>
      <c r="L259" s="342">
        <v>0</v>
      </c>
    </row>
    <row r="260" spans="1:12" x14ac:dyDescent="0.25">
      <c r="A260" s="341" t="s">
        <v>467</v>
      </c>
      <c r="B260" s="341" t="s">
        <v>9843</v>
      </c>
      <c r="C260" s="341" t="s">
        <v>11</v>
      </c>
      <c r="D260" s="342">
        <v>1</v>
      </c>
      <c r="E260" s="342">
        <v>0</v>
      </c>
      <c r="F260" s="342" t="s">
        <v>9622</v>
      </c>
      <c r="G260" s="341" t="s">
        <v>1293</v>
      </c>
      <c r="H260" s="341" t="s">
        <v>9844</v>
      </c>
      <c r="I260" s="341" t="s">
        <v>11</v>
      </c>
      <c r="J260" s="342">
        <v>1</v>
      </c>
      <c r="K260" s="342" t="s">
        <v>25</v>
      </c>
      <c r="L260" s="342">
        <v>0</v>
      </c>
    </row>
    <row r="261" spans="1:12" x14ac:dyDescent="0.25">
      <c r="A261" s="341" t="s">
        <v>2420</v>
      </c>
      <c r="B261" s="341" t="s">
        <v>2420</v>
      </c>
      <c r="C261" s="341" t="s">
        <v>2420</v>
      </c>
      <c r="D261" s="342">
        <v>0</v>
      </c>
      <c r="E261" s="342" t="s">
        <v>2420</v>
      </c>
      <c r="F261" s="342" t="s">
        <v>9622</v>
      </c>
      <c r="G261" s="341" t="s">
        <v>1322</v>
      </c>
      <c r="H261" s="341" t="s">
        <v>7014</v>
      </c>
      <c r="I261" s="341" t="s">
        <v>25</v>
      </c>
      <c r="J261" s="342">
        <v>0.56000000000000005</v>
      </c>
      <c r="K261" s="342" t="s">
        <v>25</v>
      </c>
      <c r="L261" s="342">
        <v>0</v>
      </c>
    </row>
    <row r="262" spans="1:12" x14ac:dyDescent="0.25">
      <c r="A262" s="341" t="s">
        <v>2420</v>
      </c>
      <c r="B262" s="341" t="s">
        <v>2420</v>
      </c>
      <c r="C262" s="341" t="s">
        <v>2420</v>
      </c>
      <c r="D262" s="342">
        <v>0</v>
      </c>
      <c r="E262" s="342" t="s">
        <v>2420</v>
      </c>
      <c r="F262" s="342" t="s">
        <v>9622</v>
      </c>
      <c r="G262" s="341" t="s">
        <v>1337</v>
      </c>
      <c r="H262" s="341" t="s">
        <v>7056</v>
      </c>
      <c r="I262" s="341" t="s">
        <v>11</v>
      </c>
      <c r="J262" s="342">
        <v>1</v>
      </c>
      <c r="K262" s="342" t="s">
        <v>25</v>
      </c>
      <c r="L262" s="342">
        <v>0</v>
      </c>
    </row>
    <row r="263" spans="1:12" x14ac:dyDescent="0.25">
      <c r="A263" s="341" t="s">
        <v>2420</v>
      </c>
      <c r="B263" s="341" t="s">
        <v>2420</v>
      </c>
      <c r="C263" s="341" t="s">
        <v>2420</v>
      </c>
      <c r="D263" s="342">
        <v>0</v>
      </c>
      <c r="E263" s="342" t="s">
        <v>2420</v>
      </c>
      <c r="F263" s="342" t="s">
        <v>9622</v>
      </c>
      <c r="G263" s="341" t="s">
        <v>1594</v>
      </c>
      <c r="H263" s="341" t="s">
        <v>7315</v>
      </c>
      <c r="I263" s="341" t="s">
        <v>6609</v>
      </c>
      <c r="J263" s="342">
        <v>1</v>
      </c>
      <c r="K263" s="342" t="s">
        <v>25</v>
      </c>
      <c r="L263" s="342">
        <v>0</v>
      </c>
    </row>
    <row r="264" spans="1:12" x14ac:dyDescent="0.25">
      <c r="A264" s="341" t="s">
        <v>2420</v>
      </c>
      <c r="B264" s="341" t="s">
        <v>2420</v>
      </c>
      <c r="C264" s="341" t="s">
        <v>2420</v>
      </c>
      <c r="D264" s="342">
        <v>0</v>
      </c>
      <c r="E264" s="342" t="s">
        <v>2420</v>
      </c>
      <c r="F264" s="342" t="s">
        <v>9622</v>
      </c>
      <c r="G264" s="341" t="s">
        <v>1793</v>
      </c>
      <c r="H264" s="341" t="s">
        <v>9845</v>
      </c>
      <c r="I264" s="341" t="s">
        <v>11</v>
      </c>
      <c r="J264" s="342">
        <v>1</v>
      </c>
      <c r="K264" s="342" t="s">
        <v>9638</v>
      </c>
      <c r="L264" s="342">
        <v>0</v>
      </c>
    </row>
    <row r="265" spans="1:12" x14ac:dyDescent="0.25">
      <c r="A265" s="341" t="s">
        <v>200</v>
      </c>
      <c r="B265" s="341" t="s">
        <v>9846</v>
      </c>
      <c r="C265" s="341" t="s">
        <v>11</v>
      </c>
      <c r="D265" s="342">
        <v>1</v>
      </c>
      <c r="E265" s="342">
        <v>0</v>
      </c>
      <c r="F265" s="342" t="s">
        <v>9622</v>
      </c>
      <c r="G265" s="341" t="s">
        <v>1298</v>
      </c>
      <c r="H265" s="341" t="s">
        <v>9847</v>
      </c>
      <c r="I265" s="341" t="s">
        <v>11</v>
      </c>
      <c r="J265" s="342">
        <v>1</v>
      </c>
      <c r="K265" s="342" t="s">
        <v>25</v>
      </c>
      <c r="L265" s="342">
        <v>0</v>
      </c>
    </row>
    <row r="266" spans="1:12" x14ac:dyDescent="0.25">
      <c r="A266" s="341" t="s">
        <v>2420</v>
      </c>
      <c r="B266" s="341" t="s">
        <v>2420</v>
      </c>
      <c r="C266" s="341" t="s">
        <v>2420</v>
      </c>
      <c r="D266" s="342">
        <v>0</v>
      </c>
      <c r="E266" s="342" t="s">
        <v>2420</v>
      </c>
      <c r="F266" s="342" t="s">
        <v>9622</v>
      </c>
      <c r="G266" s="341" t="s">
        <v>1322</v>
      </c>
      <c r="H266" s="341" t="s">
        <v>7014</v>
      </c>
      <c r="I266" s="341" t="s">
        <v>25</v>
      </c>
      <c r="J266" s="342">
        <v>0.56000000000000005</v>
      </c>
      <c r="K266" s="342" t="s">
        <v>25</v>
      </c>
      <c r="L266" s="342">
        <v>0</v>
      </c>
    </row>
    <row r="267" spans="1:12" x14ac:dyDescent="0.25">
      <c r="A267" s="341" t="s">
        <v>2420</v>
      </c>
      <c r="B267" s="341" t="s">
        <v>2420</v>
      </c>
      <c r="C267" s="341" t="s">
        <v>2420</v>
      </c>
      <c r="D267" s="342">
        <v>0</v>
      </c>
      <c r="E267" s="342" t="s">
        <v>2420</v>
      </c>
      <c r="F267" s="342" t="s">
        <v>9622</v>
      </c>
      <c r="G267" s="341" t="s">
        <v>1337</v>
      </c>
      <c r="H267" s="341" t="s">
        <v>7056</v>
      </c>
      <c r="I267" s="341" t="s">
        <v>11</v>
      </c>
      <c r="J267" s="342">
        <v>1</v>
      </c>
      <c r="K267" s="342" t="s">
        <v>25</v>
      </c>
      <c r="L267" s="342">
        <v>0</v>
      </c>
    </row>
    <row r="268" spans="1:12" x14ac:dyDescent="0.25">
      <c r="A268" s="341" t="s">
        <v>2420</v>
      </c>
      <c r="B268" s="341" t="s">
        <v>2420</v>
      </c>
      <c r="C268" s="341" t="s">
        <v>2420</v>
      </c>
      <c r="D268" s="342">
        <v>0</v>
      </c>
      <c r="E268" s="342" t="s">
        <v>2420</v>
      </c>
      <c r="F268" s="342" t="s">
        <v>9622</v>
      </c>
      <c r="G268" s="341" t="s">
        <v>1594</v>
      </c>
      <c r="H268" s="341" t="s">
        <v>7315</v>
      </c>
      <c r="I268" s="341" t="s">
        <v>6609</v>
      </c>
      <c r="J268" s="342">
        <v>1</v>
      </c>
      <c r="K268" s="342" t="s">
        <v>25</v>
      </c>
      <c r="L268" s="342">
        <v>0</v>
      </c>
    </row>
    <row r="269" spans="1:12" x14ac:dyDescent="0.25">
      <c r="A269" s="341" t="s">
        <v>2420</v>
      </c>
      <c r="B269" s="341" t="s">
        <v>2420</v>
      </c>
      <c r="C269" s="341" t="s">
        <v>2420</v>
      </c>
      <c r="D269" s="342">
        <v>0</v>
      </c>
      <c r="E269" s="342" t="s">
        <v>2420</v>
      </c>
      <c r="F269" s="342" t="s">
        <v>9622</v>
      </c>
      <c r="G269" s="341" t="s">
        <v>1767</v>
      </c>
      <c r="H269" s="341" t="s">
        <v>9846</v>
      </c>
      <c r="I269" s="341" t="s">
        <v>11</v>
      </c>
      <c r="J269" s="342">
        <v>1</v>
      </c>
      <c r="K269" s="342" t="s">
        <v>9638</v>
      </c>
      <c r="L269" s="342">
        <v>0</v>
      </c>
    </row>
    <row r="270" spans="1:12" x14ac:dyDescent="0.25">
      <c r="A270" s="341" t="s">
        <v>2420</v>
      </c>
      <c r="B270" s="341" t="s">
        <v>2420</v>
      </c>
      <c r="C270" s="341" t="s">
        <v>2420</v>
      </c>
      <c r="D270" s="342">
        <v>0</v>
      </c>
      <c r="E270" s="342" t="s">
        <v>2420</v>
      </c>
      <c r="F270" s="342" t="s">
        <v>9622</v>
      </c>
      <c r="G270" s="341" t="s">
        <v>1784</v>
      </c>
      <c r="H270" s="341" t="s">
        <v>7821</v>
      </c>
      <c r="I270" s="341" t="s">
        <v>11</v>
      </c>
      <c r="J270" s="342">
        <v>1</v>
      </c>
      <c r="K270" s="342" t="s">
        <v>9638</v>
      </c>
      <c r="L270" s="342">
        <v>0</v>
      </c>
    </row>
    <row r="271" spans="1:12" x14ac:dyDescent="0.25">
      <c r="A271" s="341" t="s">
        <v>397</v>
      </c>
      <c r="B271" s="341" t="s">
        <v>9848</v>
      </c>
      <c r="C271" s="341" t="s">
        <v>16</v>
      </c>
      <c r="D271" s="342">
        <v>1</v>
      </c>
      <c r="E271" s="342">
        <v>0</v>
      </c>
      <c r="F271" s="342" t="s">
        <v>9622</v>
      </c>
      <c r="G271" s="341" t="s">
        <v>1234</v>
      </c>
      <c r="H271" s="341" t="s">
        <v>6899</v>
      </c>
      <c r="I271" s="341" t="s">
        <v>4230</v>
      </c>
      <c r="J271" s="342">
        <v>1.46</v>
      </c>
      <c r="K271" s="342" t="s">
        <v>4230</v>
      </c>
      <c r="L271" s="342">
        <v>0</v>
      </c>
    </row>
    <row r="272" spans="1:12" x14ac:dyDescent="0.25">
      <c r="A272" s="341" t="s">
        <v>2420</v>
      </c>
      <c r="B272" s="341" t="s">
        <v>2420</v>
      </c>
      <c r="C272" s="341" t="s">
        <v>2420</v>
      </c>
      <c r="D272" s="342">
        <v>0</v>
      </c>
      <c r="E272" s="342" t="s">
        <v>2420</v>
      </c>
      <c r="F272" s="342" t="s">
        <v>9622</v>
      </c>
      <c r="G272" s="341" t="s">
        <v>1235</v>
      </c>
      <c r="H272" s="341" t="s">
        <v>6900</v>
      </c>
      <c r="I272" s="341" t="s">
        <v>4230</v>
      </c>
      <c r="J272" s="342">
        <v>1.46</v>
      </c>
      <c r="K272" s="342" t="s">
        <v>4230</v>
      </c>
      <c r="L272" s="342">
        <v>0</v>
      </c>
    </row>
    <row r="273" spans="1:12" x14ac:dyDescent="0.25">
      <c r="A273" s="341" t="s">
        <v>2420</v>
      </c>
      <c r="B273" s="341" t="s">
        <v>2420</v>
      </c>
      <c r="C273" s="341" t="s">
        <v>2420</v>
      </c>
      <c r="D273" s="342">
        <v>0</v>
      </c>
      <c r="E273" s="342" t="s">
        <v>2420</v>
      </c>
      <c r="F273" s="342" t="s">
        <v>9622</v>
      </c>
      <c r="G273" s="341" t="s">
        <v>1266</v>
      </c>
      <c r="H273" s="341" t="s">
        <v>6926</v>
      </c>
      <c r="I273" s="341" t="s">
        <v>25</v>
      </c>
      <c r="J273" s="342">
        <v>1.64</v>
      </c>
      <c r="K273" s="342" t="s">
        <v>25</v>
      </c>
      <c r="L273" s="342">
        <v>0</v>
      </c>
    </row>
    <row r="274" spans="1:12" x14ac:dyDescent="0.25">
      <c r="A274" s="341" t="s">
        <v>2420</v>
      </c>
      <c r="B274" s="341" t="s">
        <v>2420</v>
      </c>
      <c r="C274" s="341" t="s">
        <v>2420</v>
      </c>
      <c r="D274" s="342">
        <v>0</v>
      </c>
      <c r="E274" s="342" t="s">
        <v>2420</v>
      </c>
      <c r="F274" s="342" t="s">
        <v>9622</v>
      </c>
      <c r="G274" s="341" t="s">
        <v>1386</v>
      </c>
      <c r="H274" s="341" t="s">
        <v>7104</v>
      </c>
      <c r="I274" s="341" t="s">
        <v>11</v>
      </c>
      <c r="J274" s="342">
        <v>1</v>
      </c>
      <c r="K274" s="342" t="s">
        <v>25</v>
      </c>
      <c r="L274" s="342">
        <v>0</v>
      </c>
    </row>
    <row r="275" spans="1:12" x14ac:dyDescent="0.25">
      <c r="A275" s="341" t="s">
        <v>2420</v>
      </c>
      <c r="B275" s="341" t="s">
        <v>2420</v>
      </c>
      <c r="C275" s="341" t="s">
        <v>2420</v>
      </c>
      <c r="D275" s="342">
        <v>0</v>
      </c>
      <c r="E275" s="342" t="s">
        <v>2420</v>
      </c>
      <c r="F275" s="342" t="s">
        <v>9622</v>
      </c>
      <c r="G275" s="341" t="s">
        <v>1492</v>
      </c>
      <c r="H275" s="341" t="s">
        <v>7232</v>
      </c>
      <c r="I275" s="341" t="s">
        <v>25</v>
      </c>
      <c r="J275" s="342">
        <v>2.34</v>
      </c>
      <c r="K275" s="342" t="s">
        <v>25</v>
      </c>
      <c r="L275" s="342">
        <v>0</v>
      </c>
    </row>
    <row r="276" spans="1:12" x14ac:dyDescent="0.25">
      <c r="A276" s="341" t="s">
        <v>2420</v>
      </c>
      <c r="B276" s="341" t="s">
        <v>2420</v>
      </c>
      <c r="C276" s="341" t="s">
        <v>2420</v>
      </c>
      <c r="D276" s="342">
        <v>0</v>
      </c>
      <c r="E276" s="342" t="s">
        <v>2420</v>
      </c>
      <c r="F276" s="342" t="s">
        <v>9622</v>
      </c>
      <c r="G276" s="341" t="s">
        <v>1522</v>
      </c>
      <c r="H276" s="341" t="s">
        <v>9849</v>
      </c>
      <c r="I276" s="341" t="s">
        <v>16</v>
      </c>
      <c r="J276" s="342">
        <v>1.05</v>
      </c>
      <c r="K276" s="342" t="s">
        <v>25</v>
      </c>
      <c r="L276" s="342">
        <v>0</v>
      </c>
    </row>
    <row r="277" spans="1:12" x14ac:dyDescent="0.25">
      <c r="A277" s="341" t="s">
        <v>2420</v>
      </c>
      <c r="B277" s="341" t="s">
        <v>2420</v>
      </c>
      <c r="C277" s="341" t="s">
        <v>2420</v>
      </c>
      <c r="D277" s="342">
        <v>0</v>
      </c>
      <c r="E277" s="342" t="s">
        <v>2420</v>
      </c>
      <c r="F277" s="342" t="s">
        <v>9622</v>
      </c>
      <c r="G277" s="341" t="s">
        <v>1548</v>
      </c>
      <c r="H277" s="341" t="s">
        <v>7280</v>
      </c>
      <c r="I277" s="341" t="s">
        <v>11</v>
      </c>
      <c r="J277" s="342">
        <v>2.16</v>
      </c>
      <c r="K277" s="342" t="s">
        <v>25</v>
      </c>
      <c r="L277" s="342">
        <v>0</v>
      </c>
    </row>
    <row r="278" spans="1:12" x14ac:dyDescent="0.25">
      <c r="A278" s="341" t="s">
        <v>2420</v>
      </c>
      <c r="B278" s="341" t="s">
        <v>2420</v>
      </c>
      <c r="C278" s="341" t="s">
        <v>2420</v>
      </c>
      <c r="D278" s="342">
        <v>0</v>
      </c>
      <c r="E278" s="342" t="s">
        <v>2420</v>
      </c>
      <c r="F278" s="342" t="s">
        <v>9622</v>
      </c>
      <c r="G278" s="341" t="s">
        <v>1624</v>
      </c>
      <c r="H278" s="341" t="s">
        <v>7344</v>
      </c>
      <c r="I278" s="341" t="s">
        <v>11</v>
      </c>
      <c r="J278" s="342">
        <v>2</v>
      </c>
      <c r="K278" s="342" t="s">
        <v>25</v>
      </c>
      <c r="L278" s="342">
        <v>0</v>
      </c>
    </row>
    <row r="279" spans="1:12" x14ac:dyDescent="0.25">
      <c r="A279" s="341" t="s">
        <v>2420</v>
      </c>
      <c r="B279" s="341" t="s">
        <v>2420</v>
      </c>
      <c r="C279" s="341" t="s">
        <v>2420</v>
      </c>
      <c r="D279" s="342">
        <v>0</v>
      </c>
      <c r="E279" s="342" t="s">
        <v>2420</v>
      </c>
      <c r="F279" s="342" t="s">
        <v>9622</v>
      </c>
      <c r="G279" s="341" t="s">
        <v>1897</v>
      </c>
      <c r="H279" s="341" t="s">
        <v>9850</v>
      </c>
      <c r="I279" s="341" t="s">
        <v>11</v>
      </c>
      <c r="J279" s="342">
        <v>0.42</v>
      </c>
      <c r="K279" s="342" t="s">
        <v>9623</v>
      </c>
      <c r="L279" s="342">
        <v>0</v>
      </c>
    </row>
    <row r="280" spans="1:12" x14ac:dyDescent="0.25">
      <c r="A280" s="341" t="s">
        <v>2420</v>
      </c>
      <c r="B280" s="341" t="s">
        <v>2420</v>
      </c>
      <c r="C280" s="341" t="s">
        <v>2420</v>
      </c>
      <c r="D280" s="342">
        <v>0</v>
      </c>
      <c r="E280" s="342" t="s">
        <v>2420</v>
      </c>
      <c r="F280" s="342" t="s">
        <v>9622</v>
      </c>
      <c r="G280" s="341" t="s">
        <v>1937</v>
      </c>
      <c r="H280" s="341" t="s">
        <v>9851</v>
      </c>
      <c r="I280" s="341" t="s">
        <v>25</v>
      </c>
      <c r="J280" s="342">
        <v>2.0339999999999998</v>
      </c>
      <c r="K280" s="342" t="s">
        <v>9623</v>
      </c>
      <c r="L280" s="342">
        <v>0</v>
      </c>
    </row>
    <row r="281" spans="1:12" x14ac:dyDescent="0.25">
      <c r="A281" s="341" t="s">
        <v>2420</v>
      </c>
      <c r="B281" s="341" t="s">
        <v>2420</v>
      </c>
      <c r="C281" s="341" t="s">
        <v>2420</v>
      </c>
      <c r="D281" s="342">
        <v>0</v>
      </c>
      <c r="E281" s="342" t="s">
        <v>2420</v>
      </c>
      <c r="F281" s="342" t="s">
        <v>9622</v>
      </c>
      <c r="G281" s="341" t="s">
        <v>1945</v>
      </c>
      <c r="H281" s="341" t="s">
        <v>8082</v>
      </c>
      <c r="I281" s="341" t="s">
        <v>16</v>
      </c>
      <c r="J281" s="342">
        <v>1</v>
      </c>
      <c r="K281" s="342" t="s">
        <v>9623</v>
      </c>
      <c r="L281" s="342">
        <v>0</v>
      </c>
    </row>
    <row r="282" spans="1:12" x14ac:dyDescent="0.25">
      <c r="A282" s="341" t="s">
        <v>204</v>
      </c>
      <c r="B282" s="341" t="s">
        <v>9852</v>
      </c>
      <c r="C282" s="341" t="s">
        <v>11</v>
      </c>
      <c r="D282" s="342">
        <v>1</v>
      </c>
      <c r="E282" s="342">
        <v>0</v>
      </c>
      <c r="F282" s="342" t="s">
        <v>9622</v>
      </c>
      <c r="G282" s="341" t="s">
        <v>1204</v>
      </c>
      <c r="H282" s="341" t="s">
        <v>6854</v>
      </c>
      <c r="I282" s="341" t="s">
        <v>4230</v>
      </c>
      <c r="J282" s="342">
        <v>0.35</v>
      </c>
      <c r="K282" s="342" t="s">
        <v>4230</v>
      </c>
      <c r="L282" s="342">
        <v>0</v>
      </c>
    </row>
    <row r="283" spans="1:12" x14ac:dyDescent="0.25">
      <c r="A283" s="341" t="s">
        <v>2420</v>
      </c>
      <c r="B283" s="341" t="s">
        <v>2420</v>
      </c>
      <c r="C283" s="341" t="s">
        <v>2420</v>
      </c>
      <c r="D283" s="342">
        <v>0</v>
      </c>
      <c r="E283" s="342" t="s">
        <v>2420</v>
      </c>
      <c r="F283" s="342" t="s">
        <v>9622</v>
      </c>
      <c r="G283" s="341" t="s">
        <v>1210</v>
      </c>
      <c r="H283" s="341" t="s">
        <v>6855</v>
      </c>
      <c r="I283" s="341" t="s">
        <v>4230</v>
      </c>
      <c r="J283" s="342">
        <v>0.35</v>
      </c>
      <c r="K283" s="342" t="s">
        <v>4230</v>
      </c>
      <c r="L283" s="342">
        <v>0</v>
      </c>
    </row>
    <row r="284" spans="1:12" x14ac:dyDescent="0.25">
      <c r="A284" s="341" t="s">
        <v>2420</v>
      </c>
      <c r="B284" s="341" t="s">
        <v>2420</v>
      </c>
      <c r="C284" s="341" t="s">
        <v>2420</v>
      </c>
      <c r="D284" s="342">
        <v>0</v>
      </c>
      <c r="E284" s="342" t="s">
        <v>2420</v>
      </c>
      <c r="F284" s="342" t="s">
        <v>9622</v>
      </c>
      <c r="G284" s="341" t="s">
        <v>1494</v>
      </c>
      <c r="H284" s="341" t="s">
        <v>2974</v>
      </c>
      <c r="I284" s="341" t="s">
        <v>11</v>
      </c>
      <c r="J284" s="342">
        <v>1</v>
      </c>
      <c r="K284" s="342" t="s">
        <v>25</v>
      </c>
      <c r="L284" s="342">
        <v>0</v>
      </c>
    </row>
    <row r="285" spans="1:12" x14ac:dyDescent="0.25">
      <c r="A285" s="341" t="s">
        <v>487</v>
      </c>
      <c r="B285" s="341" t="s">
        <v>9852</v>
      </c>
      <c r="C285" s="341" t="s">
        <v>11</v>
      </c>
      <c r="D285" s="342">
        <v>1</v>
      </c>
      <c r="E285" s="342">
        <v>0</v>
      </c>
      <c r="F285" s="342" t="s">
        <v>9622</v>
      </c>
      <c r="G285" s="341" t="s">
        <v>1204</v>
      </c>
      <c r="H285" s="341" t="s">
        <v>6854</v>
      </c>
      <c r="I285" s="341" t="s">
        <v>4230</v>
      </c>
      <c r="J285" s="342">
        <v>0.35</v>
      </c>
      <c r="K285" s="342" t="s">
        <v>4230</v>
      </c>
      <c r="L285" s="342">
        <v>0</v>
      </c>
    </row>
    <row r="286" spans="1:12" x14ac:dyDescent="0.25">
      <c r="A286" s="341" t="s">
        <v>2420</v>
      </c>
      <c r="B286" s="341" t="s">
        <v>2420</v>
      </c>
      <c r="C286" s="341" t="s">
        <v>2420</v>
      </c>
      <c r="D286" s="342">
        <v>0</v>
      </c>
      <c r="E286" s="342" t="s">
        <v>2420</v>
      </c>
      <c r="F286" s="342" t="s">
        <v>9622</v>
      </c>
      <c r="G286" s="341" t="s">
        <v>1210</v>
      </c>
      <c r="H286" s="341" t="s">
        <v>6855</v>
      </c>
      <c r="I286" s="341" t="s">
        <v>4230</v>
      </c>
      <c r="J286" s="342">
        <v>0.35</v>
      </c>
      <c r="K286" s="342" t="s">
        <v>4230</v>
      </c>
      <c r="L286" s="342">
        <v>0</v>
      </c>
    </row>
    <row r="287" spans="1:12" x14ac:dyDescent="0.25">
      <c r="A287" s="341" t="s">
        <v>2420</v>
      </c>
      <c r="B287" s="341" t="s">
        <v>2420</v>
      </c>
      <c r="C287" s="341" t="s">
        <v>2420</v>
      </c>
      <c r="D287" s="342">
        <v>0</v>
      </c>
      <c r="E287" s="342" t="s">
        <v>2420</v>
      </c>
      <c r="F287" s="342" t="s">
        <v>9622</v>
      </c>
      <c r="G287" s="341" t="s">
        <v>1495</v>
      </c>
      <c r="H287" s="341" t="s">
        <v>2975</v>
      </c>
      <c r="I287" s="341" t="s">
        <v>11</v>
      </c>
      <c r="J287" s="342">
        <v>1</v>
      </c>
      <c r="K287" s="342" t="s">
        <v>25</v>
      </c>
      <c r="L287" s="342">
        <v>0</v>
      </c>
    </row>
    <row r="288" spans="1:12" x14ac:dyDescent="0.25">
      <c r="A288" s="341" t="s">
        <v>473</v>
      </c>
      <c r="B288" s="341" t="s">
        <v>9853</v>
      </c>
      <c r="C288" s="341" t="s">
        <v>11</v>
      </c>
      <c r="D288" s="342">
        <v>1</v>
      </c>
      <c r="E288" s="342">
        <v>0</v>
      </c>
      <c r="F288" s="342" t="s">
        <v>9622</v>
      </c>
      <c r="G288" s="341" t="s">
        <v>1337</v>
      </c>
      <c r="H288" s="341" t="s">
        <v>7056</v>
      </c>
      <c r="I288" s="341" t="s">
        <v>11</v>
      </c>
      <c r="J288" s="342">
        <v>1</v>
      </c>
      <c r="K288" s="342" t="s">
        <v>25</v>
      </c>
      <c r="L288" s="342">
        <v>0</v>
      </c>
    </row>
    <row r="289" spans="1:12" x14ac:dyDescent="0.25">
      <c r="A289" s="341" t="s">
        <v>2420</v>
      </c>
      <c r="B289" s="341" t="s">
        <v>2420</v>
      </c>
      <c r="C289" s="341" t="s">
        <v>2420</v>
      </c>
      <c r="D289" s="342">
        <v>0</v>
      </c>
      <c r="E289" s="342" t="s">
        <v>2420</v>
      </c>
      <c r="F289" s="342" t="s">
        <v>9622</v>
      </c>
      <c r="G289" s="341" t="s">
        <v>1408</v>
      </c>
      <c r="H289" s="341" t="s">
        <v>9854</v>
      </c>
      <c r="I289" s="341" t="s">
        <v>11</v>
      </c>
      <c r="J289" s="342">
        <v>1</v>
      </c>
      <c r="K289" s="342" t="s">
        <v>25</v>
      </c>
      <c r="L289" s="342">
        <v>0</v>
      </c>
    </row>
    <row r="290" spans="1:12" x14ac:dyDescent="0.25">
      <c r="A290" s="341" t="s">
        <v>2420</v>
      </c>
      <c r="B290" s="341" t="s">
        <v>2420</v>
      </c>
      <c r="C290" s="341" t="s">
        <v>2420</v>
      </c>
      <c r="D290" s="342">
        <v>0</v>
      </c>
      <c r="E290" s="342" t="s">
        <v>2420</v>
      </c>
      <c r="F290" s="342" t="s">
        <v>9622</v>
      </c>
      <c r="G290" s="341" t="s">
        <v>1427</v>
      </c>
      <c r="H290" s="341" t="s">
        <v>9855</v>
      </c>
      <c r="I290" s="341" t="s">
        <v>11</v>
      </c>
      <c r="J290" s="342">
        <v>1</v>
      </c>
      <c r="K290" s="342" t="s">
        <v>25</v>
      </c>
      <c r="L290" s="342">
        <v>0</v>
      </c>
    </row>
    <row r="291" spans="1:12" x14ac:dyDescent="0.25">
      <c r="A291" s="341" t="s">
        <v>2420</v>
      </c>
      <c r="B291" s="341" t="s">
        <v>2420</v>
      </c>
      <c r="C291" s="341" t="s">
        <v>2420</v>
      </c>
      <c r="D291" s="342">
        <v>0</v>
      </c>
      <c r="E291" s="342" t="s">
        <v>2420</v>
      </c>
      <c r="F291" s="342" t="s">
        <v>9622</v>
      </c>
      <c r="G291" s="341" t="s">
        <v>1313</v>
      </c>
      <c r="H291" s="341" t="s">
        <v>9853</v>
      </c>
      <c r="I291" s="341" t="s">
        <v>11</v>
      </c>
      <c r="J291" s="342">
        <v>1</v>
      </c>
      <c r="K291" s="342" t="s">
        <v>25</v>
      </c>
      <c r="L291" s="342">
        <v>0</v>
      </c>
    </row>
    <row r="292" spans="1:12" x14ac:dyDescent="0.25">
      <c r="A292" s="341" t="s">
        <v>2420</v>
      </c>
      <c r="B292" s="341" t="s">
        <v>2420</v>
      </c>
      <c r="C292" s="341" t="s">
        <v>2420</v>
      </c>
      <c r="D292" s="342">
        <v>0</v>
      </c>
      <c r="E292" s="342" t="s">
        <v>2420</v>
      </c>
      <c r="F292" s="342" t="s">
        <v>9622</v>
      </c>
      <c r="G292" s="341" t="s">
        <v>1322</v>
      </c>
      <c r="H292" s="341" t="s">
        <v>7014</v>
      </c>
      <c r="I292" s="341" t="s">
        <v>25</v>
      </c>
      <c r="J292" s="342">
        <v>1.1200000000000001</v>
      </c>
      <c r="K292" s="342" t="s">
        <v>25</v>
      </c>
      <c r="L292" s="342">
        <v>0</v>
      </c>
    </row>
    <row r="293" spans="1:12" x14ac:dyDescent="0.25">
      <c r="A293" s="341" t="s">
        <v>177</v>
      </c>
      <c r="B293" s="341" t="s">
        <v>9856</v>
      </c>
      <c r="C293" s="341" t="s">
        <v>16</v>
      </c>
      <c r="D293" s="342">
        <v>1</v>
      </c>
      <c r="E293" s="342">
        <v>0</v>
      </c>
      <c r="F293" s="342" t="s">
        <v>9622</v>
      </c>
      <c r="G293" s="341" t="s">
        <v>1234</v>
      </c>
      <c r="H293" s="341" t="s">
        <v>6899</v>
      </c>
      <c r="I293" s="341" t="s">
        <v>4230</v>
      </c>
      <c r="J293" s="342">
        <v>0.73</v>
      </c>
      <c r="K293" s="342" t="s">
        <v>4230</v>
      </c>
      <c r="L293" s="342">
        <v>0</v>
      </c>
    </row>
    <row r="294" spans="1:12" x14ac:dyDescent="0.25">
      <c r="A294" s="341" t="s">
        <v>2420</v>
      </c>
      <c r="B294" s="341" t="s">
        <v>2420</v>
      </c>
      <c r="C294" s="341" t="s">
        <v>2420</v>
      </c>
      <c r="D294" s="342">
        <v>0</v>
      </c>
      <c r="E294" s="342" t="s">
        <v>2420</v>
      </c>
      <c r="F294" s="342" t="s">
        <v>9622</v>
      </c>
      <c r="G294" s="341" t="s">
        <v>1235</v>
      </c>
      <c r="H294" s="341" t="s">
        <v>6900</v>
      </c>
      <c r="I294" s="341" t="s">
        <v>4230</v>
      </c>
      <c r="J294" s="342">
        <v>0.73</v>
      </c>
      <c r="K294" s="342" t="s">
        <v>4230</v>
      </c>
      <c r="L294" s="342">
        <v>0</v>
      </c>
    </row>
    <row r="295" spans="1:12" x14ac:dyDescent="0.25">
      <c r="A295" s="341" t="s">
        <v>2420</v>
      </c>
      <c r="B295" s="341" t="s">
        <v>2420</v>
      </c>
      <c r="C295" s="341" t="s">
        <v>2420</v>
      </c>
      <c r="D295" s="342">
        <v>0</v>
      </c>
      <c r="E295" s="342" t="s">
        <v>2420</v>
      </c>
      <c r="F295" s="342" t="s">
        <v>9622</v>
      </c>
      <c r="G295" s="341" t="s">
        <v>1508</v>
      </c>
      <c r="H295" s="341" t="s">
        <v>2793</v>
      </c>
      <c r="I295" s="341" t="s">
        <v>16</v>
      </c>
      <c r="J295" s="342">
        <v>1.05</v>
      </c>
      <c r="K295" s="342" t="s">
        <v>25</v>
      </c>
      <c r="L295" s="342">
        <v>0</v>
      </c>
    </row>
    <row r="296" spans="1:12" x14ac:dyDescent="0.25">
      <c r="A296" s="341" t="s">
        <v>2420</v>
      </c>
      <c r="B296" s="341" t="s">
        <v>2420</v>
      </c>
      <c r="C296" s="341" t="s">
        <v>2420</v>
      </c>
      <c r="D296" s="342">
        <v>0</v>
      </c>
      <c r="E296" s="342" t="s">
        <v>2420</v>
      </c>
      <c r="F296" s="342" t="s">
        <v>9622</v>
      </c>
      <c r="G296" s="341" t="s">
        <v>1621</v>
      </c>
      <c r="H296" s="341" t="s">
        <v>7341</v>
      </c>
      <c r="I296" s="341" t="s">
        <v>2557</v>
      </c>
      <c r="J296" s="342">
        <v>6</v>
      </c>
      <c r="K296" s="342" t="s">
        <v>25</v>
      </c>
      <c r="L296" s="342">
        <v>0</v>
      </c>
    </row>
    <row r="297" spans="1:12" x14ac:dyDescent="0.25">
      <c r="A297" s="341" t="s">
        <v>2420</v>
      </c>
      <c r="B297" s="341" t="s">
        <v>2420</v>
      </c>
      <c r="C297" s="341" t="s">
        <v>2420</v>
      </c>
      <c r="D297" s="342">
        <v>0</v>
      </c>
      <c r="E297" s="342" t="s">
        <v>2420</v>
      </c>
      <c r="F297" s="342" t="s">
        <v>9622</v>
      </c>
      <c r="G297" s="341" t="s">
        <v>1862</v>
      </c>
      <c r="H297" s="341" t="s">
        <v>7989</v>
      </c>
      <c r="I297" s="341" t="s">
        <v>16</v>
      </c>
      <c r="J297" s="342">
        <v>1</v>
      </c>
      <c r="K297" s="342" t="s">
        <v>9623</v>
      </c>
      <c r="L297" s="342">
        <v>0</v>
      </c>
    </row>
    <row r="298" spans="1:12" x14ac:dyDescent="0.25">
      <c r="A298" s="341" t="s">
        <v>2420</v>
      </c>
      <c r="B298" s="341" t="s">
        <v>2420</v>
      </c>
      <c r="C298" s="341" t="s">
        <v>2420</v>
      </c>
      <c r="D298" s="342">
        <v>0</v>
      </c>
      <c r="E298" s="342" t="s">
        <v>2420</v>
      </c>
      <c r="F298" s="342" t="s">
        <v>9624</v>
      </c>
      <c r="G298" s="341" t="s">
        <v>9857</v>
      </c>
      <c r="H298" s="341" t="s">
        <v>9858</v>
      </c>
      <c r="I298" s="341" t="s">
        <v>16</v>
      </c>
      <c r="J298" s="342">
        <v>1</v>
      </c>
      <c r="K298" s="342" t="s">
        <v>2420</v>
      </c>
      <c r="L298" s="342">
        <v>0</v>
      </c>
    </row>
    <row r="299" spans="1:12" x14ac:dyDescent="0.25">
      <c r="A299" s="341" t="s">
        <v>370</v>
      </c>
      <c r="B299" s="341" t="s">
        <v>9859</v>
      </c>
      <c r="C299" s="341" t="s">
        <v>16</v>
      </c>
      <c r="D299" s="342">
        <v>1</v>
      </c>
      <c r="E299" s="342">
        <v>0</v>
      </c>
      <c r="F299" s="342" t="s">
        <v>9622</v>
      </c>
      <c r="G299" s="341" t="s">
        <v>1234</v>
      </c>
      <c r="H299" s="341" t="s">
        <v>6899</v>
      </c>
      <c r="I299" s="341" t="s">
        <v>4230</v>
      </c>
      <c r="J299" s="342">
        <v>0.73</v>
      </c>
      <c r="K299" s="342" t="s">
        <v>4230</v>
      </c>
      <c r="L299" s="342">
        <v>0</v>
      </c>
    </row>
    <row r="300" spans="1:12" x14ac:dyDescent="0.25">
      <c r="A300" s="341" t="s">
        <v>2420</v>
      </c>
      <c r="B300" s="341" t="s">
        <v>2420</v>
      </c>
      <c r="C300" s="341" t="s">
        <v>2420</v>
      </c>
      <c r="D300" s="342">
        <v>0</v>
      </c>
      <c r="E300" s="342" t="s">
        <v>2420</v>
      </c>
      <c r="F300" s="342" t="s">
        <v>9622</v>
      </c>
      <c r="G300" s="341" t="s">
        <v>1235</v>
      </c>
      <c r="H300" s="341" t="s">
        <v>6900</v>
      </c>
      <c r="I300" s="341" t="s">
        <v>4230</v>
      </c>
      <c r="J300" s="342">
        <v>0.73</v>
      </c>
      <c r="K300" s="342" t="s">
        <v>4230</v>
      </c>
      <c r="L300" s="342">
        <v>0</v>
      </c>
    </row>
    <row r="301" spans="1:12" x14ac:dyDescent="0.25">
      <c r="A301" s="341" t="s">
        <v>2420</v>
      </c>
      <c r="B301" s="341" t="s">
        <v>2420</v>
      </c>
      <c r="C301" s="341" t="s">
        <v>2420</v>
      </c>
      <c r="D301" s="342">
        <v>0</v>
      </c>
      <c r="E301" s="342" t="s">
        <v>2420</v>
      </c>
      <c r="F301" s="342" t="s">
        <v>9622</v>
      </c>
      <c r="G301" s="341" t="s">
        <v>1364</v>
      </c>
      <c r="H301" s="341" t="s">
        <v>2794</v>
      </c>
      <c r="I301" s="341" t="s">
        <v>16</v>
      </c>
      <c r="J301" s="342">
        <v>1.05</v>
      </c>
      <c r="K301" s="342" t="s">
        <v>25</v>
      </c>
      <c r="L301" s="342">
        <v>0</v>
      </c>
    </row>
    <row r="302" spans="1:12" x14ac:dyDescent="0.25">
      <c r="A302" s="341" t="s">
        <v>2420</v>
      </c>
      <c r="B302" s="341" t="s">
        <v>2420</v>
      </c>
      <c r="C302" s="341" t="s">
        <v>2420</v>
      </c>
      <c r="D302" s="342">
        <v>0</v>
      </c>
      <c r="E302" s="342" t="s">
        <v>2420</v>
      </c>
      <c r="F302" s="342" t="s">
        <v>9622</v>
      </c>
      <c r="G302" s="341" t="s">
        <v>1621</v>
      </c>
      <c r="H302" s="341" t="s">
        <v>7341</v>
      </c>
      <c r="I302" s="341" t="s">
        <v>2557</v>
      </c>
      <c r="J302" s="342">
        <v>6</v>
      </c>
      <c r="K302" s="342" t="s">
        <v>25</v>
      </c>
      <c r="L302" s="342">
        <v>0</v>
      </c>
    </row>
    <row r="303" spans="1:12" x14ac:dyDescent="0.25">
      <c r="A303" s="341" t="s">
        <v>2420</v>
      </c>
      <c r="B303" s="341" t="s">
        <v>2420</v>
      </c>
      <c r="C303" s="341" t="s">
        <v>2420</v>
      </c>
      <c r="D303" s="342">
        <v>0</v>
      </c>
      <c r="E303" s="342" t="s">
        <v>2420</v>
      </c>
      <c r="F303" s="342" t="s">
        <v>9622</v>
      </c>
      <c r="G303" s="341" t="s">
        <v>1862</v>
      </c>
      <c r="H303" s="341" t="s">
        <v>7989</v>
      </c>
      <c r="I303" s="341" t="s">
        <v>16</v>
      </c>
      <c r="J303" s="342">
        <v>1</v>
      </c>
      <c r="K303" s="342" t="s">
        <v>9623</v>
      </c>
      <c r="L303" s="342">
        <v>0</v>
      </c>
    </row>
    <row r="304" spans="1:12" x14ac:dyDescent="0.25">
      <c r="A304" s="341" t="s">
        <v>2420</v>
      </c>
      <c r="B304" s="341" t="s">
        <v>2420</v>
      </c>
      <c r="C304" s="341" t="s">
        <v>2420</v>
      </c>
      <c r="D304" s="342">
        <v>0</v>
      </c>
      <c r="E304" s="342" t="s">
        <v>2420</v>
      </c>
      <c r="F304" s="342" t="s">
        <v>9624</v>
      </c>
      <c r="G304" s="341" t="s">
        <v>9857</v>
      </c>
      <c r="H304" s="341" t="s">
        <v>9858</v>
      </c>
      <c r="I304" s="341" t="s">
        <v>16</v>
      </c>
      <c r="J304" s="342">
        <v>1</v>
      </c>
      <c r="K304" s="342" t="s">
        <v>2420</v>
      </c>
      <c r="L304" s="342">
        <v>0</v>
      </c>
    </row>
    <row r="305" spans="1:12" x14ac:dyDescent="0.25">
      <c r="A305" s="341" t="s">
        <v>371</v>
      </c>
      <c r="B305" s="341" t="s">
        <v>9860</v>
      </c>
      <c r="C305" s="341" t="s">
        <v>16</v>
      </c>
      <c r="D305" s="342">
        <v>1</v>
      </c>
      <c r="E305" s="342">
        <v>0</v>
      </c>
      <c r="F305" s="342" t="s">
        <v>9622</v>
      </c>
      <c r="G305" s="341" t="s">
        <v>1234</v>
      </c>
      <c r="H305" s="341" t="s">
        <v>6899</v>
      </c>
      <c r="I305" s="341" t="s">
        <v>4230</v>
      </c>
      <c r="J305" s="342">
        <v>0.73</v>
      </c>
      <c r="K305" s="342" t="s">
        <v>4230</v>
      </c>
      <c r="L305" s="342">
        <v>0</v>
      </c>
    </row>
    <row r="306" spans="1:12" x14ac:dyDescent="0.25">
      <c r="A306" s="341" t="s">
        <v>2420</v>
      </c>
      <c r="B306" s="341" t="s">
        <v>2420</v>
      </c>
      <c r="C306" s="341" t="s">
        <v>2420</v>
      </c>
      <c r="D306" s="342">
        <v>0</v>
      </c>
      <c r="E306" s="342" t="s">
        <v>2420</v>
      </c>
      <c r="F306" s="342" t="s">
        <v>9622</v>
      </c>
      <c r="G306" s="341" t="s">
        <v>1235</v>
      </c>
      <c r="H306" s="341" t="s">
        <v>6900</v>
      </c>
      <c r="I306" s="341" t="s">
        <v>4230</v>
      </c>
      <c r="J306" s="342">
        <v>0.73</v>
      </c>
      <c r="K306" s="342" t="s">
        <v>4230</v>
      </c>
      <c r="L306" s="342">
        <v>0</v>
      </c>
    </row>
    <row r="307" spans="1:12" x14ac:dyDescent="0.25">
      <c r="A307" s="341" t="s">
        <v>2420</v>
      </c>
      <c r="B307" s="341" t="s">
        <v>2420</v>
      </c>
      <c r="C307" s="341" t="s">
        <v>2420</v>
      </c>
      <c r="D307" s="342">
        <v>0</v>
      </c>
      <c r="E307" s="342" t="s">
        <v>2420</v>
      </c>
      <c r="F307" s="342" t="s">
        <v>9622</v>
      </c>
      <c r="G307" s="341" t="s">
        <v>1599</v>
      </c>
      <c r="H307" s="341" t="s">
        <v>2795</v>
      </c>
      <c r="I307" s="341" t="s">
        <v>16</v>
      </c>
      <c r="J307" s="342">
        <v>1.05</v>
      </c>
      <c r="K307" s="342" t="s">
        <v>25</v>
      </c>
      <c r="L307" s="342">
        <v>0</v>
      </c>
    </row>
    <row r="308" spans="1:12" x14ac:dyDescent="0.25">
      <c r="A308" s="341" t="s">
        <v>2420</v>
      </c>
      <c r="B308" s="341" t="s">
        <v>2420</v>
      </c>
      <c r="C308" s="341" t="s">
        <v>2420</v>
      </c>
      <c r="D308" s="342">
        <v>0</v>
      </c>
      <c r="E308" s="342" t="s">
        <v>2420</v>
      </c>
      <c r="F308" s="342" t="s">
        <v>9622</v>
      </c>
      <c r="G308" s="341" t="s">
        <v>1621</v>
      </c>
      <c r="H308" s="341" t="s">
        <v>7341</v>
      </c>
      <c r="I308" s="341" t="s">
        <v>2557</v>
      </c>
      <c r="J308" s="342">
        <v>6</v>
      </c>
      <c r="K308" s="342" t="s">
        <v>25</v>
      </c>
      <c r="L308" s="342">
        <v>0</v>
      </c>
    </row>
    <row r="309" spans="1:12" x14ac:dyDescent="0.25">
      <c r="A309" s="341" t="s">
        <v>2420</v>
      </c>
      <c r="B309" s="341" t="s">
        <v>2420</v>
      </c>
      <c r="C309" s="341" t="s">
        <v>2420</v>
      </c>
      <c r="D309" s="342">
        <v>0</v>
      </c>
      <c r="E309" s="342" t="s">
        <v>2420</v>
      </c>
      <c r="F309" s="342" t="s">
        <v>9622</v>
      </c>
      <c r="G309" s="341" t="s">
        <v>1862</v>
      </c>
      <c r="H309" s="341" t="s">
        <v>7989</v>
      </c>
      <c r="I309" s="341" t="s">
        <v>16</v>
      </c>
      <c r="J309" s="342">
        <v>1</v>
      </c>
      <c r="K309" s="342" t="s">
        <v>9623</v>
      </c>
      <c r="L309" s="342">
        <v>0</v>
      </c>
    </row>
    <row r="310" spans="1:12" x14ac:dyDescent="0.25">
      <c r="A310" s="341" t="s">
        <v>2420</v>
      </c>
      <c r="B310" s="341" t="s">
        <v>2420</v>
      </c>
      <c r="C310" s="341" t="s">
        <v>2420</v>
      </c>
      <c r="D310" s="342">
        <v>0</v>
      </c>
      <c r="E310" s="342" t="s">
        <v>2420</v>
      </c>
      <c r="F310" s="342" t="s">
        <v>9624</v>
      </c>
      <c r="G310" s="341" t="s">
        <v>9857</v>
      </c>
      <c r="H310" s="341" t="s">
        <v>9858</v>
      </c>
      <c r="I310" s="341" t="s">
        <v>16</v>
      </c>
      <c r="J310" s="342">
        <v>1</v>
      </c>
      <c r="K310" s="342" t="s">
        <v>2420</v>
      </c>
      <c r="L310" s="342">
        <v>0</v>
      </c>
    </row>
    <row r="311" spans="1:12" x14ac:dyDescent="0.25">
      <c r="A311" s="341" t="s">
        <v>372</v>
      </c>
      <c r="B311" s="341" t="s">
        <v>9861</v>
      </c>
      <c r="C311" s="341" t="s">
        <v>16</v>
      </c>
      <c r="D311" s="342">
        <v>1</v>
      </c>
      <c r="E311" s="342">
        <v>0</v>
      </c>
      <c r="F311" s="342" t="s">
        <v>9622</v>
      </c>
      <c r="G311" s="341" t="s">
        <v>1234</v>
      </c>
      <c r="H311" s="341" t="s">
        <v>6899</v>
      </c>
      <c r="I311" s="341" t="s">
        <v>4230</v>
      </c>
      <c r="J311" s="342">
        <v>0.73</v>
      </c>
      <c r="K311" s="342" t="s">
        <v>4230</v>
      </c>
      <c r="L311" s="342">
        <v>0</v>
      </c>
    </row>
    <row r="312" spans="1:12" x14ac:dyDescent="0.25">
      <c r="A312" s="341" t="s">
        <v>2420</v>
      </c>
      <c r="B312" s="341" t="s">
        <v>2420</v>
      </c>
      <c r="C312" s="341" t="s">
        <v>2420</v>
      </c>
      <c r="D312" s="342">
        <v>0</v>
      </c>
      <c r="E312" s="342" t="s">
        <v>2420</v>
      </c>
      <c r="F312" s="342" t="s">
        <v>9622</v>
      </c>
      <c r="G312" s="341" t="s">
        <v>1235</v>
      </c>
      <c r="H312" s="341" t="s">
        <v>6900</v>
      </c>
      <c r="I312" s="341" t="s">
        <v>4230</v>
      </c>
      <c r="J312" s="342">
        <v>0.73</v>
      </c>
      <c r="K312" s="342" t="s">
        <v>4230</v>
      </c>
      <c r="L312" s="342">
        <v>0</v>
      </c>
    </row>
    <row r="313" spans="1:12" x14ac:dyDescent="0.25">
      <c r="A313" s="341" t="s">
        <v>2420</v>
      </c>
      <c r="B313" s="341" t="s">
        <v>2420</v>
      </c>
      <c r="C313" s="341" t="s">
        <v>2420</v>
      </c>
      <c r="D313" s="342">
        <v>0</v>
      </c>
      <c r="E313" s="342" t="s">
        <v>2420</v>
      </c>
      <c r="F313" s="342" t="s">
        <v>9622</v>
      </c>
      <c r="G313" s="341" t="s">
        <v>1547</v>
      </c>
      <c r="H313" s="341" t="s">
        <v>2796</v>
      </c>
      <c r="I313" s="341" t="s">
        <v>16</v>
      </c>
      <c r="J313" s="342">
        <v>1.05</v>
      </c>
      <c r="K313" s="342" t="s">
        <v>25</v>
      </c>
      <c r="L313" s="342">
        <v>0</v>
      </c>
    </row>
    <row r="314" spans="1:12" x14ac:dyDescent="0.25">
      <c r="A314" s="341" t="s">
        <v>2420</v>
      </c>
      <c r="B314" s="341" t="s">
        <v>2420</v>
      </c>
      <c r="C314" s="341" t="s">
        <v>2420</v>
      </c>
      <c r="D314" s="342">
        <v>0</v>
      </c>
      <c r="E314" s="342" t="s">
        <v>2420</v>
      </c>
      <c r="F314" s="342" t="s">
        <v>9622</v>
      </c>
      <c r="G314" s="341" t="s">
        <v>1621</v>
      </c>
      <c r="H314" s="341" t="s">
        <v>7341</v>
      </c>
      <c r="I314" s="341" t="s">
        <v>2557</v>
      </c>
      <c r="J314" s="342">
        <v>6</v>
      </c>
      <c r="K314" s="342" t="s">
        <v>25</v>
      </c>
      <c r="L314" s="342">
        <v>0</v>
      </c>
    </row>
    <row r="315" spans="1:12" x14ac:dyDescent="0.25">
      <c r="A315" s="341" t="s">
        <v>2420</v>
      </c>
      <c r="B315" s="341" t="s">
        <v>2420</v>
      </c>
      <c r="C315" s="341" t="s">
        <v>2420</v>
      </c>
      <c r="D315" s="342">
        <v>0</v>
      </c>
      <c r="E315" s="342" t="s">
        <v>2420</v>
      </c>
      <c r="F315" s="342" t="s">
        <v>9622</v>
      </c>
      <c r="G315" s="341" t="s">
        <v>1862</v>
      </c>
      <c r="H315" s="341" t="s">
        <v>7989</v>
      </c>
      <c r="I315" s="341" t="s">
        <v>16</v>
      </c>
      <c r="J315" s="342">
        <v>1</v>
      </c>
      <c r="K315" s="342" t="s">
        <v>9623</v>
      </c>
      <c r="L315" s="342">
        <v>0</v>
      </c>
    </row>
    <row r="316" spans="1:12" x14ac:dyDescent="0.25">
      <c r="A316" s="341" t="s">
        <v>2420</v>
      </c>
      <c r="B316" s="341" t="s">
        <v>2420</v>
      </c>
      <c r="C316" s="341" t="s">
        <v>2420</v>
      </c>
      <c r="D316" s="342">
        <v>0</v>
      </c>
      <c r="E316" s="342" t="s">
        <v>2420</v>
      </c>
      <c r="F316" s="342" t="s">
        <v>9624</v>
      </c>
      <c r="G316" s="341" t="s">
        <v>9857</v>
      </c>
      <c r="H316" s="341" t="s">
        <v>9858</v>
      </c>
      <c r="I316" s="341" t="s">
        <v>16</v>
      </c>
      <c r="J316" s="342">
        <v>1</v>
      </c>
      <c r="K316" s="342" t="s">
        <v>2420</v>
      </c>
      <c r="L316" s="342">
        <v>0</v>
      </c>
    </row>
    <row r="317" spans="1:12" x14ac:dyDescent="0.25">
      <c r="A317" s="341" t="s">
        <v>274</v>
      </c>
      <c r="B317" s="341" t="s">
        <v>9862</v>
      </c>
      <c r="C317" s="341" t="s">
        <v>16</v>
      </c>
      <c r="D317" s="342">
        <v>1</v>
      </c>
      <c r="E317" s="342">
        <v>0</v>
      </c>
      <c r="F317" s="342" t="s">
        <v>9622</v>
      </c>
      <c r="G317" s="341" t="s">
        <v>1234</v>
      </c>
      <c r="H317" s="341" t="s">
        <v>6899</v>
      </c>
      <c r="I317" s="341" t="s">
        <v>4230</v>
      </c>
      <c r="J317" s="342">
        <v>0.7</v>
      </c>
      <c r="K317" s="342" t="s">
        <v>4230</v>
      </c>
      <c r="L317" s="342">
        <v>0</v>
      </c>
    </row>
    <row r="318" spans="1:12" x14ac:dyDescent="0.25">
      <c r="A318" s="341" t="s">
        <v>2420</v>
      </c>
      <c r="B318" s="341" t="s">
        <v>2420</v>
      </c>
      <c r="C318" s="341" t="s">
        <v>2420</v>
      </c>
      <c r="D318" s="342">
        <v>0</v>
      </c>
      <c r="E318" s="342" t="s">
        <v>2420</v>
      </c>
      <c r="F318" s="342" t="s">
        <v>9622</v>
      </c>
      <c r="G318" s="341" t="s">
        <v>1235</v>
      </c>
      <c r="H318" s="341" t="s">
        <v>6900</v>
      </c>
      <c r="I318" s="341" t="s">
        <v>4230</v>
      </c>
      <c r="J318" s="342">
        <v>0.7</v>
      </c>
      <c r="K318" s="342" t="s">
        <v>4230</v>
      </c>
      <c r="L318" s="342">
        <v>0</v>
      </c>
    </row>
    <row r="319" spans="1:12" x14ac:dyDescent="0.25">
      <c r="A319" s="341" t="s">
        <v>2420</v>
      </c>
      <c r="B319" s="341" t="s">
        <v>2420</v>
      </c>
      <c r="C319" s="341" t="s">
        <v>2420</v>
      </c>
      <c r="D319" s="342">
        <v>0</v>
      </c>
      <c r="E319" s="342" t="s">
        <v>2420</v>
      </c>
      <c r="F319" s="342" t="s">
        <v>9622</v>
      </c>
      <c r="G319" s="341" t="s">
        <v>1286</v>
      </c>
      <c r="H319" s="341" t="s">
        <v>9863</v>
      </c>
      <c r="I319" s="341" t="s">
        <v>2557</v>
      </c>
      <c r="J319" s="342">
        <v>10.67</v>
      </c>
      <c r="K319" s="342" t="s">
        <v>25</v>
      </c>
      <c r="L319" s="342">
        <v>0</v>
      </c>
    </row>
    <row r="320" spans="1:12" x14ac:dyDescent="0.25">
      <c r="A320" s="341" t="s">
        <v>2420</v>
      </c>
      <c r="B320" s="341" t="s">
        <v>2420</v>
      </c>
      <c r="C320" s="341" t="s">
        <v>2420</v>
      </c>
      <c r="D320" s="342">
        <v>0</v>
      </c>
      <c r="E320" s="342" t="s">
        <v>2420</v>
      </c>
      <c r="F320" s="342" t="s">
        <v>9622</v>
      </c>
      <c r="G320" s="341" t="s">
        <v>1468</v>
      </c>
      <c r="H320" s="341" t="s">
        <v>7208</v>
      </c>
      <c r="I320" s="341" t="s">
        <v>11</v>
      </c>
      <c r="J320" s="342">
        <v>13.125</v>
      </c>
      <c r="K320" s="342" t="s">
        <v>25</v>
      </c>
      <c r="L320" s="342">
        <v>0</v>
      </c>
    </row>
    <row r="321" spans="1:12" x14ac:dyDescent="0.25">
      <c r="A321" s="341" t="s">
        <v>2420</v>
      </c>
      <c r="B321" s="341" t="s">
        <v>2420</v>
      </c>
      <c r="C321" s="341" t="s">
        <v>2420</v>
      </c>
      <c r="D321" s="342">
        <v>0</v>
      </c>
      <c r="E321" s="342" t="s">
        <v>2420</v>
      </c>
      <c r="F321" s="342" t="s">
        <v>9622</v>
      </c>
      <c r="G321" s="341" t="s">
        <v>1926</v>
      </c>
      <c r="H321" s="341" t="s">
        <v>9864</v>
      </c>
      <c r="I321" s="341" t="s">
        <v>16</v>
      </c>
      <c r="J321" s="342">
        <v>1</v>
      </c>
      <c r="K321" s="342" t="s">
        <v>9623</v>
      </c>
      <c r="L321" s="342">
        <v>0</v>
      </c>
    </row>
    <row r="322" spans="1:12" x14ac:dyDescent="0.25">
      <c r="A322" s="341" t="s">
        <v>275</v>
      </c>
      <c r="B322" s="341" t="s">
        <v>9865</v>
      </c>
      <c r="C322" s="341" t="s">
        <v>16</v>
      </c>
      <c r="D322" s="342">
        <v>1</v>
      </c>
      <c r="E322" s="342">
        <v>0</v>
      </c>
      <c r="F322" s="342" t="s">
        <v>9622</v>
      </c>
      <c r="G322" s="341" t="s">
        <v>1234</v>
      </c>
      <c r="H322" s="341" t="s">
        <v>6899</v>
      </c>
      <c r="I322" s="341" t="s">
        <v>4230</v>
      </c>
      <c r="J322" s="342">
        <v>0.7</v>
      </c>
      <c r="K322" s="342" t="s">
        <v>4230</v>
      </c>
      <c r="L322" s="342">
        <v>0</v>
      </c>
    </row>
    <row r="323" spans="1:12" x14ac:dyDescent="0.25">
      <c r="A323" s="341" t="s">
        <v>2420</v>
      </c>
      <c r="B323" s="341" t="s">
        <v>2420</v>
      </c>
      <c r="C323" s="341" t="s">
        <v>2420</v>
      </c>
      <c r="D323" s="342">
        <v>0</v>
      </c>
      <c r="E323" s="342" t="s">
        <v>2420</v>
      </c>
      <c r="F323" s="342" t="s">
        <v>9622</v>
      </c>
      <c r="G323" s="341" t="s">
        <v>1235</v>
      </c>
      <c r="H323" s="341" t="s">
        <v>6900</v>
      </c>
      <c r="I323" s="341" t="s">
        <v>4230</v>
      </c>
      <c r="J323" s="342">
        <v>0.7</v>
      </c>
      <c r="K323" s="342" t="s">
        <v>4230</v>
      </c>
      <c r="L323" s="342">
        <v>0</v>
      </c>
    </row>
    <row r="324" spans="1:12" x14ac:dyDescent="0.25">
      <c r="A324" s="341" t="s">
        <v>2420</v>
      </c>
      <c r="B324" s="341" t="s">
        <v>2420</v>
      </c>
      <c r="C324" s="341" t="s">
        <v>2420</v>
      </c>
      <c r="D324" s="342">
        <v>0</v>
      </c>
      <c r="E324" s="342" t="s">
        <v>2420</v>
      </c>
      <c r="F324" s="342" t="s">
        <v>9622</v>
      </c>
      <c r="G324" s="341" t="s">
        <v>1286</v>
      </c>
      <c r="H324" s="341" t="s">
        <v>9863</v>
      </c>
      <c r="I324" s="341" t="s">
        <v>2557</v>
      </c>
      <c r="J324" s="342">
        <v>16</v>
      </c>
      <c r="K324" s="342" t="s">
        <v>25</v>
      </c>
      <c r="L324" s="342">
        <v>0</v>
      </c>
    </row>
    <row r="325" spans="1:12" x14ac:dyDescent="0.25">
      <c r="A325" s="341" t="s">
        <v>2420</v>
      </c>
      <c r="B325" s="341" t="s">
        <v>2420</v>
      </c>
      <c r="C325" s="341" t="s">
        <v>2420</v>
      </c>
      <c r="D325" s="342">
        <v>0</v>
      </c>
      <c r="E325" s="342" t="s">
        <v>2420</v>
      </c>
      <c r="F325" s="342" t="s">
        <v>9622</v>
      </c>
      <c r="G325" s="341" t="s">
        <v>1469</v>
      </c>
      <c r="H325" s="341" t="s">
        <v>7209</v>
      </c>
      <c r="I325" s="341" t="s">
        <v>11</v>
      </c>
      <c r="J325" s="342">
        <v>13.125</v>
      </c>
      <c r="K325" s="342" t="s">
        <v>25</v>
      </c>
      <c r="L325" s="342">
        <v>0</v>
      </c>
    </row>
    <row r="326" spans="1:12" x14ac:dyDescent="0.25">
      <c r="A326" s="341" t="s">
        <v>2420</v>
      </c>
      <c r="B326" s="341" t="s">
        <v>2420</v>
      </c>
      <c r="C326" s="341" t="s">
        <v>2420</v>
      </c>
      <c r="D326" s="342">
        <v>0</v>
      </c>
      <c r="E326" s="342" t="s">
        <v>2420</v>
      </c>
      <c r="F326" s="342" t="s">
        <v>9622</v>
      </c>
      <c r="G326" s="341" t="s">
        <v>1860</v>
      </c>
      <c r="H326" s="341" t="s">
        <v>9866</v>
      </c>
      <c r="I326" s="341" t="s">
        <v>16</v>
      </c>
      <c r="J326" s="342">
        <v>1</v>
      </c>
      <c r="K326" s="342" t="s">
        <v>9623</v>
      </c>
      <c r="L326" s="342">
        <v>0</v>
      </c>
    </row>
    <row r="327" spans="1:12" x14ac:dyDescent="0.25">
      <c r="A327" s="341" t="s">
        <v>276</v>
      </c>
      <c r="B327" s="341" t="s">
        <v>9867</v>
      </c>
      <c r="C327" s="341" t="s">
        <v>16</v>
      </c>
      <c r="D327" s="342">
        <v>1</v>
      </c>
      <c r="E327" s="342">
        <v>0</v>
      </c>
      <c r="F327" s="342" t="s">
        <v>9622</v>
      </c>
      <c r="G327" s="341" t="s">
        <v>1234</v>
      </c>
      <c r="H327" s="341" t="s">
        <v>6899</v>
      </c>
      <c r="I327" s="341" t="s">
        <v>4230</v>
      </c>
      <c r="J327" s="342">
        <v>0.7</v>
      </c>
      <c r="K327" s="342" t="s">
        <v>4230</v>
      </c>
      <c r="L327" s="342">
        <v>0</v>
      </c>
    </row>
    <row r="328" spans="1:12" x14ac:dyDescent="0.25">
      <c r="A328" s="341" t="s">
        <v>2420</v>
      </c>
      <c r="B328" s="341" t="s">
        <v>2420</v>
      </c>
      <c r="C328" s="341" t="s">
        <v>2420</v>
      </c>
      <c r="D328" s="342">
        <v>0</v>
      </c>
      <c r="E328" s="342" t="s">
        <v>2420</v>
      </c>
      <c r="F328" s="342" t="s">
        <v>9622</v>
      </c>
      <c r="G328" s="341" t="s">
        <v>1235</v>
      </c>
      <c r="H328" s="341" t="s">
        <v>6900</v>
      </c>
      <c r="I328" s="341" t="s">
        <v>4230</v>
      </c>
      <c r="J328" s="342">
        <v>0.7</v>
      </c>
      <c r="K328" s="342" t="s">
        <v>4230</v>
      </c>
      <c r="L328" s="342">
        <v>0</v>
      </c>
    </row>
    <row r="329" spans="1:12" x14ac:dyDescent="0.25">
      <c r="A329" s="341" t="s">
        <v>2420</v>
      </c>
      <c r="B329" s="341" t="s">
        <v>2420</v>
      </c>
      <c r="C329" s="341" t="s">
        <v>2420</v>
      </c>
      <c r="D329" s="342">
        <v>0</v>
      </c>
      <c r="E329" s="342" t="s">
        <v>2420</v>
      </c>
      <c r="F329" s="342" t="s">
        <v>9622</v>
      </c>
      <c r="G329" s="341" t="s">
        <v>1286</v>
      </c>
      <c r="H329" s="341" t="s">
        <v>9863</v>
      </c>
      <c r="I329" s="341" t="s">
        <v>2557</v>
      </c>
      <c r="J329" s="342">
        <v>21.33</v>
      </c>
      <c r="K329" s="342" t="s">
        <v>25</v>
      </c>
      <c r="L329" s="342">
        <v>0</v>
      </c>
    </row>
    <row r="330" spans="1:12" x14ac:dyDescent="0.25">
      <c r="A330" s="341" t="s">
        <v>2420</v>
      </c>
      <c r="B330" s="341" t="s">
        <v>2420</v>
      </c>
      <c r="C330" s="341" t="s">
        <v>2420</v>
      </c>
      <c r="D330" s="342">
        <v>0</v>
      </c>
      <c r="E330" s="342" t="s">
        <v>2420</v>
      </c>
      <c r="F330" s="342" t="s">
        <v>9622</v>
      </c>
      <c r="G330" s="341" t="s">
        <v>1470</v>
      </c>
      <c r="H330" s="341" t="s">
        <v>7210</v>
      </c>
      <c r="I330" s="341" t="s">
        <v>11</v>
      </c>
      <c r="J330" s="342">
        <v>13.125</v>
      </c>
      <c r="K330" s="342" t="s">
        <v>25</v>
      </c>
      <c r="L330" s="342">
        <v>0</v>
      </c>
    </row>
    <row r="331" spans="1:12" x14ac:dyDescent="0.25">
      <c r="A331" s="341" t="s">
        <v>2420</v>
      </c>
      <c r="B331" s="341" t="s">
        <v>2420</v>
      </c>
      <c r="C331" s="341" t="s">
        <v>2420</v>
      </c>
      <c r="D331" s="342">
        <v>0</v>
      </c>
      <c r="E331" s="342" t="s">
        <v>2420</v>
      </c>
      <c r="F331" s="342" t="s">
        <v>9622</v>
      </c>
      <c r="G331" s="341" t="s">
        <v>1950</v>
      </c>
      <c r="H331" s="341" t="s">
        <v>9868</v>
      </c>
      <c r="I331" s="341" t="s">
        <v>16</v>
      </c>
      <c r="J331" s="342">
        <v>1</v>
      </c>
      <c r="K331" s="342" t="s">
        <v>9623</v>
      </c>
      <c r="L331" s="342">
        <v>0</v>
      </c>
    </row>
    <row r="332" spans="1:12" x14ac:dyDescent="0.25">
      <c r="A332" s="341" t="s">
        <v>3249</v>
      </c>
      <c r="B332" s="341" t="s">
        <v>9869</v>
      </c>
      <c r="C332" s="341" t="s">
        <v>16</v>
      </c>
      <c r="D332" s="342">
        <v>1</v>
      </c>
      <c r="E332" s="342">
        <v>0</v>
      </c>
      <c r="F332" s="342" t="s">
        <v>9622</v>
      </c>
      <c r="G332" s="341" t="s">
        <v>1234</v>
      </c>
      <c r="H332" s="341" t="s">
        <v>6899</v>
      </c>
      <c r="I332" s="341" t="s">
        <v>4230</v>
      </c>
      <c r="J332" s="342">
        <v>0.2</v>
      </c>
      <c r="K332" s="342" t="s">
        <v>4230</v>
      </c>
      <c r="L332" s="342">
        <v>0</v>
      </c>
    </row>
    <row r="333" spans="1:12" x14ac:dyDescent="0.25">
      <c r="A333" s="341" t="s">
        <v>2420</v>
      </c>
      <c r="B333" s="341" t="s">
        <v>2420</v>
      </c>
      <c r="C333" s="341" t="s">
        <v>2420</v>
      </c>
      <c r="D333" s="342">
        <v>0</v>
      </c>
      <c r="E333" s="342" t="s">
        <v>2420</v>
      </c>
      <c r="F333" s="342" t="s">
        <v>9622</v>
      </c>
      <c r="G333" s="341" t="s">
        <v>1235</v>
      </c>
      <c r="H333" s="341" t="s">
        <v>6900</v>
      </c>
      <c r="I333" s="341" t="s">
        <v>4230</v>
      </c>
      <c r="J333" s="342">
        <v>0.2</v>
      </c>
      <c r="K333" s="342" t="s">
        <v>4230</v>
      </c>
      <c r="L333" s="342">
        <v>0</v>
      </c>
    </row>
    <row r="334" spans="1:12" x14ac:dyDescent="0.25">
      <c r="A334" s="341" t="s">
        <v>2420</v>
      </c>
      <c r="B334" s="341" t="s">
        <v>2420</v>
      </c>
      <c r="C334" s="341" t="s">
        <v>2420</v>
      </c>
      <c r="D334" s="342">
        <v>0</v>
      </c>
      <c r="E334" s="342" t="s">
        <v>2420</v>
      </c>
      <c r="F334" s="342" t="s">
        <v>9622</v>
      </c>
      <c r="G334" s="341" t="s">
        <v>1333</v>
      </c>
      <c r="H334" s="341" t="s">
        <v>7023</v>
      </c>
      <c r="I334" s="341" t="s">
        <v>2557</v>
      </c>
      <c r="J334" s="342">
        <v>2</v>
      </c>
      <c r="K334" s="342" t="s">
        <v>25</v>
      </c>
      <c r="L334" s="342">
        <v>0</v>
      </c>
    </row>
    <row r="335" spans="1:12" x14ac:dyDescent="0.25">
      <c r="A335" s="341" t="s">
        <v>2420</v>
      </c>
      <c r="B335" s="341" t="s">
        <v>2420</v>
      </c>
      <c r="C335" s="341" t="s">
        <v>2420</v>
      </c>
      <c r="D335" s="342">
        <v>0</v>
      </c>
      <c r="E335" s="342" t="s">
        <v>2420</v>
      </c>
      <c r="F335" s="342" t="s">
        <v>9622</v>
      </c>
      <c r="G335" s="341" t="s">
        <v>1855</v>
      </c>
      <c r="H335" s="341" t="s">
        <v>7982</v>
      </c>
      <c r="I335" s="341" t="s">
        <v>16</v>
      </c>
      <c r="J335" s="342">
        <v>1</v>
      </c>
      <c r="K335" s="342" t="s">
        <v>9623</v>
      </c>
      <c r="L335" s="342">
        <v>0</v>
      </c>
    </row>
    <row r="336" spans="1:12" x14ac:dyDescent="0.25">
      <c r="A336" s="341" t="s">
        <v>162</v>
      </c>
      <c r="B336" s="341" t="s">
        <v>9869</v>
      </c>
      <c r="C336" s="341" t="s">
        <v>16</v>
      </c>
      <c r="D336" s="342">
        <v>1</v>
      </c>
      <c r="E336" s="342">
        <v>0</v>
      </c>
      <c r="F336" s="342" t="s">
        <v>9622</v>
      </c>
      <c r="G336" s="341" t="s">
        <v>1234</v>
      </c>
      <c r="H336" s="341" t="s">
        <v>6899</v>
      </c>
      <c r="I336" s="341" t="s">
        <v>4230</v>
      </c>
      <c r="J336" s="342">
        <v>0.2</v>
      </c>
      <c r="K336" s="342" t="s">
        <v>4230</v>
      </c>
      <c r="L336" s="342">
        <v>0</v>
      </c>
    </row>
    <row r="337" spans="1:12" x14ac:dyDescent="0.25">
      <c r="A337" s="341" t="s">
        <v>2420</v>
      </c>
      <c r="B337" s="341" t="s">
        <v>2420</v>
      </c>
      <c r="C337" s="341" t="s">
        <v>2420</v>
      </c>
      <c r="D337" s="342">
        <v>0</v>
      </c>
      <c r="E337" s="342" t="s">
        <v>2420</v>
      </c>
      <c r="F337" s="342" t="s">
        <v>9622</v>
      </c>
      <c r="G337" s="341" t="s">
        <v>1235</v>
      </c>
      <c r="H337" s="341" t="s">
        <v>6900</v>
      </c>
      <c r="I337" s="341" t="s">
        <v>4230</v>
      </c>
      <c r="J337" s="342">
        <v>0.2</v>
      </c>
      <c r="K337" s="342" t="s">
        <v>4230</v>
      </c>
      <c r="L337" s="342">
        <v>0</v>
      </c>
    </row>
    <row r="338" spans="1:12" x14ac:dyDescent="0.25">
      <c r="A338" s="341" t="s">
        <v>2420</v>
      </c>
      <c r="B338" s="341" t="s">
        <v>2420</v>
      </c>
      <c r="C338" s="341" t="s">
        <v>2420</v>
      </c>
      <c r="D338" s="342">
        <v>0</v>
      </c>
      <c r="E338" s="342" t="s">
        <v>2420</v>
      </c>
      <c r="F338" s="342" t="s">
        <v>9622</v>
      </c>
      <c r="G338" s="341" t="s">
        <v>1333</v>
      </c>
      <c r="H338" s="341" t="s">
        <v>7023</v>
      </c>
      <c r="I338" s="341" t="s">
        <v>2557</v>
      </c>
      <c r="J338" s="342">
        <v>4</v>
      </c>
      <c r="K338" s="342" t="s">
        <v>25</v>
      </c>
      <c r="L338" s="342">
        <v>0</v>
      </c>
    </row>
    <row r="339" spans="1:12" x14ac:dyDescent="0.25">
      <c r="A339" s="341" t="s">
        <v>2420</v>
      </c>
      <c r="B339" s="341" t="s">
        <v>2420</v>
      </c>
      <c r="C339" s="341" t="s">
        <v>2420</v>
      </c>
      <c r="D339" s="342">
        <v>0</v>
      </c>
      <c r="E339" s="342" t="s">
        <v>2420</v>
      </c>
      <c r="F339" s="342" t="s">
        <v>9622</v>
      </c>
      <c r="G339" s="341" t="s">
        <v>1855</v>
      </c>
      <c r="H339" s="341" t="s">
        <v>7982</v>
      </c>
      <c r="I339" s="341" t="s">
        <v>16</v>
      </c>
      <c r="J339" s="342">
        <v>1</v>
      </c>
      <c r="K339" s="342" t="s">
        <v>9623</v>
      </c>
      <c r="L339" s="342">
        <v>0</v>
      </c>
    </row>
    <row r="340" spans="1:12" x14ac:dyDescent="0.25">
      <c r="A340" s="341" t="s">
        <v>164</v>
      </c>
      <c r="B340" s="341" t="s">
        <v>9870</v>
      </c>
      <c r="C340" s="341" t="s">
        <v>16</v>
      </c>
      <c r="D340" s="342">
        <v>1</v>
      </c>
      <c r="E340" s="342">
        <v>0</v>
      </c>
      <c r="F340" s="342" t="s">
        <v>9622</v>
      </c>
      <c r="G340" s="341" t="s">
        <v>1234</v>
      </c>
      <c r="H340" s="341" t="s">
        <v>6899</v>
      </c>
      <c r="I340" s="341" t="s">
        <v>4230</v>
      </c>
      <c r="J340" s="342">
        <v>0.6</v>
      </c>
      <c r="K340" s="342" t="s">
        <v>4230</v>
      </c>
      <c r="L340" s="342">
        <v>0</v>
      </c>
    </row>
    <row r="341" spans="1:12" x14ac:dyDescent="0.25">
      <c r="A341" s="341" t="s">
        <v>2420</v>
      </c>
      <c r="B341" s="341" t="s">
        <v>2420</v>
      </c>
      <c r="C341" s="341" t="s">
        <v>2420</v>
      </c>
      <c r="D341" s="342">
        <v>0</v>
      </c>
      <c r="E341" s="342" t="s">
        <v>2420</v>
      </c>
      <c r="F341" s="342" t="s">
        <v>9622</v>
      </c>
      <c r="G341" s="341" t="s">
        <v>1235</v>
      </c>
      <c r="H341" s="341" t="s">
        <v>6900</v>
      </c>
      <c r="I341" s="341" t="s">
        <v>4230</v>
      </c>
      <c r="J341" s="342">
        <v>0.6</v>
      </c>
      <c r="K341" s="342" t="s">
        <v>4230</v>
      </c>
      <c r="L341" s="342">
        <v>0</v>
      </c>
    </row>
    <row r="342" spans="1:12" x14ac:dyDescent="0.25">
      <c r="A342" s="341" t="s">
        <v>2420</v>
      </c>
      <c r="B342" s="341" t="s">
        <v>2420</v>
      </c>
      <c r="C342" s="341" t="s">
        <v>2420</v>
      </c>
      <c r="D342" s="342">
        <v>0</v>
      </c>
      <c r="E342" s="342" t="s">
        <v>2420</v>
      </c>
      <c r="F342" s="342" t="s">
        <v>9622</v>
      </c>
      <c r="G342" s="341" t="s">
        <v>1286</v>
      </c>
      <c r="H342" s="341" t="s">
        <v>9863</v>
      </c>
      <c r="I342" s="341" t="s">
        <v>2557</v>
      </c>
      <c r="J342" s="342">
        <v>42.5</v>
      </c>
      <c r="K342" s="342" t="s">
        <v>25</v>
      </c>
      <c r="L342" s="342">
        <v>0</v>
      </c>
    </row>
    <row r="343" spans="1:12" x14ac:dyDescent="0.25">
      <c r="A343" s="341" t="s">
        <v>2420</v>
      </c>
      <c r="B343" s="341" t="s">
        <v>2420</v>
      </c>
      <c r="C343" s="341" t="s">
        <v>2420</v>
      </c>
      <c r="D343" s="342">
        <v>0</v>
      </c>
      <c r="E343" s="342" t="s">
        <v>2420</v>
      </c>
      <c r="F343" s="342" t="s">
        <v>9622</v>
      </c>
      <c r="G343" s="341" t="s">
        <v>1908</v>
      </c>
      <c r="H343" s="341" t="s">
        <v>8040</v>
      </c>
      <c r="I343" s="341" t="s">
        <v>16</v>
      </c>
      <c r="J343" s="342">
        <v>1</v>
      </c>
      <c r="K343" s="342" t="s">
        <v>9623</v>
      </c>
      <c r="L343" s="342">
        <v>0</v>
      </c>
    </row>
    <row r="344" spans="1:12" x14ac:dyDescent="0.25">
      <c r="A344" s="341" t="s">
        <v>2420</v>
      </c>
      <c r="B344" s="341" t="s">
        <v>2420</v>
      </c>
      <c r="C344" s="341" t="s">
        <v>2420</v>
      </c>
      <c r="D344" s="342">
        <v>0</v>
      </c>
      <c r="E344" s="342" t="s">
        <v>2420</v>
      </c>
      <c r="F344" s="342" t="s">
        <v>9624</v>
      </c>
      <c r="G344" s="341" t="s">
        <v>9761</v>
      </c>
      <c r="H344" s="341" t="s">
        <v>9762</v>
      </c>
      <c r="I344" s="341" t="s">
        <v>16</v>
      </c>
      <c r="J344" s="342">
        <v>1</v>
      </c>
      <c r="K344" s="342" t="s">
        <v>2420</v>
      </c>
      <c r="L344" s="342">
        <v>0</v>
      </c>
    </row>
    <row r="345" spans="1:12" x14ac:dyDescent="0.25">
      <c r="A345" s="341" t="s">
        <v>163</v>
      </c>
      <c r="B345" s="341" t="s">
        <v>9871</v>
      </c>
      <c r="C345" s="341" t="s">
        <v>16</v>
      </c>
      <c r="D345" s="342">
        <v>1</v>
      </c>
      <c r="E345" s="342">
        <v>0</v>
      </c>
      <c r="F345" s="342" t="s">
        <v>9622</v>
      </c>
      <c r="G345" s="341" t="s">
        <v>1234</v>
      </c>
      <c r="H345" s="341" t="s">
        <v>6899</v>
      </c>
      <c r="I345" s="341" t="s">
        <v>4230</v>
      </c>
      <c r="J345" s="342">
        <v>0.6</v>
      </c>
      <c r="K345" s="342" t="s">
        <v>4230</v>
      </c>
      <c r="L345" s="342">
        <v>0</v>
      </c>
    </row>
    <row r="346" spans="1:12" x14ac:dyDescent="0.25">
      <c r="A346" s="341" t="s">
        <v>2420</v>
      </c>
      <c r="B346" s="341" t="s">
        <v>2420</v>
      </c>
      <c r="C346" s="341" t="s">
        <v>2420</v>
      </c>
      <c r="D346" s="342">
        <v>0</v>
      </c>
      <c r="E346" s="342" t="s">
        <v>2420</v>
      </c>
      <c r="F346" s="342" t="s">
        <v>9622</v>
      </c>
      <c r="G346" s="341" t="s">
        <v>1235</v>
      </c>
      <c r="H346" s="341" t="s">
        <v>6900</v>
      </c>
      <c r="I346" s="341" t="s">
        <v>4230</v>
      </c>
      <c r="J346" s="342">
        <v>0.6</v>
      </c>
      <c r="K346" s="342" t="s">
        <v>4230</v>
      </c>
      <c r="L346" s="342">
        <v>0</v>
      </c>
    </row>
    <row r="347" spans="1:12" x14ac:dyDescent="0.25">
      <c r="A347" s="341" t="s">
        <v>2420</v>
      </c>
      <c r="B347" s="341" t="s">
        <v>2420</v>
      </c>
      <c r="C347" s="341" t="s">
        <v>2420</v>
      </c>
      <c r="D347" s="342">
        <v>0</v>
      </c>
      <c r="E347" s="342" t="s">
        <v>2420</v>
      </c>
      <c r="F347" s="342" t="s">
        <v>9622</v>
      </c>
      <c r="G347" s="341" t="s">
        <v>1286</v>
      </c>
      <c r="H347" s="341" t="s">
        <v>9863</v>
      </c>
      <c r="I347" s="341" t="s">
        <v>2557</v>
      </c>
      <c r="J347" s="342">
        <v>42.5</v>
      </c>
      <c r="K347" s="342" t="s">
        <v>25</v>
      </c>
      <c r="L347" s="342">
        <v>0</v>
      </c>
    </row>
    <row r="348" spans="1:12" x14ac:dyDescent="0.25">
      <c r="A348" s="341" t="s">
        <v>2420</v>
      </c>
      <c r="B348" s="341" t="s">
        <v>2420</v>
      </c>
      <c r="C348" s="341" t="s">
        <v>2420</v>
      </c>
      <c r="D348" s="342">
        <v>0</v>
      </c>
      <c r="E348" s="342" t="s">
        <v>2420</v>
      </c>
      <c r="F348" s="342" t="s">
        <v>9622</v>
      </c>
      <c r="G348" s="341" t="s">
        <v>1854</v>
      </c>
      <c r="H348" s="341" t="s">
        <v>7981</v>
      </c>
      <c r="I348" s="341" t="s">
        <v>16</v>
      </c>
      <c r="J348" s="342">
        <v>1</v>
      </c>
      <c r="K348" s="342" t="s">
        <v>9623</v>
      </c>
      <c r="L348" s="342">
        <v>0</v>
      </c>
    </row>
    <row r="349" spans="1:12" x14ac:dyDescent="0.25">
      <c r="A349" s="341" t="s">
        <v>2420</v>
      </c>
      <c r="B349" s="341" t="s">
        <v>2420</v>
      </c>
      <c r="C349" s="341" t="s">
        <v>2420</v>
      </c>
      <c r="D349" s="342">
        <v>0</v>
      </c>
      <c r="E349" s="342" t="s">
        <v>2420</v>
      </c>
      <c r="F349" s="342" t="s">
        <v>9624</v>
      </c>
      <c r="G349" s="341" t="s">
        <v>9761</v>
      </c>
      <c r="H349" s="341" t="s">
        <v>9762</v>
      </c>
      <c r="I349" s="341" t="s">
        <v>16</v>
      </c>
      <c r="J349" s="342">
        <v>1</v>
      </c>
      <c r="K349" s="342" t="s">
        <v>2420</v>
      </c>
      <c r="L349" s="342">
        <v>0</v>
      </c>
    </row>
    <row r="350" spans="1:12" x14ac:dyDescent="0.25">
      <c r="A350" s="341" t="s">
        <v>165</v>
      </c>
      <c r="B350" s="341" t="s">
        <v>9872</v>
      </c>
      <c r="C350" s="341" t="s">
        <v>16</v>
      </c>
      <c r="D350" s="342">
        <v>1</v>
      </c>
      <c r="E350" s="342">
        <v>0</v>
      </c>
      <c r="F350" s="342" t="s">
        <v>9622</v>
      </c>
      <c r="G350" s="341" t="s">
        <v>1234</v>
      </c>
      <c r="H350" s="341" t="s">
        <v>6899</v>
      </c>
      <c r="I350" s="341" t="s">
        <v>4230</v>
      </c>
      <c r="J350" s="342">
        <v>0.73</v>
      </c>
      <c r="K350" s="342" t="s">
        <v>4230</v>
      </c>
      <c r="L350" s="342">
        <v>0</v>
      </c>
    </row>
    <row r="351" spans="1:12" x14ac:dyDescent="0.25">
      <c r="A351" s="341" t="s">
        <v>2420</v>
      </c>
      <c r="B351" s="341" t="s">
        <v>2420</v>
      </c>
      <c r="C351" s="341" t="s">
        <v>2420</v>
      </c>
      <c r="D351" s="342">
        <v>0</v>
      </c>
      <c r="E351" s="342" t="s">
        <v>2420</v>
      </c>
      <c r="F351" s="342" t="s">
        <v>9622</v>
      </c>
      <c r="G351" s="341" t="s">
        <v>1235</v>
      </c>
      <c r="H351" s="341" t="s">
        <v>6900</v>
      </c>
      <c r="I351" s="341" t="s">
        <v>4230</v>
      </c>
      <c r="J351" s="342">
        <v>0.73</v>
      </c>
      <c r="K351" s="342" t="s">
        <v>4230</v>
      </c>
      <c r="L351" s="342">
        <v>0</v>
      </c>
    </row>
    <row r="352" spans="1:12" x14ac:dyDescent="0.25">
      <c r="A352" s="341" t="s">
        <v>2420</v>
      </c>
      <c r="B352" s="341" t="s">
        <v>2420</v>
      </c>
      <c r="C352" s="341" t="s">
        <v>2420</v>
      </c>
      <c r="D352" s="342">
        <v>0</v>
      </c>
      <c r="E352" s="342" t="s">
        <v>2420</v>
      </c>
      <c r="F352" s="342" t="s">
        <v>9622</v>
      </c>
      <c r="G352" s="341" t="s">
        <v>1541</v>
      </c>
      <c r="H352" s="341" t="s">
        <v>2781</v>
      </c>
      <c r="I352" s="341" t="s">
        <v>16</v>
      </c>
      <c r="J352" s="342">
        <v>1.05</v>
      </c>
      <c r="K352" s="342" t="s">
        <v>25</v>
      </c>
      <c r="L352" s="342">
        <v>0</v>
      </c>
    </row>
    <row r="353" spans="1:12" x14ac:dyDescent="0.25">
      <c r="A353" s="341" t="s">
        <v>2420</v>
      </c>
      <c r="B353" s="341" t="s">
        <v>2420</v>
      </c>
      <c r="C353" s="341" t="s">
        <v>2420</v>
      </c>
      <c r="D353" s="342">
        <v>0</v>
      </c>
      <c r="E353" s="342" t="s">
        <v>2420</v>
      </c>
      <c r="F353" s="342" t="s">
        <v>9622</v>
      </c>
      <c r="G353" s="341" t="s">
        <v>1621</v>
      </c>
      <c r="H353" s="341" t="s">
        <v>7341</v>
      </c>
      <c r="I353" s="341" t="s">
        <v>2557</v>
      </c>
      <c r="J353" s="342">
        <v>6</v>
      </c>
      <c r="K353" s="342" t="s">
        <v>25</v>
      </c>
      <c r="L353" s="342">
        <v>0</v>
      </c>
    </row>
    <row r="354" spans="1:12" x14ac:dyDescent="0.25">
      <c r="A354" s="341" t="s">
        <v>2420</v>
      </c>
      <c r="B354" s="341" t="s">
        <v>2420</v>
      </c>
      <c r="C354" s="341" t="s">
        <v>2420</v>
      </c>
      <c r="D354" s="342">
        <v>0</v>
      </c>
      <c r="E354" s="342" t="s">
        <v>2420</v>
      </c>
      <c r="F354" s="342" t="s">
        <v>9622</v>
      </c>
      <c r="G354" s="341" t="s">
        <v>1861</v>
      </c>
      <c r="H354" s="341" t="s">
        <v>9873</v>
      </c>
      <c r="I354" s="341" t="s">
        <v>16</v>
      </c>
      <c r="J354" s="342">
        <v>1</v>
      </c>
      <c r="K354" s="342" t="s">
        <v>9623</v>
      </c>
      <c r="L354" s="342">
        <v>0</v>
      </c>
    </row>
    <row r="355" spans="1:12" x14ac:dyDescent="0.25">
      <c r="A355" s="341" t="s">
        <v>2420</v>
      </c>
      <c r="B355" s="341" t="s">
        <v>2420</v>
      </c>
      <c r="C355" s="341" t="s">
        <v>2420</v>
      </c>
      <c r="D355" s="342">
        <v>0</v>
      </c>
      <c r="E355" s="342" t="s">
        <v>2420</v>
      </c>
      <c r="F355" s="342" t="s">
        <v>9624</v>
      </c>
      <c r="G355" s="341" t="s">
        <v>9857</v>
      </c>
      <c r="H355" s="341" t="s">
        <v>9858</v>
      </c>
      <c r="I355" s="341" t="s">
        <v>16</v>
      </c>
      <c r="J355" s="342">
        <v>1</v>
      </c>
      <c r="K355" s="342" t="s">
        <v>2420</v>
      </c>
      <c r="L355" s="342">
        <v>0</v>
      </c>
    </row>
    <row r="356" spans="1:12" x14ac:dyDescent="0.25">
      <c r="A356" s="341" t="s">
        <v>352</v>
      </c>
      <c r="B356" s="341" t="s">
        <v>9874</v>
      </c>
      <c r="C356" s="341" t="s">
        <v>16</v>
      </c>
      <c r="D356" s="342">
        <v>1</v>
      </c>
      <c r="E356" s="342">
        <v>0</v>
      </c>
      <c r="F356" s="342" t="s">
        <v>9622</v>
      </c>
      <c r="G356" s="341" t="s">
        <v>1234</v>
      </c>
      <c r="H356" s="341" t="s">
        <v>6899</v>
      </c>
      <c r="I356" s="341" t="s">
        <v>4230</v>
      </c>
      <c r="J356" s="342">
        <v>0.73</v>
      </c>
      <c r="K356" s="342" t="s">
        <v>4230</v>
      </c>
      <c r="L356" s="342">
        <v>0</v>
      </c>
    </row>
    <row r="357" spans="1:12" x14ac:dyDescent="0.25">
      <c r="A357" s="341" t="s">
        <v>2420</v>
      </c>
      <c r="B357" s="341" t="s">
        <v>2420</v>
      </c>
      <c r="C357" s="341" t="s">
        <v>2420</v>
      </c>
      <c r="D357" s="342">
        <v>0</v>
      </c>
      <c r="E357" s="342" t="s">
        <v>2420</v>
      </c>
      <c r="F357" s="342" t="s">
        <v>9622</v>
      </c>
      <c r="G357" s="341" t="s">
        <v>1235</v>
      </c>
      <c r="H357" s="341" t="s">
        <v>6900</v>
      </c>
      <c r="I357" s="341" t="s">
        <v>4230</v>
      </c>
      <c r="J357" s="342">
        <v>0.73</v>
      </c>
      <c r="K357" s="342" t="s">
        <v>4230</v>
      </c>
      <c r="L357" s="342">
        <v>0</v>
      </c>
    </row>
    <row r="358" spans="1:12" x14ac:dyDescent="0.25">
      <c r="A358" s="341" t="s">
        <v>2420</v>
      </c>
      <c r="B358" s="341" t="s">
        <v>2420</v>
      </c>
      <c r="C358" s="341" t="s">
        <v>2420</v>
      </c>
      <c r="D358" s="342">
        <v>0</v>
      </c>
      <c r="E358" s="342" t="s">
        <v>2420</v>
      </c>
      <c r="F358" s="342" t="s">
        <v>9622</v>
      </c>
      <c r="G358" s="341" t="s">
        <v>1436</v>
      </c>
      <c r="H358" s="341" t="s">
        <v>2782</v>
      </c>
      <c r="I358" s="341" t="s">
        <v>16</v>
      </c>
      <c r="J358" s="342">
        <v>1.05</v>
      </c>
      <c r="K358" s="342" t="s">
        <v>25</v>
      </c>
      <c r="L358" s="342">
        <v>0</v>
      </c>
    </row>
    <row r="359" spans="1:12" x14ac:dyDescent="0.25">
      <c r="A359" s="341" t="s">
        <v>2420</v>
      </c>
      <c r="B359" s="341" t="s">
        <v>2420</v>
      </c>
      <c r="C359" s="341" t="s">
        <v>2420</v>
      </c>
      <c r="D359" s="342">
        <v>0</v>
      </c>
      <c r="E359" s="342" t="s">
        <v>2420</v>
      </c>
      <c r="F359" s="342" t="s">
        <v>9622</v>
      </c>
      <c r="G359" s="341" t="s">
        <v>1621</v>
      </c>
      <c r="H359" s="341" t="s">
        <v>7341</v>
      </c>
      <c r="I359" s="341" t="s">
        <v>2557</v>
      </c>
      <c r="J359" s="342">
        <v>6</v>
      </c>
      <c r="K359" s="342" t="s">
        <v>25</v>
      </c>
      <c r="L359" s="342">
        <v>0</v>
      </c>
    </row>
    <row r="360" spans="1:12" x14ac:dyDescent="0.25">
      <c r="A360" s="341" t="s">
        <v>2420</v>
      </c>
      <c r="B360" s="341" t="s">
        <v>2420</v>
      </c>
      <c r="C360" s="341" t="s">
        <v>2420</v>
      </c>
      <c r="D360" s="342">
        <v>0</v>
      </c>
      <c r="E360" s="342" t="s">
        <v>2420</v>
      </c>
      <c r="F360" s="342" t="s">
        <v>9622</v>
      </c>
      <c r="G360" s="341" t="s">
        <v>1861</v>
      </c>
      <c r="H360" s="341" t="s">
        <v>9873</v>
      </c>
      <c r="I360" s="341" t="s">
        <v>16</v>
      </c>
      <c r="J360" s="342">
        <v>1</v>
      </c>
      <c r="K360" s="342" t="s">
        <v>9623</v>
      </c>
      <c r="L360" s="342">
        <v>0</v>
      </c>
    </row>
    <row r="361" spans="1:12" x14ac:dyDescent="0.25">
      <c r="A361" s="341" t="s">
        <v>2420</v>
      </c>
      <c r="B361" s="341" t="s">
        <v>2420</v>
      </c>
      <c r="C361" s="341" t="s">
        <v>2420</v>
      </c>
      <c r="D361" s="342">
        <v>0</v>
      </c>
      <c r="E361" s="342" t="s">
        <v>2420</v>
      </c>
      <c r="F361" s="342" t="s">
        <v>9624</v>
      </c>
      <c r="G361" s="341" t="s">
        <v>9857</v>
      </c>
      <c r="H361" s="341" t="s">
        <v>9858</v>
      </c>
      <c r="I361" s="341" t="s">
        <v>16</v>
      </c>
      <c r="J361" s="342">
        <v>1</v>
      </c>
      <c r="K361" s="342" t="s">
        <v>2420</v>
      </c>
      <c r="L361" s="342">
        <v>0</v>
      </c>
    </row>
    <row r="362" spans="1:12" x14ac:dyDescent="0.25">
      <c r="A362" s="341" t="s">
        <v>353</v>
      </c>
      <c r="B362" s="341" t="s">
        <v>9875</v>
      </c>
      <c r="C362" s="341" t="s">
        <v>16</v>
      </c>
      <c r="D362" s="342">
        <v>1</v>
      </c>
      <c r="E362" s="342">
        <v>0</v>
      </c>
      <c r="F362" s="342" t="s">
        <v>9622</v>
      </c>
      <c r="G362" s="341" t="s">
        <v>1234</v>
      </c>
      <c r="H362" s="341" t="s">
        <v>6899</v>
      </c>
      <c r="I362" s="341" t="s">
        <v>4230</v>
      </c>
      <c r="J362" s="342">
        <v>0.73</v>
      </c>
      <c r="K362" s="342" t="s">
        <v>4230</v>
      </c>
      <c r="L362" s="342">
        <v>0</v>
      </c>
    </row>
    <row r="363" spans="1:12" x14ac:dyDescent="0.25">
      <c r="A363" s="341" t="s">
        <v>2420</v>
      </c>
      <c r="B363" s="341" t="s">
        <v>2420</v>
      </c>
      <c r="C363" s="341" t="s">
        <v>2420</v>
      </c>
      <c r="D363" s="342">
        <v>0</v>
      </c>
      <c r="E363" s="342" t="s">
        <v>2420</v>
      </c>
      <c r="F363" s="342" t="s">
        <v>9622</v>
      </c>
      <c r="G363" s="341" t="s">
        <v>1235</v>
      </c>
      <c r="H363" s="341" t="s">
        <v>6900</v>
      </c>
      <c r="I363" s="341" t="s">
        <v>4230</v>
      </c>
      <c r="J363" s="342">
        <v>0.73</v>
      </c>
      <c r="K363" s="342" t="s">
        <v>4230</v>
      </c>
      <c r="L363" s="342">
        <v>0</v>
      </c>
    </row>
    <row r="364" spans="1:12" x14ac:dyDescent="0.25">
      <c r="A364" s="341" t="s">
        <v>2420</v>
      </c>
      <c r="B364" s="341" t="s">
        <v>2420</v>
      </c>
      <c r="C364" s="341" t="s">
        <v>2420</v>
      </c>
      <c r="D364" s="342">
        <v>0</v>
      </c>
      <c r="E364" s="342" t="s">
        <v>2420</v>
      </c>
      <c r="F364" s="342" t="s">
        <v>9622</v>
      </c>
      <c r="G364" s="341" t="s">
        <v>1437</v>
      </c>
      <c r="H364" s="341" t="s">
        <v>2783</v>
      </c>
      <c r="I364" s="341" t="s">
        <v>16</v>
      </c>
      <c r="J364" s="342">
        <v>1.05</v>
      </c>
      <c r="K364" s="342" t="s">
        <v>25</v>
      </c>
      <c r="L364" s="342">
        <v>0</v>
      </c>
    </row>
    <row r="365" spans="1:12" x14ac:dyDescent="0.25">
      <c r="A365" s="341" t="s">
        <v>2420</v>
      </c>
      <c r="B365" s="341" t="s">
        <v>2420</v>
      </c>
      <c r="C365" s="341" t="s">
        <v>2420</v>
      </c>
      <c r="D365" s="342">
        <v>0</v>
      </c>
      <c r="E365" s="342" t="s">
        <v>2420</v>
      </c>
      <c r="F365" s="342" t="s">
        <v>9622</v>
      </c>
      <c r="G365" s="341" t="s">
        <v>1621</v>
      </c>
      <c r="H365" s="341" t="s">
        <v>7341</v>
      </c>
      <c r="I365" s="341" t="s">
        <v>2557</v>
      </c>
      <c r="J365" s="342">
        <v>6</v>
      </c>
      <c r="K365" s="342" t="s">
        <v>25</v>
      </c>
      <c r="L365" s="342">
        <v>0</v>
      </c>
    </row>
    <row r="366" spans="1:12" x14ac:dyDescent="0.25">
      <c r="A366" s="341" t="s">
        <v>2420</v>
      </c>
      <c r="B366" s="341" t="s">
        <v>2420</v>
      </c>
      <c r="C366" s="341" t="s">
        <v>2420</v>
      </c>
      <c r="D366" s="342">
        <v>0</v>
      </c>
      <c r="E366" s="342" t="s">
        <v>2420</v>
      </c>
      <c r="F366" s="342" t="s">
        <v>9622</v>
      </c>
      <c r="G366" s="341" t="s">
        <v>1861</v>
      </c>
      <c r="H366" s="341" t="s">
        <v>9873</v>
      </c>
      <c r="I366" s="341" t="s">
        <v>16</v>
      </c>
      <c r="J366" s="342">
        <v>1</v>
      </c>
      <c r="K366" s="342" t="s">
        <v>9623</v>
      </c>
      <c r="L366" s="342">
        <v>0</v>
      </c>
    </row>
    <row r="367" spans="1:12" x14ac:dyDescent="0.25">
      <c r="A367" s="341" t="s">
        <v>2420</v>
      </c>
      <c r="B367" s="341" t="s">
        <v>2420</v>
      </c>
      <c r="C367" s="341" t="s">
        <v>2420</v>
      </c>
      <c r="D367" s="342">
        <v>0</v>
      </c>
      <c r="E367" s="342" t="s">
        <v>2420</v>
      </c>
      <c r="F367" s="342" t="s">
        <v>9624</v>
      </c>
      <c r="G367" s="341" t="s">
        <v>9857</v>
      </c>
      <c r="H367" s="341" t="s">
        <v>9858</v>
      </c>
      <c r="I367" s="341" t="s">
        <v>16</v>
      </c>
      <c r="J367" s="342">
        <v>1</v>
      </c>
      <c r="K367" s="342" t="s">
        <v>2420</v>
      </c>
      <c r="L367" s="342">
        <v>0</v>
      </c>
    </row>
    <row r="368" spans="1:12" x14ac:dyDescent="0.25">
      <c r="A368" s="341" t="s">
        <v>401</v>
      </c>
      <c r="B368" s="341" t="s">
        <v>9876</v>
      </c>
      <c r="C368" s="341" t="s">
        <v>16</v>
      </c>
      <c r="D368" s="342">
        <v>1</v>
      </c>
      <c r="E368" s="342">
        <v>0</v>
      </c>
      <c r="F368" s="342" t="s">
        <v>9622</v>
      </c>
      <c r="G368" s="341" t="s">
        <v>1234</v>
      </c>
      <c r="H368" s="341" t="s">
        <v>6899</v>
      </c>
      <c r="I368" s="341" t="s">
        <v>4230</v>
      </c>
      <c r="J368" s="342">
        <v>0.8</v>
      </c>
      <c r="K368" s="342" t="s">
        <v>4230</v>
      </c>
      <c r="L368" s="342">
        <v>0</v>
      </c>
    </row>
    <row r="369" spans="1:12" x14ac:dyDescent="0.25">
      <c r="A369" s="341" t="s">
        <v>2420</v>
      </c>
      <c r="B369" s="341" t="s">
        <v>2420</v>
      </c>
      <c r="C369" s="341" t="s">
        <v>2420</v>
      </c>
      <c r="D369" s="342">
        <v>0</v>
      </c>
      <c r="E369" s="342" t="s">
        <v>2420</v>
      </c>
      <c r="F369" s="342" t="s">
        <v>9622</v>
      </c>
      <c r="G369" s="341" t="s">
        <v>1235</v>
      </c>
      <c r="H369" s="341" t="s">
        <v>6900</v>
      </c>
      <c r="I369" s="341" t="s">
        <v>4230</v>
      </c>
      <c r="J369" s="342">
        <v>0.8</v>
      </c>
      <c r="K369" s="342" t="s">
        <v>4230</v>
      </c>
      <c r="L369" s="342">
        <v>0</v>
      </c>
    </row>
    <row r="370" spans="1:12" x14ac:dyDescent="0.25">
      <c r="A370" s="341" t="s">
        <v>2420</v>
      </c>
      <c r="B370" s="341" t="s">
        <v>2420</v>
      </c>
      <c r="C370" s="341" t="s">
        <v>2420</v>
      </c>
      <c r="D370" s="342">
        <v>0</v>
      </c>
      <c r="E370" s="342" t="s">
        <v>2420</v>
      </c>
      <c r="F370" s="342" t="s">
        <v>9622</v>
      </c>
      <c r="G370" s="341" t="s">
        <v>1286</v>
      </c>
      <c r="H370" s="341" t="s">
        <v>9863</v>
      </c>
      <c r="I370" s="341" t="s">
        <v>2557</v>
      </c>
      <c r="J370" s="342">
        <v>42.5</v>
      </c>
      <c r="K370" s="342" t="s">
        <v>25</v>
      </c>
      <c r="L370" s="342">
        <v>0</v>
      </c>
    </row>
    <row r="371" spans="1:12" x14ac:dyDescent="0.25">
      <c r="A371" s="341" t="s">
        <v>2420</v>
      </c>
      <c r="B371" s="341" t="s">
        <v>2420</v>
      </c>
      <c r="C371" s="341" t="s">
        <v>2420</v>
      </c>
      <c r="D371" s="342">
        <v>0</v>
      </c>
      <c r="E371" s="342" t="s">
        <v>2420</v>
      </c>
      <c r="F371" s="342" t="s">
        <v>9622</v>
      </c>
      <c r="G371" s="341" t="s">
        <v>1909</v>
      </c>
      <c r="H371" s="341" t="s">
        <v>9877</v>
      </c>
      <c r="I371" s="341" t="s">
        <v>16</v>
      </c>
      <c r="J371" s="342">
        <v>1</v>
      </c>
      <c r="K371" s="342" t="s">
        <v>9623</v>
      </c>
      <c r="L371" s="342">
        <v>0</v>
      </c>
    </row>
    <row r="372" spans="1:12" x14ac:dyDescent="0.25">
      <c r="A372" s="341" t="s">
        <v>2420</v>
      </c>
      <c r="B372" s="341" t="s">
        <v>2420</v>
      </c>
      <c r="C372" s="341" t="s">
        <v>2420</v>
      </c>
      <c r="D372" s="342">
        <v>0</v>
      </c>
      <c r="E372" s="342" t="s">
        <v>2420</v>
      </c>
      <c r="F372" s="342" t="s">
        <v>9624</v>
      </c>
      <c r="G372" s="341" t="s">
        <v>9761</v>
      </c>
      <c r="H372" s="341" t="s">
        <v>9762</v>
      </c>
      <c r="I372" s="341" t="s">
        <v>16</v>
      </c>
      <c r="J372" s="342">
        <v>1</v>
      </c>
      <c r="K372" s="342" t="s">
        <v>2420</v>
      </c>
      <c r="L372" s="342">
        <v>0</v>
      </c>
    </row>
    <row r="373" spans="1:12" x14ac:dyDescent="0.25">
      <c r="A373" s="341" t="s">
        <v>405</v>
      </c>
      <c r="B373" s="341" t="s">
        <v>9878</v>
      </c>
      <c r="C373" s="341" t="s">
        <v>16</v>
      </c>
      <c r="D373" s="342">
        <v>1</v>
      </c>
      <c r="E373" s="342">
        <v>0</v>
      </c>
      <c r="F373" s="342" t="s">
        <v>9622</v>
      </c>
      <c r="G373" s="341" t="s">
        <v>1234</v>
      </c>
      <c r="H373" s="341" t="s">
        <v>6899</v>
      </c>
      <c r="I373" s="341" t="s">
        <v>4230</v>
      </c>
      <c r="J373" s="342">
        <v>0.73</v>
      </c>
      <c r="K373" s="342" t="s">
        <v>4230</v>
      </c>
      <c r="L373" s="342">
        <v>0</v>
      </c>
    </row>
    <row r="374" spans="1:12" x14ac:dyDescent="0.25">
      <c r="A374" s="341" t="s">
        <v>2420</v>
      </c>
      <c r="B374" s="341" t="s">
        <v>2420</v>
      </c>
      <c r="C374" s="341" t="s">
        <v>2420</v>
      </c>
      <c r="D374" s="342">
        <v>0</v>
      </c>
      <c r="E374" s="342" t="s">
        <v>2420</v>
      </c>
      <c r="F374" s="342" t="s">
        <v>9622</v>
      </c>
      <c r="G374" s="341" t="s">
        <v>1235</v>
      </c>
      <c r="H374" s="341" t="s">
        <v>6900</v>
      </c>
      <c r="I374" s="341" t="s">
        <v>4230</v>
      </c>
      <c r="J374" s="342">
        <v>0.73</v>
      </c>
      <c r="K374" s="342" t="s">
        <v>4230</v>
      </c>
      <c r="L374" s="342">
        <v>0</v>
      </c>
    </row>
    <row r="375" spans="1:12" x14ac:dyDescent="0.25">
      <c r="A375" s="341" t="s">
        <v>2420</v>
      </c>
      <c r="B375" s="341" t="s">
        <v>2420</v>
      </c>
      <c r="C375" s="341" t="s">
        <v>2420</v>
      </c>
      <c r="D375" s="342">
        <v>0</v>
      </c>
      <c r="E375" s="342" t="s">
        <v>2420</v>
      </c>
      <c r="F375" s="342" t="s">
        <v>9622</v>
      </c>
      <c r="G375" s="341" t="s">
        <v>1472</v>
      </c>
      <c r="H375" s="341" t="s">
        <v>7212</v>
      </c>
      <c r="I375" s="341" t="s">
        <v>2557</v>
      </c>
      <c r="J375" s="342">
        <v>6</v>
      </c>
      <c r="K375" s="342" t="s">
        <v>25</v>
      </c>
      <c r="L375" s="342">
        <v>0</v>
      </c>
    </row>
    <row r="376" spans="1:12" x14ac:dyDescent="0.25">
      <c r="A376" s="341" t="s">
        <v>2420</v>
      </c>
      <c r="B376" s="341" t="s">
        <v>2420</v>
      </c>
      <c r="C376" s="341" t="s">
        <v>2420</v>
      </c>
      <c r="D376" s="342">
        <v>0</v>
      </c>
      <c r="E376" s="342" t="s">
        <v>2420</v>
      </c>
      <c r="F376" s="342" t="s">
        <v>9622</v>
      </c>
      <c r="G376" s="341" t="s">
        <v>3375</v>
      </c>
      <c r="H376" s="341" t="s">
        <v>9879</v>
      </c>
      <c r="I376" s="341" t="s">
        <v>16</v>
      </c>
      <c r="J376" s="342">
        <v>1.05</v>
      </c>
      <c r="K376" s="342" t="s">
        <v>25</v>
      </c>
      <c r="L376" s="342">
        <v>0</v>
      </c>
    </row>
    <row r="377" spans="1:12" x14ac:dyDescent="0.25">
      <c r="A377" s="341" t="s">
        <v>2420</v>
      </c>
      <c r="B377" s="341" t="s">
        <v>2420</v>
      </c>
      <c r="C377" s="341" t="s">
        <v>2420</v>
      </c>
      <c r="D377" s="342">
        <v>0</v>
      </c>
      <c r="E377" s="342" t="s">
        <v>2420</v>
      </c>
      <c r="F377" s="342" t="s">
        <v>9622</v>
      </c>
      <c r="G377" s="341" t="s">
        <v>9880</v>
      </c>
      <c r="H377" s="341" t="s">
        <v>9881</v>
      </c>
      <c r="I377" s="341" t="s">
        <v>16</v>
      </c>
      <c r="J377" s="342">
        <v>1</v>
      </c>
      <c r="K377" s="342" t="s">
        <v>9623</v>
      </c>
      <c r="L377" s="342">
        <v>0</v>
      </c>
    </row>
    <row r="378" spans="1:12" x14ac:dyDescent="0.25">
      <c r="A378" s="341" t="s">
        <v>2420</v>
      </c>
      <c r="B378" s="341" t="s">
        <v>2420</v>
      </c>
      <c r="C378" s="341" t="s">
        <v>2420</v>
      </c>
      <c r="D378" s="342">
        <v>0</v>
      </c>
      <c r="E378" s="342" t="s">
        <v>2420</v>
      </c>
      <c r="F378" s="342" t="s">
        <v>9624</v>
      </c>
      <c r="G378" s="341" t="s">
        <v>9857</v>
      </c>
      <c r="H378" s="341" t="s">
        <v>9858</v>
      </c>
      <c r="I378" s="341" t="s">
        <v>16</v>
      </c>
      <c r="J378" s="342">
        <v>1</v>
      </c>
      <c r="K378" s="342" t="s">
        <v>2420</v>
      </c>
      <c r="L378" s="342">
        <v>0</v>
      </c>
    </row>
    <row r="379" spans="1:12" x14ac:dyDescent="0.25">
      <c r="A379" s="341" t="s">
        <v>354</v>
      </c>
      <c r="B379" s="341" t="s">
        <v>9882</v>
      </c>
      <c r="C379" s="341" t="s">
        <v>16</v>
      </c>
      <c r="D379" s="342">
        <v>1</v>
      </c>
      <c r="E379" s="342">
        <v>0</v>
      </c>
      <c r="F379" s="342" t="s">
        <v>9622</v>
      </c>
      <c r="G379" s="341" t="s">
        <v>1234</v>
      </c>
      <c r="H379" s="341" t="s">
        <v>6899</v>
      </c>
      <c r="I379" s="341" t="s">
        <v>4230</v>
      </c>
      <c r="J379" s="342">
        <v>0.73</v>
      </c>
      <c r="K379" s="342" t="s">
        <v>4230</v>
      </c>
      <c r="L379" s="342">
        <v>0</v>
      </c>
    </row>
    <row r="380" spans="1:12" x14ac:dyDescent="0.25">
      <c r="A380" s="341" t="s">
        <v>2420</v>
      </c>
      <c r="B380" s="341" t="s">
        <v>2420</v>
      </c>
      <c r="C380" s="341" t="s">
        <v>2420</v>
      </c>
      <c r="D380" s="342">
        <v>0</v>
      </c>
      <c r="E380" s="342" t="s">
        <v>2420</v>
      </c>
      <c r="F380" s="342" t="s">
        <v>9622</v>
      </c>
      <c r="G380" s="341" t="s">
        <v>1235</v>
      </c>
      <c r="H380" s="341" t="s">
        <v>6900</v>
      </c>
      <c r="I380" s="341" t="s">
        <v>4230</v>
      </c>
      <c r="J380" s="342">
        <v>0.73</v>
      </c>
      <c r="K380" s="342" t="s">
        <v>4230</v>
      </c>
      <c r="L380" s="342">
        <v>0</v>
      </c>
    </row>
    <row r="381" spans="1:12" x14ac:dyDescent="0.25">
      <c r="A381" s="341" t="s">
        <v>2420</v>
      </c>
      <c r="B381" s="341" t="s">
        <v>2420</v>
      </c>
      <c r="C381" s="341" t="s">
        <v>2420</v>
      </c>
      <c r="D381" s="342">
        <v>0</v>
      </c>
      <c r="E381" s="342" t="s">
        <v>2420</v>
      </c>
      <c r="F381" s="342" t="s">
        <v>9622</v>
      </c>
      <c r="G381" s="341" t="s">
        <v>1438</v>
      </c>
      <c r="H381" s="341" t="s">
        <v>2784</v>
      </c>
      <c r="I381" s="341" t="s">
        <v>16</v>
      </c>
      <c r="J381" s="342">
        <v>1.05</v>
      </c>
      <c r="K381" s="342" t="s">
        <v>25</v>
      </c>
      <c r="L381" s="342">
        <v>0</v>
      </c>
    </row>
    <row r="382" spans="1:12" x14ac:dyDescent="0.25">
      <c r="A382" s="341" t="s">
        <v>2420</v>
      </c>
      <c r="B382" s="341" t="s">
        <v>2420</v>
      </c>
      <c r="C382" s="341" t="s">
        <v>2420</v>
      </c>
      <c r="D382" s="342">
        <v>0</v>
      </c>
      <c r="E382" s="342" t="s">
        <v>2420</v>
      </c>
      <c r="F382" s="342" t="s">
        <v>9622</v>
      </c>
      <c r="G382" s="341" t="s">
        <v>1621</v>
      </c>
      <c r="H382" s="341" t="s">
        <v>7341</v>
      </c>
      <c r="I382" s="341" t="s">
        <v>2557</v>
      </c>
      <c r="J382" s="342">
        <v>6</v>
      </c>
      <c r="K382" s="342" t="s">
        <v>25</v>
      </c>
      <c r="L382" s="342">
        <v>0</v>
      </c>
    </row>
    <row r="383" spans="1:12" x14ac:dyDescent="0.25">
      <c r="A383" s="341" t="s">
        <v>2420</v>
      </c>
      <c r="B383" s="341" t="s">
        <v>2420</v>
      </c>
      <c r="C383" s="341" t="s">
        <v>2420</v>
      </c>
      <c r="D383" s="342">
        <v>0</v>
      </c>
      <c r="E383" s="342" t="s">
        <v>2420</v>
      </c>
      <c r="F383" s="342" t="s">
        <v>9622</v>
      </c>
      <c r="G383" s="341" t="s">
        <v>1861</v>
      </c>
      <c r="H383" s="341" t="s">
        <v>9873</v>
      </c>
      <c r="I383" s="341" t="s">
        <v>16</v>
      </c>
      <c r="J383" s="342">
        <v>1</v>
      </c>
      <c r="K383" s="342" t="s">
        <v>9623</v>
      </c>
      <c r="L383" s="342">
        <v>0</v>
      </c>
    </row>
    <row r="384" spans="1:12" x14ac:dyDescent="0.25">
      <c r="A384" s="341" t="s">
        <v>2420</v>
      </c>
      <c r="B384" s="341" t="s">
        <v>2420</v>
      </c>
      <c r="C384" s="341" t="s">
        <v>2420</v>
      </c>
      <c r="D384" s="342">
        <v>0</v>
      </c>
      <c r="E384" s="342" t="s">
        <v>2420</v>
      </c>
      <c r="F384" s="342" t="s">
        <v>9624</v>
      </c>
      <c r="G384" s="341" t="s">
        <v>9857</v>
      </c>
      <c r="H384" s="341" t="s">
        <v>9858</v>
      </c>
      <c r="I384" s="341" t="s">
        <v>16</v>
      </c>
      <c r="J384" s="342">
        <v>1</v>
      </c>
      <c r="K384" s="342" t="s">
        <v>2420</v>
      </c>
      <c r="L384" s="342">
        <v>0</v>
      </c>
    </row>
    <row r="385" spans="1:12" x14ac:dyDescent="0.25">
      <c r="A385" s="341" t="s">
        <v>355</v>
      </c>
      <c r="B385" s="341" t="s">
        <v>9883</v>
      </c>
      <c r="C385" s="341" t="s">
        <v>16</v>
      </c>
      <c r="D385" s="342">
        <v>1</v>
      </c>
      <c r="E385" s="342">
        <v>0</v>
      </c>
      <c r="F385" s="342" t="s">
        <v>9622</v>
      </c>
      <c r="G385" s="341" t="s">
        <v>1234</v>
      </c>
      <c r="H385" s="341" t="s">
        <v>6899</v>
      </c>
      <c r="I385" s="341" t="s">
        <v>4230</v>
      </c>
      <c r="J385" s="342">
        <v>0.73</v>
      </c>
      <c r="K385" s="342" t="s">
        <v>4230</v>
      </c>
      <c r="L385" s="342">
        <v>0</v>
      </c>
    </row>
    <row r="386" spans="1:12" x14ac:dyDescent="0.25">
      <c r="A386" s="341" t="s">
        <v>2420</v>
      </c>
      <c r="B386" s="341" t="s">
        <v>2420</v>
      </c>
      <c r="C386" s="341" t="s">
        <v>2420</v>
      </c>
      <c r="D386" s="342">
        <v>0</v>
      </c>
      <c r="E386" s="342" t="s">
        <v>2420</v>
      </c>
      <c r="F386" s="342" t="s">
        <v>9622</v>
      </c>
      <c r="G386" s="341" t="s">
        <v>1235</v>
      </c>
      <c r="H386" s="341" t="s">
        <v>6900</v>
      </c>
      <c r="I386" s="341" t="s">
        <v>4230</v>
      </c>
      <c r="J386" s="342">
        <v>0.73</v>
      </c>
      <c r="K386" s="342" t="s">
        <v>4230</v>
      </c>
      <c r="L386" s="342">
        <v>0</v>
      </c>
    </row>
    <row r="387" spans="1:12" x14ac:dyDescent="0.25">
      <c r="A387" s="341" t="s">
        <v>2420</v>
      </c>
      <c r="B387" s="341" t="s">
        <v>2420</v>
      </c>
      <c r="C387" s="341" t="s">
        <v>2420</v>
      </c>
      <c r="D387" s="342">
        <v>0</v>
      </c>
      <c r="E387" s="342" t="s">
        <v>2420</v>
      </c>
      <c r="F387" s="342" t="s">
        <v>9622</v>
      </c>
      <c r="G387" s="341" t="s">
        <v>1439</v>
      </c>
      <c r="H387" s="341" t="s">
        <v>2785</v>
      </c>
      <c r="I387" s="341" t="s">
        <v>16</v>
      </c>
      <c r="J387" s="342">
        <v>1.05</v>
      </c>
      <c r="K387" s="342" t="s">
        <v>25</v>
      </c>
      <c r="L387" s="342">
        <v>0</v>
      </c>
    </row>
    <row r="388" spans="1:12" x14ac:dyDescent="0.25">
      <c r="A388" s="341" t="s">
        <v>2420</v>
      </c>
      <c r="B388" s="341" t="s">
        <v>2420</v>
      </c>
      <c r="C388" s="341" t="s">
        <v>2420</v>
      </c>
      <c r="D388" s="342">
        <v>0</v>
      </c>
      <c r="E388" s="342" t="s">
        <v>2420</v>
      </c>
      <c r="F388" s="342" t="s">
        <v>9622</v>
      </c>
      <c r="G388" s="341" t="s">
        <v>1621</v>
      </c>
      <c r="H388" s="341" t="s">
        <v>7341</v>
      </c>
      <c r="I388" s="341" t="s">
        <v>2557</v>
      </c>
      <c r="J388" s="342">
        <v>6</v>
      </c>
      <c r="K388" s="342" t="s">
        <v>25</v>
      </c>
      <c r="L388" s="342">
        <v>0</v>
      </c>
    </row>
    <row r="389" spans="1:12" x14ac:dyDescent="0.25">
      <c r="A389" s="341" t="s">
        <v>2420</v>
      </c>
      <c r="B389" s="341" t="s">
        <v>2420</v>
      </c>
      <c r="C389" s="341" t="s">
        <v>2420</v>
      </c>
      <c r="D389" s="342">
        <v>0</v>
      </c>
      <c r="E389" s="342" t="s">
        <v>2420</v>
      </c>
      <c r="F389" s="342" t="s">
        <v>9622</v>
      </c>
      <c r="G389" s="341" t="s">
        <v>1861</v>
      </c>
      <c r="H389" s="341" t="s">
        <v>9873</v>
      </c>
      <c r="I389" s="341" t="s">
        <v>16</v>
      </c>
      <c r="J389" s="342">
        <v>1</v>
      </c>
      <c r="K389" s="342" t="s">
        <v>9623</v>
      </c>
      <c r="L389" s="342">
        <v>0</v>
      </c>
    </row>
    <row r="390" spans="1:12" x14ac:dyDescent="0.25">
      <c r="A390" s="341" t="s">
        <v>2420</v>
      </c>
      <c r="B390" s="341" t="s">
        <v>2420</v>
      </c>
      <c r="C390" s="341" t="s">
        <v>2420</v>
      </c>
      <c r="D390" s="342">
        <v>0</v>
      </c>
      <c r="E390" s="342" t="s">
        <v>2420</v>
      </c>
      <c r="F390" s="342" t="s">
        <v>9624</v>
      </c>
      <c r="G390" s="341" t="s">
        <v>9857</v>
      </c>
      <c r="H390" s="341" t="s">
        <v>9858</v>
      </c>
      <c r="I390" s="341" t="s">
        <v>16</v>
      </c>
      <c r="J390" s="342">
        <v>1</v>
      </c>
      <c r="K390" s="342" t="s">
        <v>2420</v>
      </c>
      <c r="L390" s="342">
        <v>0</v>
      </c>
    </row>
    <row r="391" spans="1:12" x14ac:dyDescent="0.25">
      <c r="A391" s="341" t="s">
        <v>356</v>
      </c>
      <c r="B391" s="341" t="s">
        <v>9872</v>
      </c>
      <c r="C391" s="341" t="s">
        <v>16</v>
      </c>
      <c r="D391" s="342">
        <v>1</v>
      </c>
      <c r="E391" s="342">
        <v>0</v>
      </c>
      <c r="F391" s="342" t="s">
        <v>9622</v>
      </c>
      <c r="G391" s="341" t="s">
        <v>1234</v>
      </c>
      <c r="H391" s="341" t="s">
        <v>6899</v>
      </c>
      <c r="I391" s="341" t="s">
        <v>4230</v>
      </c>
      <c r="J391" s="342">
        <v>0.73</v>
      </c>
      <c r="K391" s="342" t="s">
        <v>4230</v>
      </c>
      <c r="L391" s="342">
        <v>0</v>
      </c>
    </row>
    <row r="392" spans="1:12" x14ac:dyDescent="0.25">
      <c r="A392" s="341" t="s">
        <v>2420</v>
      </c>
      <c r="B392" s="341" t="s">
        <v>2420</v>
      </c>
      <c r="C392" s="341" t="s">
        <v>2420</v>
      </c>
      <c r="D392" s="342">
        <v>0</v>
      </c>
      <c r="E392" s="342" t="s">
        <v>2420</v>
      </c>
      <c r="F392" s="342" t="s">
        <v>9622</v>
      </c>
      <c r="G392" s="341" t="s">
        <v>1235</v>
      </c>
      <c r="H392" s="341" t="s">
        <v>6900</v>
      </c>
      <c r="I392" s="341" t="s">
        <v>4230</v>
      </c>
      <c r="J392" s="342">
        <v>0.73</v>
      </c>
      <c r="K392" s="342" t="s">
        <v>4230</v>
      </c>
      <c r="L392" s="342">
        <v>0</v>
      </c>
    </row>
    <row r="393" spans="1:12" x14ac:dyDescent="0.25">
      <c r="A393" s="341" t="s">
        <v>2420</v>
      </c>
      <c r="B393" s="341" t="s">
        <v>2420</v>
      </c>
      <c r="C393" s="341" t="s">
        <v>2420</v>
      </c>
      <c r="D393" s="342">
        <v>0</v>
      </c>
      <c r="E393" s="342" t="s">
        <v>2420</v>
      </c>
      <c r="F393" s="342" t="s">
        <v>9622</v>
      </c>
      <c r="G393" s="341" t="s">
        <v>1440</v>
      </c>
      <c r="H393" s="341" t="s">
        <v>9884</v>
      </c>
      <c r="I393" s="341" t="s">
        <v>16</v>
      </c>
      <c r="J393" s="342">
        <v>1.05</v>
      </c>
      <c r="K393" s="342" t="s">
        <v>25</v>
      </c>
      <c r="L393" s="342">
        <v>0</v>
      </c>
    </row>
    <row r="394" spans="1:12" x14ac:dyDescent="0.25">
      <c r="A394" s="341" t="s">
        <v>2420</v>
      </c>
      <c r="B394" s="341" t="s">
        <v>2420</v>
      </c>
      <c r="C394" s="341" t="s">
        <v>2420</v>
      </c>
      <c r="D394" s="342">
        <v>0</v>
      </c>
      <c r="E394" s="342" t="s">
        <v>2420</v>
      </c>
      <c r="F394" s="342" t="s">
        <v>9622</v>
      </c>
      <c r="G394" s="341" t="s">
        <v>1645</v>
      </c>
      <c r="H394" s="341" t="s">
        <v>7361</v>
      </c>
      <c r="I394" s="341" t="s">
        <v>2557</v>
      </c>
      <c r="J394" s="342">
        <v>0.6</v>
      </c>
      <c r="K394" s="342" t="s">
        <v>25</v>
      </c>
      <c r="L394" s="342">
        <v>0</v>
      </c>
    </row>
    <row r="395" spans="1:12" x14ac:dyDescent="0.25">
      <c r="A395" s="341" t="s">
        <v>2420</v>
      </c>
      <c r="B395" s="341" t="s">
        <v>2420</v>
      </c>
      <c r="C395" s="341" t="s">
        <v>2420</v>
      </c>
      <c r="D395" s="342">
        <v>0</v>
      </c>
      <c r="E395" s="342" t="s">
        <v>2420</v>
      </c>
      <c r="F395" s="342" t="s">
        <v>9622</v>
      </c>
      <c r="G395" s="341" t="s">
        <v>1646</v>
      </c>
      <c r="H395" s="341" t="s">
        <v>7362</v>
      </c>
      <c r="I395" s="341" t="s">
        <v>2557</v>
      </c>
      <c r="J395" s="342">
        <v>6</v>
      </c>
      <c r="K395" s="342" t="s">
        <v>25</v>
      </c>
      <c r="L395" s="342">
        <v>0</v>
      </c>
    </row>
    <row r="396" spans="1:12" x14ac:dyDescent="0.25">
      <c r="A396" s="341" t="s">
        <v>2420</v>
      </c>
      <c r="B396" s="341" t="s">
        <v>2420</v>
      </c>
      <c r="C396" s="341" t="s">
        <v>2420</v>
      </c>
      <c r="D396" s="342">
        <v>0</v>
      </c>
      <c r="E396" s="342" t="s">
        <v>2420</v>
      </c>
      <c r="F396" s="342" t="s">
        <v>9622</v>
      </c>
      <c r="G396" s="341" t="s">
        <v>1861</v>
      </c>
      <c r="H396" s="341" t="s">
        <v>9873</v>
      </c>
      <c r="I396" s="341" t="s">
        <v>16</v>
      </c>
      <c r="J396" s="342">
        <v>1</v>
      </c>
      <c r="K396" s="342" t="s">
        <v>9623</v>
      </c>
      <c r="L396" s="342">
        <v>0</v>
      </c>
    </row>
    <row r="397" spans="1:12" x14ac:dyDescent="0.25">
      <c r="A397" s="341" t="s">
        <v>2420</v>
      </c>
      <c r="B397" s="341" t="s">
        <v>2420</v>
      </c>
      <c r="C397" s="341" t="s">
        <v>2420</v>
      </c>
      <c r="D397" s="342">
        <v>0</v>
      </c>
      <c r="E397" s="342" t="s">
        <v>2420</v>
      </c>
      <c r="F397" s="342" t="s">
        <v>9622</v>
      </c>
      <c r="G397" s="341" t="s">
        <v>2038</v>
      </c>
      <c r="H397" s="341" t="s">
        <v>8372</v>
      </c>
      <c r="I397" s="341" t="s">
        <v>16</v>
      </c>
      <c r="J397" s="342">
        <v>1</v>
      </c>
      <c r="K397" s="342" t="s">
        <v>9623</v>
      </c>
      <c r="L397" s="342">
        <v>0</v>
      </c>
    </row>
    <row r="398" spans="1:12" x14ac:dyDescent="0.25">
      <c r="A398" s="341" t="s">
        <v>191</v>
      </c>
      <c r="B398" s="341" t="s">
        <v>9885</v>
      </c>
      <c r="C398" s="341" t="s">
        <v>16</v>
      </c>
      <c r="D398" s="342">
        <v>1</v>
      </c>
      <c r="E398" s="342">
        <v>0</v>
      </c>
      <c r="F398" s="342" t="s">
        <v>9622</v>
      </c>
      <c r="G398" s="341" t="s">
        <v>1241</v>
      </c>
      <c r="H398" s="341" t="s">
        <v>6905</v>
      </c>
      <c r="I398" s="341" t="s">
        <v>4230</v>
      </c>
      <c r="J398" s="342">
        <v>0.8</v>
      </c>
      <c r="K398" s="342" t="s">
        <v>4230</v>
      </c>
      <c r="L398" s="342">
        <v>0</v>
      </c>
    </row>
    <row r="399" spans="1:12" x14ac:dyDescent="0.25">
      <c r="A399" s="341" t="s">
        <v>2420</v>
      </c>
      <c r="B399" s="341" t="s">
        <v>2420</v>
      </c>
      <c r="C399" s="341" t="s">
        <v>2420</v>
      </c>
      <c r="D399" s="342">
        <v>0</v>
      </c>
      <c r="E399" s="342" t="s">
        <v>2420</v>
      </c>
      <c r="F399" s="342" t="s">
        <v>9622</v>
      </c>
      <c r="G399" s="341" t="s">
        <v>1242</v>
      </c>
      <c r="H399" s="341" t="s">
        <v>9833</v>
      </c>
      <c r="I399" s="341" t="s">
        <v>4230</v>
      </c>
      <c r="J399" s="342">
        <v>0.8</v>
      </c>
      <c r="K399" s="342" t="s">
        <v>4230</v>
      </c>
      <c r="L399" s="342">
        <v>0</v>
      </c>
    </row>
    <row r="400" spans="1:12" x14ac:dyDescent="0.25">
      <c r="A400" s="341" t="s">
        <v>2420</v>
      </c>
      <c r="B400" s="341" t="s">
        <v>2420</v>
      </c>
      <c r="C400" s="341" t="s">
        <v>2420</v>
      </c>
      <c r="D400" s="342">
        <v>0</v>
      </c>
      <c r="E400" s="342" t="s">
        <v>2420</v>
      </c>
      <c r="F400" s="342" t="s">
        <v>9622</v>
      </c>
      <c r="G400" s="341" t="s">
        <v>1849</v>
      </c>
      <c r="H400" s="341" t="s">
        <v>7976</v>
      </c>
      <c r="I400" s="341" t="s">
        <v>16</v>
      </c>
      <c r="J400" s="342">
        <v>1</v>
      </c>
      <c r="K400" s="342" t="s">
        <v>9623</v>
      </c>
      <c r="L400" s="342">
        <v>0</v>
      </c>
    </row>
    <row r="401" spans="1:12" x14ac:dyDescent="0.25">
      <c r="A401" s="341" t="s">
        <v>357</v>
      </c>
      <c r="B401" s="341" t="s">
        <v>9886</v>
      </c>
      <c r="C401" s="341" t="s">
        <v>16</v>
      </c>
      <c r="D401" s="342">
        <v>1</v>
      </c>
      <c r="E401" s="342">
        <v>0</v>
      </c>
      <c r="F401" s="342" t="s">
        <v>9622</v>
      </c>
      <c r="G401" s="341" t="s">
        <v>1234</v>
      </c>
      <c r="H401" s="341" t="s">
        <v>6899</v>
      </c>
      <c r="I401" s="341" t="s">
        <v>4230</v>
      </c>
      <c r="J401" s="342">
        <v>1.5</v>
      </c>
      <c r="K401" s="342" t="s">
        <v>4230</v>
      </c>
      <c r="L401" s="342">
        <v>0</v>
      </c>
    </row>
    <row r="402" spans="1:12" x14ac:dyDescent="0.25">
      <c r="A402" s="341" t="s">
        <v>2420</v>
      </c>
      <c r="B402" s="341" t="s">
        <v>2420</v>
      </c>
      <c r="C402" s="341" t="s">
        <v>2420</v>
      </c>
      <c r="D402" s="342">
        <v>0</v>
      </c>
      <c r="E402" s="342" t="s">
        <v>2420</v>
      </c>
      <c r="F402" s="342" t="s">
        <v>9622</v>
      </c>
      <c r="G402" s="341" t="s">
        <v>1235</v>
      </c>
      <c r="H402" s="341" t="s">
        <v>6900</v>
      </c>
      <c r="I402" s="341" t="s">
        <v>4230</v>
      </c>
      <c r="J402" s="342">
        <v>1.5</v>
      </c>
      <c r="K402" s="342" t="s">
        <v>4230</v>
      </c>
      <c r="L402" s="342">
        <v>0</v>
      </c>
    </row>
    <row r="403" spans="1:12" x14ac:dyDescent="0.25">
      <c r="A403" s="341" t="s">
        <v>2420</v>
      </c>
      <c r="B403" s="341" t="s">
        <v>2420</v>
      </c>
      <c r="C403" s="341" t="s">
        <v>2420</v>
      </c>
      <c r="D403" s="342">
        <v>0</v>
      </c>
      <c r="E403" s="342" t="s">
        <v>2420</v>
      </c>
      <c r="F403" s="342" t="s">
        <v>9622</v>
      </c>
      <c r="G403" s="341" t="s">
        <v>1550</v>
      </c>
      <c r="H403" s="341" t="s">
        <v>2787</v>
      </c>
      <c r="I403" s="341" t="s">
        <v>16</v>
      </c>
      <c r="J403" s="342">
        <v>1.05</v>
      </c>
      <c r="K403" s="342" t="s">
        <v>25</v>
      </c>
      <c r="L403" s="342">
        <v>0</v>
      </c>
    </row>
    <row r="404" spans="1:12" x14ac:dyDescent="0.25">
      <c r="A404" s="341" t="s">
        <v>2420</v>
      </c>
      <c r="B404" s="341" t="s">
        <v>2420</v>
      </c>
      <c r="C404" s="341" t="s">
        <v>2420</v>
      </c>
      <c r="D404" s="342">
        <v>0</v>
      </c>
      <c r="E404" s="342" t="s">
        <v>2420</v>
      </c>
      <c r="F404" s="342" t="s">
        <v>9622</v>
      </c>
      <c r="G404" s="341" t="s">
        <v>1630</v>
      </c>
      <c r="H404" s="341" t="s">
        <v>9887</v>
      </c>
      <c r="I404" s="341" t="s">
        <v>2557</v>
      </c>
      <c r="J404" s="342">
        <v>7</v>
      </c>
      <c r="K404" s="342" t="s">
        <v>25</v>
      </c>
      <c r="L404" s="342">
        <v>0</v>
      </c>
    </row>
    <row r="405" spans="1:12" x14ac:dyDescent="0.25">
      <c r="A405" s="341" t="s">
        <v>2420</v>
      </c>
      <c r="B405" s="341" t="s">
        <v>2420</v>
      </c>
      <c r="C405" s="341" t="s">
        <v>2420</v>
      </c>
      <c r="D405" s="342">
        <v>0</v>
      </c>
      <c r="E405" s="342" t="s">
        <v>2420</v>
      </c>
      <c r="F405" s="342" t="s">
        <v>9622</v>
      </c>
      <c r="G405" s="341" t="s">
        <v>1944</v>
      </c>
      <c r="H405" s="341" t="s">
        <v>8081</v>
      </c>
      <c r="I405" s="341" t="s">
        <v>16</v>
      </c>
      <c r="J405" s="342">
        <v>1</v>
      </c>
      <c r="K405" s="342" t="s">
        <v>9623</v>
      </c>
      <c r="L405" s="342">
        <v>0</v>
      </c>
    </row>
    <row r="406" spans="1:12" x14ac:dyDescent="0.25">
      <c r="A406" s="341" t="s">
        <v>2420</v>
      </c>
      <c r="B406" s="341" t="s">
        <v>2420</v>
      </c>
      <c r="C406" s="341" t="s">
        <v>2420</v>
      </c>
      <c r="D406" s="342">
        <v>0</v>
      </c>
      <c r="E406" s="342" t="s">
        <v>2420</v>
      </c>
      <c r="F406" s="342" t="s">
        <v>9624</v>
      </c>
      <c r="G406" s="341" t="s">
        <v>9857</v>
      </c>
      <c r="H406" s="341" t="s">
        <v>9858</v>
      </c>
      <c r="I406" s="341" t="s">
        <v>16</v>
      </c>
      <c r="J406" s="342">
        <v>1</v>
      </c>
      <c r="K406" s="342" t="s">
        <v>2420</v>
      </c>
      <c r="L406" s="342">
        <v>0</v>
      </c>
    </row>
    <row r="407" spans="1:12" x14ac:dyDescent="0.25">
      <c r="A407" s="341" t="s">
        <v>168</v>
      </c>
      <c r="B407" s="341" t="s">
        <v>9888</v>
      </c>
      <c r="C407" s="341" t="s">
        <v>16</v>
      </c>
      <c r="D407" s="342">
        <v>1</v>
      </c>
      <c r="E407" s="342">
        <v>0</v>
      </c>
      <c r="F407" s="342" t="s">
        <v>9622</v>
      </c>
      <c r="G407" s="341" t="s">
        <v>1234</v>
      </c>
      <c r="H407" s="341" t="s">
        <v>6899</v>
      </c>
      <c r="I407" s="341" t="s">
        <v>4230</v>
      </c>
      <c r="J407" s="342">
        <v>1.5</v>
      </c>
      <c r="K407" s="342" t="s">
        <v>4230</v>
      </c>
      <c r="L407" s="342">
        <v>0</v>
      </c>
    </row>
    <row r="408" spans="1:12" x14ac:dyDescent="0.25">
      <c r="A408" s="341" t="s">
        <v>2420</v>
      </c>
      <c r="B408" s="341" t="s">
        <v>2420</v>
      </c>
      <c r="C408" s="341" t="s">
        <v>2420</v>
      </c>
      <c r="D408" s="342">
        <v>0</v>
      </c>
      <c r="E408" s="342" t="s">
        <v>2420</v>
      </c>
      <c r="F408" s="342" t="s">
        <v>9622</v>
      </c>
      <c r="G408" s="341" t="s">
        <v>1235</v>
      </c>
      <c r="H408" s="341" t="s">
        <v>6900</v>
      </c>
      <c r="I408" s="341" t="s">
        <v>4230</v>
      </c>
      <c r="J408" s="342">
        <v>1.5</v>
      </c>
      <c r="K408" s="342" t="s">
        <v>4230</v>
      </c>
      <c r="L408" s="342">
        <v>0</v>
      </c>
    </row>
    <row r="409" spans="1:12" x14ac:dyDescent="0.25">
      <c r="A409" s="341" t="s">
        <v>2420</v>
      </c>
      <c r="B409" s="341" t="s">
        <v>2420</v>
      </c>
      <c r="C409" s="341" t="s">
        <v>2420</v>
      </c>
      <c r="D409" s="342">
        <v>0</v>
      </c>
      <c r="E409" s="342" t="s">
        <v>2420</v>
      </c>
      <c r="F409" s="342" t="s">
        <v>9622</v>
      </c>
      <c r="G409" s="341" t="s">
        <v>1549</v>
      </c>
      <c r="H409" s="341" t="s">
        <v>2788</v>
      </c>
      <c r="I409" s="341" t="s">
        <v>16</v>
      </c>
      <c r="J409" s="342">
        <v>1.05</v>
      </c>
      <c r="K409" s="342" t="s">
        <v>25</v>
      </c>
      <c r="L409" s="342">
        <v>0</v>
      </c>
    </row>
    <row r="410" spans="1:12" x14ac:dyDescent="0.25">
      <c r="A410" s="341" t="s">
        <v>2420</v>
      </c>
      <c r="B410" s="341" t="s">
        <v>2420</v>
      </c>
      <c r="C410" s="341" t="s">
        <v>2420</v>
      </c>
      <c r="D410" s="342">
        <v>0</v>
      </c>
      <c r="E410" s="342" t="s">
        <v>2420</v>
      </c>
      <c r="F410" s="342" t="s">
        <v>9622</v>
      </c>
      <c r="G410" s="341" t="s">
        <v>1630</v>
      </c>
      <c r="H410" s="341" t="s">
        <v>9887</v>
      </c>
      <c r="I410" s="341" t="s">
        <v>2557</v>
      </c>
      <c r="J410" s="342">
        <v>7</v>
      </c>
      <c r="K410" s="342" t="s">
        <v>25</v>
      </c>
      <c r="L410" s="342">
        <v>0</v>
      </c>
    </row>
    <row r="411" spans="1:12" x14ac:dyDescent="0.25">
      <c r="A411" s="341" t="s">
        <v>2420</v>
      </c>
      <c r="B411" s="341" t="s">
        <v>2420</v>
      </c>
      <c r="C411" s="341" t="s">
        <v>2420</v>
      </c>
      <c r="D411" s="342">
        <v>0</v>
      </c>
      <c r="E411" s="342" t="s">
        <v>2420</v>
      </c>
      <c r="F411" s="342" t="s">
        <v>9622</v>
      </c>
      <c r="G411" s="341" t="s">
        <v>1944</v>
      </c>
      <c r="H411" s="341" t="s">
        <v>8081</v>
      </c>
      <c r="I411" s="341" t="s">
        <v>16</v>
      </c>
      <c r="J411" s="342">
        <v>1</v>
      </c>
      <c r="K411" s="342" t="s">
        <v>9623</v>
      </c>
      <c r="L411" s="342">
        <v>0</v>
      </c>
    </row>
    <row r="412" spans="1:12" x14ac:dyDescent="0.25">
      <c r="A412" s="341" t="s">
        <v>2420</v>
      </c>
      <c r="B412" s="341" t="s">
        <v>2420</v>
      </c>
      <c r="C412" s="341" t="s">
        <v>2420</v>
      </c>
      <c r="D412" s="342">
        <v>0</v>
      </c>
      <c r="E412" s="342" t="s">
        <v>2420</v>
      </c>
      <c r="F412" s="342" t="s">
        <v>9624</v>
      </c>
      <c r="G412" s="341" t="s">
        <v>9857</v>
      </c>
      <c r="H412" s="341" t="s">
        <v>9858</v>
      </c>
      <c r="I412" s="341" t="s">
        <v>16</v>
      </c>
      <c r="J412" s="342">
        <v>1</v>
      </c>
      <c r="K412" s="342" t="s">
        <v>2420</v>
      </c>
      <c r="L412" s="342">
        <v>0</v>
      </c>
    </row>
    <row r="413" spans="1:12" x14ac:dyDescent="0.25">
      <c r="A413" s="341" t="s">
        <v>390</v>
      </c>
      <c r="B413" s="341" t="s">
        <v>9889</v>
      </c>
      <c r="C413" s="341" t="s">
        <v>25</v>
      </c>
      <c r="D413" s="342">
        <v>1</v>
      </c>
      <c r="E413" s="342">
        <v>0</v>
      </c>
      <c r="F413" s="342" t="s">
        <v>9622</v>
      </c>
      <c r="G413" s="341" t="s">
        <v>1234</v>
      </c>
      <c r="H413" s="341" t="s">
        <v>6899</v>
      </c>
      <c r="I413" s="341" t="s">
        <v>4230</v>
      </c>
      <c r="J413" s="342">
        <v>0.59</v>
      </c>
      <c r="K413" s="342" t="s">
        <v>4230</v>
      </c>
      <c r="L413" s="342">
        <v>0</v>
      </c>
    </row>
    <row r="414" spans="1:12" x14ac:dyDescent="0.25">
      <c r="A414" s="341" t="s">
        <v>2420</v>
      </c>
      <c r="B414" s="341" t="s">
        <v>2420</v>
      </c>
      <c r="C414" s="341" t="s">
        <v>2420</v>
      </c>
      <c r="D414" s="342">
        <v>0</v>
      </c>
      <c r="E414" s="342" t="s">
        <v>2420</v>
      </c>
      <c r="F414" s="342" t="s">
        <v>9622</v>
      </c>
      <c r="G414" s="341" t="s">
        <v>1235</v>
      </c>
      <c r="H414" s="341" t="s">
        <v>6900</v>
      </c>
      <c r="I414" s="341" t="s">
        <v>4230</v>
      </c>
      <c r="J414" s="342">
        <v>0.59</v>
      </c>
      <c r="K414" s="342" t="s">
        <v>4230</v>
      </c>
      <c r="L414" s="342">
        <v>0</v>
      </c>
    </row>
    <row r="415" spans="1:12" x14ac:dyDescent="0.25">
      <c r="A415" s="341" t="s">
        <v>2420</v>
      </c>
      <c r="B415" s="341" t="s">
        <v>2420</v>
      </c>
      <c r="C415" s="341" t="s">
        <v>2420</v>
      </c>
      <c r="D415" s="342">
        <v>0</v>
      </c>
      <c r="E415" s="342" t="s">
        <v>2420</v>
      </c>
      <c r="F415" s="342" t="s">
        <v>9622</v>
      </c>
      <c r="G415" s="341" t="s">
        <v>1378</v>
      </c>
      <c r="H415" s="341" t="s">
        <v>7096</v>
      </c>
      <c r="I415" s="341" t="s">
        <v>2557</v>
      </c>
      <c r="J415" s="342">
        <v>1.05</v>
      </c>
      <c r="K415" s="342" t="s">
        <v>25</v>
      </c>
      <c r="L415" s="342">
        <v>0</v>
      </c>
    </row>
    <row r="416" spans="1:12" x14ac:dyDescent="0.25">
      <c r="A416" s="341" t="s">
        <v>2420</v>
      </c>
      <c r="B416" s="341" t="s">
        <v>2420</v>
      </c>
      <c r="C416" s="341" t="s">
        <v>2420</v>
      </c>
      <c r="D416" s="342">
        <v>0</v>
      </c>
      <c r="E416" s="342" t="s">
        <v>2420</v>
      </c>
      <c r="F416" s="342" t="s">
        <v>9622</v>
      </c>
      <c r="G416" s="341" t="s">
        <v>1406</v>
      </c>
      <c r="H416" s="341" t="s">
        <v>9890</v>
      </c>
      <c r="I416" s="341" t="s">
        <v>25</v>
      </c>
      <c r="J416" s="342">
        <v>1.05</v>
      </c>
      <c r="K416" s="342" t="s">
        <v>25</v>
      </c>
      <c r="L416" s="342">
        <v>0</v>
      </c>
    </row>
    <row r="417" spans="1:12" x14ac:dyDescent="0.25">
      <c r="A417" s="341" t="s">
        <v>2420</v>
      </c>
      <c r="B417" s="341" t="s">
        <v>2420</v>
      </c>
      <c r="C417" s="341" t="s">
        <v>2420</v>
      </c>
      <c r="D417" s="342">
        <v>0</v>
      </c>
      <c r="E417" s="342" t="s">
        <v>2420</v>
      </c>
      <c r="F417" s="342" t="s">
        <v>9622</v>
      </c>
      <c r="G417" s="341" t="s">
        <v>1613</v>
      </c>
      <c r="H417" s="341" t="s">
        <v>7333</v>
      </c>
      <c r="I417" s="341" t="s">
        <v>2557</v>
      </c>
      <c r="J417" s="342">
        <v>0.105</v>
      </c>
      <c r="K417" s="342" t="s">
        <v>25</v>
      </c>
      <c r="L417" s="342">
        <v>0</v>
      </c>
    </row>
    <row r="418" spans="1:12" x14ac:dyDescent="0.25">
      <c r="A418" s="341" t="s">
        <v>2420</v>
      </c>
      <c r="B418" s="341" t="s">
        <v>2420</v>
      </c>
      <c r="C418" s="341" t="s">
        <v>2420</v>
      </c>
      <c r="D418" s="342">
        <v>0</v>
      </c>
      <c r="E418" s="342" t="s">
        <v>2420</v>
      </c>
      <c r="F418" s="342" t="s">
        <v>9622</v>
      </c>
      <c r="G418" s="341" t="s">
        <v>1869</v>
      </c>
      <c r="H418" s="341" t="s">
        <v>7996</v>
      </c>
      <c r="I418" s="341" t="s">
        <v>25</v>
      </c>
      <c r="J418" s="342">
        <v>1</v>
      </c>
      <c r="K418" s="342" t="s">
        <v>9623</v>
      </c>
      <c r="L418" s="342">
        <v>0</v>
      </c>
    </row>
    <row r="419" spans="1:12" x14ac:dyDescent="0.25">
      <c r="A419" s="341" t="s">
        <v>2420</v>
      </c>
      <c r="B419" s="341" t="s">
        <v>2420</v>
      </c>
      <c r="C419" s="341" t="s">
        <v>2420</v>
      </c>
      <c r="D419" s="342">
        <v>0</v>
      </c>
      <c r="E419" s="342" t="s">
        <v>2420</v>
      </c>
      <c r="F419" s="342" t="s">
        <v>9622</v>
      </c>
      <c r="G419" s="341" t="s">
        <v>2038</v>
      </c>
      <c r="H419" s="341" t="s">
        <v>8372</v>
      </c>
      <c r="I419" s="341" t="s">
        <v>16</v>
      </c>
      <c r="J419" s="342">
        <v>0.5</v>
      </c>
      <c r="K419" s="342" t="s">
        <v>9623</v>
      </c>
      <c r="L419" s="342">
        <v>0</v>
      </c>
    </row>
    <row r="420" spans="1:12" x14ac:dyDescent="0.25">
      <c r="A420" s="341" t="s">
        <v>182</v>
      </c>
      <c r="B420" s="341" t="s">
        <v>9891</v>
      </c>
      <c r="C420" s="341" t="s">
        <v>25</v>
      </c>
      <c r="D420" s="342">
        <v>1</v>
      </c>
      <c r="E420" s="342">
        <v>0</v>
      </c>
      <c r="F420" s="342" t="s">
        <v>9622</v>
      </c>
      <c r="G420" s="341" t="s">
        <v>1234</v>
      </c>
      <c r="H420" s="341" t="s">
        <v>6899</v>
      </c>
      <c r="I420" s="341" t="s">
        <v>4230</v>
      </c>
      <c r="J420" s="342">
        <v>0.59</v>
      </c>
      <c r="K420" s="342" t="s">
        <v>4230</v>
      </c>
      <c r="L420" s="342">
        <v>0</v>
      </c>
    </row>
    <row r="421" spans="1:12" x14ac:dyDescent="0.25">
      <c r="A421" s="341" t="s">
        <v>2420</v>
      </c>
      <c r="B421" s="341" t="s">
        <v>2420</v>
      </c>
      <c r="C421" s="341" t="s">
        <v>2420</v>
      </c>
      <c r="D421" s="342">
        <v>0</v>
      </c>
      <c r="E421" s="342" t="s">
        <v>2420</v>
      </c>
      <c r="F421" s="342" t="s">
        <v>9622</v>
      </c>
      <c r="G421" s="341" t="s">
        <v>1235</v>
      </c>
      <c r="H421" s="341" t="s">
        <v>6900</v>
      </c>
      <c r="I421" s="341" t="s">
        <v>4230</v>
      </c>
      <c r="J421" s="342">
        <v>0.59</v>
      </c>
      <c r="K421" s="342" t="s">
        <v>4230</v>
      </c>
      <c r="L421" s="342">
        <v>0</v>
      </c>
    </row>
    <row r="422" spans="1:12" x14ac:dyDescent="0.25">
      <c r="A422" s="341" t="s">
        <v>2420</v>
      </c>
      <c r="B422" s="341" t="s">
        <v>2420</v>
      </c>
      <c r="C422" s="341" t="s">
        <v>2420</v>
      </c>
      <c r="D422" s="342">
        <v>0</v>
      </c>
      <c r="E422" s="342" t="s">
        <v>2420</v>
      </c>
      <c r="F422" s="342" t="s">
        <v>9622</v>
      </c>
      <c r="G422" s="341" t="s">
        <v>1255</v>
      </c>
      <c r="H422" s="341" t="s">
        <v>6915</v>
      </c>
      <c r="I422" s="341" t="s">
        <v>25</v>
      </c>
      <c r="J422" s="342">
        <v>1.05</v>
      </c>
      <c r="K422" s="342" t="s">
        <v>25</v>
      </c>
      <c r="L422" s="342">
        <v>0</v>
      </c>
    </row>
    <row r="423" spans="1:12" x14ac:dyDescent="0.25">
      <c r="A423" s="341" t="s">
        <v>2420</v>
      </c>
      <c r="B423" s="341" t="s">
        <v>2420</v>
      </c>
      <c r="C423" s="341" t="s">
        <v>2420</v>
      </c>
      <c r="D423" s="342">
        <v>0</v>
      </c>
      <c r="E423" s="342" t="s">
        <v>2420</v>
      </c>
      <c r="F423" s="342" t="s">
        <v>9622</v>
      </c>
      <c r="G423" s="341" t="s">
        <v>1378</v>
      </c>
      <c r="H423" s="341" t="s">
        <v>7096</v>
      </c>
      <c r="I423" s="341" t="s">
        <v>2557</v>
      </c>
      <c r="J423" s="342">
        <v>0.7</v>
      </c>
      <c r="K423" s="342" t="s">
        <v>25</v>
      </c>
      <c r="L423" s="342">
        <v>0</v>
      </c>
    </row>
    <row r="424" spans="1:12" x14ac:dyDescent="0.25">
      <c r="A424" s="341" t="s">
        <v>2420</v>
      </c>
      <c r="B424" s="341" t="s">
        <v>2420</v>
      </c>
      <c r="C424" s="341" t="s">
        <v>2420</v>
      </c>
      <c r="D424" s="342">
        <v>0</v>
      </c>
      <c r="E424" s="342" t="s">
        <v>2420</v>
      </c>
      <c r="F424" s="342" t="s">
        <v>9622</v>
      </c>
      <c r="G424" s="341" t="s">
        <v>1613</v>
      </c>
      <c r="H424" s="341" t="s">
        <v>7333</v>
      </c>
      <c r="I424" s="341" t="s">
        <v>2557</v>
      </c>
      <c r="J424" s="342">
        <v>7.0000000000000007E-2</v>
      </c>
      <c r="K424" s="342" t="s">
        <v>25</v>
      </c>
      <c r="L424" s="342">
        <v>0</v>
      </c>
    </row>
    <row r="425" spans="1:12" x14ac:dyDescent="0.25">
      <c r="A425" s="341" t="s">
        <v>2420</v>
      </c>
      <c r="B425" s="341" t="s">
        <v>2420</v>
      </c>
      <c r="C425" s="341" t="s">
        <v>2420</v>
      </c>
      <c r="D425" s="342">
        <v>0</v>
      </c>
      <c r="E425" s="342" t="s">
        <v>2420</v>
      </c>
      <c r="F425" s="342" t="s">
        <v>9622</v>
      </c>
      <c r="G425" s="341" t="s">
        <v>1869</v>
      </c>
      <c r="H425" s="341" t="s">
        <v>7996</v>
      </c>
      <c r="I425" s="341" t="s">
        <v>25</v>
      </c>
      <c r="J425" s="342">
        <v>1</v>
      </c>
      <c r="K425" s="342" t="s">
        <v>9623</v>
      </c>
      <c r="L425" s="342">
        <v>0</v>
      </c>
    </row>
    <row r="426" spans="1:12" x14ac:dyDescent="0.25">
      <c r="A426" s="341" t="s">
        <v>2420</v>
      </c>
      <c r="B426" s="341" t="s">
        <v>2420</v>
      </c>
      <c r="C426" s="341" t="s">
        <v>2420</v>
      </c>
      <c r="D426" s="342">
        <v>0</v>
      </c>
      <c r="E426" s="342" t="s">
        <v>2420</v>
      </c>
      <c r="F426" s="342" t="s">
        <v>9622</v>
      </c>
      <c r="G426" s="341" t="s">
        <v>2038</v>
      </c>
      <c r="H426" s="341" t="s">
        <v>8372</v>
      </c>
      <c r="I426" s="341" t="s">
        <v>16</v>
      </c>
      <c r="J426" s="342">
        <v>0.5</v>
      </c>
      <c r="K426" s="342" t="s">
        <v>9623</v>
      </c>
      <c r="L426" s="342">
        <v>0</v>
      </c>
    </row>
    <row r="427" spans="1:12" x14ac:dyDescent="0.25">
      <c r="A427" s="341" t="s">
        <v>391</v>
      </c>
      <c r="B427" s="341" t="s">
        <v>9892</v>
      </c>
      <c r="C427" s="341" t="s">
        <v>25</v>
      </c>
      <c r="D427" s="342">
        <v>1</v>
      </c>
      <c r="E427" s="342">
        <v>0</v>
      </c>
      <c r="F427" s="342" t="s">
        <v>9622</v>
      </c>
      <c r="G427" s="341" t="s">
        <v>1235</v>
      </c>
      <c r="H427" s="341" t="s">
        <v>6900</v>
      </c>
      <c r="I427" s="341" t="s">
        <v>4230</v>
      </c>
      <c r="J427" s="342">
        <v>0.59</v>
      </c>
      <c r="K427" s="342" t="s">
        <v>4230</v>
      </c>
      <c r="L427" s="342">
        <v>0</v>
      </c>
    </row>
    <row r="428" spans="1:12" x14ac:dyDescent="0.25">
      <c r="A428" s="341" t="s">
        <v>2420</v>
      </c>
      <c r="B428" s="341" t="s">
        <v>2420</v>
      </c>
      <c r="C428" s="341" t="s">
        <v>2420</v>
      </c>
      <c r="D428" s="342">
        <v>0</v>
      </c>
      <c r="E428" s="342" t="s">
        <v>2420</v>
      </c>
      <c r="F428" s="342" t="s">
        <v>9622</v>
      </c>
      <c r="G428" s="341" t="s">
        <v>1256</v>
      </c>
      <c r="H428" s="341" t="s">
        <v>9893</v>
      </c>
      <c r="I428" s="341" t="s">
        <v>25</v>
      </c>
      <c r="J428" s="342">
        <v>1.05</v>
      </c>
      <c r="K428" s="342" t="s">
        <v>25</v>
      </c>
      <c r="L428" s="342">
        <v>0</v>
      </c>
    </row>
    <row r="429" spans="1:12" x14ac:dyDescent="0.25">
      <c r="A429" s="341" t="s">
        <v>2420</v>
      </c>
      <c r="B429" s="341" t="s">
        <v>2420</v>
      </c>
      <c r="C429" s="341" t="s">
        <v>2420</v>
      </c>
      <c r="D429" s="342">
        <v>0</v>
      </c>
      <c r="E429" s="342" t="s">
        <v>2420</v>
      </c>
      <c r="F429" s="342" t="s">
        <v>9622</v>
      </c>
      <c r="G429" s="341" t="s">
        <v>1378</v>
      </c>
      <c r="H429" s="341" t="s">
        <v>7096</v>
      </c>
      <c r="I429" s="341" t="s">
        <v>2557</v>
      </c>
      <c r="J429" s="342">
        <v>1.4</v>
      </c>
      <c r="K429" s="342" t="s">
        <v>25</v>
      </c>
      <c r="L429" s="342">
        <v>0</v>
      </c>
    </row>
    <row r="430" spans="1:12" x14ac:dyDescent="0.25">
      <c r="A430" s="341" t="s">
        <v>2420</v>
      </c>
      <c r="B430" s="341" t="s">
        <v>2420</v>
      </c>
      <c r="C430" s="341" t="s">
        <v>2420</v>
      </c>
      <c r="D430" s="342">
        <v>0</v>
      </c>
      <c r="E430" s="342" t="s">
        <v>2420</v>
      </c>
      <c r="F430" s="342" t="s">
        <v>9622</v>
      </c>
      <c r="G430" s="341" t="s">
        <v>1613</v>
      </c>
      <c r="H430" s="341" t="s">
        <v>7333</v>
      </c>
      <c r="I430" s="341" t="s">
        <v>2557</v>
      </c>
      <c r="J430" s="342">
        <v>0.14000000000000001</v>
      </c>
      <c r="K430" s="342" t="s">
        <v>25</v>
      </c>
      <c r="L430" s="342">
        <v>0</v>
      </c>
    </row>
    <row r="431" spans="1:12" x14ac:dyDescent="0.25">
      <c r="A431" s="341" t="s">
        <v>2420</v>
      </c>
      <c r="B431" s="341" t="s">
        <v>2420</v>
      </c>
      <c r="C431" s="341" t="s">
        <v>2420</v>
      </c>
      <c r="D431" s="342">
        <v>0</v>
      </c>
      <c r="E431" s="342" t="s">
        <v>2420</v>
      </c>
      <c r="F431" s="342" t="s">
        <v>9622</v>
      </c>
      <c r="G431" s="341" t="s">
        <v>1869</v>
      </c>
      <c r="H431" s="341" t="s">
        <v>7996</v>
      </c>
      <c r="I431" s="341" t="s">
        <v>25</v>
      </c>
      <c r="J431" s="342">
        <v>1</v>
      </c>
      <c r="K431" s="342" t="s">
        <v>9623</v>
      </c>
      <c r="L431" s="342">
        <v>0</v>
      </c>
    </row>
    <row r="432" spans="1:12" x14ac:dyDescent="0.25">
      <c r="A432" s="341" t="s">
        <v>2420</v>
      </c>
      <c r="B432" s="341" t="s">
        <v>2420</v>
      </c>
      <c r="C432" s="341" t="s">
        <v>2420</v>
      </c>
      <c r="D432" s="342">
        <v>0</v>
      </c>
      <c r="E432" s="342" t="s">
        <v>2420</v>
      </c>
      <c r="F432" s="342" t="s">
        <v>9622</v>
      </c>
      <c r="G432" s="341" t="s">
        <v>2038</v>
      </c>
      <c r="H432" s="341" t="s">
        <v>8372</v>
      </c>
      <c r="I432" s="341" t="s">
        <v>16</v>
      </c>
      <c r="J432" s="342">
        <v>0.5</v>
      </c>
      <c r="K432" s="342" t="s">
        <v>9623</v>
      </c>
      <c r="L432" s="342">
        <v>0</v>
      </c>
    </row>
    <row r="433" spans="1:12" x14ac:dyDescent="0.25">
      <c r="A433" s="341" t="s">
        <v>2420</v>
      </c>
      <c r="B433" s="341" t="s">
        <v>2420</v>
      </c>
      <c r="C433" s="341" t="s">
        <v>2420</v>
      </c>
      <c r="D433" s="342">
        <v>0</v>
      </c>
      <c r="E433" s="342" t="s">
        <v>2420</v>
      </c>
      <c r="F433" s="342" t="s">
        <v>9622</v>
      </c>
      <c r="G433" s="341" t="s">
        <v>1234</v>
      </c>
      <c r="H433" s="341" t="s">
        <v>6899</v>
      </c>
      <c r="I433" s="341" t="s">
        <v>4230</v>
      </c>
      <c r="J433" s="342">
        <v>0.59</v>
      </c>
      <c r="K433" s="342" t="s">
        <v>4230</v>
      </c>
      <c r="L433" s="342">
        <v>0</v>
      </c>
    </row>
    <row r="434" spans="1:12" x14ac:dyDescent="0.25">
      <c r="A434" s="341" t="s">
        <v>382</v>
      </c>
      <c r="B434" s="341" t="s">
        <v>9894</v>
      </c>
      <c r="C434" s="341" t="s">
        <v>25</v>
      </c>
      <c r="D434" s="342">
        <v>1</v>
      </c>
      <c r="E434" s="342">
        <v>0</v>
      </c>
      <c r="F434" s="342" t="s">
        <v>9622</v>
      </c>
      <c r="G434" s="341" t="s">
        <v>1234</v>
      </c>
      <c r="H434" s="341" t="s">
        <v>6899</v>
      </c>
      <c r="I434" s="341" t="s">
        <v>4230</v>
      </c>
      <c r="J434" s="342">
        <v>0.59</v>
      </c>
      <c r="K434" s="342" t="s">
        <v>4230</v>
      </c>
      <c r="L434" s="342">
        <v>0</v>
      </c>
    </row>
    <row r="435" spans="1:12" x14ac:dyDescent="0.25">
      <c r="A435" s="341" t="s">
        <v>2420</v>
      </c>
      <c r="B435" s="341" t="s">
        <v>2420</v>
      </c>
      <c r="C435" s="341" t="s">
        <v>2420</v>
      </c>
      <c r="D435" s="342">
        <v>0</v>
      </c>
      <c r="E435" s="342" t="s">
        <v>2420</v>
      </c>
      <c r="F435" s="342" t="s">
        <v>9622</v>
      </c>
      <c r="G435" s="341" t="s">
        <v>1235</v>
      </c>
      <c r="H435" s="341" t="s">
        <v>6900</v>
      </c>
      <c r="I435" s="341" t="s">
        <v>4230</v>
      </c>
      <c r="J435" s="342">
        <v>0.59</v>
      </c>
      <c r="K435" s="342" t="s">
        <v>4230</v>
      </c>
      <c r="L435" s="342">
        <v>0</v>
      </c>
    </row>
    <row r="436" spans="1:12" x14ac:dyDescent="0.25">
      <c r="A436" s="341" t="s">
        <v>2420</v>
      </c>
      <c r="B436" s="341" t="s">
        <v>2420</v>
      </c>
      <c r="C436" s="341" t="s">
        <v>2420</v>
      </c>
      <c r="D436" s="342">
        <v>0</v>
      </c>
      <c r="E436" s="342" t="s">
        <v>2420</v>
      </c>
      <c r="F436" s="342" t="s">
        <v>9622</v>
      </c>
      <c r="G436" s="341" t="s">
        <v>1510</v>
      </c>
      <c r="H436" s="341" t="s">
        <v>7247</v>
      </c>
      <c r="I436" s="341" t="s">
        <v>25</v>
      </c>
      <c r="J436" s="342">
        <v>1.05</v>
      </c>
      <c r="K436" s="342" t="s">
        <v>25</v>
      </c>
      <c r="L436" s="342">
        <v>0</v>
      </c>
    </row>
    <row r="437" spans="1:12" x14ac:dyDescent="0.25">
      <c r="A437" s="341" t="s">
        <v>2420</v>
      </c>
      <c r="B437" s="341" t="s">
        <v>2420</v>
      </c>
      <c r="C437" s="341" t="s">
        <v>2420</v>
      </c>
      <c r="D437" s="342">
        <v>0</v>
      </c>
      <c r="E437" s="342" t="s">
        <v>2420</v>
      </c>
      <c r="F437" s="342" t="s">
        <v>9622</v>
      </c>
      <c r="G437" s="341" t="s">
        <v>1866</v>
      </c>
      <c r="H437" s="341" t="s">
        <v>9766</v>
      </c>
      <c r="I437" s="341" t="s">
        <v>25</v>
      </c>
      <c r="J437" s="342">
        <v>1</v>
      </c>
      <c r="K437" s="342" t="s">
        <v>9623</v>
      </c>
      <c r="L437" s="342">
        <v>0</v>
      </c>
    </row>
    <row r="438" spans="1:12" x14ac:dyDescent="0.25">
      <c r="A438" s="341" t="s">
        <v>2420</v>
      </c>
      <c r="B438" s="341" t="s">
        <v>2420</v>
      </c>
      <c r="C438" s="341" t="s">
        <v>2420</v>
      </c>
      <c r="D438" s="342">
        <v>0</v>
      </c>
      <c r="E438" s="342" t="s">
        <v>2420</v>
      </c>
      <c r="F438" s="342" t="s">
        <v>9624</v>
      </c>
      <c r="G438" s="341" t="s">
        <v>9740</v>
      </c>
      <c r="H438" s="341" t="s">
        <v>9741</v>
      </c>
      <c r="I438" s="341" t="s">
        <v>52</v>
      </c>
      <c r="J438" s="342">
        <v>2.5000000000000001E-3</v>
      </c>
      <c r="K438" s="342" t="s">
        <v>2420</v>
      </c>
      <c r="L438" s="342">
        <v>0</v>
      </c>
    </row>
    <row r="439" spans="1:12" x14ac:dyDescent="0.25">
      <c r="A439" s="341" t="s">
        <v>449</v>
      </c>
      <c r="B439" s="341" t="s">
        <v>9895</v>
      </c>
      <c r="C439" s="341" t="s">
        <v>16</v>
      </c>
      <c r="D439" s="342">
        <v>1</v>
      </c>
      <c r="E439" s="342">
        <v>0</v>
      </c>
      <c r="F439" s="342" t="s">
        <v>9622</v>
      </c>
      <c r="G439" s="341" t="s">
        <v>2230</v>
      </c>
      <c r="H439" s="341" t="s">
        <v>9896</v>
      </c>
      <c r="I439" s="341" t="s">
        <v>16</v>
      </c>
      <c r="J439" s="342">
        <v>1</v>
      </c>
      <c r="K439" s="342" t="s">
        <v>9623</v>
      </c>
      <c r="L439" s="342">
        <v>0</v>
      </c>
    </row>
    <row r="440" spans="1:12" x14ac:dyDescent="0.25">
      <c r="A440" s="341" t="s">
        <v>2420</v>
      </c>
      <c r="B440" s="341" t="s">
        <v>2420</v>
      </c>
      <c r="C440" s="341" t="s">
        <v>2420</v>
      </c>
      <c r="D440" s="342">
        <v>0</v>
      </c>
      <c r="E440" s="342" t="s">
        <v>2420</v>
      </c>
      <c r="F440" s="342" t="s">
        <v>9622</v>
      </c>
      <c r="G440" s="341" t="s">
        <v>1241</v>
      </c>
      <c r="H440" s="341" t="s">
        <v>6905</v>
      </c>
      <c r="I440" s="341" t="s">
        <v>4230</v>
      </c>
      <c r="J440" s="342">
        <v>0.8</v>
      </c>
      <c r="K440" s="342" t="s">
        <v>4230</v>
      </c>
      <c r="L440" s="342">
        <v>0</v>
      </c>
    </row>
    <row r="441" spans="1:12" x14ac:dyDescent="0.25">
      <c r="A441" s="341" t="s">
        <v>2420</v>
      </c>
      <c r="B441" s="341" t="s">
        <v>2420</v>
      </c>
      <c r="C441" s="341" t="s">
        <v>2420</v>
      </c>
      <c r="D441" s="342">
        <v>0</v>
      </c>
      <c r="E441" s="342" t="s">
        <v>2420</v>
      </c>
      <c r="F441" s="342" t="s">
        <v>9622</v>
      </c>
      <c r="G441" s="341" t="s">
        <v>1242</v>
      </c>
      <c r="H441" s="341" t="s">
        <v>9833</v>
      </c>
      <c r="I441" s="341" t="s">
        <v>4230</v>
      </c>
      <c r="J441" s="342">
        <v>0.6</v>
      </c>
      <c r="K441" s="342" t="s">
        <v>4230</v>
      </c>
      <c r="L441" s="342">
        <v>0</v>
      </c>
    </row>
    <row r="442" spans="1:12" x14ac:dyDescent="0.25">
      <c r="A442" s="341" t="s">
        <v>387</v>
      </c>
      <c r="B442" s="341" t="s">
        <v>9897</v>
      </c>
      <c r="C442" s="341" t="s">
        <v>25</v>
      </c>
      <c r="D442" s="342">
        <v>1</v>
      </c>
      <c r="E442" s="342">
        <v>0</v>
      </c>
      <c r="F442" s="342" t="s">
        <v>9622</v>
      </c>
      <c r="G442" s="341" t="s">
        <v>1234</v>
      </c>
      <c r="H442" s="341" t="s">
        <v>6899</v>
      </c>
      <c r="I442" s="341" t="s">
        <v>4230</v>
      </c>
      <c r="J442" s="342">
        <v>0.59</v>
      </c>
      <c r="K442" s="342" t="s">
        <v>4230</v>
      </c>
      <c r="L442" s="342">
        <v>0</v>
      </c>
    </row>
    <row r="443" spans="1:12" x14ac:dyDescent="0.25">
      <c r="A443" s="341" t="s">
        <v>2420</v>
      </c>
      <c r="B443" s="341" t="s">
        <v>2420</v>
      </c>
      <c r="C443" s="341" t="s">
        <v>2420</v>
      </c>
      <c r="D443" s="342">
        <v>0</v>
      </c>
      <c r="E443" s="342" t="s">
        <v>2420</v>
      </c>
      <c r="F443" s="342" t="s">
        <v>9622</v>
      </c>
      <c r="G443" s="341" t="s">
        <v>1235</v>
      </c>
      <c r="H443" s="341" t="s">
        <v>6900</v>
      </c>
      <c r="I443" s="341" t="s">
        <v>4230</v>
      </c>
      <c r="J443" s="342">
        <v>0.59</v>
      </c>
      <c r="K443" s="342" t="s">
        <v>4230</v>
      </c>
      <c r="L443" s="342">
        <v>0</v>
      </c>
    </row>
    <row r="444" spans="1:12" x14ac:dyDescent="0.25">
      <c r="A444" s="341" t="s">
        <v>2420</v>
      </c>
      <c r="B444" s="341" t="s">
        <v>2420</v>
      </c>
      <c r="C444" s="341" t="s">
        <v>2420</v>
      </c>
      <c r="D444" s="342">
        <v>0</v>
      </c>
      <c r="E444" s="342" t="s">
        <v>2420</v>
      </c>
      <c r="F444" s="342" t="s">
        <v>9622</v>
      </c>
      <c r="G444" s="341" t="s">
        <v>1378</v>
      </c>
      <c r="H444" s="341" t="s">
        <v>7096</v>
      </c>
      <c r="I444" s="341" t="s">
        <v>2557</v>
      </c>
      <c r="J444" s="342">
        <v>0.7</v>
      </c>
      <c r="K444" s="342" t="s">
        <v>25</v>
      </c>
      <c r="L444" s="342">
        <v>0</v>
      </c>
    </row>
    <row r="445" spans="1:12" x14ac:dyDescent="0.25">
      <c r="A445" s="341" t="s">
        <v>2420</v>
      </c>
      <c r="B445" s="341" t="s">
        <v>2420</v>
      </c>
      <c r="C445" s="341" t="s">
        <v>2420</v>
      </c>
      <c r="D445" s="342">
        <v>0</v>
      </c>
      <c r="E445" s="342" t="s">
        <v>2420</v>
      </c>
      <c r="F445" s="342" t="s">
        <v>9622</v>
      </c>
      <c r="G445" s="341" t="s">
        <v>1613</v>
      </c>
      <c r="H445" s="341" t="s">
        <v>7333</v>
      </c>
      <c r="I445" s="341" t="s">
        <v>2557</v>
      </c>
      <c r="J445" s="342">
        <v>7.0000000000000007E-2</v>
      </c>
      <c r="K445" s="342" t="s">
        <v>25</v>
      </c>
      <c r="L445" s="342">
        <v>0</v>
      </c>
    </row>
    <row r="446" spans="1:12" x14ac:dyDescent="0.25">
      <c r="A446" s="341" t="s">
        <v>2420</v>
      </c>
      <c r="B446" s="341" t="s">
        <v>2420</v>
      </c>
      <c r="C446" s="341" t="s">
        <v>2420</v>
      </c>
      <c r="D446" s="342">
        <v>0</v>
      </c>
      <c r="E446" s="342" t="s">
        <v>2420</v>
      </c>
      <c r="F446" s="342" t="s">
        <v>9622</v>
      </c>
      <c r="G446" s="341" t="s">
        <v>1658</v>
      </c>
      <c r="H446" s="341" t="s">
        <v>9898</v>
      </c>
      <c r="I446" s="341" t="s">
        <v>25</v>
      </c>
      <c r="J446" s="342">
        <v>1.05</v>
      </c>
      <c r="K446" s="342" t="s">
        <v>25</v>
      </c>
      <c r="L446" s="342">
        <v>0</v>
      </c>
    </row>
    <row r="447" spans="1:12" x14ac:dyDescent="0.25">
      <c r="A447" s="341" t="s">
        <v>2420</v>
      </c>
      <c r="B447" s="341" t="s">
        <v>2420</v>
      </c>
      <c r="C447" s="341" t="s">
        <v>2420</v>
      </c>
      <c r="D447" s="342">
        <v>0</v>
      </c>
      <c r="E447" s="342" t="s">
        <v>2420</v>
      </c>
      <c r="F447" s="342" t="s">
        <v>9622</v>
      </c>
      <c r="G447" s="341" t="s">
        <v>1866</v>
      </c>
      <c r="H447" s="341" t="s">
        <v>9766</v>
      </c>
      <c r="I447" s="341" t="s">
        <v>25</v>
      </c>
      <c r="J447" s="342">
        <v>1</v>
      </c>
      <c r="K447" s="342" t="s">
        <v>9623</v>
      </c>
      <c r="L447" s="342">
        <v>0</v>
      </c>
    </row>
    <row r="448" spans="1:12" x14ac:dyDescent="0.25">
      <c r="A448" s="341" t="s">
        <v>2420</v>
      </c>
      <c r="B448" s="341" t="s">
        <v>2420</v>
      </c>
      <c r="C448" s="341" t="s">
        <v>2420</v>
      </c>
      <c r="D448" s="342">
        <v>0</v>
      </c>
      <c r="E448" s="342" t="s">
        <v>2420</v>
      </c>
      <c r="F448" s="342" t="s">
        <v>9622</v>
      </c>
      <c r="G448" s="341" t="s">
        <v>2038</v>
      </c>
      <c r="H448" s="341" t="s">
        <v>8372</v>
      </c>
      <c r="I448" s="341" t="s">
        <v>16</v>
      </c>
      <c r="J448" s="342">
        <v>0.5</v>
      </c>
      <c r="K448" s="342" t="s">
        <v>9623</v>
      </c>
      <c r="L448" s="342">
        <v>0</v>
      </c>
    </row>
    <row r="449" spans="1:12" x14ac:dyDescent="0.25">
      <c r="A449" s="341" t="s">
        <v>361</v>
      </c>
      <c r="B449" s="341" t="s">
        <v>9899</v>
      </c>
      <c r="C449" s="341" t="s">
        <v>25</v>
      </c>
      <c r="D449" s="342">
        <v>1</v>
      </c>
      <c r="E449" s="342">
        <v>0</v>
      </c>
      <c r="F449" s="342" t="s">
        <v>9622</v>
      </c>
      <c r="G449" s="341" t="s">
        <v>1234</v>
      </c>
      <c r="H449" s="341" t="s">
        <v>6899</v>
      </c>
      <c r="I449" s="341" t="s">
        <v>4230</v>
      </c>
      <c r="J449" s="342">
        <v>0.59</v>
      </c>
      <c r="K449" s="342" t="s">
        <v>4230</v>
      </c>
      <c r="L449" s="342">
        <v>0</v>
      </c>
    </row>
    <row r="450" spans="1:12" x14ac:dyDescent="0.25">
      <c r="A450" s="341" t="s">
        <v>2420</v>
      </c>
      <c r="B450" s="341" t="s">
        <v>2420</v>
      </c>
      <c r="C450" s="341" t="s">
        <v>2420</v>
      </c>
      <c r="D450" s="342">
        <v>0</v>
      </c>
      <c r="E450" s="342" t="s">
        <v>2420</v>
      </c>
      <c r="F450" s="342" t="s">
        <v>9622</v>
      </c>
      <c r="G450" s="341" t="s">
        <v>1235</v>
      </c>
      <c r="H450" s="341" t="s">
        <v>6900</v>
      </c>
      <c r="I450" s="341" t="s">
        <v>4230</v>
      </c>
      <c r="J450" s="342">
        <v>0.59</v>
      </c>
      <c r="K450" s="342" t="s">
        <v>4230</v>
      </c>
      <c r="L450" s="342">
        <v>0</v>
      </c>
    </row>
    <row r="451" spans="1:12" x14ac:dyDescent="0.25">
      <c r="A451" s="341" t="s">
        <v>2420</v>
      </c>
      <c r="B451" s="341" t="s">
        <v>2420</v>
      </c>
      <c r="C451" s="341" t="s">
        <v>2420</v>
      </c>
      <c r="D451" s="342">
        <v>0</v>
      </c>
      <c r="E451" s="342" t="s">
        <v>2420</v>
      </c>
      <c r="F451" s="342" t="s">
        <v>9622</v>
      </c>
      <c r="G451" s="341" t="s">
        <v>1472</v>
      </c>
      <c r="H451" s="341" t="s">
        <v>7212</v>
      </c>
      <c r="I451" s="341" t="s">
        <v>2557</v>
      </c>
      <c r="J451" s="342">
        <v>0.84</v>
      </c>
      <c r="K451" s="342" t="s">
        <v>25</v>
      </c>
      <c r="L451" s="342">
        <v>0</v>
      </c>
    </row>
    <row r="452" spans="1:12" x14ac:dyDescent="0.25">
      <c r="A452" s="341" t="s">
        <v>2420</v>
      </c>
      <c r="B452" s="341" t="s">
        <v>2420</v>
      </c>
      <c r="C452" s="341" t="s">
        <v>2420</v>
      </c>
      <c r="D452" s="342">
        <v>0</v>
      </c>
      <c r="E452" s="342" t="s">
        <v>2420</v>
      </c>
      <c r="F452" s="342" t="s">
        <v>9622</v>
      </c>
      <c r="G452" s="341" t="s">
        <v>1613</v>
      </c>
      <c r="H452" s="341" t="s">
        <v>7333</v>
      </c>
      <c r="I452" s="341" t="s">
        <v>2557</v>
      </c>
      <c r="J452" s="342">
        <v>8.4000000000000005E-2</v>
      </c>
      <c r="K452" s="342" t="s">
        <v>25</v>
      </c>
      <c r="L452" s="342">
        <v>0</v>
      </c>
    </row>
    <row r="453" spans="1:12" x14ac:dyDescent="0.25">
      <c r="A453" s="341" t="s">
        <v>2420</v>
      </c>
      <c r="B453" s="341" t="s">
        <v>2420</v>
      </c>
      <c r="C453" s="341" t="s">
        <v>2420</v>
      </c>
      <c r="D453" s="342">
        <v>0</v>
      </c>
      <c r="E453" s="342" t="s">
        <v>2420</v>
      </c>
      <c r="F453" s="342" t="s">
        <v>9622</v>
      </c>
      <c r="G453" s="341" t="s">
        <v>1755</v>
      </c>
      <c r="H453" s="341" t="s">
        <v>9900</v>
      </c>
      <c r="I453" s="341" t="s">
        <v>25</v>
      </c>
      <c r="J453" s="342">
        <v>1.05</v>
      </c>
      <c r="K453" s="342" t="s">
        <v>25</v>
      </c>
      <c r="L453" s="342">
        <v>0</v>
      </c>
    </row>
    <row r="454" spans="1:12" x14ac:dyDescent="0.25">
      <c r="A454" s="341" t="s">
        <v>2420</v>
      </c>
      <c r="B454" s="341" t="s">
        <v>2420</v>
      </c>
      <c r="C454" s="341" t="s">
        <v>2420</v>
      </c>
      <c r="D454" s="342">
        <v>0</v>
      </c>
      <c r="E454" s="342" t="s">
        <v>2420</v>
      </c>
      <c r="F454" s="342" t="s">
        <v>9622</v>
      </c>
      <c r="G454" s="341" t="s">
        <v>2006</v>
      </c>
      <c r="H454" s="341" t="s">
        <v>8302</v>
      </c>
      <c r="I454" s="341" t="s">
        <v>25</v>
      </c>
      <c r="J454" s="342">
        <v>1</v>
      </c>
      <c r="K454" s="342" t="s">
        <v>9623</v>
      </c>
      <c r="L454" s="342">
        <v>0</v>
      </c>
    </row>
    <row r="455" spans="1:12" x14ac:dyDescent="0.25">
      <c r="A455" s="341" t="s">
        <v>2420</v>
      </c>
      <c r="B455" s="341" t="s">
        <v>2420</v>
      </c>
      <c r="C455" s="341" t="s">
        <v>2420</v>
      </c>
      <c r="D455" s="342">
        <v>0</v>
      </c>
      <c r="E455" s="342" t="s">
        <v>2420</v>
      </c>
      <c r="F455" s="342" t="s">
        <v>9622</v>
      </c>
      <c r="G455" s="341" t="s">
        <v>2038</v>
      </c>
      <c r="H455" s="341" t="s">
        <v>8372</v>
      </c>
      <c r="I455" s="341" t="s">
        <v>16</v>
      </c>
      <c r="J455" s="342">
        <v>0.5</v>
      </c>
      <c r="K455" s="342" t="s">
        <v>9623</v>
      </c>
      <c r="L455" s="342">
        <v>0</v>
      </c>
    </row>
    <row r="456" spans="1:12" x14ac:dyDescent="0.25">
      <c r="A456" s="341" t="s">
        <v>450</v>
      </c>
      <c r="B456" s="341" t="s">
        <v>9901</v>
      </c>
      <c r="C456" s="341" t="s">
        <v>16</v>
      </c>
      <c r="D456" s="342">
        <v>1</v>
      </c>
      <c r="E456" s="342">
        <v>0</v>
      </c>
      <c r="F456" s="342" t="s">
        <v>9622</v>
      </c>
      <c r="G456" s="341" t="s">
        <v>2229</v>
      </c>
      <c r="H456" s="341" t="s">
        <v>9902</v>
      </c>
      <c r="I456" s="341" t="s">
        <v>16</v>
      </c>
      <c r="J456" s="342">
        <v>1</v>
      </c>
      <c r="K456" s="342" t="s">
        <v>9623</v>
      </c>
      <c r="L456" s="342">
        <v>0</v>
      </c>
    </row>
    <row r="457" spans="1:12" x14ac:dyDescent="0.25">
      <c r="A457" s="341" t="s">
        <v>2420</v>
      </c>
      <c r="B457" s="341" t="s">
        <v>2420</v>
      </c>
      <c r="C457" s="341" t="s">
        <v>2420</v>
      </c>
      <c r="D457" s="342">
        <v>0</v>
      </c>
      <c r="E457" s="342" t="s">
        <v>2420</v>
      </c>
      <c r="F457" s="342" t="s">
        <v>9622</v>
      </c>
      <c r="G457" s="341" t="s">
        <v>1241</v>
      </c>
      <c r="H457" s="341" t="s">
        <v>6905</v>
      </c>
      <c r="I457" s="341" t="s">
        <v>4230</v>
      </c>
      <c r="J457" s="342">
        <v>0.5</v>
      </c>
      <c r="K457" s="342" t="s">
        <v>4230</v>
      </c>
      <c r="L457" s="342">
        <v>0</v>
      </c>
    </row>
    <row r="458" spans="1:12" x14ac:dyDescent="0.25">
      <c r="A458" s="341" t="s">
        <v>2420</v>
      </c>
      <c r="B458" s="341" t="s">
        <v>2420</v>
      </c>
      <c r="C458" s="341" t="s">
        <v>2420</v>
      </c>
      <c r="D458" s="342">
        <v>0</v>
      </c>
      <c r="E458" s="342" t="s">
        <v>2420</v>
      </c>
      <c r="F458" s="342" t="s">
        <v>9622</v>
      </c>
      <c r="G458" s="341" t="s">
        <v>1242</v>
      </c>
      <c r="H458" s="341" t="s">
        <v>9833</v>
      </c>
      <c r="I458" s="341" t="s">
        <v>4230</v>
      </c>
      <c r="J458" s="342">
        <v>0.4</v>
      </c>
      <c r="K458" s="342" t="s">
        <v>4230</v>
      </c>
      <c r="L458" s="342">
        <v>0</v>
      </c>
    </row>
    <row r="459" spans="1:12" x14ac:dyDescent="0.25">
      <c r="A459" s="341" t="s">
        <v>400</v>
      </c>
      <c r="B459" s="341" t="s">
        <v>9903</v>
      </c>
      <c r="C459" s="341" t="s">
        <v>16</v>
      </c>
      <c r="D459" s="342">
        <v>1</v>
      </c>
      <c r="E459" s="342">
        <v>0</v>
      </c>
      <c r="F459" s="342" t="s">
        <v>9622</v>
      </c>
      <c r="G459" s="341" t="s">
        <v>1234</v>
      </c>
      <c r="H459" s="341" t="s">
        <v>6899</v>
      </c>
      <c r="I459" s="341" t="s">
        <v>4230</v>
      </c>
      <c r="J459" s="342">
        <v>0.26</v>
      </c>
      <c r="K459" s="342" t="s">
        <v>4230</v>
      </c>
      <c r="L459" s="342">
        <v>0</v>
      </c>
    </row>
    <row r="460" spans="1:12" x14ac:dyDescent="0.25">
      <c r="A460" s="341" t="s">
        <v>2420</v>
      </c>
      <c r="B460" s="341" t="s">
        <v>2420</v>
      </c>
      <c r="C460" s="341" t="s">
        <v>2420</v>
      </c>
      <c r="D460" s="342">
        <v>0</v>
      </c>
      <c r="E460" s="342" t="s">
        <v>2420</v>
      </c>
      <c r="F460" s="342" t="s">
        <v>9622</v>
      </c>
      <c r="G460" s="341" t="s">
        <v>1235</v>
      </c>
      <c r="H460" s="341" t="s">
        <v>6900</v>
      </c>
      <c r="I460" s="341" t="s">
        <v>4230</v>
      </c>
      <c r="J460" s="342">
        <v>0.26</v>
      </c>
      <c r="K460" s="342" t="s">
        <v>4230</v>
      </c>
      <c r="L460" s="342">
        <v>0</v>
      </c>
    </row>
    <row r="461" spans="1:12" x14ac:dyDescent="0.25">
      <c r="A461" s="341" t="s">
        <v>2420</v>
      </c>
      <c r="B461" s="341" t="s">
        <v>2420</v>
      </c>
      <c r="C461" s="341" t="s">
        <v>2420</v>
      </c>
      <c r="D461" s="342">
        <v>0</v>
      </c>
      <c r="E461" s="342" t="s">
        <v>2420</v>
      </c>
      <c r="F461" s="342" t="s">
        <v>9622</v>
      </c>
      <c r="G461" s="341" t="s">
        <v>1333</v>
      </c>
      <c r="H461" s="341" t="s">
        <v>7023</v>
      </c>
      <c r="I461" s="341" t="s">
        <v>2557</v>
      </c>
      <c r="J461" s="342">
        <v>2</v>
      </c>
      <c r="K461" s="342" t="s">
        <v>25</v>
      </c>
      <c r="L461" s="342">
        <v>0</v>
      </c>
    </row>
    <row r="462" spans="1:12" x14ac:dyDescent="0.25">
      <c r="A462" s="341" t="s">
        <v>2420</v>
      </c>
      <c r="B462" s="341" t="s">
        <v>2420</v>
      </c>
      <c r="C462" s="341" t="s">
        <v>2420</v>
      </c>
      <c r="D462" s="342">
        <v>0</v>
      </c>
      <c r="E462" s="342" t="s">
        <v>2420</v>
      </c>
      <c r="F462" s="342" t="s">
        <v>9622</v>
      </c>
      <c r="G462" s="341" t="s">
        <v>1870</v>
      </c>
      <c r="H462" s="341" t="s">
        <v>7997</v>
      </c>
      <c r="I462" s="341" t="s">
        <v>16</v>
      </c>
      <c r="J462" s="342">
        <v>1</v>
      </c>
      <c r="K462" s="342" t="s">
        <v>9623</v>
      </c>
      <c r="L462" s="342">
        <v>0</v>
      </c>
    </row>
    <row r="463" spans="1:12" x14ac:dyDescent="0.25">
      <c r="A463" s="341" t="s">
        <v>373</v>
      </c>
      <c r="B463" s="341" t="s">
        <v>9874</v>
      </c>
      <c r="C463" s="341" t="s">
        <v>16</v>
      </c>
      <c r="D463" s="342">
        <v>1</v>
      </c>
      <c r="E463" s="342">
        <v>0</v>
      </c>
      <c r="F463" s="342" t="s">
        <v>9622</v>
      </c>
      <c r="G463" s="341" t="s">
        <v>1234</v>
      </c>
      <c r="H463" s="341" t="s">
        <v>6899</v>
      </c>
      <c r="I463" s="341" t="s">
        <v>4230</v>
      </c>
      <c r="J463" s="342">
        <v>0.73</v>
      </c>
      <c r="K463" s="342" t="s">
        <v>4230</v>
      </c>
      <c r="L463" s="342">
        <v>0</v>
      </c>
    </row>
    <row r="464" spans="1:12" x14ac:dyDescent="0.25">
      <c r="A464" s="341" t="s">
        <v>2420</v>
      </c>
      <c r="B464" s="341" t="s">
        <v>2420</v>
      </c>
      <c r="C464" s="341" t="s">
        <v>2420</v>
      </c>
      <c r="D464" s="342">
        <v>0</v>
      </c>
      <c r="E464" s="342" t="s">
        <v>2420</v>
      </c>
      <c r="F464" s="342" t="s">
        <v>9622</v>
      </c>
      <c r="G464" s="341" t="s">
        <v>1235</v>
      </c>
      <c r="H464" s="341" t="s">
        <v>6900</v>
      </c>
      <c r="I464" s="341" t="s">
        <v>4230</v>
      </c>
      <c r="J464" s="342">
        <v>0.73</v>
      </c>
      <c r="K464" s="342" t="s">
        <v>4230</v>
      </c>
      <c r="L464" s="342">
        <v>0</v>
      </c>
    </row>
    <row r="465" spans="1:12" x14ac:dyDescent="0.25">
      <c r="A465" s="341" t="s">
        <v>2420</v>
      </c>
      <c r="B465" s="341" t="s">
        <v>2420</v>
      </c>
      <c r="C465" s="341" t="s">
        <v>2420</v>
      </c>
      <c r="D465" s="342">
        <v>0</v>
      </c>
      <c r="E465" s="342" t="s">
        <v>2420</v>
      </c>
      <c r="F465" s="342" t="s">
        <v>9622</v>
      </c>
      <c r="G465" s="341" t="s">
        <v>1612</v>
      </c>
      <c r="H465" s="341" t="s">
        <v>2797</v>
      </c>
      <c r="I465" s="341" t="s">
        <v>16</v>
      </c>
      <c r="J465" s="342">
        <v>1.05</v>
      </c>
      <c r="K465" s="342" t="s">
        <v>25</v>
      </c>
      <c r="L465" s="342">
        <v>0</v>
      </c>
    </row>
    <row r="466" spans="1:12" x14ac:dyDescent="0.25">
      <c r="A466" s="341" t="s">
        <v>2420</v>
      </c>
      <c r="B466" s="341" t="s">
        <v>2420</v>
      </c>
      <c r="C466" s="341" t="s">
        <v>2420</v>
      </c>
      <c r="D466" s="342">
        <v>0</v>
      </c>
      <c r="E466" s="342" t="s">
        <v>2420</v>
      </c>
      <c r="F466" s="342" t="s">
        <v>9622</v>
      </c>
      <c r="G466" s="341" t="s">
        <v>1645</v>
      </c>
      <c r="H466" s="341" t="s">
        <v>7361</v>
      </c>
      <c r="I466" s="341" t="s">
        <v>2557</v>
      </c>
      <c r="J466" s="342">
        <v>0.6</v>
      </c>
      <c r="K466" s="342" t="s">
        <v>25</v>
      </c>
      <c r="L466" s="342">
        <v>0</v>
      </c>
    </row>
    <row r="467" spans="1:12" x14ac:dyDescent="0.25">
      <c r="A467" s="341" t="s">
        <v>2420</v>
      </c>
      <c r="B467" s="341" t="s">
        <v>2420</v>
      </c>
      <c r="C467" s="341" t="s">
        <v>2420</v>
      </c>
      <c r="D467" s="342">
        <v>0</v>
      </c>
      <c r="E467" s="342" t="s">
        <v>2420</v>
      </c>
      <c r="F467" s="342" t="s">
        <v>9622</v>
      </c>
      <c r="G467" s="341" t="s">
        <v>1646</v>
      </c>
      <c r="H467" s="341" t="s">
        <v>7362</v>
      </c>
      <c r="I467" s="341" t="s">
        <v>2557</v>
      </c>
      <c r="J467" s="342">
        <v>6</v>
      </c>
      <c r="K467" s="342" t="s">
        <v>25</v>
      </c>
      <c r="L467" s="342">
        <v>0</v>
      </c>
    </row>
    <row r="468" spans="1:12" x14ac:dyDescent="0.25">
      <c r="A468" s="341" t="s">
        <v>2420</v>
      </c>
      <c r="B468" s="341" t="s">
        <v>2420</v>
      </c>
      <c r="C468" s="341" t="s">
        <v>2420</v>
      </c>
      <c r="D468" s="342">
        <v>0</v>
      </c>
      <c r="E468" s="342" t="s">
        <v>2420</v>
      </c>
      <c r="F468" s="342" t="s">
        <v>9622</v>
      </c>
      <c r="G468" s="341" t="s">
        <v>1861</v>
      </c>
      <c r="H468" s="341" t="s">
        <v>9873</v>
      </c>
      <c r="I468" s="341" t="s">
        <v>16</v>
      </c>
      <c r="J468" s="342">
        <v>1</v>
      </c>
      <c r="K468" s="342" t="s">
        <v>9623</v>
      </c>
      <c r="L468" s="342">
        <v>0</v>
      </c>
    </row>
    <row r="469" spans="1:12" x14ac:dyDescent="0.25">
      <c r="A469" s="341" t="s">
        <v>2420</v>
      </c>
      <c r="B469" s="341" t="s">
        <v>2420</v>
      </c>
      <c r="C469" s="341" t="s">
        <v>2420</v>
      </c>
      <c r="D469" s="342">
        <v>0</v>
      </c>
      <c r="E469" s="342" t="s">
        <v>2420</v>
      </c>
      <c r="F469" s="342" t="s">
        <v>9622</v>
      </c>
      <c r="G469" s="341" t="s">
        <v>2038</v>
      </c>
      <c r="H469" s="341" t="s">
        <v>8372</v>
      </c>
      <c r="I469" s="341" t="s">
        <v>16</v>
      </c>
      <c r="J469" s="342">
        <v>1</v>
      </c>
      <c r="K469" s="342" t="s">
        <v>9623</v>
      </c>
      <c r="L469" s="342">
        <v>0</v>
      </c>
    </row>
    <row r="470" spans="1:12" x14ac:dyDescent="0.25">
      <c r="A470" s="341" t="s">
        <v>386</v>
      </c>
      <c r="B470" s="341" t="s">
        <v>9904</v>
      </c>
      <c r="C470" s="341" t="s">
        <v>25</v>
      </c>
      <c r="D470" s="342">
        <v>1</v>
      </c>
      <c r="E470" s="342">
        <v>0</v>
      </c>
      <c r="F470" s="342" t="s">
        <v>9622</v>
      </c>
      <c r="G470" s="341" t="s">
        <v>1234</v>
      </c>
      <c r="H470" s="341" t="s">
        <v>6899</v>
      </c>
      <c r="I470" s="341" t="s">
        <v>4230</v>
      </c>
      <c r="J470" s="342">
        <v>0.49</v>
      </c>
      <c r="K470" s="342" t="s">
        <v>4230</v>
      </c>
      <c r="L470" s="342">
        <v>0</v>
      </c>
    </row>
    <row r="471" spans="1:12" x14ac:dyDescent="0.25">
      <c r="A471" s="341" t="s">
        <v>2420</v>
      </c>
      <c r="B471" s="341" t="s">
        <v>2420</v>
      </c>
      <c r="C471" s="341" t="s">
        <v>2420</v>
      </c>
      <c r="D471" s="342">
        <v>0</v>
      </c>
      <c r="E471" s="342" t="s">
        <v>2420</v>
      </c>
      <c r="F471" s="342" t="s">
        <v>9622</v>
      </c>
      <c r="G471" s="341" t="s">
        <v>1235</v>
      </c>
      <c r="H471" s="341" t="s">
        <v>6900</v>
      </c>
      <c r="I471" s="341" t="s">
        <v>4230</v>
      </c>
      <c r="J471" s="342">
        <v>0.49</v>
      </c>
      <c r="K471" s="342" t="s">
        <v>4230</v>
      </c>
      <c r="L471" s="342">
        <v>0</v>
      </c>
    </row>
    <row r="472" spans="1:12" x14ac:dyDescent="0.25">
      <c r="A472" s="341" t="s">
        <v>2420</v>
      </c>
      <c r="B472" s="341" t="s">
        <v>2420</v>
      </c>
      <c r="C472" s="341" t="s">
        <v>2420</v>
      </c>
      <c r="D472" s="342">
        <v>0</v>
      </c>
      <c r="E472" s="342" t="s">
        <v>2420</v>
      </c>
      <c r="F472" s="342" t="s">
        <v>9622</v>
      </c>
      <c r="G472" s="341" t="s">
        <v>1645</v>
      </c>
      <c r="H472" s="341" t="s">
        <v>7361</v>
      </c>
      <c r="I472" s="341" t="s">
        <v>2557</v>
      </c>
      <c r="J472" s="342">
        <v>0.06</v>
      </c>
      <c r="K472" s="342" t="s">
        <v>25</v>
      </c>
      <c r="L472" s="342">
        <v>0</v>
      </c>
    </row>
    <row r="473" spans="1:12" x14ac:dyDescent="0.25">
      <c r="A473" s="341" t="s">
        <v>2420</v>
      </c>
      <c r="B473" s="341" t="s">
        <v>2420</v>
      </c>
      <c r="C473" s="341" t="s">
        <v>2420</v>
      </c>
      <c r="D473" s="342">
        <v>0</v>
      </c>
      <c r="E473" s="342" t="s">
        <v>2420</v>
      </c>
      <c r="F473" s="342" t="s">
        <v>9622</v>
      </c>
      <c r="G473" s="341" t="s">
        <v>1646</v>
      </c>
      <c r="H473" s="341" t="s">
        <v>7362</v>
      </c>
      <c r="I473" s="341" t="s">
        <v>2557</v>
      </c>
      <c r="J473" s="342">
        <v>0.6</v>
      </c>
      <c r="K473" s="342" t="s">
        <v>25</v>
      </c>
      <c r="L473" s="342">
        <v>0</v>
      </c>
    </row>
    <row r="474" spans="1:12" x14ac:dyDescent="0.25">
      <c r="A474" s="341" t="s">
        <v>2420</v>
      </c>
      <c r="B474" s="341" t="s">
        <v>2420</v>
      </c>
      <c r="C474" s="341" t="s">
        <v>2420</v>
      </c>
      <c r="D474" s="342">
        <v>0</v>
      </c>
      <c r="E474" s="342" t="s">
        <v>2420</v>
      </c>
      <c r="F474" s="342" t="s">
        <v>9622</v>
      </c>
      <c r="G474" s="341" t="s">
        <v>1738</v>
      </c>
      <c r="H474" s="341" t="s">
        <v>9905</v>
      </c>
      <c r="I474" s="341" t="s">
        <v>25</v>
      </c>
      <c r="J474" s="342">
        <v>1.05</v>
      </c>
      <c r="K474" s="342" t="s">
        <v>25</v>
      </c>
      <c r="L474" s="342">
        <v>0</v>
      </c>
    </row>
    <row r="475" spans="1:12" x14ac:dyDescent="0.25">
      <c r="A475" s="341" t="s">
        <v>2420</v>
      </c>
      <c r="B475" s="341" t="s">
        <v>2420</v>
      </c>
      <c r="C475" s="341" t="s">
        <v>2420</v>
      </c>
      <c r="D475" s="342">
        <v>0</v>
      </c>
      <c r="E475" s="342" t="s">
        <v>2420</v>
      </c>
      <c r="F475" s="342" t="s">
        <v>9622</v>
      </c>
      <c r="G475" s="341" t="s">
        <v>1867</v>
      </c>
      <c r="H475" s="341" t="s">
        <v>7994</v>
      </c>
      <c r="I475" s="341" t="s">
        <v>25</v>
      </c>
      <c r="J475" s="342">
        <v>1</v>
      </c>
      <c r="K475" s="342" t="s">
        <v>9623</v>
      </c>
      <c r="L475" s="342">
        <v>0</v>
      </c>
    </row>
    <row r="476" spans="1:12" x14ac:dyDescent="0.25">
      <c r="A476" s="341" t="s">
        <v>2420</v>
      </c>
      <c r="B476" s="341" t="s">
        <v>2420</v>
      </c>
      <c r="C476" s="341" t="s">
        <v>2420</v>
      </c>
      <c r="D476" s="342">
        <v>0</v>
      </c>
      <c r="E476" s="342" t="s">
        <v>2420</v>
      </c>
      <c r="F476" s="342" t="s">
        <v>9622</v>
      </c>
      <c r="G476" s="341" t="s">
        <v>2038</v>
      </c>
      <c r="H476" s="341" t="s">
        <v>8372</v>
      </c>
      <c r="I476" s="341" t="s">
        <v>16</v>
      </c>
      <c r="J476" s="342">
        <v>0.5</v>
      </c>
      <c r="K476" s="342" t="s">
        <v>9623</v>
      </c>
      <c r="L476" s="342">
        <v>0</v>
      </c>
    </row>
    <row r="477" spans="1:12" x14ac:dyDescent="0.25">
      <c r="A477" s="341" t="s">
        <v>348</v>
      </c>
      <c r="B477" s="341" t="s">
        <v>2663</v>
      </c>
      <c r="C477" s="341" t="s">
        <v>16</v>
      </c>
      <c r="D477" s="342">
        <v>1</v>
      </c>
      <c r="E477" s="342">
        <v>0</v>
      </c>
      <c r="F477" s="342" t="s">
        <v>9622</v>
      </c>
      <c r="G477" s="341" t="s">
        <v>1204</v>
      </c>
      <c r="H477" s="341" t="s">
        <v>6854</v>
      </c>
      <c r="I477" s="341" t="s">
        <v>4230</v>
      </c>
      <c r="J477" s="342">
        <v>0.45</v>
      </c>
      <c r="K477" s="342" t="s">
        <v>4230</v>
      </c>
      <c r="L477" s="342">
        <v>0</v>
      </c>
    </row>
    <row r="478" spans="1:12" x14ac:dyDescent="0.25">
      <c r="A478" s="341" t="s">
        <v>2420</v>
      </c>
      <c r="B478" s="341" t="s">
        <v>2420</v>
      </c>
      <c r="C478" s="341" t="s">
        <v>2420</v>
      </c>
      <c r="D478" s="342">
        <v>0</v>
      </c>
      <c r="E478" s="342" t="s">
        <v>2420</v>
      </c>
      <c r="F478" s="342" t="s">
        <v>9622</v>
      </c>
      <c r="G478" s="341" t="s">
        <v>1210</v>
      </c>
      <c r="H478" s="341" t="s">
        <v>6855</v>
      </c>
      <c r="I478" s="341" t="s">
        <v>4230</v>
      </c>
      <c r="J478" s="342">
        <v>0.2</v>
      </c>
      <c r="K478" s="342" t="s">
        <v>4230</v>
      </c>
      <c r="L478" s="342">
        <v>0</v>
      </c>
    </row>
    <row r="479" spans="1:12" x14ac:dyDescent="0.25">
      <c r="A479" s="341" t="s">
        <v>2420</v>
      </c>
      <c r="B479" s="341" t="s">
        <v>2420</v>
      </c>
      <c r="C479" s="341" t="s">
        <v>2420</v>
      </c>
      <c r="D479" s="342">
        <v>0</v>
      </c>
      <c r="E479" s="342" t="s">
        <v>2420</v>
      </c>
      <c r="F479" s="342" t="s">
        <v>9624</v>
      </c>
      <c r="G479" s="341" t="s">
        <v>9740</v>
      </c>
      <c r="H479" s="341" t="s">
        <v>9741</v>
      </c>
      <c r="I479" s="341" t="s">
        <v>52</v>
      </c>
      <c r="J479" s="342">
        <v>0.02</v>
      </c>
      <c r="K479" s="342" t="s">
        <v>2420</v>
      </c>
      <c r="L479" s="342">
        <v>0</v>
      </c>
    </row>
    <row r="480" spans="1:12" x14ac:dyDescent="0.25">
      <c r="A480" s="341" t="s">
        <v>393</v>
      </c>
      <c r="B480" s="341" t="s">
        <v>9906</v>
      </c>
      <c r="C480" s="341" t="s">
        <v>16</v>
      </c>
      <c r="D480" s="342">
        <v>1</v>
      </c>
      <c r="E480" s="342">
        <v>0</v>
      </c>
      <c r="F480" s="342" t="s">
        <v>9622</v>
      </c>
      <c r="G480" s="341" t="s">
        <v>1234</v>
      </c>
      <c r="H480" s="341" t="s">
        <v>6899</v>
      </c>
      <c r="I480" s="341" t="s">
        <v>4230</v>
      </c>
      <c r="J480" s="342">
        <v>1.46</v>
      </c>
      <c r="K480" s="342" t="s">
        <v>4230</v>
      </c>
      <c r="L480" s="342">
        <v>0</v>
      </c>
    </row>
    <row r="481" spans="1:12" x14ac:dyDescent="0.25">
      <c r="A481" s="341" t="s">
        <v>2420</v>
      </c>
      <c r="B481" s="341" t="s">
        <v>2420</v>
      </c>
      <c r="C481" s="341" t="s">
        <v>2420</v>
      </c>
      <c r="D481" s="342">
        <v>0</v>
      </c>
      <c r="E481" s="342" t="s">
        <v>2420</v>
      </c>
      <c r="F481" s="342" t="s">
        <v>9622</v>
      </c>
      <c r="G481" s="341" t="s">
        <v>1235</v>
      </c>
      <c r="H481" s="341" t="s">
        <v>6900</v>
      </c>
      <c r="I481" s="341" t="s">
        <v>4230</v>
      </c>
      <c r="J481" s="342">
        <v>1.46</v>
      </c>
      <c r="K481" s="342" t="s">
        <v>4230</v>
      </c>
      <c r="L481" s="342">
        <v>0</v>
      </c>
    </row>
    <row r="482" spans="1:12" x14ac:dyDescent="0.25">
      <c r="A482" s="341" t="s">
        <v>2420</v>
      </c>
      <c r="B482" s="341" t="s">
        <v>2420</v>
      </c>
      <c r="C482" s="341" t="s">
        <v>2420</v>
      </c>
      <c r="D482" s="342">
        <v>0</v>
      </c>
      <c r="E482" s="342" t="s">
        <v>2420</v>
      </c>
      <c r="F482" s="342" t="s">
        <v>9622</v>
      </c>
      <c r="G482" s="341" t="s">
        <v>1264</v>
      </c>
      <c r="H482" s="341" t="s">
        <v>9907</v>
      </c>
      <c r="I482" s="341" t="s">
        <v>25</v>
      </c>
      <c r="J482" s="342">
        <v>3.11</v>
      </c>
      <c r="K482" s="342" t="s">
        <v>25</v>
      </c>
      <c r="L482" s="342">
        <v>0</v>
      </c>
    </row>
    <row r="483" spans="1:12" x14ac:dyDescent="0.25">
      <c r="A483" s="341" t="s">
        <v>2420</v>
      </c>
      <c r="B483" s="341" t="s">
        <v>2420</v>
      </c>
      <c r="C483" s="341" t="s">
        <v>2420</v>
      </c>
      <c r="D483" s="342">
        <v>0</v>
      </c>
      <c r="E483" s="342" t="s">
        <v>2420</v>
      </c>
      <c r="F483" s="342" t="s">
        <v>9622</v>
      </c>
      <c r="G483" s="341" t="s">
        <v>1386</v>
      </c>
      <c r="H483" s="341" t="s">
        <v>7104</v>
      </c>
      <c r="I483" s="341" t="s">
        <v>11</v>
      </c>
      <c r="J483" s="342">
        <v>1</v>
      </c>
      <c r="K483" s="342" t="s">
        <v>25</v>
      </c>
      <c r="L483" s="342">
        <v>0</v>
      </c>
    </row>
    <row r="484" spans="1:12" x14ac:dyDescent="0.25">
      <c r="A484" s="341" t="s">
        <v>2420</v>
      </c>
      <c r="B484" s="341" t="s">
        <v>2420</v>
      </c>
      <c r="C484" s="341" t="s">
        <v>2420</v>
      </c>
      <c r="D484" s="342">
        <v>0</v>
      </c>
      <c r="E484" s="342" t="s">
        <v>2420</v>
      </c>
      <c r="F484" s="342" t="s">
        <v>9622</v>
      </c>
      <c r="G484" s="341" t="s">
        <v>1478</v>
      </c>
      <c r="H484" s="341" t="s">
        <v>9908</v>
      </c>
      <c r="I484" s="341" t="s">
        <v>16</v>
      </c>
      <c r="J484" s="342">
        <v>1</v>
      </c>
      <c r="K484" s="342" t="s">
        <v>25</v>
      </c>
      <c r="L484" s="342">
        <v>0</v>
      </c>
    </row>
    <row r="485" spans="1:12" x14ac:dyDescent="0.25">
      <c r="A485" s="341" t="s">
        <v>2420</v>
      </c>
      <c r="B485" s="341" t="s">
        <v>2420</v>
      </c>
      <c r="C485" s="341" t="s">
        <v>2420</v>
      </c>
      <c r="D485" s="342">
        <v>0</v>
      </c>
      <c r="E485" s="342" t="s">
        <v>2420</v>
      </c>
      <c r="F485" s="342" t="s">
        <v>9622</v>
      </c>
      <c r="G485" s="341" t="s">
        <v>1548</v>
      </c>
      <c r="H485" s="341" t="s">
        <v>7280</v>
      </c>
      <c r="I485" s="341" t="s">
        <v>11</v>
      </c>
      <c r="J485" s="342">
        <v>4.51</v>
      </c>
      <c r="K485" s="342" t="s">
        <v>25</v>
      </c>
      <c r="L485" s="342">
        <v>0</v>
      </c>
    </row>
    <row r="486" spans="1:12" x14ac:dyDescent="0.25">
      <c r="A486" s="341" t="s">
        <v>2420</v>
      </c>
      <c r="B486" s="341" t="s">
        <v>2420</v>
      </c>
      <c r="C486" s="341" t="s">
        <v>2420</v>
      </c>
      <c r="D486" s="342">
        <v>0</v>
      </c>
      <c r="E486" s="342" t="s">
        <v>2420</v>
      </c>
      <c r="F486" s="342" t="s">
        <v>9622</v>
      </c>
      <c r="G486" s="341" t="s">
        <v>1617</v>
      </c>
      <c r="H486" s="341" t="s">
        <v>9909</v>
      </c>
      <c r="I486" s="341" t="s">
        <v>25</v>
      </c>
      <c r="J486" s="342">
        <v>3.09</v>
      </c>
      <c r="K486" s="342" t="s">
        <v>25</v>
      </c>
      <c r="L486" s="342">
        <v>0</v>
      </c>
    </row>
    <row r="487" spans="1:12" x14ac:dyDescent="0.25">
      <c r="A487" s="341" t="s">
        <v>2420</v>
      </c>
      <c r="B487" s="341" t="s">
        <v>2420</v>
      </c>
      <c r="C487" s="341" t="s">
        <v>2420</v>
      </c>
      <c r="D487" s="342">
        <v>0</v>
      </c>
      <c r="E487" s="342" t="s">
        <v>2420</v>
      </c>
      <c r="F487" s="342" t="s">
        <v>9622</v>
      </c>
      <c r="G487" s="341" t="s">
        <v>1624</v>
      </c>
      <c r="H487" s="341" t="s">
        <v>7344</v>
      </c>
      <c r="I487" s="341" t="s">
        <v>11</v>
      </c>
      <c r="J487" s="342">
        <v>2</v>
      </c>
      <c r="K487" s="342" t="s">
        <v>25</v>
      </c>
      <c r="L487" s="342">
        <v>0</v>
      </c>
    </row>
    <row r="488" spans="1:12" x14ac:dyDescent="0.25">
      <c r="A488" s="341" t="s">
        <v>2420</v>
      </c>
      <c r="B488" s="341" t="s">
        <v>2420</v>
      </c>
      <c r="C488" s="341" t="s">
        <v>2420</v>
      </c>
      <c r="D488" s="342">
        <v>0</v>
      </c>
      <c r="E488" s="342" t="s">
        <v>2420</v>
      </c>
      <c r="F488" s="342" t="s">
        <v>9622</v>
      </c>
      <c r="G488" s="341" t="s">
        <v>1897</v>
      </c>
      <c r="H488" s="341" t="s">
        <v>9850</v>
      </c>
      <c r="I488" s="341" t="s">
        <v>11</v>
      </c>
      <c r="J488" s="342">
        <v>0.22</v>
      </c>
      <c r="K488" s="342" t="s">
        <v>9623</v>
      </c>
      <c r="L488" s="342">
        <v>0</v>
      </c>
    </row>
    <row r="489" spans="1:12" x14ac:dyDescent="0.25">
      <c r="A489" s="341" t="s">
        <v>2420</v>
      </c>
      <c r="B489" s="341" t="s">
        <v>2420</v>
      </c>
      <c r="C489" s="341" t="s">
        <v>2420</v>
      </c>
      <c r="D489" s="342">
        <v>0</v>
      </c>
      <c r="E489" s="342" t="s">
        <v>2420</v>
      </c>
      <c r="F489" s="342" t="s">
        <v>9622</v>
      </c>
      <c r="G489" s="341" t="s">
        <v>1937</v>
      </c>
      <c r="H489" s="341" t="s">
        <v>9851</v>
      </c>
      <c r="I489" s="341" t="s">
        <v>25</v>
      </c>
      <c r="J489" s="342">
        <v>3.11</v>
      </c>
      <c r="K489" s="342" t="s">
        <v>9623</v>
      </c>
      <c r="L489" s="342">
        <v>0</v>
      </c>
    </row>
    <row r="490" spans="1:12" x14ac:dyDescent="0.25">
      <c r="A490" s="341" t="s">
        <v>2420</v>
      </c>
      <c r="B490" s="341" t="s">
        <v>2420</v>
      </c>
      <c r="C490" s="341" t="s">
        <v>2420</v>
      </c>
      <c r="D490" s="342">
        <v>0</v>
      </c>
      <c r="E490" s="342" t="s">
        <v>2420</v>
      </c>
      <c r="F490" s="342" t="s">
        <v>9622</v>
      </c>
      <c r="G490" s="341" t="s">
        <v>1945</v>
      </c>
      <c r="H490" s="341" t="s">
        <v>8082</v>
      </c>
      <c r="I490" s="341" t="s">
        <v>16</v>
      </c>
      <c r="J490" s="342">
        <v>1</v>
      </c>
      <c r="K490" s="342" t="s">
        <v>9623</v>
      </c>
      <c r="L490" s="342">
        <v>0</v>
      </c>
    </row>
    <row r="491" spans="1:12" x14ac:dyDescent="0.25">
      <c r="A491" s="341" t="s">
        <v>394</v>
      </c>
      <c r="B491" s="341" t="s">
        <v>9910</v>
      </c>
      <c r="C491" s="341" t="s">
        <v>16</v>
      </c>
      <c r="D491" s="342">
        <v>1</v>
      </c>
      <c r="E491" s="342">
        <v>0</v>
      </c>
      <c r="F491" s="342" t="s">
        <v>9622</v>
      </c>
      <c r="G491" s="341" t="s">
        <v>1234</v>
      </c>
      <c r="H491" s="341" t="s">
        <v>6899</v>
      </c>
      <c r="I491" s="341" t="s">
        <v>4230</v>
      </c>
      <c r="J491" s="342">
        <v>1.46</v>
      </c>
      <c r="K491" s="342" t="s">
        <v>4230</v>
      </c>
      <c r="L491" s="342">
        <v>0</v>
      </c>
    </row>
    <row r="492" spans="1:12" x14ac:dyDescent="0.25">
      <c r="A492" s="341" t="s">
        <v>2420</v>
      </c>
      <c r="B492" s="341" t="s">
        <v>2420</v>
      </c>
      <c r="C492" s="341" t="s">
        <v>2420</v>
      </c>
      <c r="D492" s="342">
        <v>0</v>
      </c>
      <c r="E492" s="342" t="s">
        <v>2420</v>
      </c>
      <c r="F492" s="342" t="s">
        <v>9622</v>
      </c>
      <c r="G492" s="341" t="s">
        <v>1235</v>
      </c>
      <c r="H492" s="341" t="s">
        <v>6900</v>
      </c>
      <c r="I492" s="341" t="s">
        <v>4230</v>
      </c>
      <c r="J492" s="342">
        <v>1.46</v>
      </c>
      <c r="K492" s="342" t="s">
        <v>4230</v>
      </c>
      <c r="L492" s="342">
        <v>0</v>
      </c>
    </row>
    <row r="493" spans="1:12" x14ac:dyDescent="0.25">
      <c r="A493" s="341" t="s">
        <v>2420</v>
      </c>
      <c r="B493" s="341" t="s">
        <v>2420</v>
      </c>
      <c r="C493" s="341" t="s">
        <v>2420</v>
      </c>
      <c r="D493" s="342">
        <v>0</v>
      </c>
      <c r="E493" s="342" t="s">
        <v>2420</v>
      </c>
      <c r="F493" s="342" t="s">
        <v>9622</v>
      </c>
      <c r="G493" s="341" t="s">
        <v>1386</v>
      </c>
      <c r="H493" s="341" t="s">
        <v>7104</v>
      </c>
      <c r="I493" s="341" t="s">
        <v>11</v>
      </c>
      <c r="J493" s="342">
        <v>1</v>
      </c>
      <c r="K493" s="342" t="s">
        <v>25</v>
      </c>
      <c r="L493" s="342">
        <v>0</v>
      </c>
    </row>
    <row r="494" spans="1:12" x14ac:dyDescent="0.25">
      <c r="A494" s="341" t="s">
        <v>2420</v>
      </c>
      <c r="B494" s="341" t="s">
        <v>2420</v>
      </c>
      <c r="C494" s="341" t="s">
        <v>2420</v>
      </c>
      <c r="D494" s="342">
        <v>0</v>
      </c>
      <c r="E494" s="342" t="s">
        <v>2420</v>
      </c>
      <c r="F494" s="342" t="s">
        <v>9622</v>
      </c>
      <c r="G494" s="341" t="s">
        <v>1490</v>
      </c>
      <c r="H494" s="341" t="s">
        <v>9911</v>
      </c>
      <c r="I494" s="341" t="s">
        <v>25</v>
      </c>
      <c r="J494" s="342">
        <v>2.0339999999999998</v>
      </c>
      <c r="K494" s="342" t="s">
        <v>25</v>
      </c>
      <c r="L494" s="342">
        <v>0</v>
      </c>
    </row>
    <row r="495" spans="1:12" x14ac:dyDescent="0.25">
      <c r="A495" s="341" t="s">
        <v>2420</v>
      </c>
      <c r="B495" s="341" t="s">
        <v>2420</v>
      </c>
      <c r="C495" s="341" t="s">
        <v>2420</v>
      </c>
      <c r="D495" s="342">
        <v>0</v>
      </c>
      <c r="E495" s="342" t="s">
        <v>2420</v>
      </c>
      <c r="F495" s="342" t="s">
        <v>9622</v>
      </c>
      <c r="G495" s="341" t="s">
        <v>1548</v>
      </c>
      <c r="H495" s="341" t="s">
        <v>7280</v>
      </c>
      <c r="I495" s="341" t="s">
        <v>11</v>
      </c>
      <c r="J495" s="342">
        <v>2.16</v>
      </c>
      <c r="K495" s="342" t="s">
        <v>25</v>
      </c>
      <c r="L495" s="342">
        <v>0</v>
      </c>
    </row>
    <row r="496" spans="1:12" x14ac:dyDescent="0.25">
      <c r="A496" s="341" t="s">
        <v>2420</v>
      </c>
      <c r="B496" s="341" t="s">
        <v>2420</v>
      </c>
      <c r="C496" s="341" t="s">
        <v>2420</v>
      </c>
      <c r="D496" s="342">
        <v>0</v>
      </c>
      <c r="E496" s="342" t="s">
        <v>2420</v>
      </c>
      <c r="F496" s="342" t="s">
        <v>9622</v>
      </c>
      <c r="G496" s="341" t="s">
        <v>1624</v>
      </c>
      <c r="H496" s="341" t="s">
        <v>7344</v>
      </c>
      <c r="I496" s="341" t="s">
        <v>11</v>
      </c>
      <c r="J496" s="342">
        <v>2</v>
      </c>
      <c r="K496" s="342" t="s">
        <v>25</v>
      </c>
      <c r="L496" s="342">
        <v>0</v>
      </c>
    </row>
    <row r="497" spans="1:12" x14ac:dyDescent="0.25">
      <c r="A497" s="341" t="s">
        <v>2420</v>
      </c>
      <c r="B497" s="341" t="s">
        <v>2420</v>
      </c>
      <c r="C497" s="341" t="s">
        <v>2420</v>
      </c>
      <c r="D497" s="342">
        <v>0</v>
      </c>
      <c r="E497" s="342" t="s">
        <v>2420</v>
      </c>
      <c r="F497" s="342" t="s">
        <v>9622</v>
      </c>
      <c r="G497" s="341" t="s">
        <v>1681</v>
      </c>
      <c r="H497" s="341" t="s">
        <v>9912</v>
      </c>
      <c r="I497" s="341" t="s">
        <v>16</v>
      </c>
      <c r="J497" s="342">
        <v>1</v>
      </c>
      <c r="K497" s="342" t="s">
        <v>25</v>
      </c>
      <c r="L497" s="342">
        <v>0</v>
      </c>
    </row>
    <row r="498" spans="1:12" x14ac:dyDescent="0.25">
      <c r="A498" s="341" t="s">
        <v>2420</v>
      </c>
      <c r="B498" s="341" t="s">
        <v>2420</v>
      </c>
      <c r="C498" s="341" t="s">
        <v>2420</v>
      </c>
      <c r="D498" s="342">
        <v>0</v>
      </c>
      <c r="E498" s="342" t="s">
        <v>2420</v>
      </c>
      <c r="F498" s="342" t="s">
        <v>9622</v>
      </c>
      <c r="G498" s="341" t="s">
        <v>1682</v>
      </c>
      <c r="H498" s="341" t="s">
        <v>9913</v>
      </c>
      <c r="I498" s="341" t="s">
        <v>25</v>
      </c>
      <c r="J498" s="342">
        <v>1.6839999999999999</v>
      </c>
      <c r="K498" s="342" t="s">
        <v>25</v>
      </c>
      <c r="L498" s="342">
        <v>0</v>
      </c>
    </row>
    <row r="499" spans="1:12" x14ac:dyDescent="0.25">
      <c r="A499" s="341" t="s">
        <v>2420</v>
      </c>
      <c r="B499" s="341" t="s">
        <v>2420</v>
      </c>
      <c r="C499" s="341" t="s">
        <v>2420</v>
      </c>
      <c r="D499" s="342">
        <v>0</v>
      </c>
      <c r="E499" s="342" t="s">
        <v>2420</v>
      </c>
      <c r="F499" s="342" t="s">
        <v>9622</v>
      </c>
      <c r="G499" s="341" t="s">
        <v>1897</v>
      </c>
      <c r="H499" s="341" t="s">
        <v>9850</v>
      </c>
      <c r="I499" s="341" t="s">
        <v>11</v>
      </c>
      <c r="J499" s="342">
        <v>0.42</v>
      </c>
      <c r="K499" s="342" t="s">
        <v>9623</v>
      </c>
      <c r="L499" s="342">
        <v>0</v>
      </c>
    </row>
    <row r="500" spans="1:12" x14ac:dyDescent="0.25">
      <c r="A500" s="341" t="s">
        <v>2420</v>
      </c>
      <c r="B500" s="341" t="s">
        <v>2420</v>
      </c>
      <c r="C500" s="341" t="s">
        <v>2420</v>
      </c>
      <c r="D500" s="342">
        <v>0</v>
      </c>
      <c r="E500" s="342" t="s">
        <v>2420</v>
      </c>
      <c r="F500" s="342" t="s">
        <v>9622</v>
      </c>
      <c r="G500" s="341" t="s">
        <v>1937</v>
      </c>
      <c r="H500" s="341" t="s">
        <v>9851</v>
      </c>
      <c r="I500" s="341" t="s">
        <v>25</v>
      </c>
      <c r="J500" s="342">
        <v>2.0339999999999998</v>
      </c>
      <c r="K500" s="342" t="s">
        <v>9623</v>
      </c>
      <c r="L500" s="342">
        <v>0</v>
      </c>
    </row>
    <row r="501" spans="1:12" x14ac:dyDescent="0.25">
      <c r="A501" s="341" t="s">
        <v>2420</v>
      </c>
      <c r="B501" s="341" t="s">
        <v>2420</v>
      </c>
      <c r="C501" s="341" t="s">
        <v>2420</v>
      </c>
      <c r="D501" s="342">
        <v>0</v>
      </c>
      <c r="E501" s="342" t="s">
        <v>2420</v>
      </c>
      <c r="F501" s="342" t="s">
        <v>9622</v>
      </c>
      <c r="G501" s="341" t="s">
        <v>1945</v>
      </c>
      <c r="H501" s="341" t="s">
        <v>8082</v>
      </c>
      <c r="I501" s="341" t="s">
        <v>16</v>
      </c>
      <c r="J501" s="342">
        <v>1</v>
      </c>
      <c r="K501" s="342" t="s">
        <v>9623</v>
      </c>
      <c r="L501" s="342">
        <v>0</v>
      </c>
    </row>
    <row r="502" spans="1:12" x14ac:dyDescent="0.25">
      <c r="A502" s="341" t="s">
        <v>395</v>
      </c>
      <c r="B502" s="341" t="s">
        <v>9914</v>
      </c>
      <c r="C502" s="341" t="s">
        <v>16</v>
      </c>
      <c r="D502" s="342">
        <v>1</v>
      </c>
      <c r="E502" s="342">
        <v>0</v>
      </c>
      <c r="F502" s="342" t="s">
        <v>9622</v>
      </c>
      <c r="G502" s="341" t="s">
        <v>1234</v>
      </c>
      <c r="H502" s="341" t="s">
        <v>6899</v>
      </c>
      <c r="I502" s="341" t="s">
        <v>4230</v>
      </c>
      <c r="J502" s="342">
        <v>1.46</v>
      </c>
      <c r="K502" s="342" t="s">
        <v>4230</v>
      </c>
      <c r="L502" s="342">
        <v>0</v>
      </c>
    </row>
    <row r="503" spans="1:12" x14ac:dyDescent="0.25">
      <c r="A503" s="341" t="s">
        <v>2420</v>
      </c>
      <c r="B503" s="341" t="s">
        <v>2420</v>
      </c>
      <c r="C503" s="341" t="s">
        <v>2420</v>
      </c>
      <c r="D503" s="342">
        <v>0</v>
      </c>
      <c r="E503" s="342" t="s">
        <v>2420</v>
      </c>
      <c r="F503" s="342" t="s">
        <v>9622</v>
      </c>
      <c r="G503" s="341" t="s">
        <v>1235</v>
      </c>
      <c r="H503" s="341" t="s">
        <v>6900</v>
      </c>
      <c r="I503" s="341" t="s">
        <v>4230</v>
      </c>
      <c r="J503" s="342">
        <v>1.46</v>
      </c>
      <c r="K503" s="342" t="s">
        <v>4230</v>
      </c>
      <c r="L503" s="342">
        <v>0</v>
      </c>
    </row>
    <row r="504" spans="1:12" x14ac:dyDescent="0.25">
      <c r="A504" s="341" t="s">
        <v>2420</v>
      </c>
      <c r="B504" s="341" t="s">
        <v>2420</v>
      </c>
      <c r="C504" s="341" t="s">
        <v>2420</v>
      </c>
      <c r="D504" s="342">
        <v>0</v>
      </c>
      <c r="E504" s="342" t="s">
        <v>2420</v>
      </c>
      <c r="F504" s="342" t="s">
        <v>9622</v>
      </c>
      <c r="G504" s="341" t="s">
        <v>1265</v>
      </c>
      <c r="H504" s="341" t="s">
        <v>9915</v>
      </c>
      <c r="I504" s="341" t="s">
        <v>25</v>
      </c>
      <c r="J504" s="342">
        <v>1</v>
      </c>
      <c r="K504" s="342" t="s">
        <v>25</v>
      </c>
      <c r="L504" s="342">
        <v>0</v>
      </c>
    </row>
    <row r="505" spans="1:12" x14ac:dyDescent="0.25">
      <c r="A505" s="341" t="s">
        <v>2420</v>
      </c>
      <c r="B505" s="341" t="s">
        <v>2420</v>
      </c>
      <c r="C505" s="341" t="s">
        <v>2420</v>
      </c>
      <c r="D505" s="342">
        <v>0</v>
      </c>
      <c r="E505" s="342" t="s">
        <v>2420</v>
      </c>
      <c r="F505" s="342" t="s">
        <v>9622</v>
      </c>
      <c r="G505" s="341" t="s">
        <v>1386</v>
      </c>
      <c r="H505" s="341" t="s">
        <v>7104</v>
      </c>
      <c r="I505" s="341" t="s">
        <v>11</v>
      </c>
      <c r="J505" s="342">
        <v>1</v>
      </c>
      <c r="K505" s="342" t="s">
        <v>25</v>
      </c>
      <c r="L505" s="342">
        <v>0</v>
      </c>
    </row>
    <row r="506" spans="1:12" x14ac:dyDescent="0.25">
      <c r="A506" s="341" t="s">
        <v>2420</v>
      </c>
      <c r="B506" s="341" t="s">
        <v>2420</v>
      </c>
      <c r="C506" s="341" t="s">
        <v>2420</v>
      </c>
      <c r="D506" s="342">
        <v>0</v>
      </c>
      <c r="E506" s="342" t="s">
        <v>2420</v>
      </c>
      <c r="F506" s="342" t="s">
        <v>9622</v>
      </c>
      <c r="G506" s="341" t="s">
        <v>1548</v>
      </c>
      <c r="H506" s="341" t="s">
        <v>7280</v>
      </c>
      <c r="I506" s="341" t="s">
        <v>11</v>
      </c>
      <c r="J506" s="342">
        <v>2.16</v>
      </c>
      <c r="K506" s="342" t="s">
        <v>25</v>
      </c>
      <c r="L506" s="342">
        <v>0</v>
      </c>
    </row>
    <row r="507" spans="1:12" x14ac:dyDescent="0.25">
      <c r="A507" s="341" t="s">
        <v>2420</v>
      </c>
      <c r="B507" s="341" t="s">
        <v>2420</v>
      </c>
      <c r="C507" s="341" t="s">
        <v>2420</v>
      </c>
      <c r="D507" s="342">
        <v>0</v>
      </c>
      <c r="E507" s="342" t="s">
        <v>2420</v>
      </c>
      <c r="F507" s="342" t="s">
        <v>9622</v>
      </c>
      <c r="G507" s="341" t="s">
        <v>1624</v>
      </c>
      <c r="H507" s="341" t="s">
        <v>7344</v>
      </c>
      <c r="I507" s="341" t="s">
        <v>11</v>
      </c>
      <c r="J507" s="342">
        <v>2</v>
      </c>
      <c r="K507" s="342" t="s">
        <v>25</v>
      </c>
      <c r="L507" s="342">
        <v>0</v>
      </c>
    </row>
    <row r="508" spans="1:12" x14ac:dyDescent="0.25">
      <c r="A508" s="341" t="s">
        <v>2420</v>
      </c>
      <c r="B508" s="341" t="s">
        <v>2420</v>
      </c>
      <c r="C508" s="341" t="s">
        <v>2420</v>
      </c>
      <c r="D508" s="342">
        <v>0</v>
      </c>
      <c r="E508" s="342" t="s">
        <v>2420</v>
      </c>
      <c r="F508" s="342" t="s">
        <v>9622</v>
      </c>
      <c r="G508" s="341" t="s">
        <v>1639</v>
      </c>
      <c r="H508" s="341" t="s">
        <v>9916</v>
      </c>
      <c r="I508" s="341" t="s">
        <v>16</v>
      </c>
      <c r="J508" s="342">
        <v>1</v>
      </c>
      <c r="K508" s="342" t="s">
        <v>25</v>
      </c>
      <c r="L508" s="342">
        <v>0</v>
      </c>
    </row>
    <row r="509" spans="1:12" x14ac:dyDescent="0.25">
      <c r="A509" s="341" t="s">
        <v>2420</v>
      </c>
      <c r="B509" s="341" t="s">
        <v>2420</v>
      </c>
      <c r="C509" s="341" t="s">
        <v>2420</v>
      </c>
      <c r="D509" s="342">
        <v>0</v>
      </c>
      <c r="E509" s="342" t="s">
        <v>2420</v>
      </c>
      <c r="F509" s="342" t="s">
        <v>9622</v>
      </c>
      <c r="G509" s="341" t="s">
        <v>1736</v>
      </c>
      <c r="H509" s="341" t="s">
        <v>9917</v>
      </c>
      <c r="I509" s="341" t="s">
        <v>25</v>
      </c>
      <c r="J509" s="342">
        <v>1</v>
      </c>
      <c r="K509" s="342" t="s">
        <v>25</v>
      </c>
      <c r="L509" s="342">
        <v>0</v>
      </c>
    </row>
    <row r="510" spans="1:12" x14ac:dyDescent="0.25">
      <c r="A510" s="341" t="s">
        <v>2420</v>
      </c>
      <c r="B510" s="341" t="s">
        <v>2420</v>
      </c>
      <c r="C510" s="341" t="s">
        <v>2420</v>
      </c>
      <c r="D510" s="342">
        <v>0</v>
      </c>
      <c r="E510" s="342" t="s">
        <v>2420</v>
      </c>
      <c r="F510" s="342" t="s">
        <v>9622</v>
      </c>
      <c r="G510" s="341" t="s">
        <v>1897</v>
      </c>
      <c r="H510" s="341" t="s">
        <v>9850</v>
      </c>
      <c r="I510" s="341" t="s">
        <v>11</v>
      </c>
      <c r="J510" s="342">
        <v>0.42</v>
      </c>
      <c r="K510" s="342" t="s">
        <v>9623</v>
      </c>
      <c r="L510" s="342">
        <v>0</v>
      </c>
    </row>
    <row r="511" spans="1:12" x14ac:dyDescent="0.25">
      <c r="A511" s="341" t="s">
        <v>2420</v>
      </c>
      <c r="B511" s="341" t="s">
        <v>2420</v>
      </c>
      <c r="C511" s="341" t="s">
        <v>2420</v>
      </c>
      <c r="D511" s="342">
        <v>0</v>
      </c>
      <c r="E511" s="342" t="s">
        <v>2420</v>
      </c>
      <c r="F511" s="342" t="s">
        <v>9622</v>
      </c>
      <c r="G511" s="341" t="s">
        <v>1937</v>
      </c>
      <c r="H511" s="341" t="s">
        <v>9851</v>
      </c>
      <c r="I511" s="341" t="s">
        <v>25</v>
      </c>
      <c r="J511" s="342">
        <v>2.0339999999999998</v>
      </c>
      <c r="K511" s="342" t="s">
        <v>9623</v>
      </c>
      <c r="L511" s="342">
        <v>0</v>
      </c>
    </row>
    <row r="512" spans="1:12" x14ac:dyDescent="0.25">
      <c r="A512" s="341" t="s">
        <v>2420</v>
      </c>
      <c r="B512" s="341" t="s">
        <v>2420</v>
      </c>
      <c r="C512" s="341" t="s">
        <v>2420</v>
      </c>
      <c r="D512" s="342">
        <v>0</v>
      </c>
      <c r="E512" s="342" t="s">
        <v>2420</v>
      </c>
      <c r="F512" s="342" t="s">
        <v>9622</v>
      </c>
      <c r="G512" s="341" t="s">
        <v>1945</v>
      </c>
      <c r="H512" s="341" t="s">
        <v>8082</v>
      </c>
      <c r="I512" s="341" t="s">
        <v>16</v>
      </c>
      <c r="J512" s="342">
        <v>1</v>
      </c>
      <c r="K512" s="342" t="s">
        <v>9623</v>
      </c>
      <c r="L512" s="342">
        <v>0</v>
      </c>
    </row>
    <row r="513" spans="1:12" x14ac:dyDescent="0.25">
      <c r="A513" s="341" t="s">
        <v>396</v>
      </c>
      <c r="B513" s="341" t="s">
        <v>9918</v>
      </c>
      <c r="C513" s="341" t="s">
        <v>16</v>
      </c>
      <c r="D513" s="342">
        <v>1</v>
      </c>
      <c r="E513" s="342">
        <v>0</v>
      </c>
      <c r="F513" s="342" t="s">
        <v>9622</v>
      </c>
      <c r="G513" s="341" t="s">
        <v>1234</v>
      </c>
      <c r="H513" s="341" t="s">
        <v>6899</v>
      </c>
      <c r="I513" s="341" t="s">
        <v>4230</v>
      </c>
      <c r="J513" s="342">
        <v>1.46</v>
      </c>
      <c r="K513" s="342" t="s">
        <v>4230</v>
      </c>
      <c r="L513" s="342">
        <v>0</v>
      </c>
    </row>
    <row r="514" spans="1:12" x14ac:dyDescent="0.25">
      <c r="A514" s="341" t="s">
        <v>2420</v>
      </c>
      <c r="B514" s="341" t="s">
        <v>2420</v>
      </c>
      <c r="C514" s="341" t="s">
        <v>2420</v>
      </c>
      <c r="D514" s="342">
        <v>0</v>
      </c>
      <c r="E514" s="342" t="s">
        <v>2420</v>
      </c>
      <c r="F514" s="342" t="s">
        <v>9622</v>
      </c>
      <c r="G514" s="341" t="s">
        <v>1235</v>
      </c>
      <c r="H514" s="341" t="s">
        <v>6900</v>
      </c>
      <c r="I514" s="341" t="s">
        <v>4230</v>
      </c>
      <c r="J514" s="342">
        <v>1.46</v>
      </c>
      <c r="K514" s="342" t="s">
        <v>4230</v>
      </c>
      <c r="L514" s="342">
        <v>0</v>
      </c>
    </row>
    <row r="515" spans="1:12" x14ac:dyDescent="0.25">
      <c r="A515" s="341" t="s">
        <v>2420</v>
      </c>
      <c r="B515" s="341" t="s">
        <v>2420</v>
      </c>
      <c r="C515" s="341" t="s">
        <v>2420</v>
      </c>
      <c r="D515" s="342">
        <v>0</v>
      </c>
      <c r="E515" s="342" t="s">
        <v>2420</v>
      </c>
      <c r="F515" s="342" t="s">
        <v>9622</v>
      </c>
      <c r="G515" s="341" t="s">
        <v>1386</v>
      </c>
      <c r="H515" s="341" t="s">
        <v>7104</v>
      </c>
      <c r="I515" s="341" t="s">
        <v>11</v>
      </c>
      <c r="J515" s="342">
        <v>1</v>
      </c>
      <c r="K515" s="342" t="s">
        <v>25</v>
      </c>
      <c r="L515" s="342">
        <v>0</v>
      </c>
    </row>
    <row r="516" spans="1:12" x14ac:dyDescent="0.25">
      <c r="A516" s="341" t="s">
        <v>2420</v>
      </c>
      <c r="B516" s="341" t="s">
        <v>2420</v>
      </c>
      <c r="C516" s="341" t="s">
        <v>2420</v>
      </c>
      <c r="D516" s="342">
        <v>0</v>
      </c>
      <c r="E516" s="342" t="s">
        <v>2420</v>
      </c>
      <c r="F516" s="342" t="s">
        <v>9622</v>
      </c>
      <c r="G516" s="341" t="s">
        <v>1477</v>
      </c>
      <c r="H516" s="341" t="s">
        <v>9919</v>
      </c>
      <c r="I516" s="341" t="s">
        <v>16</v>
      </c>
      <c r="J516" s="342">
        <v>1</v>
      </c>
      <c r="K516" s="342" t="s">
        <v>25</v>
      </c>
      <c r="L516" s="342">
        <v>0</v>
      </c>
    </row>
    <row r="517" spans="1:12" x14ac:dyDescent="0.25">
      <c r="A517" s="341" t="s">
        <v>2420</v>
      </c>
      <c r="B517" s="341" t="s">
        <v>2420</v>
      </c>
      <c r="C517" s="341" t="s">
        <v>2420</v>
      </c>
      <c r="D517" s="342">
        <v>0</v>
      </c>
      <c r="E517" s="342" t="s">
        <v>2420</v>
      </c>
      <c r="F517" s="342" t="s">
        <v>9622</v>
      </c>
      <c r="G517" s="341" t="s">
        <v>1489</v>
      </c>
      <c r="H517" s="341" t="s">
        <v>9920</v>
      </c>
      <c r="I517" s="341" t="s">
        <v>25</v>
      </c>
      <c r="J517" s="342">
        <v>1</v>
      </c>
      <c r="K517" s="342" t="s">
        <v>25</v>
      </c>
      <c r="L517" s="342">
        <v>0</v>
      </c>
    </row>
    <row r="518" spans="1:12" x14ac:dyDescent="0.25">
      <c r="A518" s="341" t="s">
        <v>2420</v>
      </c>
      <c r="B518" s="341" t="s">
        <v>2420</v>
      </c>
      <c r="C518" s="341" t="s">
        <v>2420</v>
      </c>
      <c r="D518" s="342">
        <v>0</v>
      </c>
      <c r="E518" s="342" t="s">
        <v>2420</v>
      </c>
      <c r="F518" s="342" t="s">
        <v>9622</v>
      </c>
      <c r="G518" s="341" t="s">
        <v>1548</v>
      </c>
      <c r="H518" s="341" t="s">
        <v>7280</v>
      </c>
      <c r="I518" s="341" t="s">
        <v>11</v>
      </c>
      <c r="J518" s="342">
        <v>4.51</v>
      </c>
      <c r="K518" s="342" t="s">
        <v>25</v>
      </c>
      <c r="L518" s="342">
        <v>0</v>
      </c>
    </row>
    <row r="519" spans="1:12" x14ac:dyDescent="0.25">
      <c r="A519" s="341" t="s">
        <v>2420</v>
      </c>
      <c r="B519" s="341" t="s">
        <v>2420</v>
      </c>
      <c r="C519" s="341" t="s">
        <v>2420</v>
      </c>
      <c r="D519" s="342">
        <v>0</v>
      </c>
      <c r="E519" s="342" t="s">
        <v>2420</v>
      </c>
      <c r="F519" s="342" t="s">
        <v>9622</v>
      </c>
      <c r="G519" s="341" t="s">
        <v>1624</v>
      </c>
      <c r="H519" s="341" t="s">
        <v>7344</v>
      </c>
      <c r="I519" s="341" t="s">
        <v>11</v>
      </c>
      <c r="J519" s="342">
        <v>2</v>
      </c>
      <c r="K519" s="342" t="s">
        <v>25</v>
      </c>
      <c r="L519" s="342">
        <v>0</v>
      </c>
    </row>
    <row r="520" spans="1:12" x14ac:dyDescent="0.25">
      <c r="A520" s="341" t="s">
        <v>2420</v>
      </c>
      <c r="B520" s="341" t="s">
        <v>2420</v>
      </c>
      <c r="C520" s="341" t="s">
        <v>2420</v>
      </c>
      <c r="D520" s="342">
        <v>0</v>
      </c>
      <c r="E520" s="342" t="s">
        <v>2420</v>
      </c>
      <c r="F520" s="342" t="s">
        <v>9622</v>
      </c>
      <c r="G520" s="341" t="s">
        <v>1737</v>
      </c>
      <c r="H520" s="341" t="s">
        <v>9921</v>
      </c>
      <c r="I520" s="341" t="s">
        <v>25</v>
      </c>
      <c r="J520" s="342">
        <v>1</v>
      </c>
      <c r="K520" s="342" t="s">
        <v>25</v>
      </c>
      <c r="L520" s="342">
        <v>0</v>
      </c>
    </row>
    <row r="521" spans="1:12" x14ac:dyDescent="0.25">
      <c r="A521" s="341" t="s">
        <v>2420</v>
      </c>
      <c r="B521" s="341" t="s">
        <v>2420</v>
      </c>
      <c r="C521" s="341" t="s">
        <v>2420</v>
      </c>
      <c r="D521" s="342">
        <v>0</v>
      </c>
      <c r="E521" s="342" t="s">
        <v>2420</v>
      </c>
      <c r="F521" s="342" t="s">
        <v>9622</v>
      </c>
      <c r="G521" s="341" t="s">
        <v>1897</v>
      </c>
      <c r="H521" s="341" t="s">
        <v>9850</v>
      </c>
      <c r="I521" s="341" t="s">
        <v>11</v>
      </c>
      <c r="J521" s="342">
        <v>0.22</v>
      </c>
      <c r="K521" s="342" t="s">
        <v>9623</v>
      </c>
      <c r="L521" s="342">
        <v>0</v>
      </c>
    </row>
    <row r="522" spans="1:12" x14ac:dyDescent="0.25">
      <c r="A522" s="341" t="s">
        <v>2420</v>
      </c>
      <c r="B522" s="341" t="s">
        <v>2420</v>
      </c>
      <c r="C522" s="341" t="s">
        <v>2420</v>
      </c>
      <c r="D522" s="342">
        <v>0</v>
      </c>
      <c r="E522" s="342" t="s">
        <v>2420</v>
      </c>
      <c r="F522" s="342" t="s">
        <v>9622</v>
      </c>
      <c r="G522" s="341" t="s">
        <v>1937</v>
      </c>
      <c r="H522" s="341" t="s">
        <v>9851</v>
      </c>
      <c r="I522" s="341" t="s">
        <v>25</v>
      </c>
      <c r="J522" s="342">
        <v>3.11</v>
      </c>
      <c r="K522" s="342" t="s">
        <v>9623</v>
      </c>
      <c r="L522" s="342">
        <v>0</v>
      </c>
    </row>
    <row r="523" spans="1:12" x14ac:dyDescent="0.25">
      <c r="A523" s="341" t="s">
        <v>2420</v>
      </c>
      <c r="B523" s="341" t="s">
        <v>2420</v>
      </c>
      <c r="C523" s="341" t="s">
        <v>2420</v>
      </c>
      <c r="D523" s="342">
        <v>0</v>
      </c>
      <c r="E523" s="342" t="s">
        <v>2420</v>
      </c>
      <c r="F523" s="342" t="s">
        <v>9622</v>
      </c>
      <c r="G523" s="341" t="s">
        <v>1945</v>
      </c>
      <c r="H523" s="341" t="s">
        <v>8082</v>
      </c>
      <c r="I523" s="341" t="s">
        <v>16</v>
      </c>
      <c r="J523" s="342">
        <v>1</v>
      </c>
      <c r="K523" s="342" t="s">
        <v>9623</v>
      </c>
      <c r="L523" s="342">
        <v>0</v>
      </c>
    </row>
    <row r="524" spans="1:12" x14ac:dyDescent="0.25">
      <c r="A524" s="341" t="s">
        <v>180</v>
      </c>
      <c r="B524" s="341" t="s">
        <v>9922</v>
      </c>
      <c r="C524" s="341" t="s">
        <v>25</v>
      </c>
      <c r="D524" s="342">
        <v>1</v>
      </c>
      <c r="E524" s="342">
        <v>0</v>
      </c>
      <c r="F524" s="342" t="s">
        <v>9622</v>
      </c>
      <c r="G524" s="341" t="s">
        <v>1234</v>
      </c>
      <c r="H524" s="341" t="s">
        <v>6899</v>
      </c>
      <c r="I524" s="341" t="s">
        <v>4230</v>
      </c>
      <c r="J524" s="342">
        <v>0.59</v>
      </c>
      <c r="K524" s="342" t="s">
        <v>4230</v>
      </c>
      <c r="L524" s="342">
        <v>0</v>
      </c>
    </row>
    <row r="525" spans="1:12" x14ac:dyDescent="0.25">
      <c r="A525" s="341" t="s">
        <v>2420</v>
      </c>
      <c r="B525" s="341" t="s">
        <v>2420</v>
      </c>
      <c r="C525" s="341" t="s">
        <v>2420</v>
      </c>
      <c r="D525" s="342">
        <v>0</v>
      </c>
      <c r="E525" s="342" t="s">
        <v>2420</v>
      </c>
      <c r="F525" s="342" t="s">
        <v>9622</v>
      </c>
      <c r="G525" s="341" t="s">
        <v>1235</v>
      </c>
      <c r="H525" s="341" t="s">
        <v>6900</v>
      </c>
      <c r="I525" s="341" t="s">
        <v>4230</v>
      </c>
      <c r="J525" s="342">
        <v>0.59</v>
      </c>
      <c r="K525" s="342" t="s">
        <v>4230</v>
      </c>
      <c r="L525" s="342">
        <v>0</v>
      </c>
    </row>
    <row r="526" spans="1:12" x14ac:dyDescent="0.25">
      <c r="A526" s="341" t="s">
        <v>2420</v>
      </c>
      <c r="B526" s="341" t="s">
        <v>2420</v>
      </c>
      <c r="C526" s="341" t="s">
        <v>2420</v>
      </c>
      <c r="D526" s="342">
        <v>0</v>
      </c>
      <c r="E526" s="342" t="s">
        <v>2420</v>
      </c>
      <c r="F526" s="342" t="s">
        <v>9622</v>
      </c>
      <c r="G526" s="341" t="s">
        <v>1472</v>
      </c>
      <c r="H526" s="341" t="s">
        <v>7212</v>
      </c>
      <c r="I526" s="341" t="s">
        <v>2557</v>
      </c>
      <c r="J526" s="342">
        <v>0.8</v>
      </c>
      <c r="K526" s="342" t="s">
        <v>25</v>
      </c>
      <c r="L526" s="342">
        <v>0</v>
      </c>
    </row>
    <row r="527" spans="1:12" x14ac:dyDescent="0.25">
      <c r="A527" s="341" t="s">
        <v>2420</v>
      </c>
      <c r="B527" s="341" t="s">
        <v>2420</v>
      </c>
      <c r="C527" s="341" t="s">
        <v>2420</v>
      </c>
      <c r="D527" s="342">
        <v>0</v>
      </c>
      <c r="E527" s="342" t="s">
        <v>2420</v>
      </c>
      <c r="F527" s="342" t="s">
        <v>9622</v>
      </c>
      <c r="G527" s="341" t="s">
        <v>1576</v>
      </c>
      <c r="H527" s="341" t="s">
        <v>7177</v>
      </c>
      <c r="I527" s="341" t="s">
        <v>2557</v>
      </c>
      <c r="J527" s="342">
        <v>0.08</v>
      </c>
      <c r="K527" s="342" t="s">
        <v>25</v>
      </c>
      <c r="L527" s="342">
        <v>0</v>
      </c>
    </row>
    <row r="528" spans="1:12" x14ac:dyDescent="0.25">
      <c r="A528" s="341" t="s">
        <v>2420</v>
      </c>
      <c r="B528" s="341" t="s">
        <v>2420</v>
      </c>
      <c r="C528" s="341" t="s">
        <v>2420</v>
      </c>
      <c r="D528" s="342">
        <v>0</v>
      </c>
      <c r="E528" s="342" t="s">
        <v>2420</v>
      </c>
      <c r="F528" s="342" t="s">
        <v>9622</v>
      </c>
      <c r="G528" s="341" t="s">
        <v>1672</v>
      </c>
      <c r="H528" s="341" t="s">
        <v>9922</v>
      </c>
      <c r="I528" s="341" t="s">
        <v>25</v>
      </c>
      <c r="J528" s="342">
        <v>1.05</v>
      </c>
      <c r="K528" s="342" t="s">
        <v>25</v>
      </c>
      <c r="L528" s="342">
        <v>0</v>
      </c>
    </row>
    <row r="529" spans="1:12" x14ac:dyDescent="0.25">
      <c r="A529" s="341" t="s">
        <v>2420</v>
      </c>
      <c r="B529" s="341" t="s">
        <v>2420</v>
      </c>
      <c r="C529" s="341" t="s">
        <v>2420</v>
      </c>
      <c r="D529" s="342">
        <v>0</v>
      </c>
      <c r="E529" s="342" t="s">
        <v>2420</v>
      </c>
      <c r="F529" s="342" t="s">
        <v>9622</v>
      </c>
      <c r="G529" s="341" t="s">
        <v>2038</v>
      </c>
      <c r="H529" s="341" t="s">
        <v>8372</v>
      </c>
      <c r="I529" s="341" t="s">
        <v>16</v>
      </c>
      <c r="J529" s="342">
        <v>0.5</v>
      </c>
      <c r="K529" s="342" t="s">
        <v>9623</v>
      </c>
      <c r="L529" s="342">
        <v>0</v>
      </c>
    </row>
    <row r="530" spans="1:12" x14ac:dyDescent="0.25">
      <c r="A530" s="341" t="s">
        <v>2420</v>
      </c>
      <c r="B530" s="341" t="s">
        <v>2420</v>
      </c>
      <c r="C530" s="341" t="s">
        <v>2420</v>
      </c>
      <c r="D530" s="342">
        <v>0</v>
      </c>
      <c r="E530" s="342" t="s">
        <v>2420</v>
      </c>
      <c r="F530" s="342" t="s">
        <v>9622</v>
      </c>
      <c r="G530" s="341" t="s">
        <v>2066</v>
      </c>
      <c r="H530" s="341" t="s">
        <v>8582</v>
      </c>
      <c r="I530" s="341" t="s">
        <v>25</v>
      </c>
      <c r="J530" s="342">
        <v>1</v>
      </c>
      <c r="K530" s="342" t="s">
        <v>9623</v>
      </c>
      <c r="L530" s="342">
        <v>0</v>
      </c>
    </row>
    <row r="531" spans="1:12" x14ac:dyDescent="0.25">
      <c r="A531" s="341" t="s">
        <v>181</v>
      </c>
      <c r="B531" s="341" t="s">
        <v>9923</v>
      </c>
      <c r="C531" s="341" t="s">
        <v>25</v>
      </c>
      <c r="D531" s="342">
        <v>1</v>
      </c>
      <c r="E531" s="342">
        <v>0</v>
      </c>
      <c r="F531" s="342" t="s">
        <v>9622</v>
      </c>
      <c r="G531" s="341" t="s">
        <v>1234</v>
      </c>
      <c r="H531" s="341" t="s">
        <v>6899</v>
      </c>
      <c r="I531" s="341" t="s">
        <v>4230</v>
      </c>
      <c r="J531" s="342">
        <v>0.59</v>
      </c>
      <c r="K531" s="342" t="s">
        <v>4230</v>
      </c>
      <c r="L531" s="342">
        <v>0</v>
      </c>
    </row>
    <row r="532" spans="1:12" x14ac:dyDescent="0.25">
      <c r="A532" s="341" t="s">
        <v>2420</v>
      </c>
      <c r="B532" s="341" t="s">
        <v>2420</v>
      </c>
      <c r="C532" s="341" t="s">
        <v>2420</v>
      </c>
      <c r="D532" s="342">
        <v>0</v>
      </c>
      <c r="E532" s="342" t="s">
        <v>2420</v>
      </c>
      <c r="F532" s="342" t="s">
        <v>9622</v>
      </c>
      <c r="G532" s="341" t="s">
        <v>1235</v>
      </c>
      <c r="H532" s="341" t="s">
        <v>6900</v>
      </c>
      <c r="I532" s="341" t="s">
        <v>4230</v>
      </c>
      <c r="J532" s="342">
        <v>0.59</v>
      </c>
      <c r="K532" s="342" t="s">
        <v>4230</v>
      </c>
      <c r="L532" s="342">
        <v>0</v>
      </c>
    </row>
    <row r="533" spans="1:12" x14ac:dyDescent="0.25">
      <c r="A533" s="341" t="s">
        <v>2420</v>
      </c>
      <c r="B533" s="341" t="s">
        <v>2420</v>
      </c>
      <c r="C533" s="341" t="s">
        <v>2420</v>
      </c>
      <c r="D533" s="342">
        <v>0</v>
      </c>
      <c r="E533" s="342" t="s">
        <v>2420</v>
      </c>
      <c r="F533" s="342" t="s">
        <v>9622</v>
      </c>
      <c r="G533" s="341" t="s">
        <v>1472</v>
      </c>
      <c r="H533" s="341" t="s">
        <v>7212</v>
      </c>
      <c r="I533" s="341" t="s">
        <v>2557</v>
      </c>
      <c r="J533" s="342">
        <v>0.8</v>
      </c>
      <c r="K533" s="342" t="s">
        <v>25</v>
      </c>
      <c r="L533" s="342">
        <v>0</v>
      </c>
    </row>
    <row r="534" spans="1:12" x14ac:dyDescent="0.25">
      <c r="A534" s="341" t="s">
        <v>2420</v>
      </c>
      <c r="B534" s="341" t="s">
        <v>2420</v>
      </c>
      <c r="C534" s="341" t="s">
        <v>2420</v>
      </c>
      <c r="D534" s="342">
        <v>0</v>
      </c>
      <c r="E534" s="342" t="s">
        <v>2420</v>
      </c>
      <c r="F534" s="342" t="s">
        <v>9622</v>
      </c>
      <c r="G534" s="341" t="s">
        <v>1576</v>
      </c>
      <c r="H534" s="341" t="s">
        <v>7177</v>
      </c>
      <c r="I534" s="341" t="s">
        <v>2557</v>
      </c>
      <c r="J534" s="342">
        <v>0.08</v>
      </c>
      <c r="K534" s="342" t="s">
        <v>25</v>
      </c>
      <c r="L534" s="342">
        <v>0</v>
      </c>
    </row>
    <row r="535" spans="1:12" x14ac:dyDescent="0.25">
      <c r="A535" s="341" t="s">
        <v>2420</v>
      </c>
      <c r="B535" s="341" t="s">
        <v>2420</v>
      </c>
      <c r="C535" s="341" t="s">
        <v>2420</v>
      </c>
      <c r="D535" s="342">
        <v>0</v>
      </c>
      <c r="E535" s="342" t="s">
        <v>2420</v>
      </c>
      <c r="F535" s="342" t="s">
        <v>9622</v>
      </c>
      <c r="G535" s="341" t="s">
        <v>1691</v>
      </c>
      <c r="H535" s="341" t="s">
        <v>9923</v>
      </c>
      <c r="I535" s="341" t="s">
        <v>25</v>
      </c>
      <c r="J535" s="342">
        <v>1.05</v>
      </c>
      <c r="K535" s="342" t="s">
        <v>25</v>
      </c>
      <c r="L535" s="342">
        <v>0</v>
      </c>
    </row>
    <row r="536" spans="1:12" x14ac:dyDescent="0.25">
      <c r="A536" s="341" t="s">
        <v>2420</v>
      </c>
      <c r="B536" s="341" t="s">
        <v>2420</v>
      </c>
      <c r="C536" s="341" t="s">
        <v>2420</v>
      </c>
      <c r="D536" s="342">
        <v>0</v>
      </c>
      <c r="E536" s="342" t="s">
        <v>2420</v>
      </c>
      <c r="F536" s="342" t="s">
        <v>9622</v>
      </c>
      <c r="G536" s="341" t="s">
        <v>2038</v>
      </c>
      <c r="H536" s="341" t="s">
        <v>8372</v>
      </c>
      <c r="I536" s="341" t="s">
        <v>16</v>
      </c>
      <c r="J536" s="342">
        <v>0.5</v>
      </c>
      <c r="K536" s="342" t="s">
        <v>9623</v>
      </c>
      <c r="L536" s="342">
        <v>0</v>
      </c>
    </row>
    <row r="537" spans="1:12" x14ac:dyDescent="0.25">
      <c r="A537" s="341" t="s">
        <v>2420</v>
      </c>
      <c r="B537" s="341" t="s">
        <v>2420</v>
      </c>
      <c r="C537" s="341" t="s">
        <v>2420</v>
      </c>
      <c r="D537" s="342">
        <v>0</v>
      </c>
      <c r="E537" s="342" t="s">
        <v>2420</v>
      </c>
      <c r="F537" s="342" t="s">
        <v>9622</v>
      </c>
      <c r="G537" s="341" t="s">
        <v>2066</v>
      </c>
      <c r="H537" s="341" t="s">
        <v>8582</v>
      </c>
      <c r="I537" s="341" t="s">
        <v>25</v>
      </c>
      <c r="J537" s="342">
        <v>1</v>
      </c>
      <c r="K537" s="342" t="s">
        <v>9623</v>
      </c>
      <c r="L537" s="342">
        <v>0</v>
      </c>
    </row>
    <row r="538" spans="1:12" x14ac:dyDescent="0.25">
      <c r="A538" s="341" t="s">
        <v>403</v>
      </c>
      <c r="B538" s="341" t="s">
        <v>9924</v>
      </c>
      <c r="C538" s="341" t="s">
        <v>25</v>
      </c>
      <c r="D538" s="342">
        <v>1</v>
      </c>
      <c r="E538" s="342">
        <v>0</v>
      </c>
      <c r="F538" s="342" t="s">
        <v>9622</v>
      </c>
      <c r="G538" s="341" t="s">
        <v>1234</v>
      </c>
      <c r="H538" s="341" t="s">
        <v>6899</v>
      </c>
      <c r="I538" s="341" t="s">
        <v>4230</v>
      </c>
      <c r="J538" s="342">
        <v>0.45</v>
      </c>
      <c r="K538" s="342" t="s">
        <v>4230</v>
      </c>
      <c r="L538" s="342">
        <v>0</v>
      </c>
    </row>
    <row r="539" spans="1:12" x14ac:dyDescent="0.25">
      <c r="A539" s="341" t="s">
        <v>2420</v>
      </c>
      <c r="B539" s="341" t="s">
        <v>2420</v>
      </c>
      <c r="C539" s="341" t="s">
        <v>2420</v>
      </c>
      <c r="D539" s="342">
        <v>0</v>
      </c>
      <c r="E539" s="342" t="s">
        <v>2420</v>
      </c>
      <c r="F539" s="342" t="s">
        <v>9622</v>
      </c>
      <c r="G539" s="341" t="s">
        <v>1235</v>
      </c>
      <c r="H539" s="341" t="s">
        <v>6900</v>
      </c>
      <c r="I539" s="341" t="s">
        <v>4230</v>
      </c>
      <c r="J539" s="342">
        <v>0.25</v>
      </c>
      <c r="K539" s="342" t="s">
        <v>4230</v>
      </c>
      <c r="L539" s="342">
        <v>0</v>
      </c>
    </row>
    <row r="540" spans="1:12" x14ac:dyDescent="0.25">
      <c r="A540" s="341" t="s">
        <v>2420</v>
      </c>
      <c r="B540" s="341" t="s">
        <v>2420</v>
      </c>
      <c r="C540" s="341" t="s">
        <v>2420</v>
      </c>
      <c r="D540" s="342">
        <v>0</v>
      </c>
      <c r="E540" s="342" t="s">
        <v>2420</v>
      </c>
      <c r="F540" s="342" t="s">
        <v>9622</v>
      </c>
      <c r="G540" s="341" t="s">
        <v>1400</v>
      </c>
      <c r="H540" s="341" t="s">
        <v>9925</v>
      </c>
      <c r="I540" s="341" t="s">
        <v>6606</v>
      </c>
      <c r="J540" s="342">
        <v>0.17</v>
      </c>
      <c r="K540" s="342" t="s">
        <v>25</v>
      </c>
      <c r="L540" s="342">
        <v>0</v>
      </c>
    </row>
    <row r="541" spans="1:12" x14ac:dyDescent="0.25">
      <c r="A541" s="341" t="s">
        <v>2420</v>
      </c>
      <c r="B541" s="341" t="s">
        <v>2420</v>
      </c>
      <c r="C541" s="341" t="s">
        <v>2420</v>
      </c>
      <c r="D541" s="342">
        <v>0</v>
      </c>
      <c r="E541" s="342" t="s">
        <v>2420</v>
      </c>
      <c r="F541" s="342" t="s">
        <v>9622</v>
      </c>
      <c r="G541" s="341" t="s">
        <v>1625</v>
      </c>
      <c r="H541" s="341" t="s">
        <v>7345</v>
      </c>
      <c r="I541" s="341" t="s">
        <v>25</v>
      </c>
      <c r="J541" s="342">
        <v>1.05</v>
      </c>
      <c r="K541" s="342" t="s">
        <v>25</v>
      </c>
      <c r="L541" s="342">
        <v>0</v>
      </c>
    </row>
    <row r="542" spans="1:12" x14ac:dyDescent="0.25">
      <c r="A542" s="341" t="s">
        <v>2420</v>
      </c>
      <c r="B542" s="341" t="s">
        <v>2420</v>
      </c>
      <c r="C542" s="341" t="s">
        <v>2420</v>
      </c>
      <c r="D542" s="342">
        <v>0</v>
      </c>
      <c r="E542" s="342" t="s">
        <v>2420</v>
      </c>
      <c r="F542" s="342" t="s">
        <v>9622</v>
      </c>
      <c r="G542" s="341" t="s">
        <v>1915</v>
      </c>
      <c r="H542" s="341" t="s">
        <v>9926</v>
      </c>
      <c r="I542" s="341" t="s">
        <v>25</v>
      </c>
      <c r="J542" s="342">
        <v>1</v>
      </c>
      <c r="K542" s="342" t="s">
        <v>9623</v>
      </c>
      <c r="L542" s="342">
        <v>0</v>
      </c>
    </row>
    <row r="543" spans="1:12" x14ac:dyDescent="0.25">
      <c r="A543" s="341" t="s">
        <v>247</v>
      </c>
      <c r="B543" s="341" t="s">
        <v>9927</v>
      </c>
      <c r="C543" s="341" t="s">
        <v>16</v>
      </c>
      <c r="D543" s="342">
        <v>1</v>
      </c>
      <c r="E543" s="342">
        <v>0</v>
      </c>
      <c r="F543" s="342" t="s">
        <v>9622</v>
      </c>
      <c r="G543" s="341" t="s">
        <v>1236</v>
      </c>
      <c r="H543" s="341" t="s">
        <v>6901</v>
      </c>
      <c r="I543" s="341" t="s">
        <v>4230</v>
      </c>
      <c r="J543" s="342">
        <v>0.9</v>
      </c>
      <c r="K543" s="342" t="s">
        <v>4230</v>
      </c>
      <c r="L543" s="342">
        <v>0</v>
      </c>
    </row>
    <row r="544" spans="1:12" x14ac:dyDescent="0.25">
      <c r="A544" s="341" t="s">
        <v>2420</v>
      </c>
      <c r="B544" s="341" t="s">
        <v>2420</v>
      </c>
      <c r="C544" s="341" t="s">
        <v>2420</v>
      </c>
      <c r="D544" s="342">
        <v>0</v>
      </c>
      <c r="E544" s="342" t="s">
        <v>2420</v>
      </c>
      <c r="F544" s="342" t="s">
        <v>9622</v>
      </c>
      <c r="G544" s="341" t="s">
        <v>1237</v>
      </c>
      <c r="H544" s="341" t="s">
        <v>9781</v>
      </c>
      <c r="I544" s="341" t="s">
        <v>4230</v>
      </c>
      <c r="J544" s="342">
        <v>0.2</v>
      </c>
      <c r="K544" s="342" t="s">
        <v>4230</v>
      </c>
      <c r="L544" s="342">
        <v>0</v>
      </c>
    </row>
    <row r="545" spans="1:12" x14ac:dyDescent="0.25">
      <c r="A545" s="341" t="s">
        <v>2420</v>
      </c>
      <c r="B545" s="341" t="s">
        <v>2420</v>
      </c>
      <c r="C545" s="341" t="s">
        <v>2420</v>
      </c>
      <c r="D545" s="342">
        <v>0</v>
      </c>
      <c r="E545" s="342" t="s">
        <v>2420</v>
      </c>
      <c r="F545" s="342" t="s">
        <v>9622</v>
      </c>
      <c r="G545" s="341" t="s">
        <v>2035</v>
      </c>
      <c r="H545" s="341" t="s">
        <v>9928</v>
      </c>
      <c r="I545" s="341" t="s">
        <v>16</v>
      </c>
      <c r="J545" s="342">
        <v>1</v>
      </c>
      <c r="K545" s="342" t="s">
        <v>9623</v>
      </c>
      <c r="L545" s="342">
        <v>0</v>
      </c>
    </row>
    <row r="546" spans="1:12" x14ac:dyDescent="0.25">
      <c r="A546" s="341" t="s">
        <v>148</v>
      </c>
      <c r="B546" s="341" t="s">
        <v>9748</v>
      </c>
      <c r="C546" s="341" t="s">
        <v>2557</v>
      </c>
      <c r="D546" s="342">
        <v>1</v>
      </c>
      <c r="E546" s="342">
        <v>0</v>
      </c>
      <c r="F546" s="342" t="s">
        <v>9622</v>
      </c>
      <c r="G546" s="341" t="s">
        <v>1238</v>
      </c>
      <c r="H546" s="341" t="s">
        <v>6903</v>
      </c>
      <c r="I546" s="341" t="s">
        <v>4230</v>
      </c>
      <c r="J546" s="342">
        <v>7.0000000000000007E-2</v>
      </c>
      <c r="K546" s="342" t="s">
        <v>4230</v>
      </c>
      <c r="L546" s="342">
        <v>0</v>
      </c>
    </row>
    <row r="547" spans="1:12" x14ac:dyDescent="0.25">
      <c r="A547" s="341" t="s">
        <v>2420</v>
      </c>
      <c r="B547" s="341" t="s">
        <v>2420</v>
      </c>
      <c r="C547" s="341" t="s">
        <v>2420</v>
      </c>
      <c r="D547" s="342">
        <v>0</v>
      </c>
      <c r="E547" s="342" t="s">
        <v>2420</v>
      </c>
      <c r="F547" s="342" t="s">
        <v>9622</v>
      </c>
      <c r="G547" s="341" t="s">
        <v>1239</v>
      </c>
      <c r="H547" s="341" t="s">
        <v>9768</v>
      </c>
      <c r="I547" s="341" t="s">
        <v>4230</v>
      </c>
      <c r="J547" s="342">
        <v>7.0000000000000007E-2</v>
      </c>
      <c r="K547" s="342" t="s">
        <v>4230</v>
      </c>
      <c r="L547" s="342">
        <v>0</v>
      </c>
    </row>
    <row r="548" spans="1:12" x14ac:dyDescent="0.25">
      <c r="A548" s="341" t="s">
        <v>2420</v>
      </c>
      <c r="B548" s="341" t="s">
        <v>2420</v>
      </c>
      <c r="C548" s="341" t="s">
        <v>2420</v>
      </c>
      <c r="D548" s="342">
        <v>0</v>
      </c>
      <c r="E548" s="342" t="s">
        <v>2420</v>
      </c>
      <c r="F548" s="342" t="s">
        <v>9622</v>
      </c>
      <c r="G548" s="341" t="s">
        <v>1272</v>
      </c>
      <c r="H548" s="341" t="s">
        <v>9720</v>
      </c>
      <c r="I548" s="341" t="s">
        <v>2557</v>
      </c>
      <c r="J548" s="342">
        <v>0.02</v>
      </c>
      <c r="K548" s="342" t="s">
        <v>25</v>
      </c>
      <c r="L548" s="342">
        <v>0</v>
      </c>
    </row>
    <row r="549" spans="1:12" x14ac:dyDescent="0.25">
      <c r="A549" s="341" t="s">
        <v>2420</v>
      </c>
      <c r="B549" s="341" t="s">
        <v>2420</v>
      </c>
      <c r="C549" s="341" t="s">
        <v>2420</v>
      </c>
      <c r="D549" s="342">
        <v>0</v>
      </c>
      <c r="E549" s="342" t="s">
        <v>2420</v>
      </c>
      <c r="F549" s="342" t="s">
        <v>9622</v>
      </c>
      <c r="G549" s="341" t="s">
        <v>1278</v>
      </c>
      <c r="H549" s="341" t="s">
        <v>9721</v>
      </c>
      <c r="I549" s="341" t="s">
        <v>2557</v>
      </c>
      <c r="J549" s="342">
        <v>1.1000000000000001</v>
      </c>
      <c r="K549" s="342" t="s">
        <v>25</v>
      </c>
      <c r="L549" s="342">
        <v>0</v>
      </c>
    </row>
    <row r="550" spans="1:12" x14ac:dyDescent="0.25">
      <c r="A550" s="341" t="s">
        <v>2420</v>
      </c>
      <c r="B550" s="341" t="s">
        <v>2420</v>
      </c>
      <c r="C550" s="341" t="s">
        <v>2420</v>
      </c>
      <c r="D550" s="342">
        <v>0</v>
      </c>
      <c r="E550" s="342" t="s">
        <v>2420</v>
      </c>
      <c r="F550" s="342" t="s">
        <v>9622</v>
      </c>
      <c r="G550" s="341" t="s">
        <v>1853</v>
      </c>
      <c r="H550" s="341" t="s">
        <v>7980</v>
      </c>
      <c r="I550" s="341" t="s">
        <v>2557</v>
      </c>
      <c r="J550" s="342">
        <v>1</v>
      </c>
      <c r="K550" s="342" t="s">
        <v>9623</v>
      </c>
      <c r="L550" s="342">
        <v>0</v>
      </c>
    </row>
    <row r="551" spans="1:12" x14ac:dyDescent="0.25">
      <c r="A551" s="341" t="s">
        <v>9732</v>
      </c>
      <c r="B551" s="341" t="s">
        <v>9733</v>
      </c>
      <c r="C551" s="341" t="s">
        <v>52</v>
      </c>
      <c r="D551" s="342">
        <v>1</v>
      </c>
      <c r="E551" s="342">
        <v>0</v>
      </c>
      <c r="F551" s="342" t="s">
        <v>9622</v>
      </c>
      <c r="G551" s="341" t="s">
        <v>1204</v>
      </c>
      <c r="H551" s="341" t="s">
        <v>6854</v>
      </c>
      <c r="I551" s="341" t="s">
        <v>4230</v>
      </c>
      <c r="J551" s="342">
        <v>0.51</v>
      </c>
      <c r="K551" s="342" t="s">
        <v>4230</v>
      </c>
      <c r="L551" s="342">
        <v>0</v>
      </c>
    </row>
    <row r="552" spans="1:12" x14ac:dyDescent="0.25">
      <c r="A552" s="341" t="s">
        <v>2420</v>
      </c>
      <c r="B552" s="341" t="s">
        <v>2420</v>
      </c>
      <c r="C552" s="341" t="s">
        <v>2420</v>
      </c>
      <c r="D552" s="342">
        <v>0</v>
      </c>
      <c r="E552" s="342" t="s">
        <v>2420</v>
      </c>
      <c r="F552" s="342" t="s">
        <v>9622</v>
      </c>
      <c r="G552" s="341" t="s">
        <v>1210</v>
      </c>
      <c r="H552" s="341" t="s">
        <v>6855</v>
      </c>
      <c r="I552" s="341" t="s">
        <v>4230</v>
      </c>
      <c r="J552" s="342">
        <v>2.0299999999999998</v>
      </c>
      <c r="K552" s="342" t="s">
        <v>4230</v>
      </c>
      <c r="L552" s="342">
        <v>0</v>
      </c>
    </row>
    <row r="553" spans="1:12" x14ac:dyDescent="0.25">
      <c r="A553" s="341" t="s">
        <v>269</v>
      </c>
      <c r="B553" s="341" t="s">
        <v>9929</v>
      </c>
      <c r="C553" s="341" t="s">
        <v>16</v>
      </c>
      <c r="D553" s="342">
        <v>1</v>
      </c>
      <c r="E553" s="342">
        <v>0</v>
      </c>
      <c r="F553" s="342" t="s">
        <v>9622</v>
      </c>
      <c r="G553" s="341" t="s">
        <v>1236</v>
      </c>
      <c r="H553" s="341" t="s">
        <v>6901</v>
      </c>
      <c r="I553" s="341" t="s">
        <v>4230</v>
      </c>
      <c r="J553" s="342">
        <v>2.5</v>
      </c>
      <c r="K553" s="342" t="s">
        <v>4230</v>
      </c>
      <c r="L553" s="342">
        <v>0</v>
      </c>
    </row>
    <row r="554" spans="1:12" x14ac:dyDescent="0.25">
      <c r="A554" s="341" t="s">
        <v>2420</v>
      </c>
      <c r="B554" s="341" t="s">
        <v>2420</v>
      </c>
      <c r="C554" s="341" t="s">
        <v>2420</v>
      </c>
      <c r="D554" s="342">
        <v>0</v>
      </c>
      <c r="E554" s="342" t="s">
        <v>2420</v>
      </c>
      <c r="F554" s="342" t="s">
        <v>9622</v>
      </c>
      <c r="G554" s="341" t="s">
        <v>1237</v>
      </c>
      <c r="H554" s="341" t="s">
        <v>9781</v>
      </c>
      <c r="I554" s="341" t="s">
        <v>4230</v>
      </c>
      <c r="J554" s="342">
        <v>1.5</v>
      </c>
      <c r="K554" s="342" t="s">
        <v>4230</v>
      </c>
      <c r="L554" s="342">
        <v>0</v>
      </c>
    </row>
    <row r="555" spans="1:12" x14ac:dyDescent="0.25">
      <c r="A555" s="341" t="s">
        <v>2420</v>
      </c>
      <c r="B555" s="341" t="s">
        <v>2420</v>
      </c>
      <c r="C555" s="341" t="s">
        <v>2420</v>
      </c>
      <c r="D555" s="342">
        <v>0</v>
      </c>
      <c r="E555" s="342" t="s">
        <v>2420</v>
      </c>
      <c r="F555" s="342" t="s">
        <v>9622</v>
      </c>
      <c r="G555" s="341" t="s">
        <v>2175</v>
      </c>
      <c r="H555" s="341" t="s">
        <v>9108</v>
      </c>
      <c r="I555" s="341" t="s">
        <v>16</v>
      </c>
      <c r="J555" s="342">
        <v>1</v>
      </c>
      <c r="K555" s="342" t="s">
        <v>9623</v>
      </c>
      <c r="L555" s="342">
        <v>0</v>
      </c>
    </row>
    <row r="556" spans="1:12" x14ac:dyDescent="0.25">
      <c r="A556" s="341" t="s">
        <v>270</v>
      </c>
      <c r="B556" s="341" t="s">
        <v>9930</v>
      </c>
      <c r="C556" s="341" t="s">
        <v>16</v>
      </c>
      <c r="D556" s="342">
        <v>1</v>
      </c>
      <c r="E556" s="342">
        <v>0</v>
      </c>
      <c r="F556" s="342" t="s">
        <v>9622</v>
      </c>
      <c r="G556" s="341" t="s">
        <v>1236</v>
      </c>
      <c r="H556" s="341" t="s">
        <v>6901</v>
      </c>
      <c r="I556" s="341" t="s">
        <v>4230</v>
      </c>
      <c r="J556" s="342">
        <v>0.9</v>
      </c>
      <c r="K556" s="342" t="s">
        <v>4230</v>
      </c>
      <c r="L556" s="342">
        <v>0</v>
      </c>
    </row>
    <row r="557" spans="1:12" x14ac:dyDescent="0.25">
      <c r="A557" s="341" t="s">
        <v>2420</v>
      </c>
      <c r="B557" s="341" t="s">
        <v>2420</v>
      </c>
      <c r="C557" s="341" t="s">
        <v>2420</v>
      </c>
      <c r="D557" s="342">
        <v>0</v>
      </c>
      <c r="E557" s="342" t="s">
        <v>2420</v>
      </c>
      <c r="F557" s="342" t="s">
        <v>9622</v>
      </c>
      <c r="G557" s="341" t="s">
        <v>1237</v>
      </c>
      <c r="H557" s="341" t="s">
        <v>9781</v>
      </c>
      <c r="I557" s="341" t="s">
        <v>4230</v>
      </c>
      <c r="J557" s="342">
        <v>0.2</v>
      </c>
      <c r="K557" s="342" t="s">
        <v>4230</v>
      </c>
      <c r="L557" s="342">
        <v>0</v>
      </c>
    </row>
    <row r="558" spans="1:12" x14ac:dyDescent="0.25">
      <c r="A558" s="341" t="s">
        <v>2420</v>
      </c>
      <c r="B558" s="341" t="s">
        <v>2420</v>
      </c>
      <c r="C558" s="341" t="s">
        <v>2420</v>
      </c>
      <c r="D558" s="342">
        <v>0</v>
      </c>
      <c r="E558" s="342" t="s">
        <v>2420</v>
      </c>
      <c r="F558" s="342" t="s">
        <v>9622</v>
      </c>
      <c r="G558" s="341" t="s">
        <v>2176</v>
      </c>
      <c r="H558" s="341" t="s">
        <v>9931</v>
      </c>
      <c r="I558" s="341" t="s">
        <v>16</v>
      </c>
      <c r="J558" s="342">
        <v>1</v>
      </c>
      <c r="K558" s="342" t="s">
        <v>9623</v>
      </c>
      <c r="L558" s="342">
        <v>0</v>
      </c>
    </row>
    <row r="559" spans="1:12" x14ac:dyDescent="0.25">
      <c r="A559" s="341" t="s">
        <v>147</v>
      </c>
      <c r="B559" s="341" t="s">
        <v>9932</v>
      </c>
      <c r="C559" s="341" t="s">
        <v>16</v>
      </c>
      <c r="D559" s="342">
        <v>1</v>
      </c>
      <c r="E559" s="342">
        <v>0</v>
      </c>
      <c r="F559" s="342" t="s">
        <v>9622</v>
      </c>
      <c r="G559" s="341" t="s">
        <v>1236</v>
      </c>
      <c r="H559" s="341" t="s">
        <v>6901</v>
      </c>
      <c r="I559" s="341" t="s">
        <v>4230</v>
      </c>
      <c r="J559" s="342">
        <v>0.9</v>
      </c>
      <c r="K559" s="342" t="s">
        <v>4230</v>
      </c>
      <c r="L559" s="342">
        <v>0</v>
      </c>
    </row>
    <row r="560" spans="1:12" x14ac:dyDescent="0.25">
      <c r="A560" s="341" t="s">
        <v>2420</v>
      </c>
      <c r="B560" s="341" t="s">
        <v>2420</v>
      </c>
      <c r="C560" s="341" t="s">
        <v>2420</v>
      </c>
      <c r="D560" s="342">
        <v>0</v>
      </c>
      <c r="E560" s="342" t="s">
        <v>2420</v>
      </c>
      <c r="F560" s="342" t="s">
        <v>9622</v>
      </c>
      <c r="G560" s="341" t="s">
        <v>1237</v>
      </c>
      <c r="H560" s="341" t="s">
        <v>9781</v>
      </c>
      <c r="I560" s="341" t="s">
        <v>4230</v>
      </c>
      <c r="J560" s="342">
        <v>0.2</v>
      </c>
      <c r="K560" s="342" t="s">
        <v>4230</v>
      </c>
      <c r="L560" s="342">
        <v>0</v>
      </c>
    </row>
    <row r="561" spans="1:12" x14ac:dyDescent="0.25">
      <c r="A561" s="341" t="s">
        <v>2420</v>
      </c>
      <c r="B561" s="341" t="s">
        <v>2420</v>
      </c>
      <c r="C561" s="341" t="s">
        <v>2420</v>
      </c>
      <c r="D561" s="342">
        <v>0</v>
      </c>
      <c r="E561" s="342" t="s">
        <v>2420</v>
      </c>
      <c r="F561" s="342" t="s">
        <v>9622</v>
      </c>
      <c r="G561" s="341" t="s">
        <v>2177</v>
      </c>
      <c r="H561" s="341" t="s">
        <v>9933</v>
      </c>
      <c r="I561" s="341" t="s">
        <v>16</v>
      </c>
      <c r="J561" s="342">
        <v>1</v>
      </c>
      <c r="K561" s="342" t="s">
        <v>9623</v>
      </c>
      <c r="L561" s="342">
        <v>0</v>
      </c>
    </row>
    <row r="562" spans="1:12" x14ac:dyDescent="0.25">
      <c r="A562" s="341" t="s">
        <v>151</v>
      </c>
      <c r="B562" s="341" t="s">
        <v>9934</v>
      </c>
      <c r="C562" s="341" t="s">
        <v>16</v>
      </c>
      <c r="D562" s="342">
        <v>1</v>
      </c>
      <c r="E562" s="342">
        <v>0</v>
      </c>
      <c r="F562" s="342" t="s">
        <v>9622</v>
      </c>
      <c r="G562" s="341" t="s">
        <v>1234</v>
      </c>
      <c r="H562" s="341" t="s">
        <v>6899</v>
      </c>
      <c r="I562" s="341" t="s">
        <v>4230</v>
      </c>
      <c r="J562" s="342">
        <v>0.7</v>
      </c>
      <c r="K562" s="342" t="s">
        <v>4230</v>
      </c>
      <c r="L562" s="342">
        <v>0</v>
      </c>
    </row>
    <row r="563" spans="1:12" x14ac:dyDescent="0.25">
      <c r="A563" s="341" t="s">
        <v>2420</v>
      </c>
      <c r="B563" s="341" t="s">
        <v>2420</v>
      </c>
      <c r="C563" s="341" t="s">
        <v>2420</v>
      </c>
      <c r="D563" s="342">
        <v>0</v>
      </c>
      <c r="E563" s="342" t="s">
        <v>2420</v>
      </c>
      <c r="F563" s="342" t="s">
        <v>9622</v>
      </c>
      <c r="G563" s="341" t="s">
        <v>1235</v>
      </c>
      <c r="H563" s="341" t="s">
        <v>6900</v>
      </c>
      <c r="I563" s="341" t="s">
        <v>4230</v>
      </c>
      <c r="J563" s="342">
        <v>0.7</v>
      </c>
      <c r="K563" s="342" t="s">
        <v>4230</v>
      </c>
      <c r="L563" s="342">
        <v>0</v>
      </c>
    </row>
    <row r="564" spans="1:12" x14ac:dyDescent="0.25">
      <c r="A564" s="341" t="s">
        <v>2420</v>
      </c>
      <c r="B564" s="341" t="s">
        <v>2420</v>
      </c>
      <c r="C564" s="341" t="s">
        <v>2420</v>
      </c>
      <c r="D564" s="342">
        <v>0</v>
      </c>
      <c r="E564" s="342" t="s">
        <v>2420</v>
      </c>
      <c r="F564" s="342" t="s">
        <v>9622</v>
      </c>
      <c r="G564" s="341" t="s">
        <v>1286</v>
      </c>
      <c r="H564" s="341" t="s">
        <v>9863</v>
      </c>
      <c r="I564" s="341" t="s">
        <v>2557</v>
      </c>
      <c r="J564" s="342">
        <v>11.33</v>
      </c>
      <c r="K564" s="342" t="s">
        <v>25</v>
      </c>
      <c r="L564" s="342">
        <v>0</v>
      </c>
    </row>
    <row r="565" spans="1:12" x14ac:dyDescent="0.25">
      <c r="A565" s="341" t="s">
        <v>2420</v>
      </c>
      <c r="B565" s="341" t="s">
        <v>2420</v>
      </c>
      <c r="C565" s="341" t="s">
        <v>2420</v>
      </c>
      <c r="D565" s="342">
        <v>0</v>
      </c>
      <c r="E565" s="342" t="s">
        <v>2420</v>
      </c>
      <c r="F565" s="342" t="s">
        <v>9622</v>
      </c>
      <c r="G565" s="341" t="s">
        <v>1465</v>
      </c>
      <c r="H565" s="341" t="s">
        <v>9935</v>
      </c>
      <c r="I565" s="341" t="s">
        <v>11</v>
      </c>
      <c r="J565" s="342">
        <v>18</v>
      </c>
      <c r="K565" s="342" t="s">
        <v>25</v>
      </c>
      <c r="L565" s="342">
        <v>0</v>
      </c>
    </row>
    <row r="566" spans="1:12" x14ac:dyDescent="0.25">
      <c r="A566" s="341" t="s">
        <v>2420</v>
      </c>
      <c r="B566" s="341" t="s">
        <v>2420</v>
      </c>
      <c r="C566" s="341" t="s">
        <v>2420</v>
      </c>
      <c r="D566" s="342">
        <v>0</v>
      </c>
      <c r="E566" s="342" t="s">
        <v>2420</v>
      </c>
      <c r="F566" s="342" t="s">
        <v>9622</v>
      </c>
      <c r="G566" s="341" t="s">
        <v>1857</v>
      </c>
      <c r="H566" s="341" t="s">
        <v>7984</v>
      </c>
      <c r="I566" s="341" t="s">
        <v>16</v>
      </c>
      <c r="J566" s="342">
        <v>1</v>
      </c>
      <c r="K566" s="342" t="s">
        <v>9623</v>
      </c>
      <c r="L566" s="342">
        <v>0</v>
      </c>
    </row>
    <row r="567" spans="1:12" x14ac:dyDescent="0.25">
      <c r="A567" s="341" t="s">
        <v>2420</v>
      </c>
      <c r="B567" s="341" t="s">
        <v>2420</v>
      </c>
      <c r="C567" s="341" t="s">
        <v>2420</v>
      </c>
      <c r="D567" s="342">
        <v>0</v>
      </c>
      <c r="E567" s="342" t="s">
        <v>2420</v>
      </c>
      <c r="F567" s="342" t="s">
        <v>9624</v>
      </c>
      <c r="G567" s="341" t="s">
        <v>9643</v>
      </c>
      <c r="H567" s="341" t="s">
        <v>9787</v>
      </c>
      <c r="I567" s="341" t="s">
        <v>16</v>
      </c>
      <c r="J567" s="342">
        <v>1</v>
      </c>
      <c r="K567" s="342" t="s">
        <v>2420</v>
      </c>
      <c r="L567" s="342">
        <v>0</v>
      </c>
    </row>
    <row r="568" spans="1:12" x14ac:dyDescent="0.25">
      <c r="A568" s="341" t="s">
        <v>152</v>
      </c>
      <c r="B568" s="341" t="s">
        <v>9936</v>
      </c>
      <c r="C568" s="341" t="s">
        <v>16</v>
      </c>
      <c r="D568" s="342">
        <v>1</v>
      </c>
      <c r="E568" s="342">
        <v>0</v>
      </c>
      <c r="F568" s="342" t="s">
        <v>9622</v>
      </c>
      <c r="G568" s="341" t="s">
        <v>1234</v>
      </c>
      <c r="H568" s="341" t="s">
        <v>6899</v>
      </c>
      <c r="I568" s="341" t="s">
        <v>4230</v>
      </c>
      <c r="J568" s="342">
        <v>0.7</v>
      </c>
      <c r="K568" s="342" t="s">
        <v>4230</v>
      </c>
      <c r="L568" s="342">
        <v>0</v>
      </c>
    </row>
    <row r="569" spans="1:12" x14ac:dyDescent="0.25">
      <c r="A569" s="341" t="s">
        <v>2420</v>
      </c>
      <c r="B569" s="341" t="s">
        <v>2420</v>
      </c>
      <c r="C569" s="341" t="s">
        <v>2420</v>
      </c>
      <c r="D569" s="342">
        <v>0</v>
      </c>
      <c r="E569" s="342" t="s">
        <v>2420</v>
      </c>
      <c r="F569" s="342" t="s">
        <v>9622</v>
      </c>
      <c r="G569" s="341" t="s">
        <v>1235</v>
      </c>
      <c r="H569" s="341" t="s">
        <v>6900</v>
      </c>
      <c r="I569" s="341" t="s">
        <v>4230</v>
      </c>
      <c r="J569" s="342">
        <v>0.7</v>
      </c>
      <c r="K569" s="342" t="s">
        <v>4230</v>
      </c>
      <c r="L569" s="342">
        <v>0</v>
      </c>
    </row>
    <row r="570" spans="1:12" x14ac:dyDescent="0.25">
      <c r="A570" s="341" t="s">
        <v>2420</v>
      </c>
      <c r="B570" s="341" t="s">
        <v>2420</v>
      </c>
      <c r="C570" s="341" t="s">
        <v>2420</v>
      </c>
      <c r="D570" s="342">
        <v>0</v>
      </c>
      <c r="E570" s="342" t="s">
        <v>2420</v>
      </c>
      <c r="F570" s="342" t="s">
        <v>9622</v>
      </c>
      <c r="G570" s="341" t="s">
        <v>1286</v>
      </c>
      <c r="H570" s="341" t="s">
        <v>9863</v>
      </c>
      <c r="I570" s="341" t="s">
        <v>2557</v>
      </c>
      <c r="J570" s="342">
        <v>17</v>
      </c>
      <c r="K570" s="342" t="s">
        <v>25</v>
      </c>
      <c r="L570" s="342">
        <v>0</v>
      </c>
    </row>
    <row r="571" spans="1:12" x14ac:dyDescent="0.25">
      <c r="A571" s="341" t="s">
        <v>2420</v>
      </c>
      <c r="B571" s="341" t="s">
        <v>2420</v>
      </c>
      <c r="C571" s="341" t="s">
        <v>2420</v>
      </c>
      <c r="D571" s="342">
        <v>0</v>
      </c>
      <c r="E571" s="342" t="s">
        <v>2420</v>
      </c>
      <c r="F571" s="342" t="s">
        <v>9622</v>
      </c>
      <c r="G571" s="341" t="s">
        <v>1466</v>
      </c>
      <c r="H571" s="341" t="s">
        <v>9937</v>
      </c>
      <c r="I571" s="341" t="s">
        <v>11</v>
      </c>
      <c r="J571" s="342">
        <v>18</v>
      </c>
      <c r="K571" s="342" t="s">
        <v>25</v>
      </c>
      <c r="L571" s="342">
        <v>0</v>
      </c>
    </row>
    <row r="572" spans="1:12" x14ac:dyDescent="0.25">
      <c r="A572" s="341" t="s">
        <v>2420</v>
      </c>
      <c r="B572" s="341" t="s">
        <v>2420</v>
      </c>
      <c r="C572" s="341" t="s">
        <v>2420</v>
      </c>
      <c r="D572" s="342">
        <v>0</v>
      </c>
      <c r="E572" s="342" t="s">
        <v>2420</v>
      </c>
      <c r="F572" s="342" t="s">
        <v>9622</v>
      </c>
      <c r="G572" s="341" t="s">
        <v>1858</v>
      </c>
      <c r="H572" s="341" t="s">
        <v>7985</v>
      </c>
      <c r="I572" s="341" t="s">
        <v>16</v>
      </c>
      <c r="J572" s="342">
        <v>1</v>
      </c>
      <c r="K572" s="342" t="s">
        <v>9623</v>
      </c>
      <c r="L572" s="342">
        <v>0</v>
      </c>
    </row>
    <row r="573" spans="1:12" x14ac:dyDescent="0.25">
      <c r="A573" s="341" t="s">
        <v>2420</v>
      </c>
      <c r="B573" s="341" t="s">
        <v>2420</v>
      </c>
      <c r="C573" s="341" t="s">
        <v>2420</v>
      </c>
      <c r="D573" s="342">
        <v>0</v>
      </c>
      <c r="E573" s="342" t="s">
        <v>2420</v>
      </c>
      <c r="F573" s="342" t="s">
        <v>9624</v>
      </c>
      <c r="G573" s="341" t="s">
        <v>9643</v>
      </c>
      <c r="H573" s="341" t="s">
        <v>9787</v>
      </c>
      <c r="I573" s="341" t="s">
        <v>16</v>
      </c>
      <c r="J573" s="342">
        <v>1</v>
      </c>
      <c r="K573" s="342" t="s">
        <v>2420</v>
      </c>
      <c r="L573" s="342">
        <v>0</v>
      </c>
    </row>
    <row r="574" spans="1:12" x14ac:dyDescent="0.25">
      <c r="A574" s="341" t="s">
        <v>272</v>
      </c>
      <c r="B574" s="341" t="s">
        <v>9938</v>
      </c>
      <c r="C574" s="341" t="s">
        <v>16</v>
      </c>
      <c r="D574" s="342">
        <v>1</v>
      </c>
      <c r="E574" s="342">
        <v>0</v>
      </c>
      <c r="F574" s="342" t="s">
        <v>9624</v>
      </c>
      <c r="G574" s="341" t="s">
        <v>9939</v>
      </c>
      <c r="H574" s="341" t="s">
        <v>9940</v>
      </c>
      <c r="I574" s="341" t="s">
        <v>52</v>
      </c>
      <c r="J574" s="342">
        <v>2.8333000000000001E-2</v>
      </c>
      <c r="K574" s="342" t="s">
        <v>2420</v>
      </c>
      <c r="L574" s="342">
        <v>0</v>
      </c>
    </row>
    <row r="575" spans="1:12" x14ac:dyDescent="0.25">
      <c r="A575" s="341" t="s">
        <v>2420</v>
      </c>
      <c r="B575" s="341" t="s">
        <v>2420</v>
      </c>
      <c r="C575" s="341" t="s">
        <v>2420</v>
      </c>
      <c r="D575" s="342">
        <v>0</v>
      </c>
      <c r="E575" s="342" t="s">
        <v>2420</v>
      </c>
      <c r="F575" s="342" t="s">
        <v>9624</v>
      </c>
      <c r="G575" s="341" t="s">
        <v>151</v>
      </c>
      <c r="H575" s="341" t="s">
        <v>9934</v>
      </c>
      <c r="I575" s="341" t="s">
        <v>16</v>
      </c>
      <c r="J575" s="342">
        <v>1</v>
      </c>
      <c r="K575" s="342" t="s">
        <v>2420</v>
      </c>
      <c r="L575" s="342">
        <v>0</v>
      </c>
    </row>
    <row r="576" spans="1:12" x14ac:dyDescent="0.25">
      <c r="A576" s="341" t="s">
        <v>217</v>
      </c>
      <c r="B576" s="341" t="s">
        <v>9941</v>
      </c>
      <c r="C576" s="341" t="s">
        <v>16</v>
      </c>
      <c r="D576" s="342">
        <v>1</v>
      </c>
      <c r="E576" s="342">
        <v>0</v>
      </c>
      <c r="F576" s="342" t="s">
        <v>9624</v>
      </c>
      <c r="G576" s="341" t="s">
        <v>9939</v>
      </c>
      <c r="H576" s="341" t="s">
        <v>9940</v>
      </c>
      <c r="I576" s="341" t="s">
        <v>52</v>
      </c>
      <c r="J576" s="342">
        <v>4.2500000000000003E-2</v>
      </c>
      <c r="K576" s="342" t="s">
        <v>2420</v>
      </c>
      <c r="L576" s="342">
        <v>0</v>
      </c>
    </row>
    <row r="577" spans="1:12" x14ac:dyDescent="0.25">
      <c r="A577" s="341" t="s">
        <v>2420</v>
      </c>
      <c r="B577" s="341" t="s">
        <v>2420</v>
      </c>
      <c r="C577" s="341" t="s">
        <v>2420</v>
      </c>
      <c r="D577" s="342">
        <v>0</v>
      </c>
      <c r="E577" s="342" t="s">
        <v>2420</v>
      </c>
      <c r="F577" s="342" t="s">
        <v>9624</v>
      </c>
      <c r="G577" s="341" t="s">
        <v>152</v>
      </c>
      <c r="H577" s="341" t="s">
        <v>9936</v>
      </c>
      <c r="I577" s="341" t="s">
        <v>16</v>
      </c>
      <c r="J577" s="342">
        <v>1</v>
      </c>
      <c r="K577" s="342" t="s">
        <v>2420</v>
      </c>
      <c r="L577" s="342">
        <v>0</v>
      </c>
    </row>
    <row r="578" spans="1:12" x14ac:dyDescent="0.25">
      <c r="A578" s="341" t="s">
        <v>277</v>
      </c>
      <c r="B578" s="341" t="s">
        <v>9942</v>
      </c>
      <c r="C578" s="341" t="s">
        <v>25</v>
      </c>
      <c r="D578" s="342">
        <v>1</v>
      </c>
      <c r="E578" s="342">
        <v>0</v>
      </c>
      <c r="F578" s="342" t="s">
        <v>9622</v>
      </c>
      <c r="G578" s="341" t="s">
        <v>1234</v>
      </c>
      <c r="H578" s="341" t="s">
        <v>6899</v>
      </c>
      <c r="I578" s="341" t="s">
        <v>4230</v>
      </c>
      <c r="J578" s="342">
        <v>0.3</v>
      </c>
      <c r="K578" s="342" t="s">
        <v>4230</v>
      </c>
      <c r="L578" s="342">
        <v>0</v>
      </c>
    </row>
    <row r="579" spans="1:12" x14ac:dyDescent="0.25">
      <c r="A579" s="341" t="s">
        <v>2420</v>
      </c>
      <c r="B579" s="341" t="s">
        <v>2420</v>
      </c>
      <c r="C579" s="341" t="s">
        <v>2420</v>
      </c>
      <c r="D579" s="342">
        <v>0</v>
      </c>
      <c r="E579" s="342" t="s">
        <v>2420</v>
      </c>
      <c r="F579" s="342" t="s">
        <v>9622</v>
      </c>
      <c r="G579" s="341" t="s">
        <v>1235</v>
      </c>
      <c r="H579" s="341" t="s">
        <v>6900</v>
      </c>
      <c r="I579" s="341" t="s">
        <v>4230</v>
      </c>
      <c r="J579" s="342">
        <v>0.3</v>
      </c>
      <c r="K579" s="342" t="s">
        <v>4230</v>
      </c>
      <c r="L579" s="342">
        <v>0</v>
      </c>
    </row>
    <row r="580" spans="1:12" x14ac:dyDescent="0.25">
      <c r="A580" s="341" t="s">
        <v>2420</v>
      </c>
      <c r="B580" s="341" t="s">
        <v>2420</v>
      </c>
      <c r="C580" s="341" t="s">
        <v>2420</v>
      </c>
      <c r="D580" s="342">
        <v>0</v>
      </c>
      <c r="E580" s="342" t="s">
        <v>2420</v>
      </c>
      <c r="F580" s="342" t="s">
        <v>9622</v>
      </c>
      <c r="G580" s="341" t="s">
        <v>1376</v>
      </c>
      <c r="H580" s="341" t="s">
        <v>7094</v>
      </c>
      <c r="I580" s="341" t="s">
        <v>2557</v>
      </c>
      <c r="J580" s="342">
        <v>7.2</v>
      </c>
      <c r="K580" s="342" t="s">
        <v>25</v>
      </c>
      <c r="L580" s="342">
        <v>0</v>
      </c>
    </row>
    <row r="581" spans="1:12" x14ac:dyDescent="0.25">
      <c r="A581" s="341" t="s">
        <v>2420</v>
      </c>
      <c r="B581" s="341" t="s">
        <v>2420</v>
      </c>
      <c r="C581" s="341" t="s">
        <v>2420</v>
      </c>
      <c r="D581" s="342">
        <v>0</v>
      </c>
      <c r="E581" s="342" t="s">
        <v>2420</v>
      </c>
      <c r="F581" s="342" t="s">
        <v>9622</v>
      </c>
      <c r="G581" s="341" t="s">
        <v>2001</v>
      </c>
      <c r="H581" s="341" t="s">
        <v>8297</v>
      </c>
      <c r="I581" s="341" t="s">
        <v>25</v>
      </c>
      <c r="J581" s="342">
        <v>1</v>
      </c>
      <c r="K581" s="342" t="s">
        <v>9623</v>
      </c>
      <c r="L581" s="342">
        <v>0</v>
      </c>
    </row>
    <row r="582" spans="1:12" x14ac:dyDescent="0.25">
      <c r="A582" s="341" t="s">
        <v>278</v>
      </c>
      <c r="B582" s="341" t="s">
        <v>9943</v>
      </c>
      <c r="C582" s="341" t="s">
        <v>25</v>
      </c>
      <c r="D582" s="342">
        <v>1</v>
      </c>
      <c r="E582" s="342">
        <v>0</v>
      </c>
      <c r="F582" s="342" t="s">
        <v>9622</v>
      </c>
      <c r="G582" s="341" t="s">
        <v>1234</v>
      </c>
      <c r="H582" s="341" t="s">
        <v>6899</v>
      </c>
      <c r="I582" s="341" t="s">
        <v>4230</v>
      </c>
      <c r="J582" s="342">
        <v>0.3</v>
      </c>
      <c r="K582" s="342" t="s">
        <v>4230</v>
      </c>
      <c r="L582" s="342">
        <v>0</v>
      </c>
    </row>
    <row r="583" spans="1:12" x14ac:dyDescent="0.25">
      <c r="A583" s="341" t="s">
        <v>2420</v>
      </c>
      <c r="B583" s="341" t="s">
        <v>2420</v>
      </c>
      <c r="C583" s="341" t="s">
        <v>2420</v>
      </c>
      <c r="D583" s="342">
        <v>0</v>
      </c>
      <c r="E583" s="342" t="s">
        <v>2420</v>
      </c>
      <c r="F583" s="342" t="s">
        <v>9622</v>
      </c>
      <c r="G583" s="341" t="s">
        <v>1235</v>
      </c>
      <c r="H583" s="341" t="s">
        <v>6900</v>
      </c>
      <c r="I583" s="341" t="s">
        <v>4230</v>
      </c>
      <c r="J583" s="342">
        <v>0.3</v>
      </c>
      <c r="K583" s="342" t="s">
        <v>4230</v>
      </c>
      <c r="L583" s="342">
        <v>0</v>
      </c>
    </row>
    <row r="584" spans="1:12" x14ac:dyDescent="0.25">
      <c r="A584" s="341" t="s">
        <v>2420</v>
      </c>
      <c r="B584" s="341" t="s">
        <v>2420</v>
      </c>
      <c r="C584" s="341" t="s">
        <v>2420</v>
      </c>
      <c r="D584" s="342">
        <v>0</v>
      </c>
      <c r="E584" s="342" t="s">
        <v>2420</v>
      </c>
      <c r="F584" s="342" t="s">
        <v>9622</v>
      </c>
      <c r="G584" s="341" t="s">
        <v>1376</v>
      </c>
      <c r="H584" s="341" t="s">
        <v>7094</v>
      </c>
      <c r="I584" s="341" t="s">
        <v>2557</v>
      </c>
      <c r="J584" s="342">
        <v>11.2</v>
      </c>
      <c r="K584" s="342" t="s">
        <v>25</v>
      </c>
      <c r="L584" s="342">
        <v>0</v>
      </c>
    </row>
    <row r="585" spans="1:12" x14ac:dyDescent="0.25">
      <c r="A585" s="341" t="s">
        <v>2420</v>
      </c>
      <c r="B585" s="341" t="s">
        <v>2420</v>
      </c>
      <c r="C585" s="341" t="s">
        <v>2420</v>
      </c>
      <c r="D585" s="342">
        <v>0</v>
      </c>
      <c r="E585" s="342" t="s">
        <v>2420</v>
      </c>
      <c r="F585" s="342" t="s">
        <v>9622</v>
      </c>
      <c r="G585" s="341" t="s">
        <v>2001</v>
      </c>
      <c r="H585" s="341" t="s">
        <v>8297</v>
      </c>
      <c r="I585" s="341" t="s">
        <v>25</v>
      </c>
      <c r="J585" s="342">
        <v>1</v>
      </c>
      <c r="K585" s="342" t="s">
        <v>9623</v>
      </c>
      <c r="L585" s="342">
        <v>0</v>
      </c>
    </row>
    <row r="586" spans="1:12" x14ac:dyDescent="0.25">
      <c r="A586" s="341" t="s">
        <v>9725</v>
      </c>
      <c r="B586" s="341" t="s">
        <v>9726</v>
      </c>
      <c r="C586" s="341" t="s">
        <v>52</v>
      </c>
      <c r="D586" s="342">
        <v>1</v>
      </c>
      <c r="E586" s="342">
        <v>0</v>
      </c>
      <c r="F586" s="342" t="s">
        <v>9622</v>
      </c>
      <c r="G586" s="341" t="s">
        <v>1204</v>
      </c>
      <c r="H586" s="341" t="s">
        <v>6854</v>
      </c>
      <c r="I586" s="341" t="s">
        <v>4230</v>
      </c>
      <c r="J586" s="342">
        <v>0.51</v>
      </c>
      <c r="K586" s="342" t="s">
        <v>4230</v>
      </c>
      <c r="L586" s="342">
        <v>0</v>
      </c>
    </row>
    <row r="587" spans="1:12" x14ac:dyDescent="0.25">
      <c r="A587" s="341" t="s">
        <v>2420</v>
      </c>
      <c r="B587" s="341" t="s">
        <v>2420</v>
      </c>
      <c r="C587" s="341" t="s">
        <v>2420</v>
      </c>
      <c r="D587" s="342">
        <v>0</v>
      </c>
      <c r="E587" s="342" t="s">
        <v>2420</v>
      </c>
      <c r="F587" s="342" t="s">
        <v>9622</v>
      </c>
      <c r="G587" s="341" t="s">
        <v>1210</v>
      </c>
      <c r="H587" s="341" t="s">
        <v>6855</v>
      </c>
      <c r="I587" s="341" t="s">
        <v>4230</v>
      </c>
      <c r="J587" s="342">
        <v>2.0299999999999998</v>
      </c>
      <c r="K587" s="342" t="s">
        <v>4230</v>
      </c>
      <c r="L587" s="342">
        <v>0</v>
      </c>
    </row>
    <row r="588" spans="1:12" x14ac:dyDescent="0.25">
      <c r="A588" s="341" t="s">
        <v>279</v>
      </c>
      <c r="B588" s="341" t="s">
        <v>9944</v>
      </c>
      <c r="C588" s="341" t="s">
        <v>25</v>
      </c>
      <c r="D588" s="342">
        <v>1</v>
      </c>
      <c r="E588" s="342">
        <v>0</v>
      </c>
      <c r="F588" s="342" t="s">
        <v>9622</v>
      </c>
      <c r="G588" s="341" t="s">
        <v>1234</v>
      </c>
      <c r="H588" s="341" t="s">
        <v>6899</v>
      </c>
      <c r="I588" s="341" t="s">
        <v>4230</v>
      </c>
      <c r="J588" s="342">
        <v>0.3</v>
      </c>
      <c r="K588" s="342" t="s">
        <v>4230</v>
      </c>
      <c r="L588" s="342">
        <v>0</v>
      </c>
    </row>
    <row r="589" spans="1:12" x14ac:dyDescent="0.25">
      <c r="A589" s="341" t="s">
        <v>2420</v>
      </c>
      <c r="B589" s="341" t="s">
        <v>2420</v>
      </c>
      <c r="C589" s="341" t="s">
        <v>2420</v>
      </c>
      <c r="D589" s="342">
        <v>0</v>
      </c>
      <c r="E589" s="342" t="s">
        <v>2420</v>
      </c>
      <c r="F589" s="342" t="s">
        <v>9622</v>
      </c>
      <c r="G589" s="341" t="s">
        <v>1235</v>
      </c>
      <c r="H589" s="341" t="s">
        <v>6900</v>
      </c>
      <c r="I589" s="341" t="s">
        <v>4230</v>
      </c>
      <c r="J589" s="342">
        <v>0.3</v>
      </c>
      <c r="K589" s="342" t="s">
        <v>4230</v>
      </c>
      <c r="L589" s="342">
        <v>0</v>
      </c>
    </row>
    <row r="590" spans="1:12" x14ac:dyDescent="0.25">
      <c r="A590" s="341" t="s">
        <v>2420</v>
      </c>
      <c r="B590" s="341" t="s">
        <v>2420</v>
      </c>
      <c r="C590" s="341" t="s">
        <v>2420</v>
      </c>
      <c r="D590" s="342">
        <v>0</v>
      </c>
      <c r="E590" s="342" t="s">
        <v>2420</v>
      </c>
      <c r="F590" s="342" t="s">
        <v>9622</v>
      </c>
      <c r="G590" s="341" t="s">
        <v>1376</v>
      </c>
      <c r="H590" s="341" t="s">
        <v>7094</v>
      </c>
      <c r="I590" s="341" t="s">
        <v>2557</v>
      </c>
      <c r="J590" s="342">
        <v>15.2</v>
      </c>
      <c r="K590" s="342" t="s">
        <v>25</v>
      </c>
      <c r="L590" s="342">
        <v>0</v>
      </c>
    </row>
    <row r="591" spans="1:12" x14ac:dyDescent="0.25">
      <c r="A591" s="341" t="s">
        <v>2420</v>
      </c>
      <c r="B591" s="341" t="s">
        <v>2420</v>
      </c>
      <c r="C591" s="341" t="s">
        <v>2420</v>
      </c>
      <c r="D591" s="342">
        <v>0</v>
      </c>
      <c r="E591" s="342" t="s">
        <v>2420</v>
      </c>
      <c r="F591" s="342" t="s">
        <v>9622</v>
      </c>
      <c r="G591" s="341" t="s">
        <v>2001</v>
      </c>
      <c r="H591" s="341" t="s">
        <v>8297</v>
      </c>
      <c r="I591" s="341" t="s">
        <v>25</v>
      </c>
      <c r="J591" s="342">
        <v>1</v>
      </c>
      <c r="K591" s="342" t="s">
        <v>9623</v>
      </c>
      <c r="L591" s="342">
        <v>0</v>
      </c>
    </row>
    <row r="592" spans="1:12" x14ac:dyDescent="0.25">
      <c r="A592" s="341" t="s">
        <v>271</v>
      </c>
      <c r="B592" s="341" t="s">
        <v>9945</v>
      </c>
      <c r="C592" s="341" t="s">
        <v>16</v>
      </c>
      <c r="D592" s="342">
        <v>1</v>
      </c>
      <c r="E592" s="342">
        <v>0</v>
      </c>
      <c r="F592" s="342" t="s">
        <v>9622</v>
      </c>
      <c r="G592" s="341" t="s">
        <v>1234</v>
      </c>
      <c r="H592" s="341" t="s">
        <v>6899</v>
      </c>
      <c r="I592" s="341" t="s">
        <v>4230</v>
      </c>
      <c r="J592" s="342">
        <v>0.7</v>
      </c>
      <c r="K592" s="342" t="s">
        <v>4230</v>
      </c>
      <c r="L592" s="342">
        <v>0</v>
      </c>
    </row>
    <row r="593" spans="1:12" x14ac:dyDescent="0.25">
      <c r="A593" s="341" t="s">
        <v>2420</v>
      </c>
      <c r="B593" s="341" t="s">
        <v>2420</v>
      </c>
      <c r="C593" s="341" t="s">
        <v>2420</v>
      </c>
      <c r="D593" s="342">
        <v>0</v>
      </c>
      <c r="E593" s="342" t="s">
        <v>2420</v>
      </c>
      <c r="F593" s="342" t="s">
        <v>9622</v>
      </c>
      <c r="G593" s="341" t="s">
        <v>1235</v>
      </c>
      <c r="H593" s="341" t="s">
        <v>6900</v>
      </c>
      <c r="I593" s="341" t="s">
        <v>4230</v>
      </c>
      <c r="J593" s="342">
        <v>0.7</v>
      </c>
      <c r="K593" s="342" t="s">
        <v>4230</v>
      </c>
      <c r="L593" s="342">
        <v>0</v>
      </c>
    </row>
    <row r="594" spans="1:12" x14ac:dyDescent="0.25">
      <c r="A594" s="341" t="s">
        <v>2420</v>
      </c>
      <c r="B594" s="341" t="s">
        <v>2420</v>
      </c>
      <c r="C594" s="341" t="s">
        <v>2420</v>
      </c>
      <c r="D594" s="342">
        <v>0</v>
      </c>
      <c r="E594" s="342" t="s">
        <v>2420</v>
      </c>
      <c r="F594" s="342" t="s">
        <v>9622</v>
      </c>
      <c r="G594" s="341" t="s">
        <v>1286</v>
      </c>
      <c r="H594" s="341" t="s">
        <v>9863</v>
      </c>
      <c r="I594" s="341" t="s">
        <v>2557</v>
      </c>
      <c r="J594" s="342">
        <v>22.67</v>
      </c>
      <c r="K594" s="342" t="s">
        <v>25</v>
      </c>
      <c r="L594" s="342">
        <v>0</v>
      </c>
    </row>
    <row r="595" spans="1:12" x14ac:dyDescent="0.25">
      <c r="A595" s="341" t="s">
        <v>2420</v>
      </c>
      <c r="B595" s="341" t="s">
        <v>2420</v>
      </c>
      <c r="C595" s="341" t="s">
        <v>2420</v>
      </c>
      <c r="D595" s="342">
        <v>0</v>
      </c>
      <c r="E595" s="342" t="s">
        <v>2420</v>
      </c>
      <c r="F595" s="342" t="s">
        <v>9622</v>
      </c>
      <c r="G595" s="341" t="s">
        <v>1485</v>
      </c>
      <c r="H595" s="341" t="s">
        <v>9946</v>
      </c>
      <c r="I595" s="341" t="s">
        <v>11</v>
      </c>
      <c r="J595" s="342">
        <v>18</v>
      </c>
      <c r="K595" s="342" t="s">
        <v>25</v>
      </c>
      <c r="L595" s="342">
        <v>0</v>
      </c>
    </row>
    <row r="596" spans="1:12" x14ac:dyDescent="0.25">
      <c r="A596" s="341" t="s">
        <v>2420</v>
      </c>
      <c r="B596" s="341" t="s">
        <v>2420</v>
      </c>
      <c r="C596" s="341" t="s">
        <v>2420</v>
      </c>
      <c r="D596" s="342">
        <v>0</v>
      </c>
      <c r="E596" s="342" t="s">
        <v>2420</v>
      </c>
      <c r="F596" s="342" t="s">
        <v>9622</v>
      </c>
      <c r="G596" s="341" t="s">
        <v>1859</v>
      </c>
      <c r="H596" s="341" t="s">
        <v>7986</v>
      </c>
      <c r="I596" s="341" t="s">
        <v>16</v>
      </c>
      <c r="J596" s="342">
        <v>1</v>
      </c>
      <c r="K596" s="342" t="s">
        <v>9623</v>
      </c>
      <c r="L596" s="342">
        <v>0</v>
      </c>
    </row>
    <row r="597" spans="1:12" x14ac:dyDescent="0.25">
      <c r="A597" s="341" t="s">
        <v>2420</v>
      </c>
      <c r="B597" s="341" t="s">
        <v>2420</v>
      </c>
      <c r="C597" s="341" t="s">
        <v>2420</v>
      </c>
      <c r="D597" s="342">
        <v>0</v>
      </c>
      <c r="E597" s="342" t="s">
        <v>2420</v>
      </c>
      <c r="F597" s="342" t="s">
        <v>9624</v>
      </c>
      <c r="G597" s="341" t="s">
        <v>9643</v>
      </c>
      <c r="H597" s="341" t="s">
        <v>9787</v>
      </c>
      <c r="I597" s="341" t="s">
        <v>16</v>
      </c>
      <c r="J597" s="342">
        <v>1</v>
      </c>
      <c r="K597" s="342" t="s">
        <v>2420</v>
      </c>
      <c r="L597" s="342">
        <v>0</v>
      </c>
    </row>
    <row r="598" spans="1:12" x14ac:dyDescent="0.25">
      <c r="A598" s="341" t="s">
        <v>383</v>
      </c>
      <c r="B598" s="341" t="s">
        <v>9904</v>
      </c>
      <c r="C598" s="341" t="s">
        <v>25</v>
      </c>
      <c r="D598" s="342">
        <v>1</v>
      </c>
      <c r="E598" s="342">
        <v>0</v>
      </c>
      <c r="F598" s="342" t="s">
        <v>9622</v>
      </c>
      <c r="G598" s="341" t="s">
        <v>1234</v>
      </c>
      <c r="H598" s="341" t="s">
        <v>6899</v>
      </c>
      <c r="I598" s="341" t="s">
        <v>4230</v>
      </c>
      <c r="J598" s="342">
        <v>0.49</v>
      </c>
      <c r="K598" s="342" t="s">
        <v>4230</v>
      </c>
      <c r="L598" s="342">
        <v>0</v>
      </c>
    </row>
    <row r="599" spans="1:12" x14ac:dyDescent="0.25">
      <c r="A599" s="341" t="s">
        <v>2420</v>
      </c>
      <c r="B599" s="341" t="s">
        <v>2420</v>
      </c>
      <c r="C599" s="341" t="s">
        <v>2420</v>
      </c>
      <c r="D599" s="342">
        <v>0</v>
      </c>
      <c r="E599" s="342" t="s">
        <v>2420</v>
      </c>
      <c r="F599" s="342" t="s">
        <v>9622</v>
      </c>
      <c r="G599" s="341" t="s">
        <v>1235</v>
      </c>
      <c r="H599" s="341" t="s">
        <v>6900</v>
      </c>
      <c r="I599" s="341" t="s">
        <v>4230</v>
      </c>
      <c r="J599" s="342">
        <v>0.49</v>
      </c>
      <c r="K599" s="342" t="s">
        <v>4230</v>
      </c>
      <c r="L599" s="342">
        <v>0</v>
      </c>
    </row>
    <row r="600" spans="1:12" x14ac:dyDescent="0.25">
      <c r="A600" s="341" t="s">
        <v>2420</v>
      </c>
      <c r="B600" s="341" t="s">
        <v>2420</v>
      </c>
      <c r="C600" s="341" t="s">
        <v>2420</v>
      </c>
      <c r="D600" s="342">
        <v>0</v>
      </c>
      <c r="E600" s="342" t="s">
        <v>2420</v>
      </c>
      <c r="F600" s="342" t="s">
        <v>9622</v>
      </c>
      <c r="G600" s="341" t="s">
        <v>1473</v>
      </c>
      <c r="H600" s="341" t="s">
        <v>7213</v>
      </c>
      <c r="I600" s="341" t="s">
        <v>2557</v>
      </c>
      <c r="J600" s="342">
        <v>0.06</v>
      </c>
      <c r="K600" s="342" t="s">
        <v>25</v>
      </c>
      <c r="L600" s="342">
        <v>0</v>
      </c>
    </row>
    <row r="601" spans="1:12" x14ac:dyDescent="0.25">
      <c r="A601" s="341" t="s">
        <v>2420</v>
      </c>
      <c r="B601" s="341" t="s">
        <v>2420</v>
      </c>
      <c r="C601" s="341" t="s">
        <v>2420</v>
      </c>
      <c r="D601" s="342">
        <v>0</v>
      </c>
      <c r="E601" s="342" t="s">
        <v>2420</v>
      </c>
      <c r="F601" s="342" t="s">
        <v>9622</v>
      </c>
      <c r="G601" s="341" t="s">
        <v>1573</v>
      </c>
      <c r="H601" s="341" t="s">
        <v>7300</v>
      </c>
      <c r="I601" s="341" t="s">
        <v>25</v>
      </c>
      <c r="J601" s="342">
        <v>1.05</v>
      </c>
      <c r="K601" s="342" t="s">
        <v>25</v>
      </c>
      <c r="L601" s="342">
        <v>0</v>
      </c>
    </row>
    <row r="602" spans="1:12" x14ac:dyDescent="0.25">
      <c r="A602" s="341" t="s">
        <v>2420</v>
      </c>
      <c r="B602" s="341" t="s">
        <v>2420</v>
      </c>
      <c r="C602" s="341" t="s">
        <v>2420</v>
      </c>
      <c r="D602" s="342">
        <v>0</v>
      </c>
      <c r="E602" s="342" t="s">
        <v>2420</v>
      </c>
      <c r="F602" s="342" t="s">
        <v>9622</v>
      </c>
      <c r="G602" s="341" t="s">
        <v>1621</v>
      </c>
      <c r="H602" s="341" t="s">
        <v>7341</v>
      </c>
      <c r="I602" s="341" t="s">
        <v>2557</v>
      </c>
      <c r="J602" s="342">
        <v>0.6</v>
      </c>
      <c r="K602" s="342" t="s">
        <v>25</v>
      </c>
      <c r="L602" s="342">
        <v>0</v>
      </c>
    </row>
    <row r="603" spans="1:12" x14ac:dyDescent="0.25">
      <c r="A603" s="341" t="s">
        <v>2420</v>
      </c>
      <c r="B603" s="341" t="s">
        <v>2420</v>
      </c>
      <c r="C603" s="341" t="s">
        <v>2420</v>
      </c>
      <c r="D603" s="342">
        <v>0</v>
      </c>
      <c r="E603" s="342" t="s">
        <v>2420</v>
      </c>
      <c r="F603" s="342" t="s">
        <v>9622</v>
      </c>
      <c r="G603" s="341" t="s">
        <v>1867</v>
      </c>
      <c r="H603" s="341" t="s">
        <v>7994</v>
      </c>
      <c r="I603" s="341" t="s">
        <v>25</v>
      </c>
      <c r="J603" s="342">
        <v>1</v>
      </c>
      <c r="K603" s="342" t="s">
        <v>9623</v>
      </c>
      <c r="L603" s="342">
        <v>0</v>
      </c>
    </row>
    <row r="604" spans="1:12" x14ac:dyDescent="0.25">
      <c r="A604" s="341" t="s">
        <v>2420</v>
      </c>
      <c r="B604" s="341" t="s">
        <v>2420</v>
      </c>
      <c r="C604" s="341" t="s">
        <v>2420</v>
      </c>
      <c r="D604" s="342">
        <v>0</v>
      </c>
      <c r="E604" s="342" t="s">
        <v>2420</v>
      </c>
      <c r="F604" s="342" t="s">
        <v>9622</v>
      </c>
      <c r="G604" s="341" t="s">
        <v>2038</v>
      </c>
      <c r="H604" s="341" t="s">
        <v>8372</v>
      </c>
      <c r="I604" s="341" t="s">
        <v>16</v>
      </c>
      <c r="J604" s="342">
        <v>0.5</v>
      </c>
      <c r="K604" s="342" t="s">
        <v>9623</v>
      </c>
      <c r="L604" s="342">
        <v>0</v>
      </c>
    </row>
    <row r="605" spans="1:12" x14ac:dyDescent="0.25">
      <c r="A605" s="341" t="s">
        <v>384</v>
      </c>
      <c r="B605" s="341" t="s">
        <v>9947</v>
      </c>
      <c r="C605" s="341" t="s">
        <v>25</v>
      </c>
      <c r="D605" s="342">
        <v>1</v>
      </c>
      <c r="E605" s="342">
        <v>0</v>
      </c>
      <c r="F605" s="342" t="s">
        <v>9622</v>
      </c>
      <c r="G605" s="341" t="s">
        <v>2038</v>
      </c>
      <c r="H605" s="341" t="s">
        <v>8372</v>
      </c>
      <c r="I605" s="341" t="s">
        <v>16</v>
      </c>
      <c r="J605" s="342">
        <v>0.5</v>
      </c>
      <c r="K605" s="342" t="s">
        <v>9623</v>
      </c>
      <c r="L605" s="342">
        <v>0</v>
      </c>
    </row>
    <row r="606" spans="1:12" x14ac:dyDescent="0.25">
      <c r="A606" s="341" t="s">
        <v>2420</v>
      </c>
      <c r="B606" s="341" t="s">
        <v>2420</v>
      </c>
      <c r="C606" s="341" t="s">
        <v>2420</v>
      </c>
      <c r="D606" s="342">
        <v>0</v>
      </c>
      <c r="E606" s="342" t="s">
        <v>2420</v>
      </c>
      <c r="F606" s="342" t="s">
        <v>9622</v>
      </c>
      <c r="G606" s="341" t="s">
        <v>1234</v>
      </c>
      <c r="H606" s="341" t="s">
        <v>6899</v>
      </c>
      <c r="I606" s="341" t="s">
        <v>4230</v>
      </c>
      <c r="J606" s="342">
        <v>0.49</v>
      </c>
      <c r="K606" s="342" t="s">
        <v>4230</v>
      </c>
      <c r="L606" s="342">
        <v>0</v>
      </c>
    </row>
    <row r="607" spans="1:12" x14ac:dyDescent="0.25">
      <c r="A607" s="341" t="s">
        <v>2420</v>
      </c>
      <c r="B607" s="341" t="s">
        <v>2420</v>
      </c>
      <c r="C607" s="341" t="s">
        <v>2420</v>
      </c>
      <c r="D607" s="342">
        <v>0</v>
      </c>
      <c r="E607" s="342" t="s">
        <v>2420</v>
      </c>
      <c r="F607" s="342" t="s">
        <v>9622</v>
      </c>
      <c r="G607" s="341" t="s">
        <v>1235</v>
      </c>
      <c r="H607" s="341" t="s">
        <v>6900</v>
      </c>
      <c r="I607" s="341" t="s">
        <v>4230</v>
      </c>
      <c r="J607" s="342">
        <v>0.49</v>
      </c>
      <c r="K607" s="342" t="s">
        <v>4230</v>
      </c>
      <c r="L607" s="342">
        <v>0</v>
      </c>
    </row>
    <row r="608" spans="1:12" x14ac:dyDescent="0.25">
      <c r="A608" s="341" t="s">
        <v>2420</v>
      </c>
      <c r="B608" s="341" t="s">
        <v>2420</v>
      </c>
      <c r="C608" s="341" t="s">
        <v>2420</v>
      </c>
      <c r="D608" s="342">
        <v>0</v>
      </c>
      <c r="E608" s="342" t="s">
        <v>2420</v>
      </c>
      <c r="F608" s="342" t="s">
        <v>9622</v>
      </c>
      <c r="G608" s="341" t="s">
        <v>1473</v>
      </c>
      <c r="H608" s="341" t="s">
        <v>7213</v>
      </c>
      <c r="I608" s="341" t="s">
        <v>2557</v>
      </c>
      <c r="J608" s="342">
        <v>0.06</v>
      </c>
      <c r="K608" s="342" t="s">
        <v>25</v>
      </c>
      <c r="L608" s="342">
        <v>0</v>
      </c>
    </row>
    <row r="609" spans="1:12" x14ac:dyDescent="0.25">
      <c r="A609" s="341" t="s">
        <v>2420</v>
      </c>
      <c r="B609" s="341" t="s">
        <v>2420</v>
      </c>
      <c r="C609" s="341" t="s">
        <v>2420</v>
      </c>
      <c r="D609" s="342">
        <v>0</v>
      </c>
      <c r="E609" s="342" t="s">
        <v>2420</v>
      </c>
      <c r="F609" s="342" t="s">
        <v>9622</v>
      </c>
      <c r="G609" s="341" t="s">
        <v>1621</v>
      </c>
      <c r="H609" s="341" t="s">
        <v>7341</v>
      </c>
      <c r="I609" s="341" t="s">
        <v>2557</v>
      </c>
      <c r="J609" s="342">
        <v>0.6</v>
      </c>
      <c r="K609" s="342" t="s">
        <v>25</v>
      </c>
      <c r="L609" s="342">
        <v>0</v>
      </c>
    </row>
    <row r="610" spans="1:12" x14ac:dyDescent="0.25">
      <c r="A610" s="341" t="s">
        <v>2420</v>
      </c>
      <c r="B610" s="341" t="s">
        <v>2420</v>
      </c>
      <c r="C610" s="341" t="s">
        <v>2420</v>
      </c>
      <c r="D610" s="342">
        <v>0</v>
      </c>
      <c r="E610" s="342" t="s">
        <v>2420</v>
      </c>
      <c r="F610" s="342" t="s">
        <v>9622</v>
      </c>
      <c r="G610" s="341" t="s">
        <v>1680</v>
      </c>
      <c r="H610" s="341" t="s">
        <v>9948</v>
      </c>
      <c r="I610" s="341" t="s">
        <v>25</v>
      </c>
      <c r="J610" s="342">
        <v>1.05</v>
      </c>
      <c r="K610" s="342" t="s">
        <v>25</v>
      </c>
      <c r="L610" s="342">
        <v>0</v>
      </c>
    </row>
    <row r="611" spans="1:12" x14ac:dyDescent="0.25">
      <c r="A611" s="341" t="s">
        <v>2420</v>
      </c>
      <c r="B611" s="341" t="s">
        <v>2420</v>
      </c>
      <c r="C611" s="341" t="s">
        <v>2420</v>
      </c>
      <c r="D611" s="342">
        <v>0</v>
      </c>
      <c r="E611" s="342" t="s">
        <v>2420</v>
      </c>
      <c r="F611" s="342" t="s">
        <v>9622</v>
      </c>
      <c r="G611" s="341" t="s">
        <v>1867</v>
      </c>
      <c r="H611" s="341" t="s">
        <v>7994</v>
      </c>
      <c r="I611" s="341" t="s">
        <v>25</v>
      </c>
      <c r="J611" s="342">
        <v>1</v>
      </c>
      <c r="K611" s="342" t="s">
        <v>9623</v>
      </c>
      <c r="L611" s="342">
        <v>0</v>
      </c>
    </row>
    <row r="612" spans="1:12" x14ac:dyDescent="0.25">
      <c r="A612" s="341" t="s">
        <v>385</v>
      </c>
      <c r="B612" s="341" t="s">
        <v>9949</v>
      </c>
      <c r="C612" s="341" t="s">
        <v>25</v>
      </c>
      <c r="D612" s="342">
        <v>1</v>
      </c>
      <c r="E612" s="342">
        <v>0</v>
      </c>
      <c r="F612" s="342" t="s">
        <v>9622</v>
      </c>
      <c r="G612" s="341" t="s">
        <v>1234</v>
      </c>
      <c r="H612" s="341" t="s">
        <v>6899</v>
      </c>
      <c r="I612" s="341" t="s">
        <v>4230</v>
      </c>
      <c r="J612" s="342">
        <v>0.49</v>
      </c>
      <c r="K612" s="342" t="s">
        <v>4230</v>
      </c>
      <c r="L612" s="342">
        <v>0</v>
      </c>
    </row>
    <row r="613" spans="1:12" x14ac:dyDescent="0.25">
      <c r="A613" s="341" t="s">
        <v>2420</v>
      </c>
      <c r="B613" s="341" t="s">
        <v>2420</v>
      </c>
      <c r="C613" s="341" t="s">
        <v>2420</v>
      </c>
      <c r="D613" s="342">
        <v>0</v>
      </c>
      <c r="E613" s="342" t="s">
        <v>2420</v>
      </c>
      <c r="F613" s="342" t="s">
        <v>9622</v>
      </c>
      <c r="G613" s="341" t="s">
        <v>1235</v>
      </c>
      <c r="H613" s="341" t="s">
        <v>6900</v>
      </c>
      <c r="I613" s="341" t="s">
        <v>4230</v>
      </c>
      <c r="J613" s="342">
        <v>0.49</v>
      </c>
      <c r="K613" s="342" t="s">
        <v>4230</v>
      </c>
      <c r="L613" s="342">
        <v>0</v>
      </c>
    </row>
    <row r="614" spans="1:12" x14ac:dyDescent="0.25">
      <c r="A614" s="341" t="s">
        <v>2420</v>
      </c>
      <c r="B614" s="341" t="s">
        <v>2420</v>
      </c>
      <c r="C614" s="341" t="s">
        <v>2420</v>
      </c>
      <c r="D614" s="342">
        <v>0</v>
      </c>
      <c r="E614" s="342" t="s">
        <v>2420</v>
      </c>
      <c r="F614" s="342" t="s">
        <v>9622</v>
      </c>
      <c r="G614" s="341" t="s">
        <v>1473</v>
      </c>
      <c r="H614" s="341" t="s">
        <v>7213</v>
      </c>
      <c r="I614" s="341" t="s">
        <v>2557</v>
      </c>
      <c r="J614" s="342">
        <v>0.06</v>
      </c>
      <c r="K614" s="342" t="s">
        <v>25</v>
      </c>
      <c r="L614" s="342">
        <v>0</v>
      </c>
    </row>
    <row r="615" spans="1:12" x14ac:dyDescent="0.25">
      <c r="A615" s="341" t="s">
        <v>2420</v>
      </c>
      <c r="B615" s="341" t="s">
        <v>2420</v>
      </c>
      <c r="C615" s="341" t="s">
        <v>2420</v>
      </c>
      <c r="D615" s="342">
        <v>0</v>
      </c>
      <c r="E615" s="342" t="s">
        <v>2420</v>
      </c>
      <c r="F615" s="342" t="s">
        <v>9622</v>
      </c>
      <c r="G615" s="341" t="s">
        <v>1474</v>
      </c>
      <c r="H615" s="341" t="s">
        <v>9950</v>
      </c>
      <c r="I615" s="341" t="s">
        <v>25</v>
      </c>
      <c r="J615" s="342">
        <v>1.05</v>
      </c>
      <c r="K615" s="342" t="s">
        <v>25</v>
      </c>
      <c r="L615" s="342">
        <v>0</v>
      </c>
    </row>
    <row r="616" spans="1:12" x14ac:dyDescent="0.25">
      <c r="A616" s="341" t="s">
        <v>2420</v>
      </c>
      <c r="B616" s="341" t="s">
        <v>2420</v>
      </c>
      <c r="C616" s="341" t="s">
        <v>2420</v>
      </c>
      <c r="D616" s="342">
        <v>0</v>
      </c>
      <c r="E616" s="342" t="s">
        <v>2420</v>
      </c>
      <c r="F616" s="342" t="s">
        <v>9622</v>
      </c>
      <c r="G616" s="341" t="s">
        <v>1621</v>
      </c>
      <c r="H616" s="341" t="s">
        <v>7341</v>
      </c>
      <c r="I616" s="341" t="s">
        <v>2557</v>
      </c>
      <c r="J616" s="342">
        <v>0.6</v>
      </c>
      <c r="K616" s="342" t="s">
        <v>25</v>
      </c>
      <c r="L616" s="342">
        <v>0</v>
      </c>
    </row>
    <row r="617" spans="1:12" x14ac:dyDescent="0.25">
      <c r="A617" s="341" t="s">
        <v>2420</v>
      </c>
      <c r="B617" s="341" t="s">
        <v>2420</v>
      </c>
      <c r="C617" s="341" t="s">
        <v>2420</v>
      </c>
      <c r="D617" s="342">
        <v>0</v>
      </c>
      <c r="E617" s="342" t="s">
        <v>2420</v>
      </c>
      <c r="F617" s="342" t="s">
        <v>9622</v>
      </c>
      <c r="G617" s="341" t="s">
        <v>1867</v>
      </c>
      <c r="H617" s="341" t="s">
        <v>7994</v>
      </c>
      <c r="I617" s="341" t="s">
        <v>25</v>
      </c>
      <c r="J617" s="342">
        <v>1</v>
      </c>
      <c r="K617" s="342" t="s">
        <v>9623</v>
      </c>
      <c r="L617" s="342">
        <v>0</v>
      </c>
    </row>
    <row r="618" spans="1:12" x14ac:dyDescent="0.25">
      <c r="A618" s="341" t="s">
        <v>2420</v>
      </c>
      <c r="B618" s="341" t="s">
        <v>2420</v>
      </c>
      <c r="C618" s="341" t="s">
        <v>2420</v>
      </c>
      <c r="D618" s="342">
        <v>0</v>
      </c>
      <c r="E618" s="342" t="s">
        <v>2420</v>
      </c>
      <c r="F618" s="342" t="s">
        <v>9622</v>
      </c>
      <c r="G618" s="341" t="s">
        <v>2038</v>
      </c>
      <c r="H618" s="341" t="s">
        <v>8372</v>
      </c>
      <c r="I618" s="341" t="s">
        <v>16</v>
      </c>
      <c r="J618" s="342">
        <v>0.5</v>
      </c>
      <c r="K618" s="342" t="s">
        <v>9623</v>
      </c>
      <c r="L618" s="342">
        <v>0</v>
      </c>
    </row>
    <row r="619" spans="1:12" x14ac:dyDescent="0.25">
      <c r="A619" s="341" t="s">
        <v>457</v>
      </c>
      <c r="B619" s="341" t="s">
        <v>9951</v>
      </c>
      <c r="C619" s="341" t="s">
        <v>16</v>
      </c>
      <c r="D619" s="342">
        <v>1</v>
      </c>
      <c r="E619" s="342">
        <v>0</v>
      </c>
      <c r="F619" s="342" t="s">
        <v>9622</v>
      </c>
      <c r="G619" s="341" t="s">
        <v>1241</v>
      </c>
      <c r="H619" s="341" t="s">
        <v>6905</v>
      </c>
      <c r="I619" s="341" t="s">
        <v>4230</v>
      </c>
      <c r="J619" s="342">
        <v>0.5</v>
      </c>
      <c r="K619" s="342" t="s">
        <v>4230</v>
      </c>
      <c r="L619" s="342">
        <v>0</v>
      </c>
    </row>
    <row r="620" spans="1:12" x14ac:dyDescent="0.25">
      <c r="A620" s="341" t="s">
        <v>2420</v>
      </c>
      <c r="B620" s="341" t="s">
        <v>2420</v>
      </c>
      <c r="C620" s="341" t="s">
        <v>2420</v>
      </c>
      <c r="D620" s="342">
        <v>0</v>
      </c>
      <c r="E620" s="342" t="s">
        <v>2420</v>
      </c>
      <c r="F620" s="342" t="s">
        <v>9622</v>
      </c>
      <c r="G620" s="341" t="s">
        <v>1242</v>
      </c>
      <c r="H620" s="341" t="s">
        <v>9833</v>
      </c>
      <c r="I620" s="341" t="s">
        <v>4230</v>
      </c>
      <c r="J620" s="342">
        <v>0.4</v>
      </c>
      <c r="K620" s="342" t="s">
        <v>4230</v>
      </c>
      <c r="L620" s="342">
        <v>0</v>
      </c>
    </row>
    <row r="621" spans="1:12" x14ac:dyDescent="0.25">
      <c r="A621" s="341" t="s">
        <v>2420</v>
      </c>
      <c r="B621" s="341" t="s">
        <v>2420</v>
      </c>
      <c r="C621" s="341" t="s">
        <v>2420</v>
      </c>
      <c r="D621" s="342">
        <v>0</v>
      </c>
      <c r="E621" s="342" t="s">
        <v>2420</v>
      </c>
      <c r="F621" s="342" t="s">
        <v>9622</v>
      </c>
      <c r="G621" s="341" t="s">
        <v>2009</v>
      </c>
      <c r="H621" s="341" t="s">
        <v>8306</v>
      </c>
      <c r="I621" s="341" t="s">
        <v>16</v>
      </c>
      <c r="J621" s="342">
        <v>1</v>
      </c>
      <c r="K621" s="342" t="s">
        <v>9623</v>
      </c>
      <c r="L621" s="342">
        <v>0</v>
      </c>
    </row>
    <row r="622" spans="1:12" x14ac:dyDescent="0.25">
      <c r="A622" s="341" t="s">
        <v>218</v>
      </c>
      <c r="B622" s="341" t="s">
        <v>9074</v>
      </c>
      <c r="C622" s="341" t="s">
        <v>16</v>
      </c>
      <c r="D622" s="342">
        <v>1</v>
      </c>
      <c r="E622" s="342">
        <v>0</v>
      </c>
      <c r="F622" s="342" t="s">
        <v>9622</v>
      </c>
      <c r="G622" s="341" t="s">
        <v>1234</v>
      </c>
      <c r="H622" s="341" t="s">
        <v>6899</v>
      </c>
      <c r="I622" s="341" t="s">
        <v>4230</v>
      </c>
      <c r="J622" s="342">
        <v>0.26</v>
      </c>
      <c r="K622" s="342" t="s">
        <v>4230</v>
      </c>
      <c r="L622" s="342">
        <v>0</v>
      </c>
    </row>
    <row r="623" spans="1:12" x14ac:dyDescent="0.25">
      <c r="A623" s="341" t="s">
        <v>2420</v>
      </c>
      <c r="B623" s="341" t="s">
        <v>2420</v>
      </c>
      <c r="C623" s="341" t="s">
        <v>2420</v>
      </c>
      <c r="D623" s="342">
        <v>0</v>
      </c>
      <c r="E623" s="342" t="s">
        <v>2420</v>
      </c>
      <c r="F623" s="342" t="s">
        <v>9622</v>
      </c>
      <c r="G623" s="341" t="s">
        <v>1235</v>
      </c>
      <c r="H623" s="341" t="s">
        <v>6900</v>
      </c>
      <c r="I623" s="341" t="s">
        <v>4230</v>
      </c>
      <c r="J623" s="342">
        <v>0.26</v>
      </c>
      <c r="K623" s="342" t="s">
        <v>4230</v>
      </c>
      <c r="L623" s="342">
        <v>0</v>
      </c>
    </row>
    <row r="624" spans="1:12" x14ac:dyDescent="0.25">
      <c r="A624" s="341" t="s">
        <v>2420</v>
      </c>
      <c r="B624" s="341" t="s">
        <v>2420</v>
      </c>
      <c r="C624" s="341" t="s">
        <v>2420</v>
      </c>
      <c r="D624" s="342">
        <v>0</v>
      </c>
      <c r="E624" s="342" t="s">
        <v>2420</v>
      </c>
      <c r="F624" s="342" t="s">
        <v>9622</v>
      </c>
      <c r="G624" s="341" t="s">
        <v>1333</v>
      </c>
      <c r="H624" s="341" t="s">
        <v>7023</v>
      </c>
      <c r="I624" s="341" t="s">
        <v>2557</v>
      </c>
      <c r="J624" s="342">
        <v>4</v>
      </c>
      <c r="K624" s="342" t="s">
        <v>25</v>
      </c>
      <c r="L624" s="342">
        <v>0</v>
      </c>
    </row>
    <row r="625" spans="1:12" x14ac:dyDescent="0.25">
      <c r="A625" s="341" t="s">
        <v>2420</v>
      </c>
      <c r="B625" s="341" t="s">
        <v>2420</v>
      </c>
      <c r="C625" s="341" t="s">
        <v>2420</v>
      </c>
      <c r="D625" s="342">
        <v>0</v>
      </c>
      <c r="E625" s="342" t="s">
        <v>2420</v>
      </c>
      <c r="F625" s="342" t="s">
        <v>9622</v>
      </c>
      <c r="G625" s="341" t="s">
        <v>1870</v>
      </c>
      <c r="H625" s="341" t="s">
        <v>7997</v>
      </c>
      <c r="I625" s="341" t="s">
        <v>16</v>
      </c>
      <c r="J625" s="342">
        <v>1</v>
      </c>
      <c r="K625" s="342" t="s">
        <v>9623</v>
      </c>
      <c r="L625" s="342">
        <v>0</v>
      </c>
    </row>
    <row r="626" spans="1:12" x14ac:dyDescent="0.25">
      <c r="A626" s="341" t="s">
        <v>219</v>
      </c>
      <c r="B626" s="341" t="s">
        <v>9952</v>
      </c>
      <c r="C626" s="341" t="s">
        <v>16</v>
      </c>
      <c r="D626" s="342">
        <v>1</v>
      </c>
      <c r="E626" s="342">
        <v>0</v>
      </c>
      <c r="F626" s="342" t="s">
        <v>9622</v>
      </c>
      <c r="G626" s="341" t="s">
        <v>1234</v>
      </c>
      <c r="H626" s="341" t="s">
        <v>6899</v>
      </c>
      <c r="I626" s="341" t="s">
        <v>4230</v>
      </c>
      <c r="J626" s="342">
        <v>0.8</v>
      </c>
      <c r="K626" s="342" t="s">
        <v>4230</v>
      </c>
      <c r="L626" s="342">
        <v>0</v>
      </c>
    </row>
    <row r="627" spans="1:12" x14ac:dyDescent="0.25">
      <c r="A627" s="341" t="s">
        <v>2420</v>
      </c>
      <c r="B627" s="341" t="s">
        <v>2420</v>
      </c>
      <c r="C627" s="341" t="s">
        <v>2420</v>
      </c>
      <c r="D627" s="342">
        <v>0</v>
      </c>
      <c r="E627" s="342" t="s">
        <v>2420</v>
      </c>
      <c r="F627" s="342" t="s">
        <v>9622</v>
      </c>
      <c r="G627" s="341" t="s">
        <v>1235</v>
      </c>
      <c r="H627" s="341" t="s">
        <v>6900</v>
      </c>
      <c r="I627" s="341" t="s">
        <v>4230</v>
      </c>
      <c r="J627" s="342">
        <v>0.8</v>
      </c>
      <c r="K627" s="342" t="s">
        <v>4230</v>
      </c>
      <c r="L627" s="342">
        <v>0</v>
      </c>
    </row>
    <row r="628" spans="1:12" x14ac:dyDescent="0.25">
      <c r="A628" s="341" t="s">
        <v>2420</v>
      </c>
      <c r="B628" s="341" t="s">
        <v>2420</v>
      </c>
      <c r="C628" s="341" t="s">
        <v>2420</v>
      </c>
      <c r="D628" s="342">
        <v>0</v>
      </c>
      <c r="E628" s="342" t="s">
        <v>2420</v>
      </c>
      <c r="F628" s="342" t="s">
        <v>9622</v>
      </c>
      <c r="G628" s="341" t="s">
        <v>1286</v>
      </c>
      <c r="H628" s="341" t="s">
        <v>9863</v>
      </c>
      <c r="I628" s="341" t="s">
        <v>2557</v>
      </c>
      <c r="J628" s="342">
        <v>42.5</v>
      </c>
      <c r="K628" s="342" t="s">
        <v>25</v>
      </c>
      <c r="L628" s="342">
        <v>0</v>
      </c>
    </row>
    <row r="629" spans="1:12" x14ac:dyDescent="0.25">
      <c r="A629" s="341" t="s">
        <v>2420</v>
      </c>
      <c r="B629" s="341" t="s">
        <v>2420</v>
      </c>
      <c r="C629" s="341" t="s">
        <v>2420</v>
      </c>
      <c r="D629" s="342">
        <v>0</v>
      </c>
      <c r="E629" s="342" t="s">
        <v>2420</v>
      </c>
      <c r="F629" s="342" t="s">
        <v>9622</v>
      </c>
      <c r="G629" s="341" t="s">
        <v>1856</v>
      </c>
      <c r="H629" s="341" t="s">
        <v>7983</v>
      </c>
      <c r="I629" s="341" t="s">
        <v>16</v>
      </c>
      <c r="J629" s="342">
        <v>1</v>
      </c>
      <c r="K629" s="342" t="s">
        <v>9623</v>
      </c>
      <c r="L629" s="342">
        <v>0</v>
      </c>
    </row>
    <row r="630" spans="1:12" x14ac:dyDescent="0.25">
      <c r="A630" s="341" t="s">
        <v>2420</v>
      </c>
      <c r="B630" s="341" t="s">
        <v>2420</v>
      </c>
      <c r="C630" s="341" t="s">
        <v>2420</v>
      </c>
      <c r="D630" s="342">
        <v>0</v>
      </c>
      <c r="E630" s="342" t="s">
        <v>2420</v>
      </c>
      <c r="F630" s="342" t="s">
        <v>9624</v>
      </c>
      <c r="G630" s="341" t="s">
        <v>9761</v>
      </c>
      <c r="H630" s="341" t="s">
        <v>9762</v>
      </c>
      <c r="I630" s="341" t="s">
        <v>16</v>
      </c>
      <c r="J630" s="342">
        <v>1</v>
      </c>
      <c r="K630" s="342" t="s">
        <v>2420</v>
      </c>
      <c r="L630" s="342">
        <v>0</v>
      </c>
    </row>
    <row r="631" spans="1:12" x14ac:dyDescent="0.25">
      <c r="A631" s="341" t="s">
        <v>9857</v>
      </c>
      <c r="B631" s="341" t="s">
        <v>9858</v>
      </c>
      <c r="C631" s="341" t="s">
        <v>16</v>
      </c>
      <c r="D631" s="342">
        <v>1</v>
      </c>
      <c r="E631" s="342">
        <v>0</v>
      </c>
      <c r="F631" s="342" t="s">
        <v>9622</v>
      </c>
      <c r="G631" s="341" t="s">
        <v>1235</v>
      </c>
      <c r="H631" s="341" t="s">
        <v>6900</v>
      </c>
      <c r="I631" s="341" t="s">
        <v>4230</v>
      </c>
      <c r="J631" s="342">
        <v>0.2</v>
      </c>
      <c r="K631" s="342" t="s">
        <v>4230</v>
      </c>
      <c r="L631" s="342">
        <v>0</v>
      </c>
    </row>
    <row r="632" spans="1:12" x14ac:dyDescent="0.25">
      <c r="A632" s="341" t="s">
        <v>2420</v>
      </c>
      <c r="B632" s="341" t="s">
        <v>2420</v>
      </c>
      <c r="C632" s="341" t="s">
        <v>2420</v>
      </c>
      <c r="D632" s="342">
        <v>0</v>
      </c>
      <c r="E632" s="342" t="s">
        <v>2420</v>
      </c>
      <c r="F632" s="342" t="s">
        <v>9622</v>
      </c>
      <c r="G632" s="341" t="s">
        <v>1473</v>
      </c>
      <c r="H632" s="341" t="s">
        <v>7213</v>
      </c>
      <c r="I632" s="341" t="s">
        <v>2557</v>
      </c>
      <c r="J632" s="342">
        <v>0.6</v>
      </c>
      <c r="K632" s="342" t="s">
        <v>25</v>
      </c>
      <c r="L632" s="342">
        <v>0</v>
      </c>
    </row>
    <row r="633" spans="1:12" x14ac:dyDescent="0.25">
      <c r="A633" s="341" t="s">
        <v>2420</v>
      </c>
      <c r="B633" s="341" t="s">
        <v>2420</v>
      </c>
      <c r="C633" s="341" t="s">
        <v>2420</v>
      </c>
      <c r="D633" s="342">
        <v>0</v>
      </c>
      <c r="E633" s="342" t="s">
        <v>2420</v>
      </c>
      <c r="F633" s="342" t="s">
        <v>9622</v>
      </c>
      <c r="G633" s="341" t="s">
        <v>2038</v>
      </c>
      <c r="H633" s="341" t="s">
        <v>8372</v>
      </c>
      <c r="I633" s="341" t="s">
        <v>16</v>
      </c>
      <c r="J633" s="342">
        <v>1</v>
      </c>
      <c r="K633" s="342" t="s">
        <v>9623</v>
      </c>
      <c r="L633" s="342">
        <v>0</v>
      </c>
    </row>
    <row r="634" spans="1:12" x14ac:dyDescent="0.25">
      <c r="A634" s="341" t="s">
        <v>9629</v>
      </c>
      <c r="B634" s="341" t="s">
        <v>9953</v>
      </c>
      <c r="C634" s="341" t="s">
        <v>16</v>
      </c>
      <c r="D634" s="342">
        <v>1</v>
      </c>
      <c r="E634" s="342">
        <v>0</v>
      </c>
      <c r="F634" s="342" t="s">
        <v>9622</v>
      </c>
      <c r="G634" s="341" t="s">
        <v>1235</v>
      </c>
      <c r="H634" s="341" t="s">
        <v>6900</v>
      </c>
      <c r="I634" s="341" t="s">
        <v>4230</v>
      </c>
      <c r="J634" s="342">
        <v>0.2</v>
      </c>
      <c r="K634" s="342" t="s">
        <v>4230</v>
      </c>
      <c r="L634" s="342">
        <v>0</v>
      </c>
    </row>
    <row r="635" spans="1:12" x14ac:dyDescent="0.25">
      <c r="A635" s="341" t="s">
        <v>2420</v>
      </c>
      <c r="B635" s="341" t="s">
        <v>2420</v>
      </c>
      <c r="C635" s="341" t="s">
        <v>2420</v>
      </c>
      <c r="D635" s="342">
        <v>0</v>
      </c>
      <c r="E635" s="342" t="s">
        <v>2420</v>
      </c>
      <c r="F635" s="342" t="s">
        <v>9622</v>
      </c>
      <c r="G635" s="341" t="s">
        <v>1576</v>
      </c>
      <c r="H635" s="341" t="s">
        <v>7177</v>
      </c>
      <c r="I635" s="341" t="s">
        <v>2557</v>
      </c>
      <c r="J635" s="342">
        <v>0.8</v>
      </c>
      <c r="K635" s="342" t="s">
        <v>25</v>
      </c>
      <c r="L635" s="342">
        <v>0</v>
      </c>
    </row>
    <row r="636" spans="1:12" x14ac:dyDescent="0.25">
      <c r="A636" s="341" t="s">
        <v>2420</v>
      </c>
      <c r="B636" s="341" t="s">
        <v>2420</v>
      </c>
      <c r="C636" s="341" t="s">
        <v>2420</v>
      </c>
      <c r="D636" s="342">
        <v>0</v>
      </c>
      <c r="E636" s="342" t="s">
        <v>2420</v>
      </c>
      <c r="F636" s="342" t="s">
        <v>9622</v>
      </c>
      <c r="G636" s="341" t="s">
        <v>2038</v>
      </c>
      <c r="H636" s="341" t="s">
        <v>8372</v>
      </c>
      <c r="I636" s="341" t="s">
        <v>16</v>
      </c>
      <c r="J636" s="342">
        <v>1</v>
      </c>
      <c r="K636" s="342" t="s">
        <v>9623</v>
      </c>
      <c r="L636" s="342">
        <v>0</v>
      </c>
    </row>
    <row r="637" spans="1:12" x14ac:dyDescent="0.25">
      <c r="A637" s="341" t="s">
        <v>9828</v>
      </c>
      <c r="B637" s="341" t="s">
        <v>9829</v>
      </c>
      <c r="C637" s="341" t="s">
        <v>16</v>
      </c>
      <c r="D637" s="342">
        <v>1</v>
      </c>
      <c r="E637" s="342">
        <v>0</v>
      </c>
      <c r="F637" s="342" t="s">
        <v>9622</v>
      </c>
      <c r="G637" s="341" t="s">
        <v>1235</v>
      </c>
      <c r="H637" s="341" t="s">
        <v>6900</v>
      </c>
      <c r="I637" s="341" t="s">
        <v>4230</v>
      </c>
      <c r="J637" s="342">
        <v>0.2</v>
      </c>
      <c r="K637" s="342" t="s">
        <v>4230</v>
      </c>
      <c r="L637" s="342">
        <v>0</v>
      </c>
    </row>
    <row r="638" spans="1:12" x14ac:dyDescent="0.25">
      <c r="A638" s="341" t="s">
        <v>2420</v>
      </c>
      <c r="B638" s="341" t="s">
        <v>2420</v>
      </c>
      <c r="C638" s="341" t="s">
        <v>2420</v>
      </c>
      <c r="D638" s="342">
        <v>0</v>
      </c>
      <c r="E638" s="342" t="s">
        <v>2420</v>
      </c>
      <c r="F638" s="342" t="s">
        <v>9622</v>
      </c>
      <c r="G638" s="341" t="s">
        <v>1613</v>
      </c>
      <c r="H638" s="341" t="s">
        <v>7333</v>
      </c>
      <c r="I638" s="341" t="s">
        <v>2557</v>
      </c>
      <c r="J638" s="342">
        <v>0.7</v>
      </c>
      <c r="K638" s="342" t="s">
        <v>25</v>
      </c>
      <c r="L638" s="342">
        <v>0</v>
      </c>
    </row>
    <row r="639" spans="1:12" x14ac:dyDescent="0.25">
      <c r="A639" s="341" t="s">
        <v>2420</v>
      </c>
      <c r="B639" s="341" t="s">
        <v>2420</v>
      </c>
      <c r="C639" s="341" t="s">
        <v>2420</v>
      </c>
      <c r="D639" s="342">
        <v>0</v>
      </c>
      <c r="E639" s="342" t="s">
        <v>2420</v>
      </c>
      <c r="F639" s="342" t="s">
        <v>9622</v>
      </c>
      <c r="G639" s="341" t="s">
        <v>2038</v>
      </c>
      <c r="H639" s="341" t="s">
        <v>8372</v>
      </c>
      <c r="I639" s="341" t="s">
        <v>16</v>
      </c>
      <c r="J639" s="342">
        <v>1</v>
      </c>
      <c r="K639" s="342" t="s">
        <v>9623</v>
      </c>
      <c r="L639" s="342">
        <v>0</v>
      </c>
    </row>
    <row r="640" spans="1:12" x14ac:dyDescent="0.25">
      <c r="A640" s="341" t="s">
        <v>175</v>
      </c>
      <c r="B640" s="341" t="s">
        <v>9954</v>
      </c>
      <c r="C640" s="341" t="s">
        <v>16</v>
      </c>
      <c r="D640" s="342">
        <v>1</v>
      </c>
      <c r="E640" s="342">
        <v>0</v>
      </c>
      <c r="F640" s="342" t="s">
        <v>9622</v>
      </c>
      <c r="G640" s="341" t="s">
        <v>1234</v>
      </c>
      <c r="H640" s="341" t="s">
        <v>6899</v>
      </c>
      <c r="I640" s="341" t="s">
        <v>4230</v>
      </c>
      <c r="J640" s="342">
        <v>0.88</v>
      </c>
      <c r="K640" s="342" t="s">
        <v>4230</v>
      </c>
      <c r="L640" s="342">
        <v>0</v>
      </c>
    </row>
    <row r="641" spans="1:12" x14ac:dyDescent="0.25">
      <c r="A641" s="341" t="s">
        <v>2420</v>
      </c>
      <c r="B641" s="341" t="s">
        <v>2420</v>
      </c>
      <c r="C641" s="341" t="s">
        <v>2420</v>
      </c>
      <c r="D641" s="342">
        <v>0</v>
      </c>
      <c r="E641" s="342" t="s">
        <v>2420</v>
      </c>
      <c r="F641" s="342" t="s">
        <v>9622</v>
      </c>
      <c r="G641" s="341" t="s">
        <v>1235</v>
      </c>
      <c r="H641" s="341" t="s">
        <v>6900</v>
      </c>
      <c r="I641" s="341" t="s">
        <v>4230</v>
      </c>
      <c r="J641" s="342">
        <v>0.44</v>
      </c>
      <c r="K641" s="342" t="s">
        <v>4230</v>
      </c>
      <c r="L641" s="342">
        <v>0</v>
      </c>
    </row>
    <row r="642" spans="1:12" x14ac:dyDescent="0.25">
      <c r="A642" s="341" t="s">
        <v>2420</v>
      </c>
      <c r="B642" s="341" t="s">
        <v>2420</v>
      </c>
      <c r="C642" s="341" t="s">
        <v>2420</v>
      </c>
      <c r="D642" s="342">
        <v>0</v>
      </c>
      <c r="E642" s="342" t="s">
        <v>2420</v>
      </c>
      <c r="F642" s="342" t="s">
        <v>9622</v>
      </c>
      <c r="G642" s="341" t="s">
        <v>1472</v>
      </c>
      <c r="H642" s="341" t="s">
        <v>7212</v>
      </c>
      <c r="I642" s="341" t="s">
        <v>2557</v>
      </c>
      <c r="J642" s="342">
        <v>8</v>
      </c>
      <c r="K642" s="342" t="s">
        <v>25</v>
      </c>
      <c r="L642" s="342">
        <v>0</v>
      </c>
    </row>
    <row r="643" spans="1:12" x14ac:dyDescent="0.25">
      <c r="A643" s="341" t="s">
        <v>2420</v>
      </c>
      <c r="B643" s="341" t="s">
        <v>2420</v>
      </c>
      <c r="C643" s="341" t="s">
        <v>2420</v>
      </c>
      <c r="D643" s="342">
        <v>0</v>
      </c>
      <c r="E643" s="342" t="s">
        <v>2420</v>
      </c>
      <c r="F643" s="342" t="s">
        <v>9622</v>
      </c>
      <c r="G643" s="341" t="s">
        <v>1568</v>
      </c>
      <c r="H643" s="341" t="s">
        <v>2798</v>
      </c>
      <c r="I643" s="341" t="s">
        <v>16</v>
      </c>
      <c r="J643" s="342">
        <v>1.05</v>
      </c>
      <c r="K643" s="342" t="s">
        <v>25</v>
      </c>
      <c r="L643" s="342">
        <v>0</v>
      </c>
    </row>
    <row r="644" spans="1:12" x14ac:dyDescent="0.25">
      <c r="A644" s="341" t="s">
        <v>2420</v>
      </c>
      <c r="B644" s="341" t="s">
        <v>2420</v>
      </c>
      <c r="C644" s="341" t="s">
        <v>2420</v>
      </c>
      <c r="D644" s="342">
        <v>0</v>
      </c>
      <c r="E644" s="342" t="s">
        <v>2420</v>
      </c>
      <c r="F644" s="342" t="s">
        <v>9622</v>
      </c>
      <c r="G644" s="341" t="s">
        <v>1943</v>
      </c>
      <c r="H644" s="341" t="s">
        <v>8080</v>
      </c>
      <c r="I644" s="341" t="s">
        <v>16</v>
      </c>
      <c r="J644" s="342">
        <v>1</v>
      </c>
      <c r="K644" s="342" t="s">
        <v>9623</v>
      </c>
      <c r="L644" s="342">
        <v>0</v>
      </c>
    </row>
    <row r="645" spans="1:12" x14ac:dyDescent="0.25">
      <c r="A645" s="341" t="s">
        <v>2420</v>
      </c>
      <c r="B645" s="341" t="s">
        <v>2420</v>
      </c>
      <c r="C645" s="341" t="s">
        <v>2420</v>
      </c>
      <c r="D645" s="342">
        <v>0</v>
      </c>
      <c r="E645" s="342" t="s">
        <v>2420</v>
      </c>
      <c r="F645" s="342" t="s">
        <v>9624</v>
      </c>
      <c r="G645" s="341" t="s">
        <v>9629</v>
      </c>
      <c r="H645" s="341" t="s">
        <v>9953</v>
      </c>
      <c r="I645" s="341" t="s">
        <v>16</v>
      </c>
      <c r="J645" s="342">
        <v>1</v>
      </c>
      <c r="K645" s="342" t="s">
        <v>2420</v>
      </c>
      <c r="L645" s="342">
        <v>0</v>
      </c>
    </row>
    <row r="646" spans="1:12" x14ac:dyDescent="0.25">
      <c r="A646" s="341" t="s">
        <v>176</v>
      </c>
      <c r="B646" s="341" t="s">
        <v>9955</v>
      </c>
      <c r="C646" s="341" t="s">
        <v>16</v>
      </c>
      <c r="D646" s="342">
        <v>1</v>
      </c>
      <c r="E646" s="342">
        <v>0</v>
      </c>
      <c r="F646" s="342" t="s">
        <v>9622</v>
      </c>
      <c r="G646" s="341" t="s">
        <v>1234</v>
      </c>
      <c r="H646" s="341" t="s">
        <v>6899</v>
      </c>
      <c r="I646" s="341" t="s">
        <v>4230</v>
      </c>
      <c r="J646" s="342">
        <v>0.88</v>
      </c>
      <c r="K646" s="342" t="s">
        <v>4230</v>
      </c>
      <c r="L646" s="342">
        <v>0</v>
      </c>
    </row>
    <row r="647" spans="1:12" x14ac:dyDescent="0.25">
      <c r="A647" s="341" t="s">
        <v>2420</v>
      </c>
      <c r="B647" s="341" t="s">
        <v>2420</v>
      </c>
      <c r="C647" s="341" t="s">
        <v>2420</v>
      </c>
      <c r="D647" s="342">
        <v>0</v>
      </c>
      <c r="E647" s="342" t="s">
        <v>2420</v>
      </c>
      <c r="F647" s="342" t="s">
        <v>9622</v>
      </c>
      <c r="G647" s="341" t="s">
        <v>1235</v>
      </c>
      <c r="H647" s="341" t="s">
        <v>6900</v>
      </c>
      <c r="I647" s="341" t="s">
        <v>4230</v>
      </c>
      <c r="J647" s="342">
        <v>0.44</v>
      </c>
      <c r="K647" s="342" t="s">
        <v>4230</v>
      </c>
      <c r="L647" s="342">
        <v>0</v>
      </c>
    </row>
    <row r="648" spans="1:12" x14ac:dyDescent="0.25">
      <c r="A648" s="341" t="s">
        <v>2420</v>
      </c>
      <c r="B648" s="341" t="s">
        <v>2420</v>
      </c>
      <c r="C648" s="341" t="s">
        <v>2420</v>
      </c>
      <c r="D648" s="342">
        <v>0</v>
      </c>
      <c r="E648" s="342" t="s">
        <v>2420</v>
      </c>
      <c r="F648" s="342" t="s">
        <v>9622</v>
      </c>
      <c r="G648" s="341" t="s">
        <v>1450</v>
      </c>
      <c r="H648" s="341" t="s">
        <v>2799</v>
      </c>
      <c r="I648" s="341" t="s">
        <v>16</v>
      </c>
      <c r="J648" s="342">
        <v>1.05</v>
      </c>
      <c r="K648" s="342" t="s">
        <v>25</v>
      </c>
      <c r="L648" s="342">
        <v>0</v>
      </c>
    </row>
    <row r="649" spans="1:12" x14ac:dyDescent="0.25">
      <c r="A649" s="341" t="s">
        <v>2420</v>
      </c>
      <c r="B649" s="341" t="s">
        <v>2420</v>
      </c>
      <c r="C649" s="341" t="s">
        <v>2420</v>
      </c>
      <c r="D649" s="342">
        <v>0</v>
      </c>
      <c r="E649" s="342" t="s">
        <v>2420</v>
      </c>
      <c r="F649" s="342" t="s">
        <v>9622</v>
      </c>
      <c r="G649" s="341" t="s">
        <v>1472</v>
      </c>
      <c r="H649" s="341" t="s">
        <v>7212</v>
      </c>
      <c r="I649" s="341" t="s">
        <v>2557</v>
      </c>
      <c r="J649" s="342">
        <v>8</v>
      </c>
      <c r="K649" s="342" t="s">
        <v>25</v>
      </c>
      <c r="L649" s="342">
        <v>0</v>
      </c>
    </row>
    <row r="650" spans="1:12" x14ac:dyDescent="0.25">
      <c r="A650" s="341" t="s">
        <v>2420</v>
      </c>
      <c r="B650" s="341" t="s">
        <v>2420</v>
      </c>
      <c r="C650" s="341" t="s">
        <v>2420</v>
      </c>
      <c r="D650" s="342">
        <v>0</v>
      </c>
      <c r="E650" s="342" t="s">
        <v>2420</v>
      </c>
      <c r="F650" s="342" t="s">
        <v>9622</v>
      </c>
      <c r="G650" s="341" t="s">
        <v>1943</v>
      </c>
      <c r="H650" s="341" t="s">
        <v>8080</v>
      </c>
      <c r="I650" s="341" t="s">
        <v>16</v>
      </c>
      <c r="J650" s="342">
        <v>1</v>
      </c>
      <c r="K650" s="342" t="s">
        <v>9623</v>
      </c>
      <c r="L650" s="342">
        <v>0</v>
      </c>
    </row>
    <row r="651" spans="1:12" x14ac:dyDescent="0.25">
      <c r="A651" s="341" t="s">
        <v>2420</v>
      </c>
      <c r="B651" s="341" t="s">
        <v>2420</v>
      </c>
      <c r="C651" s="341" t="s">
        <v>2420</v>
      </c>
      <c r="D651" s="342">
        <v>0</v>
      </c>
      <c r="E651" s="342" t="s">
        <v>2420</v>
      </c>
      <c r="F651" s="342" t="s">
        <v>9624</v>
      </c>
      <c r="G651" s="341" t="s">
        <v>9629</v>
      </c>
      <c r="H651" s="341" t="s">
        <v>9953</v>
      </c>
      <c r="I651" s="341" t="s">
        <v>16</v>
      </c>
      <c r="J651" s="342">
        <v>1</v>
      </c>
      <c r="K651" s="342" t="s">
        <v>2420</v>
      </c>
      <c r="L651" s="342">
        <v>0</v>
      </c>
    </row>
    <row r="652" spans="1:12" x14ac:dyDescent="0.25">
      <c r="A652" s="341" t="s">
        <v>166</v>
      </c>
      <c r="B652" s="341" t="s">
        <v>9956</v>
      </c>
      <c r="C652" s="341" t="s">
        <v>16</v>
      </c>
      <c r="D652" s="342">
        <v>1</v>
      </c>
      <c r="E652" s="342">
        <v>0</v>
      </c>
      <c r="F652" s="342" t="s">
        <v>9622</v>
      </c>
      <c r="G652" s="341" t="s">
        <v>1234</v>
      </c>
      <c r="H652" s="341" t="s">
        <v>6899</v>
      </c>
      <c r="I652" s="341" t="s">
        <v>4230</v>
      </c>
      <c r="J652" s="342">
        <v>0.88</v>
      </c>
      <c r="K652" s="342" t="s">
        <v>4230</v>
      </c>
      <c r="L652" s="342">
        <v>0</v>
      </c>
    </row>
    <row r="653" spans="1:12" x14ac:dyDescent="0.25">
      <c r="A653" s="341" t="s">
        <v>2420</v>
      </c>
      <c r="B653" s="341" t="s">
        <v>2420</v>
      </c>
      <c r="C653" s="341" t="s">
        <v>2420</v>
      </c>
      <c r="D653" s="342">
        <v>0</v>
      </c>
      <c r="E653" s="342" t="s">
        <v>2420</v>
      </c>
      <c r="F653" s="342" t="s">
        <v>9622</v>
      </c>
      <c r="G653" s="341" t="s">
        <v>1235</v>
      </c>
      <c r="H653" s="341" t="s">
        <v>6900</v>
      </c>
      <c r="I653" s="341" t="s">
        <v>4230</v>
      </c>
      <c r="J653" s="342">
        <v>0.44</v>
      </c>
      <c r="K653" s="342" t="s">
        <v>4230</v>
      </c>
      <c r="L653" s="342">
        <v>0</v>
      </c>
    </row>
    <row r="654" spans="1:12" x14ac:dyDescent="0.25">
      <c r="A654" s="341" t="s">
        <v>2420</v>
      </c>
      <c r="B654" s="341" t="s">
        <v>2420</v>
      </c>
      <c r="C654" s="341" t="s">
        <v>2420</v>
      </c>
      <c r="D654" s="342">
        <v>0</v>
      </c>
      <c r="E654" s="342" t="s">
        <v>2420</v>
      </c>
      <c r="F654" s="342" t="s">
        <v>9622</v>
      </c>
      <c r="G654" s="341" t="s">
        <v>1451</v>
      </c>
      <c r="H654" s="341" t="s">
        <v>2800</v>
      </c>
      <c r="I654" s="341" t="s">
        <v>16</v>
      </c>
      <c r="J654" s="342">
        <v>1.05</v>
      </c>
      <c r="K654" s="342" t="s">
        <v>25</v>
      </c>
      <c r="L654" s="342">
        <v>0</v>
      </c>
    </row>
    <row r="655" spans="1:12" x14ac:dyDescent="0.25">
      <c r="A655" s="341" t="s">
        <v>2420</v>
      </c>
      <c r="B655" s="341" t="s">
        <v>2420</v>
      </c>
      <c r="C655" s="341" t="s">
        <v>2420</v>
      </c>
      <c r="D655" s="342">
        <v>0</v>
      </c>
      <c r="E655" s="342" t="s">
        <v>2420</v>
      </c>
      <c r="F655" s="342" t="s">
        <v>9622</v>
      </c>
      <c r="G655" s="341" t="s">
        <v>1472</v>
      </c>
      <c r="H655" s="341" t="s">
        <v>7212</v>
      </c>
      <c r="I655" s="341" t="s">
        <v>2557</v>
      </c>
      <c r="J655" s="342">
        <v>8</v>
      </c>
      <c r="K655" s="342" t="s">
        <v>25</v>
      </c>
      <c r="L655" s="342">
        <v>0</v>
      </c>
    </row>
    <row r="656" spans="1:12" x14ac:dyDescent="0.25">
      <c r="A656" s="341" t="s">
        <v>2420</v>
      </c>
      <c r="B656" s="341" t="s">
        <v>2420</v>
      </c>
      <c r="C656" s="341" t="s">
        <v>2420</v>
      </c>
      <c r="D656" s="342">
        <v>0</v>
      </c>
      <c r="E656" s="342" t="s">
        <v>2420</v>
      </c>
      <c r="F656" s="342" t="s">
        <v>9622</v>
      </c>
      <c r="G656" s="341" t="s">
        <v>1943</v>
      </c>
      <c r="H656" s="341" t="s">
        <v>8080</v>
      </c>
      <c r="I656" s="341" t="s">
        <v>16</v>
      </c>
      <c r="J656" s="342">
        <v>1</v>
      </c>
      <c r="K656" s="342" t="s">
        <v>9623</v>
      </c>
      <c r="L656" s="342">
        <v>0</v>
      </c>
    </row>
    <row r="657" spans="1:12" x14ac:dyDescent="0.25">
      <c r="A657" s="341" t="s">
        <v>2420</v>
      </c>
      <c r="B657" s="341" t="s">
        <v>2420</v>
      </c>
      <c r="C657" s="341" t="s">
        <v>2420</v>
      </c>
      <c r="D657" s="342">
        <v>0</v>
      </c>
      <c r="E657" s="342" t="s">
        <v>2420</v>
      </c>
      <c r="F657" s="342" t="s">
        <v>9624</v>
      </c>
      <c r="G657" s="341" t="s">
        <v>9629</v>
      </c>
      <c r="H657" s="341" t="s">
        <v>9953</v>
      </c>
      <c r="I657" s="341" t="s">
        <v>16</v>
      </c>
      <c r="J657" s="342">
        <v>1</v>
      </c>
      <c r="K657" s="342" t="s">
        <v>2420</v>
      </c>
      <c r="L657" s="342">
        <v>0</v>
      </c>
    </row>
    <row r="658" spans="1:12" x14ac:dyDescent="0.25">
      <c r="A658" s="341" t="s">
        <v>374</v>
      </c>
      <c r="B658" s="341" t="s">
        <v>2801</v>
      </c>
      <c r="C658" s="341" t="s">
        <v>16</v>
      </c>
      <c r="D658" s="342">
        <v>1</v>
      </c>
      <c r="E658" s="342">
        <v>0</v>
      </c>
      <c r="F658" s="342" t="s">
        <v>9622</v>
      </c>
      <c r="G658" s="341" t="s">
        <v>1234</v>
      </c>
      <c r="H658" s="341" t="s">
        <v>6899</v>
      </c>
      <c r="I658" s="341" t="s">
        <v>4230</v>
      </c>
      <c r="J658" s="342">
        <v>0.88</v>
      </c>
      <c r="K658" s="342" t="s">
        <v>4230</v>
      </c>
      <c r="L658" s="342">
        <v>0</v>
      </c>
    </row>
    <row r="659" spans="1:12" x14ac:dyDescent="0.25">
      <c r="A659" s="341" t="s">
        <v>2420</v>
      </c>
      <c r="B659" s="341" t="s">
        <v>2420</v>
      </c>
      <c r="C659" s="341" t="s">
        <v>2420</v>
      </c>
      <c r="D659" s="342">
        <v>0</v>
      </c>
      <c r="E659" s="342" t="s">
        <v>2420</v>
      </c>
      <c r="F659" s="342" t="s">
        <v>9622</v>
      </c>
      <c r="G659" s="341" t="s">
        <v>1235</v>
      </c>
      <c r="H659" s="341" t="s">
        <v>6900</v>
      </c>
      <c r="I659" s="341" t="s">
        <v>4230</v>
      </c>
      <c r="J659" s="342">
        <v>0.44</v>
      </c>
      <c r="K659" s="342" t="s">
        <v>4230</v>
      </c>
      <c r="L659" s="342">
        <v>0</v>
      </c>
    </row>
    <row r="660" spans="1:12" x14ac:dyDescent="0.25">
      <c r="A660" s="341" t="s">
        <v>2420</v>
      </c>
      <c r="B660" s="341" t="s">
        <v>2420</v>
      </c>
      <c r="C660" s="341" t="s">
        <v>2420</v>
      </c>
      <c r="D660" s="342">
        <v>0</v>
      </c>
      <c r="E660" s="342" t="s">
        <v>2420</v>
      </c>
      <c r="F660" s="342" t="s">
        <v>9622</v>
      </c>
      <c r="G660" s="341" t="s">
        <v>1452</v>
      </c>
      <c r="H660" s="341" t="s">
        <v>2801</v>
      </c>
      <c r="I660" s="341" t="s">
        <v>16</v>
      </c>
      <c r="J660" s="342">
        <v>1.05</v>
      </c>
      <c r="K660" s="342" t="s">
        <v>25</v>
      </c>
      <c r="L660" s="342">
        <v>0</v>
      </c>
    </row>
    <row r="661" spans="1:12" x14ac:dyDescent="0.25">
      <c r="A661" s="341" t="s">
        <v>2420</v>
      </c>
      <c r="B661" s="341" t="s">
        <v>2420</v>
      </c>
      <c r="C661" s="341" t="s">
        <v>2420</v>
      </c>
      <c r="D661" s="342">
        <v>0</v>
      </c>
      <c r="E661" s="342" t="s">
        <v>2420</v>
      </c>
      <c r="F661" s="342" t="s">
        <v>9622</v>
      </c>
      <c r="G661" s="341" t="s">
        <v>1472</v>
      </c>
      <c r="H661" s="341" t="s">
        <v>7212</v>
      </c>
      <c r="I661" s="341" t="s">
        <v>2557</v>
      </c>
      <c r="J661" s="342">
        <v>8</v>
      </c>
      <c r="K661" s="342" t="s">
        <v>25</v>
      </c>
      <c r="L661" s="342">
        <v>0</v>
      </c>
    </row>
    <row r="662" spans="1:12" x14ac:dyDescent="0.25">
      <c r="A662" s="341" t="s">
        <v>2420</v>
      </c>
      <c r="B662" s="341" t="s">
        <v>2420</v>
      </c>
      <c r="C662" s="341" t="s">
        <v>2420</v>
      </c>
      <c r="D662" s="342">
        <v>0</v>
      </c>
      <c r="E662" s="342" t="s">
        <v>2420</v>
      </c>
      <c r="F662" s="342" t="s">
        <v>9622</v>
      </c>
      <c r="G662" s="341" t="s">
        <v>1943</v>
      </c>
      <c r="H662" s="341" t="s">
        <v>8080</v>
      </c>
      <c r="I662" s="341" t="s">
        <v>16</v>
      </c>
      <c r="J662" s="342">
        <v>1</v>
      </c>
      <c r="K662" s="342" t="s">
        <v>9623</v>
      </c>
      <c r="L662" s="342">
        <v>0</v>
      </c>
    </row>
    <row r="663" spans="1:12" x14ac:dyDescent="0.25">
      <c r="A663" s="341" t="s">
        <v>2420</v>
      </c>
      <c r="B663" s="341" t="s">
        <v>2420</v>
      </c>
      <c r="C663" s="341" t="s">
        <v>2420</v>
      </c>
      <c r="D663" s="342">
        <v>0</v>
      </c>
      <c r="E663" s="342" t="s">
        <v>2420</v>
      </c>
      <c r="F663" s="342" t="s">
        <v>9624</v>
      </c>
      <c r="G663" s="341" t="s">
        <v>9629</v>
      </c>
      <c r="H663" s="341" t="s">
        <v>9953</v>
      </c>
      <c r="I663" s="341" t="s">
        <v>16</v>
      </c>
      <c r="J663" s="342">
        <v>1</v>
      </c>
      <c r="K663" s="342" t="s">
        <v>2420</v>
      </c>
      <c r="L663" s="342">
        <v>0</v>
      </c>
    </row>
    <row r="664" spans="1:12" x14ac:dyDescent="0.25">
      <c r="A664" s="341" t="s">
        <v>375</v>
      </c>
      <c r="B664" s="341" t="s">
        <v>2802</v>
      </c>
      <c r="C664" s="341" t="s">
        <v>16</v>
      </c>
      <c r="D664" s="342">
        <v>1</v>
      </c>
      <c r="E664" s="342">
        <v>0</v>
      </c>
      <c r="F664" s="342" t="s">
        <v>9622</v>
      </c>
      <c r="G664" s="341" t="s">
        <v>1234</v>
      </c>
      <c r="H664" s="341" t="s">
        <v>6899</v>
      </c>
      <c r="I664" s="341" t="s">
        <v>4230</v>
      </c>
      <c r="J664" s="342">
        <v>0.88</v>
      </c>
      <c r="K664" s="342" t="s">
        <v>4230</v>
      </c>
      <c r="L664" s="342">
        <v>0</v>
      </c>
    </row>
    <row r="665" spans="1:12" x14ac:dyDescent="0.25">
      <c r="A665" s="341" t="s">
        <v>2420</v>
      </c>
      <c r="B665" s="341" t="s">
        <v>2420</v>
      </c>
      <c r="C665" s="341" t="s">
        <v>2420</v>
      </c>
      <c r="D665" s="342">
        <v>0</v>
      </c>
      <c r="E665" s="342" t="s">
        <v>2420</v>
      </c>
      <c r="F665" s="342" t="s">
        <v>9622</v>
      </c>
      <c r="G665" s="341" t="s">
        <v>1235</v>
      </c>
      <c r="H665" s="341" t="s">
        <v>6900</v>
      </c>
      <c r="I665" s="341" t="s">
        <v>4230</v>
      </c>
      <c r="J665" s="342">
        <v>0.44</v>
      </c>
      <c r="K665" s="342" t="s">
        <v>4230</v>
      </c>
      <c r="L665" s="342">
        <v>0</v>
      </c>
    </row>
    <row r="666" spans="1:12" x14ac:dyDescent="0.25">
      <c r="A666" s="341" t="s">
        <v>2420</v>
      </c>
      <c r="B666" s="341" t="s">
        <v>2420</v>
      </c>
      <c r="C666" s="341" t="s">
        <v>2420</v>
      </c>
      <c r="D666" s="342">
        <v>0</v>
      </c>
      <c r="E666" s="342" t="s">
        <v>2420</v>
      </c>
      <c r="F666" s="342" t="s">
        <v>9622</v>
      </c>
      <c r="G666" s="341" t="s">
        <v>1453</v>
      </c>
      <c r="H666" s="341" t="s">
        <v>2802</v>
      </c>
      <c r="I666" s="341" t="s">
        <v>16</v>
      </c>
      <c r="J666" s="342">
        <v>1.05</v>
      </c>
      <c r="K666" s="342" t="s">
        <v>25</v>
      </c>
      <c r="L666" s="342">
        <v>0</v>
      </c>
    </row>
    <row r="667" spans="1:12" x14ac:dyDescent="0.25">
      <c r="A667" s="341" t="s">
        <v>2420</v>
      </c>
      <c r="B667" s="341" t="s">
        <v>2420</v>
      </c>
      <c r="C667" s="341" t="s">
        <v>2420</v>
      </c>
      <c r="D667" s="342">
        <v>0</v>
      </c>
      <c r="E667" s="342" t="s">
        <v>2420</v>
      </c>
      <c r="F667" s="342" t="s">
        <v>9622</v>
      </c>
      <c r="G667" s="341" t="s">
        <v>1472</v>
      </c>
      <c r="H667" s="341" t="s">
        <v>7212</v>
      </c>
      <c r="I667" s="341" t="s">
        <v>2557</v>
      </c>
      <c r="J667" s="342">
        <v>8</v>
      </c>
      <c r="K667" s="342" t="s">
        <v>25</v>
      </c>
      <c r="L667" s="342">
        <v>0</v>
      </c>
    </row>
    <row r="668" spans="1:12" x14ac:dyDescent="0.25">
      <c r="A668" s="341" t="s">
        <v>2420</v>
      </c>
      <c r="B668" s="341" t="s">
        <v>2420</v>
      </c>
      <c r="C668" s="341" t="s">
        <v>2420</v>
      </c>
      <c r="D668" s="342">
        <v>0</v>
      </c>
      <c r="E668" s="342" t="s">
        <v>2420</v>
      </c>
      <c r="F668" s="342" t="s">
        <v>9622</v>
      </c>
      <c r="G668" s="341" t="s">
        <v>1943</v>
      </c>
      <c r="H668" s="341" t="s">
        <v>8080</v>
      </c>
      <c r="I668" s="341" t="s">
        <v>16</v>
      </c>
      <c r="J668" s="342">
        <v>1</v>
      </c>
      <c r="K668" s="342" t="s">
        <v>9623</v>
      </c>
      <c r="L668" s="342">
        <v>0</v>
      </c>
    </row>
    <row r="669" spans="1:12" x14ac:dyDescent="0.25">
      <c r="A669" s="341" t="s">
        <v>2420</v>
      </c>
      <c r="B669" s="341" t="s">
        <v>2420</v>
      </c>
      <c r="C669" s="341" t="s">
        <v>2420</v>
      </c>
      <c r="D669" s="342">
        <v>0</v>
      </c>
      <c r="E669" s="342" t="s">
        <v>2420</v>
      </c>
      <c r="F669" s="342" t="s">
        <v>9624</v>
      </c>
      <c r="G669" s="341" t="s">
        <v>9629</v>
      </c>
      <c r="H669" s="341" t="s">
        <v>9953</v>
      </c>
      <c r="I669" s="341" t="s">
        <v>16</v>
      </c>
      <c r="J669" s="342">
        <v>1</v>
      </c>
      <c r="K669" s="342" t="s">
        <v>2420</v>
      </c>
      <c r="L669" s="342">
        <v>0</v>
      </c>
    </row>
    <row r="670" spans="1:12" x14ac:dyDescent="0.25">
      <c r="A670" s="341" t="s">
        <v>167</v>
      </c>
      <c r="B670" s="341" t="s">
        <v>2803</v>
      </c>
      <c r="C670" s="341" t="s">
        <v>16</v>
      </c>
      <c r="D670" s="342">
        <v>1</v>
      </c>
      <c r="E670" s="342">
        <v>0</v>
      </c>
      <c r="F670" s="342" t="s">
        <v>9622</v>
      </c>
      <c r="G670" s="341" t="s">
        <v>1234</v>
      </c>
      <c r="H670" s="341" t="s">
        <v>6899</v>
      </c>
      <c r="I670" s="341" t="s">
        <v>4230</v>
      </c>
      <c r="J670" s="342">
        <v>0.88</v>
      </c>
      <c r="K670" s="342" t="s">
        <v>4230</v>
      </c>
      <c r="L670" s="342">
        <v>0</v>
      </c>
    </row>
    <row r="671" spans="1:12" x14ac:dyDescent="0.25">
      <c r="A671" s="341" t="s">
        <v>2420</v>
      </c>
      <c r="B671" s="341" t="s">
        <v>2420</v>
      </c>
      <c r="C671" s="341" t="s">
        <v>2420</v>
      </c>
      <c r="D671" s="342">
        <v>0</v>
      </c>
      <c r="E671" s="342" t="s">
        <v>2420</v>
      </c>
      <c r="F671" s="342" t="s">
        <v>9622</v>
      </c>
      <c r="G671" s="341" t="s">
        <v>1235</v>
      </c>
      <c r="H671" s="341" t="s">
        <v>6900</v>
      </c>
      <c r="I671" s="341" t="s">
        <v>4230</v>
      </c>
      <c r="J671" s="342">
        <v>0.44</v>
      </c>
      <c r="K671" s="342" t="s">
        <v>4230</v>
      </c>
      <c r="L671" s="342">
        <v>0</v>
      </c>
    </row>
    <row r="672" spans="1:12" x14ac:dyDescent="0.25">
      <c r="A672" s="341" t="s">
        <v>2420</v>
      </c>
      <c r="B672" s="341" t="s">
        <v>2420</v>
      </c>
      <c r="C672" s="341" t="s">
        <v>2420</v>
      </c>
      <c r="D672" s="342">
        <v>0</v>
      </c>
      <c r="E672" s="342" t="s">
        <v>2420</v>
      </c>
      <c r="F672" s="342" t="s">
        <v>9622</v>
      </c>
      <c r="G672" s="341" t="s">
        <v>1454</v>
      </c>
      <c r="H672" s="341" t="s">
        <v>2803</v>
      </c>
      <c r="I672" s="341" t="s">
        <v>16</v>
      </c>
      <c r="J672" s="342">
        <v>1.05</v>
      </c>
      <c r="K672" s="342" t="s">
        <v>25</v>
      </c>
      <c r="L672" s="342">
        <v>0</v>
      </c>
    </row>
    <row r="673" spans="1:12" x14ac:dyDescent="0.25">
      <c r="A673" s="341" t="s">
        <v>2420</v>
      </c>
      <c r="B673" s="341" t="s">
        <v>2420</v>
      </c>
      <c r="C673" s="341" t="s">
        <v>2420</v>
      </c>
      <c r="D673" s="342">
        <v>0</v>
      </c>
      <c r="E673" s="342" t="s">
        <v>2420</v>
      </c>
      <c r="F673" s="342" t="s">
        <v>9622</v>
      </c>
      <c r="G673" s="341" t="s">
        <v>1472</v>
      </c>
      <c r="H673" s="341" t="s">
        <v>7212</v>
      </c>
      <c r="I673" s="341" t="s">
        <v>2557</v>
      </c>
      <c r="J673" s="342">
        <v>8</v>
      </c>
      <c r="K673" s="342" t="s">
        <v>25</v>
      </c>
      <c r="L673" s="342">
        <v>0</v>
      </c>
    </row>
    <row r="674" spans="1:12" x14ac:dyDescent="0.25">
      <c r="A674" s="341" t="s">
        <v>2420</v>
      </c>
      <c r="B674" s="341" t="s">
        <v>2420</v>
      </c>
      <c r="C674" s="341" t="s">
        <v>2420</v>
      </c>
      <c r="D674" s="342">
        <v>0</v>
      </c>
      <c r="E674" s="342" t="s">
        <v>2420</v>
      </c>
      <c r="F674" s="342" t="s">
        <v>9622</v>
      </c>
      <c r="G674" s="341" t="s">
        <v>1943</v>
      </c>
      <c r="H674" s="341" t="s">
        <v>8080</v>
      </c>
      <c r="I674" s="341" t="s">
        <v>16</v>
      </c>
      <c r="J674" s="342">
        <v>1</v>
      </c>
      <c r="K674" s="342" t="s">
        <v>9623</v>
      </c>
      <c r="L674" s="342">
        <v>0</v>
      </c>
    </row>
    <row r="675" spans="1:12" x14ac:dyDescent="0.25">
      <c r="A675" s="341" t="s">
        <v>2420</v>
      </c>
      <c r="B675" s="341" t="s">
        <v>2420</v>
      </c>
      <c r="C675" s="341" t="s">
        <v>2420</v>
      </c>
      <c r="D675" s="342">
        <v>0</v>
      </c>
      <c r="E675" s="342" t="s">
        <v>2420</v>
      </c>
      <c r="F675" s="342" t="s">
        <v>9624</v>
      </c>
      <c r="G675" s="341" t="s">
        <v>9629</v>
      </c>
      <c r="H675" s="341" t="s">
        <v>9953</v>
      </c>
      <c r="I675" s="341" t="s">
        <v>16</v>
      </c>
      <c r="J675" s="342">
        <v>1</v>
      </c>
      <c r="K675" s="342" t="s">
        <v>2420</v>
      </c>
      <c r="L675" s="342">
        <v>0</v>
      </c>
    </row>
    <row r="676" spans="1:12" x14ac:dyDescent="0.25">
      <c r="A676" s="341" t="s">
        <v>376</v>
      </c>
      <c r="B676" s="341" t="s">
        <v>9957</v>
      </c>
      <c r="C676" s="341" t="s">
        <v>16</v>
      </c>
      <c r="D676" s="342">
        <v>1</v>
      </c>
      <c r="E676" s="342">
        <v>0</v>
      </c>
      <c r="F676" s="342" t="s">
        <v>9622</v>
      </c>
      <c r="G676" s="341" t="s">
        <v>1235</v>
      </c>
      <c r="H676" s="341" t="s">
        <v>6900</v>
      </c>
      <c r="I676" s="341" t="s">
        <v>4230</v>
      </c>
      <c r="J676" s="342">
        <v>0.44</v>
      </c>
      <c r="K676" s="342" t="s">
        <v>4230</v>
      </c>
      <c r="L676" s="342">
        <v>0</v>
      </c>
    </row>
    <row r="677" spans="1:12" x14ac:dyDescent="0.25">
      <c r="A677" s="341" t="s">
        <v>2420</v>
      </c>
      <c r="B677" s="341" t="s">
        <v>2420</v>
      </c>
      <c r="C677" s="341" t="s">
        <v>2420</v>
      </c>
      <c r="D677" s="342">
        <v>0</v>
      </c>
      <c r="E677" s="342" t="s">
        <v>2420</v>
      </c>
      <c r="F677" s="342" t="s">
        <v>9622</v>
      </c>
      <c r="G677" s="341" t="s">
        <v>1378</v>
      </c>
      <c r="H677" s="341" t="s">
        <v>7096</v>
      </c>
      <c r="I677" s="341" t="s">
        <v>2557</v>
      </c>
      <c r="J677" s="342">
        <v>7</v>
      </c>
      <c r="K677" s="342" t="s">
        <v>25</v>
      </c>
      <c r="L677" s="342">
        <v>0</v>
      </c>
    </row>
    <row r="678" spans="1:12" x14ac:dyDescent="0.25">
      <c r="A678" s="341" t="s">
        <v>2420</v>
      </c>
      <c r="B678" s="341" t="s">
        <v>2420</v>
      </c>
      <c r="C678" s="341" t="s">
        <v>2420</v>
      </c>
      <c r="D678" s="342">
        <v>0</v>
      </c>
      <c r="E678" s="342" t="s">
        <v>2420</v>
      </c>
      <c r="F678" s="342" t="s">
        <v>9622</v>
      </c>
      <c r="G678" s="341" t="s">
        <v>1684</v>
      </c>
      <c r="H678" s="341" t="s">
        <v>9958</v>
      </c>
      <c r="I678" s="341" t="s">
        <v>16</v>
      </c>
      <c r="J678" s="342">
        <v>1.05</v>
      </c>
      <c r="K678" s="342" t="s">
        <v>25</v>
      </c>
      <c r="L678" s="342">
        <v>0</v>
      </c>
    </row>
    <row r="679" spans="1:12" x14ac:dyDescent="0.25">
      <c r="A679" s="341" t="s">
        <v>2420</v>
      </c>
      <c r="B679" s="341" t="s">
        <v>2420</v>
      </c>
      <c r="C679" s="341" t="s">
        <v>2420</v>
      </c>
      <c r="D679" s="342">
        <v>0</v>
      </c>
      <c r="E679" s="342" t="s">
        <v>2420</v>
      </c>
      <c r="F679" s="342" t="s">
        <v>9622</v>
      </c>
      <c r="G679" s="341" t="s">
        <v>1865</v>
      </c>
      <c r="H679" s="341" t="s">
        <v>9835</v>
      </c>
      <c r="I679" s="341" t="s">
        <v>16</v>
      </c>
      <c r="J679" s="342">
        <v>1</v>
      </c>
      <c r="K679" s="342" t="s">
        <v>9623</v>
      </c>
      <c r="L679" s="342">
        <v>0</v>
      </c>
    </row>
    <row r="680" spans="1:12" x14ac:dyDescent="0.25">
      <c r="A680" s="341" t="s">
        <v>2420</v>
      </c>
      <c r="B680" s="341" t="s">
        <v>2420</v>
      </c>
      <c r="C680" s="341" t="s">
        <v>2420</v>
      </c>
      <c r="D680" s="342">
        <v>0</v>
      </c>
      <c r="E680" s="342" t="s">
        <v>2420</v>
      </c>
      <c r="F680" s="342" t="s">
        <v>9622</v>
      </c>
      <c r="G680" s="341" t="s">
        <v>1234</v>
      </c>
      <c r="H680" s="341" t="s">
        <v>6899</v>
      </c>
      <c r="I680" s="341" t="s">
        <v>4230</v>
      </c>
      <c r="J680" s="342">
        <v>0.88</v>
      </c>
      <c r="K680" s="342" t="s">
        <v>4230</v>
      </c>
      <c r="L680" s="342">
        <v>0</v>
      </c>
    </row>
    <row r="681" spans="1:12" x14ac:dyDescent="0.25">
      <c r="A681" s="341" t="s">
        <v>2420</v>
      </c>
      <c r="B681" s="341" t="s">
        <v>2420</v>
      </c>
      <c r="C681" s="341" t="s">
        <v>2420</v>
      </c>
      <c r="D681" s="342">
        <v>0</v>
      </c>
      <c r="E681" s="342" t="s">
        <v>2420</v>
      </c>
      <c r="F681" s="342" t="s">
        <v>9624</v>
      </c>
      <c r="G681" s="341" t="s">
        <v>9828</v>
      </c>
      <c r="H681" s="341" t="s">
        <v>9829</v>
      </c>
      <c r="I681" s="341" t="s">
        <v>16</v>
      </c>
      <c r="J681" s="342">
        <v>1</v>
      </c>
      <c r="K681" s="342" t="s">
        <v>2420</v>
      </c>
      <c r="L681" s="342">
        <v>0</v>
      </c>
    </row>
    <row r="682" spans="1:12" x14ac:dyDescent="0.25">
      <c r="A682" s="341" t="s">
        <v>413</v>
      </c>
      <c r="B682" s="341" t="s">
        <v>9959</v>
      </c>
      <c r="C682" s="341" t="s">
        <v>25</v>
      </c>
      <c r="D682" s="342">
        <v>1</v>
      </c>
      <c r="E682" s="342">
        <v>0</v>
      </c>
      <c r="F682" s="342" t="s">
        <v>9622</v>
      </c>
      <c r="G682" s="341" t="s">
        <v>1234</v>
      </c>
      <c r="H682" s="341" t="s">
        <v>6899</v>
      </c>
      <c r="I682" s="341" t="s">
        <v>4230</v>
      </c>
      <c r="J682" s="342">
        <v>0.9</v>
      </c>
      <c r="K682" s="342" t="s">
        <v>4230</v>
      </c>
      <c r="L682" s="342">
        <v>0</v>
      </c>
    </row>
    <row r="683" spans="1:12" x14ac:dyDescent="0.25">
      <c r="A683" s="341" t="s">
        <v>2420</v>
      </c>
      <c r="B683" s="341" t="s">
        <v>2420</v>
      </c>
      <c r="C683" s="341" t="s">
        <v>2420</v>
      </c>
      <c r="D683" s="342">
        <v>0</v>
      </c>
      <c r="E683" s="342" t="s">
        <v>2420</v>
      </c>
      <c r="F683" s="342" t="s">
        <v>9622</v>
      </c>
      <c r="G683" s="341" t="s">
        <v>1235</v>
      </c>
      <c r="H683" s="341" t="s">
        <v>6900</v>
      </c>
      <c r="I683" s="341" t="s">
        <v>4230</v>
      </c>
      <c r="J683" s="342">
        <v>0.3</v>
      </c>
      <c r="K683" s="342" t="s">
        <v>4230</v>
      </c>
      <c r="L683" s="342">
        <v>0</v>
      </c>
    </row>
    <row r="684" spans="1:12" x14ac:dyDescent="0.25">
      <c r="A684" s="341" t="s">
        <v>2420</v>
      </c>
      <c r="B684" s="341" t="s">
        <v>2420</v>
      </c>
      <c r="C684" s="341" t="s">
        <v>2420</v>
      </c>
      <c r="D684" s="342">
        <v>0</v>
      </c>
      <c r="E684" s="342" t="s">
        <v>2420</v>
      </c>
      <c r="F684" s="342" t="s">
        <v>9622</v>
      </c>
      <c r="G684" s="341" t="s">
        <v>1379</v>
      </c>
      <c r="H684" s="341" t="s">
        <v>9960</v>
      </c>
      <c r="I684" s="341" t="s">
        <v>11</v>
      </c>
      <c r="J684" s="342">
        <v>1.05</v>
      </c>
      <c r="K684" s="342" t="s">
        <v>25</v>
      </c>
      <c r="L684" s="342">
        <v>0</v>
      </c>
    </row>
    <row r="685" spans="1:12" x14ac:dyDescent="0.25">
      <c r="A685" s="341" t="s">
        <v>2420</v>
      </c>
      <c r="B685" s="341" t="s">
        <v>2420</v>
      </c>
      <c r="C685" s="341" t="s">
        <v>2420</v>
      </c>
      <c r="D685" s="342">
        <v>0</v>
      </c>
      <c r="E685" s="342" t="s">
        <v>2420</v>
      </c>
      <c r="F685" s="342" t="s">
        <v>9622</v>
      </c>
      <c r="G685" s="341" t="s">
        <v>1869</v>
      </c>
      <c r="H685" s="341" t="s">
        <v>7996</v>
      </c>
      <c r="I685" s="341" t="s">
        <v>25</v>
      </c>
      <c r="J685" s="342">
        <v>1</v>
      </c>
      <c r="K685" s="342" t="s">
        <v>9623</v>
      </c>
      <c r="L685" s="342">
        <v>0</v>
      </c>
    </row>
    <row r="686" spans="1:12" x14ac:dyDescent="0.25">
      <c r="A686" s="341" t="s">
        <v>2420</v>
      </c>
      <c r="B686" s="341" t="s">
        <v>2420</v>
      </c>
      <c r="C686" s="341" t="s">
        <v>2420</v>
      </c>
      <c r="D686" s="342">
        <v>0</v>
      </c>
      <c r="E686" s="342" t="s">
        <v>2420</v>
      </c>
      <c r="F686" s="342" t="s">
        <v>9624</v>
      </c>
      <c r="G686" s="341" t="s">
        <v>9712</v>
      </c>
      <c r="H686" s="341" t="s">
        <v>9713</v>
      </c>
      <c r="I686" s="341" t="s">
        <v>52</v>
      </c>
      <c r="J686" s="342">
        <v>4.2500000000000003E-3</v>
      </c>
      <c r="K686" s="342" t="s">
        <v>2420</v>
      </c>
      <c r="L686" s="342">
        <v>0</v>
      </c>
    </row>
    <row r="687" spans="1:12" x14ac:dyDescent="0.25">
      <c r="A687" s="341" t="s">
        <v>414</v>
      </c>
      <c r="B687" s="341" t="s">
        <v>9961</v>
      </c>
      <c r="C687" s="341" t="s">
        <v>25</v>
      </c>
      <c r="D687" s="342">
        <v>1</v>
      </c>
      <c r="E687" s="342">
        <v>0</v>
      </c>
      <c r="F687" s="342" t="s">
        <v>9622</v>
      </c>
      <c r="G687" s="341" t="s">
        <v>1234</v>
      </c>
      <c r="H687" s="341" t="s">
        <v>6899</v>
      </c>
      <c r="I687" s="341" t="s">
        <v>4230</v>
      </c>
      <c r="J687" s="342">
        <v>0.9</v>
      </c>
      <c r="K687" s="342" t="s">
        <v>4230</v>
      </c>
      <c r="L687" s="342">
        <v>0</v>
      </c>
    </row>
    <row r="688" spans="1:12" x14ac:dyDescent="0.25">
      <c r="A688" s="341" t="s">
        <v>2420</v>
      </c>
      <c r="B688" s="341" t="s">
        <v>2420</v>
      </c>
      <c r="C688" s="341" t="s">
        <v>2420</v>
      </c>
      <c r="D688" s="342">
        <v>0</v>
      </c>
      <c r="E688" s="342" t="s">
        <v>2420</v>
      </c>
      <c r="F688" s="342" t="s">
        <v>9622</v>
      </c>
      <c r="G688" s="341" t="s">
        <v>1235</v>
      </c>
      <c r="H688" s="341" t="s">
        <v>6900</v>
      </c>
      <c r="I688" s="341" t="s">
        <v>4230</v>
      </c>
      <c r="J688" s="342">
        <v>0.3</v>
      </c>
      <c r="K688" s="342" t="s">
        <v>4230</v>
      </c>
      <c r="L688" s="342">
        <v>0</v>
      </c>
    </row>
    <row r="689" spans="1:12" x14ac:dyDescent="0.25">
      <c r="A689" s="341" t="s">
        <v>2420</v>
      </c>
      <c r="B689" s="341" t="s">
        <v>2420</v>
      </c>
      <c r="C689" s="341" t="s">
        <v>2420</v>
      </c>
      <c r="D689" s="342">
        <v>0</v>
      </c>
      <c r="E689" s="342" t="s">
        <v>2420</v>
      </c>
      <c r="F689" s="342" t="s">
        <v>9622</v>
      </c>
      <c r="G689" s="341" t="s">
        <v>1261</v>
      </c>
      <c r="H689" s="341" t="s">
        <v>9962</v>
      </c>
      <c r="I689" s="341" t="s">
        <v>25</v>
      </c>
      <c r="J689" s="342">
        <v>1.05</v>
      </c>
      <c r="K689" s="342" t="s">
        <v>25</v>
      </c>
      <c r="L689" s="342">
        <v>0</v>
      </c>
    </row>
    <row r="690" spans="1:12" x14ac:dyDescent="0.25">
      <c r="A690" s="341" t="s">
        <v>2420</v>
      </c>
      <c r="B690" s="341" t="s">
        <v>2420</v>
      </c>
      <c r="C690" s="341" t="s">
        <v>2420</v>
      </c>
      <c r="D690" s="342">
        <v>0</v>
      </c>
      <c r="E690" s="342" t="s">
        <v>2420</v>
      </c>
      <c r="F690" s="342" t="s">
        <v>9622</v>
      </c>
      <c r="G690" s="341" t="s">
        <v>1869</v>
      </c>
      <c r="H690" s="341" t="s">
        <v>7996</v>
      </c>
      <c r="I690" s="341" t="s">
        <v>25</v>
      </c>
      <c r="J690" s="342">
        <v>1</v>
      </c>
      <c r="K690" s="342" t="s">
        <v>9623</v>
      </c>
      <c r="L690" s="342">
        <v>0</v>
      </c>
    </row>
    <row r="691" spans="1:12" x14ac:dyDescent="0.25">
      <c r="A691" s="341" t="s">
        <v>2420</v>
      </c>
      <c r="B691" s="341" t="s">
        <v>2420</v>
      </c>
      <c r="C691" s="341" t="s">
        <v>2420</v>
      </c>
      <c r="D691" s="342">
        <v>0</v>
      </c>
      <c r="E691" s="342" t="s">
        <v>2420</v>
      </c>
      <c r="F691" s="342" t="s">
        <v>9624</v>
      </c>
      <c r="G691" s="341" t="s">
        <v>9712</v>
      </c>
      <c r="H691" s="341" t="s">
        <v>9713</v>
      </c>
      <c r="I691" s="341" t="s">
        <v>52</v>
      </c>
      <c r="J691" s="342">
        <v>5.7499999999999999E-3</v>
      </c>
      <c r="K691" s="342" t="s">
        <v>2420</v>
      </c>
      <c r="L691" s="342">
        <v>0</v>
      </c>
    </row>
    <row r="692" spans="1:12" x14ac:dyDescent="0.25">
      <c r="A692" s="341" t="s">
        <v>415</v>
      </c>
      <c r="B692" s="341" t="s">
        <v>9963</v>
      </c>
      <c r="C692" s="341" t="s">
        <v>25</v>
      </c>
      <c r="D692" s="342">
        <v>1</v>
      </c>
      <c r="E692" s="342">
        <v>0</v>
      </c>
      <c r="F692" s="342" t="s">
        <v>9622</v>
      </c>
      <c r="G692" s="341" t="s">
        <v>1234</v>
      </c>
      <c r="H692" s="341" t="s">
        <v>6899</v>
      </c>
      <c r="I692" s="341" t="s">
        <v>4230</v>
      </c>
      <c r="J692" s="342">
        <v>0.9</v>
      </c>
      <c r="K692" s="342" t="s">
        <v>4230</v>
      </c>
      <c r="L692" s="342">
        <v>0</v>
      </c>
    </row>
    <row r="693" spans="1:12" x14ac:dyDescent="0.25">
      <c r="A693" s="341" t="s">
        <v>2420</v>
      </c>
      <c r="B693" s="341" t="s">
        <v>2420</v>
      </c>
      <c r="C693" s="341" t="s">
        <v>2420</v>
      </c>
      <c r="D693" s="342">
        <v>0</v>
      </c>
      <c r="E693" s="342" t="s">
        <v>2420</v>
      </c>
      <c r="F693" s="342" t="s">
        <v>9622</v>
      </c>
      <c r="G693" s="341" t="s">
        <v>1235</v>
      </c>
      <c r="H693" s="341" t="s">
        <v>6900</v>
      </c>
      <c r="I693" s="341" t="s">
        <v>4230</v>
      </c>
      <c r="J693" s="342">
        <v>0.3</v>
      </c>
      <c r="K693" s="342" t="s">
        <v>4230</v>
      </c>
      <c r="L693" s="342">
        <v>0</v>
      </c>
    </row>
    <row r="694" spans="1:12" x14ac:dyDescent="0.25">
      <c r="A694" s="341" t="s">
        <v>2420</v>
      </c>
      <c r="B694" s="341" t="s">
        <v>2420</v>
      </c>
      <c r="C694" s="341" t="s">
        <v>2420</v>
      </c>
      <c r="D694" s="342">
        <v>0</v>
      </c>
      <c r="E694" s="342" t="s">
        <v>2420</v>
      </c>
      <c r="F694" s="342" t="s">
        <v>9622</v>
      </c>
      <c r="G694" s="341" t="s">
        <v>1632</v>
      </c>
      <c r="H694" s="341" t="s">
        <v>9964</v>
      </c>
      <c r="I694" s="341" t="s">
        <v>25</v>
      </c>
      <c r="J694" s="342">
        <v>1.05</v>
      </c>
      <c r="K694" s="342" t="s">
        <v>25</v>
      </c>
      <c r="L694" s="342">
        <v>0</v>
      </c>
    </row>
    <row r="695" spans="1:12" x14ac:dyDescent="0.25">
      <c r="A695" s="341" t="s">
        <v>2420</v>
      </c>
      <c r="B695" s="341" t="s">
        <v>2420</v>
      </c>
      <c r="C695" s="341" t="s">
        <v>2420</v>
      </c>
      <c r="D695" s="342">
        <v>0</v>
      </c>
      <c r="E695" s="342" t="s">
        <v>2420</v>
      </c>
      <c r="F695" s="342" t="s">
        <v>9622</v>
      </c>
      <c r="G695" s="341" t="s">
        <v>1869</v>
      </c>
      <c r="H695" s="341" t="s">
        <v>7996</v>
      </c>
      <c r="I695" s="341" t="s">
        <v>25</v>
      </c>
      <c r="J695" s="342">
        <v>1</v>
      </c>
      <c r="K695" s="342" t="s">
        <v>9623</v>
      </c>
      <c r="L695" s="342">
        <v>0</v>
      </c>
    </row>
    <row r="696" spans="1:12" x14ac:dyDescent="0.25">
      <c r="A696" s="341" t="s">
        <v>2420</v>
      </c>
      <c r="B696" s="341" t="s">
        <v>2420</v>
      </c>
      <c r="C696" s="341" t="s">
        <v>2420</v>
      </c>
      <c r="D696" s="342">
        <v>0</v>
      </c>
      <c r="E696" s="342" t="s">
        <v>2420</v>
      </c>
      <c r="F696" s="342" t="s">
        <v>9624</v>
      </c>
      <c r="G696" s="341" t="s">
        <v>9712</v>
      </c>
      <c r="H696" s="341" t="s">
        <v>9713</v>
      </c>
      <c r="I696" s="341" t="s">
        <v>52</v>
      </c>
      <c r="J696" s="342">
        <v>7.4999999999999997E-3</v>
      </c>
      <c r="K696" s="342" t="s">
        <v>2420</v>
      </c>
      <c r="L696" s="342">
        <v>0</v>
      </c>
    </row>
    <row r="697" spans="1:12" x14ac:dyDescent="0.25">
      <c r="A697" s="341" t="s">
        <v>377</v>
      </c>
      <c r="B697" s="341" t="s">
        <v>9837</v>
      </c>
      <c r="C697" s="341" t="s">
        <v>16</v>
      </c>
      <c r="D697" s="342">
        <v>1</v>
      </c>
      <c r="E697" s="342">
        <v>0</v>
      </c>
      <c r="F697" s="342" t="s">
        <v>9622</v>
      </c>
      <c r="G697" s="341" t="s">
        <v>1234</v>
      </c>
      <c r="H697" s="341" t="s">
        <v>6899</v>
      </c>
      <c r="I697" s="341" t="s">
        <v>4230</v>
      </c>
      <c r="J697" s="342">
        <v>0.88</v>
      </c>
      <c r="K697" s="342" t="s">
        <v>4230</v>
      </c>
      <c r="L697" s="342">
        <v>0</v>
      </c>
    </row>
    <row r="698" spans="1:12" x14ac:dyDescent="0.25">
      <c r="A698" s="341" t="s">
        <v>2420</v>
      </c>
      <c r="B698" s="341" t="s">
        <v>2420</v>
      </c>
      <c r="C698" s="341" t="s">
        <v>2420</v>
      </c>
      <c r="D698" s="342">
        <v>0</v>
      </c>
      <c r="E698" s="342" t="s">
        <v>2420</v>
      </c>
      <c r="F698" s="342" t="s">
        <v>9622</v>
      </c>
      <c r="G698" s="341" t="s">
        <v>1235</v>
      </c>
      <c r="H698" s="341" t="s">
        <v>6900</v>
      </c>
      <c r="I698" s="341" t="s">
        <v>4230</v>
      </c>
      <c r="J698" s="342">
        <v>0.44</v>
      </c>
      <c r="K698" s="342" t="s">
        <v>4230</v>
      </c>
      <c r="L698" s="342">
        <v>0</v>
      </c>
    </row>
    <row r="699" spans="1:12" x14ac:dyDescent="0.25">
      <c r="A699" s="341" t="s">
        <v>2420</v>
      </c>
      <c r="B699" s="341" t="s">
        <v>2420</v>
      </c>
      <c r="C699" s="341" t="s">
        <v>2420</v>
      </c>
      <c r="D699" s="342">
        <v>0</v>
      </c>
      <c r="E699" s="342" t="s">
        <v>2420</v>
      </c>
      <c r="F699" s="342" t="s">
        <v>9622</v>
      </c>
      <c r="G699" s="341" t="s">
        <v>1327</v>
      </c>
      <c r="H699" s="341" t="s">
        <v>9965</v>
      </c>
      <c r="I699" s="341" t="s">
        <v>16</v>
      </c>
      <c r="J699" s="342">
        <v>1.05</v>
      </c>
      <c r="K699" s="342" t="s">
        <v>25</v>
      </c>
      <c r="L699" s="342">
        <v>0</v>
      </c>
    </row>
    <row r="700" spans="1:12" x14ac:dyDescent="0.25">
      <c r="A700" s="341" t="s">
        <v>2420</v>
      </c>
      <c r="B700" s="341" t="s">
        <v>2420</v>
      </c>
      <c r="C700" s="341" t="s">
        <v>2420</v>
      </c>
      <c r="D700" s="342">
        <v>0</v>
      </c>
      <c r="E700" s="342" t="s">
        <v>2420</v>
      </c>
      <c r="F700" s="342" t="s">
        <v>9622</v>
      </c>
      <c r="G700" s="341" t="s">
        <v>1378</v>
      </c>
      <c r="H700" s="341" t="s">
        <v>7096</v>
      </c>
      <c r="I700" s="341" t="s">
        <v>2557</v>
      </c>
      <c r="J700" s="342">
        <v>7</v>
      </c>
      <c r="K700" s="342" t="s">
        <v>25</v>
      </c>
      <c r="L700" s="342">
        <v>0</v>
      </c>
    </row>
    <row r="701" spans="1:12" x14ac:dyDescent="0.25">
      <c r="A701" s="341" t="s">
        <v>2420</v>
      </c>
      <c r="B701" s="341" t="s">
        <v>2420</v>
      </c>
      <c r="C701" s="341" t="s">
        <v>2420</v>
      </c>
      <c r="D701" s="342">
        <v>0</v>
      </c>
      <c r="E701" s="342" t="s">
        <v>2420</v>
      </c>
      <c r="F701" s="342" t="s">
        <v>9622</v>
      </c>
      <c r="G701" s="341" t="s">
        <v>1865</v>
      </c>
      <c r="H701" s="341" t="s">
        <v>9835</v>
      </c>
      <c r="I701" s="341" t="s">
        <v>16</v>
      </c>
      <c r="J701" s="342">
        <v>1</v>
      </c>
      <c r="K701" s="342" t="s">
        <v>9623</v>
      </c>
      <c r="L701" s="342">
        <v>0</v>
      </c>
    </row>
    <row r="702" spans="1:12" x14ac:dyDescent="0.25">
      <c r="A702" s="341" t="s">
        <v>2420</v>
      </c>
      <c r="B702" s="341" t="s">
        <v>2420</v>
      </c>
      <c r="C702" s="341" t="s">
        <v>2420</v>
      </c>
      <c r="D702" s="342">
        <v>0</v>
      </c>
      <c r="E702" s="342" t="s">
        <v>2420</v>
      </c>
      <c r="F702" s="342" t="s">
        <v>9624</v>
      </c>
      <c r="G702" s="341" t="s">
        <v>9828</v>
      </c>
      <c r="H702" s="341" t="s">
        <v>9829</v>
      </c>
      <c r="I702" s="341" t="s">
        <v>16</v>
      </c>
      <c r="J702" s="342">
        <v>1</v>
      </c>
      <c r="K702" s="342" t="s">
        <v>2420</v>
      </c>
      <c r="L702" s="342">
        <v>0</v>
      </c>
    </row>
    <row r="703" spans="1:12" x14ac:dyDescent="0.25">
      <c r="A703" s="341" t="s">
        <v>190</v>
      </c>
      <c r="B703" s="341" t="s">
        <v>9966</v>
      </c>
      <c r="C703" s="341" t="s">
        <v>25</v>
      </c>
      <c r="D703" s="342">
        <v>1</v>
      </c>
      <c r="E703" s="342">
        <v>0</v>
      </c>
      <c r="F703" s="342" t="s">
        <v>9622</v>
      </c>
      <c r="G703" s="341" t="s">
        <v>1241</v>
      </c>
      <c r="H703" s="341" t="s">
        <v>6905</v>
      </c>
      <c r="I703" s="341" t="s">
        <v>4230</v>
      </c>
      <c r="J703" s="342">
        <v>0.4</v>
      </c>
      <c r="K703" s="342" t="s">
        <v>4230</v>
      </c>
      <c r="L703" s="342">
        <v>0</v>
      </c>
    </row>
    <row r="704" spans="1:12" x14ac:dyDescent="0.25">
      <c r="A704" s="341" t="s">
        <v>2420</v>
      </c>
      <c r="B704" s="341" t="s">
        <v>2420</v>
      </c>
      <c r="C704" s="341" t="s">
        <v>2420</v>
      </c>
      <c r="D704" s="342">
        <v>0</v>
      </c>
      <c r="E704" s="342" t="s">
        <v>2420</v>
      </c>
      <c r="F704" s="342" t="s">
        <v>9622</v>
      </c>
      <c r="G704" s="341" t="s">
        <v>1242</v>
      </c>
      <c r="H704" s="341" t="s">
        <v>9833</v>
      </c>
      <c r="I704" s="341" t="s">
        <v>4230</v>
      </c>
      <c r="J704" s="342">
        <v>0.4</v>
      </c>
      <c r="K704" s="342" t="s">
        <v>4230</v>
      </c>
      <c r="L704" s="342">
        <v>0</v>
      </c>
    </row>
    <row r="705" spans="1:12" x14ac:dyDescent="0.25">
      <c r="A705" s="341" t="s">
        <v>2420</v>
      </c>
      <c r="B705" s="341" t="s">
        <v>2420</v>
      </c>
      <c r="C705" s="341" t="s">
        <v>2420</v>
      </c>
      <c r="D705" s="342">
        <v>0</v>
      </c>
      <c r="E705" s="342" t="s">
        <v>2420</v>
      </c>
      <c r="F705" s="342" t="s">
        <v>9622</v>
      </c>
      <c r="G705" s="341" t="s">
        <v>2039</v>
      </c>
      <c r="H705" s="341" t="s">
        <v>9967</v>
      </c>
      <c r="I705" s="341" t="s">
        <v>25</v>
      </c>
      <c r="J705" s="342">
        <v>1</v>
      </c>
      <c r="K705" s="342" t="s">
        <v>9623</v>
      </c>
      <c r="L705" s="342">
        <v>0</v>
      </c>
    </row>
    <row r="706" spans="1:12" x14ac:dyDescent="0.25">
      <c r="A706" s="341" t="s">
        <v>193</v>
      </c>
      <c r="B706" s="341" t="s">
        <v>9968</v>
      </c>
      <c r="C706" s="341" t="s">
        <v>25</v>
      </c>
      <c r="D706" s="342">
        <v>1</v>
      </c>
      <c r="E706" s="342">
        <v>0</v>
      </c>
      <c r="F706" s="342" t="s">
        <v>9622</v>
      </c>
      <c r="G706" s="341" t="s">
        <v>1241</v>
      </c>
      <c r="H706" s="341" t="s">
        <v>6905</v>
      </c>
      <c r="I706" s="341" t="s">
        <v>4230</v>
      </c>
      <c r="J706" s="342">
        <v>1</v>
      </c>
      <c r="K706" s="342" t="s">
        <v>4230</v>
      </c>
      <c r="L706" s="342">
        <v>0</v>
      </c>
    </row>
    <row r="707" spans="1:12" x14ac:dyDescent="0.25">
      <c r="A707" s="341" t="s">
        <v>2420</v>
      </c>
      <c r="B707" s="341" t="s">
        <v>2420</v>
      </c>
      <c r="C707" s="341" t="s">
        <v>2420</v>
      </c>
      <c r="D707" s="342">
        <v>0</v>
      </c>
      <c r="E707" s="342" t="s">
        <v>2420</v>
      </c>
      <c r="F707" s="342" t="s">
        <v>9622</v>
      </c>
      <c r="G707" s="341" t="s">
        <v>1242</v>
      </c>
      <c r="H707" s="341" t="s">
        <v>9833</v>
      </c>
      <c r="I707" s="341" t="s">
        <v>4230</v>
      </c>
      <c r="J707" s="342">
        <v>0.5</v>
      </c>
      <c r="K707" s="342" t="s">
        <v>4230</v>
      </c>
      <c r="L707" s="342">
        <v>0</v>
      </c>
    </row>
    <row r="708" spans="1:12" x14ac:dyDescent="0.25">
      <c r="A708" s="341" t="s">
        <v>2420</v>
      </c>
      <c r="B708" s="341" t="s">
        <v>2420</v>
      </c>
      <c r="C708" s="341" t="s">
        <v>2420</v>
      </c>
      <c r="D708" s="342">
        <v>0</v>
      </c>
      <c r="E708" s="342" t="s">
        <v>2420</v>
      </c>
      <c r="F708" s="342" t="s">
        <v>9622</v>
      </c>
      <c r="G708" s="341" t="s">
        <v>1851</v>
      </c>
      <c r="H708" s="341" t="s">
        <v>9969</v>
      </c>
      <c r="I708" s="341" t="s">
        <v>25</v>
      </c>
      <c r="J708" s="342">
        <v>1</v>
      </c>
      <c r="K708" s="342" t="s">
        <v>9623</v>
      </c>
      <c r="L708" s="342">
        <v>0</v>
      </c>
    </row>
    <row r="709" spans="1:12" x14ac:dyDescent="0.25">
      <c r="A709" s="341" t="s">
        <v>183</v>
      </c>
      <c r="B709" s="341" t="s">
        <v>9970</v>
      </c>
      <c r="C709" s="341" t="s">
        <v>25</v>
      </c>
      <c r="D709" s="342">
        <v>1</v>
      </c>
      <c r="E709" s="342">
        <v>0</v>
      </c>
      <c r="F709" s="342" t="s">
        <v>9622</v>
      </c>
      <c r="G709" s="341" t="s">
        <v>1234</v>
      </c>
      <c r="H709" s="341" t="s">
        <v>6899</v>
      </c>
      <c r="I709" s="341" t="s">
        <v>4230</v>
      </c>
      <c r="J709" s="342">
        <v>1.25</v>
      </c>
      <c r="K709" s="342" t="s">
        <v>4230</v>
      </c>
      <c r="L709" s="342">
        <v>0</v>
      </c>
    </row>
    <row r="710" spans="1:12" x14ac:dyDescent="0.25">
      <c r="A710" s="341" t="s">
        <v>2420</v>
      </c>
      <c r="B710" s="341" t="s">
        <v>2420</v>
      </c>
      <c r="C710" s="341" t="s">
        <v>2420</v>
      </c>
      <c r="D710" s="342">
        <v>0</v>
      </c>
      <c r="E710" s="342" t="s">
        <v>2420</v>
      </c>
      <c r="F710" s="342" t="s">
        <v>9622</v>
      </c>
      <c r="G710" s="341" t="s">
        <v>1235</v>
      </c>
      <c r="H710" s="341" t="s">
        <v>6900</v>
      </c>
      <c r="I710" s="341" t="s">
        <v>4230</v>
      </c>
      <c r="J710" s="342">
        <v>0.5</v>
      </c>
      <c r="K710" s="342" t="s">
        <v>4230</v>
      </c>
      <c r="L710" s="342">
        <v>0</v>
      </c>
    </row>
    <row r="711" spans="1:12" x14ac:dyDescent="0.25">
      <c r="A711" s="341" t="s">
        <v>2420</v>
      </c>
      <c r="B711" s="341" t="s">
        <v>2420</v>
      </c>
      <c r="C711" s="341" t="s">
        <v>2420</v>
      </c>
      <c r="D711" s="342">
        <v>0</v>
      </c>
      <c r="E711" s="342" t="s">
        <v>2420</v>
      </c>
      <c r="F711" s="342" t="s">
        <v>9622</v>
      </c>
      <c r="G711" s="341" t="s">
        <v>1367</v>
      </c>
      <c r="H711" s="341" t="s">
        <v>9971</v>
      </c>
      <c r="I711" s="341" t="s">
        <v>25</v>
      </c>
      <c r="J711" s="342">
        <v>1.05</v>
      </c>
      <c r="K711" s="342" t="s">
        <v>25</v>
      </c>
      <c r="L711" s="342">
        <v>0</v>
      </c>
    </row>
    <row r="712" spans="1:12" x14ac:dyDescent="0.25">
      <c r="A712" s="341" t="s">
        <v>2420</v>
      </c>
      <c r="B712" s="341" t="s">
        <v>2420</v>
      </c>
      <c r="C712" s="341" t="s">
        <v>2420</v>
      </c>
      <c r="D712" s="342">
        <v>0</v>
      </c>
      <c r="E712" s="342" t="s">
        <v>2420</v>
      </c>
      <c r="F712" s="342" t="s">
        <v>9622</v>
      </c>
      <c r="G712" s="341" t="s">
        <v>1378</v>
      </c>
      <c r="H712" s="341" t="s">
        <v>7096</v>
      </c>
      <c r="I712" s="341" t="s">
        <v>2557</v>
      </c>
      <c r="J712" s="342">
        <v>1.05</v>
      </c>
      <c r="K712" s="342" t="s">
        <v>25</v>
      </c>
      <c r="L712" s="342">
        <v>0</v>
      </c>
    </row>
    <row r="713" spans="1:12" x14ac:dyDescent="0.25">
      <c r="A713" s="341" t="s">
        <v>2420</v>
      </c>
      <c r="B713" s="341" t="s">
        <v>2420</v>
      </c>
      <c r="C713" s="341" t="s">
        <v>2420</v>
      </c>
      <c r="D713" s="342">
        <v>0</v>
      </c>
      <c r="E713" s="342" t="s">
        <v>2420</v>
      </c>
      <c r="F713" s="342" t="s">
        <v>9622</v>
      </c>
      <c r="G713" s="341" t="s">
        <v>1613</v>
      </c>
      <c r="H713" s="341" t="s">
        <v>7333</v>
      </c>
      <c r="I713" s="341" t="s">
        <v>2557</v>
      </c>
      <c r="J713" s="342">
        <v>0.105</v>
      </c>
      <c r="K713" s="342" t="s">
        <v>25</v>
      </c>
      <c r="L713" s="342">
        <v>0</v>
      </c>
    </row>
    <row r="714" spans="1:12" x14ac:dyDescent="0.25">
      <c r="A714" s="341" t="s">
        <v>2420</v>
      </c>
      <c r="B714" s="341" t="s">
        <v>2420</v>
      </c>
      <c r="C714" s="341" t="s">
        <v>2420</v>
      </c>
      <c r="D714" s="342">
        <v>0</v>
      </c>
      <c r="E714" s="342" t="s">
        <v>2420</v>
      </c>
      <c r="F714" s="342" t="s">
        <v>9622</v>
      </c>
      <c r="G714" s="341" t="s">
        <v>1869</v>
      </c>
      <c r="H714" s="341" t="s">
        <v>7996</v>
      </c>
      <c r="I714" s="341" t="s">
        <v>25</v>
      </c>
      <c r="J714" s="342">
        <v>1</v>
      </c>
      <c r="K714" s="342" t="s">
        <v>9623</v>
      </c>
      <c r="L714" s="342">
        <v>0</v>
      </c>
    </row>
    <row r="715" spans="1:12" x14ac:dyDescent="0.25">
      <c r="A715" s="341" t="s">
        <v>2420</v>
      </c>
      <c r="B715" s="341" t="s">
        <v>2420</v>
      </c>
      <c r="C715" s="341" t="s">
        <v>2420</v>
      </c>
      <c r="D715" s="342">
        <v>0</v>
      </c>
      <c r="E715" s="342" t="s">
        <v>2420</v>
      </c>
      <c r="F715" s="342" t="s">
        <v>9622</v>
      </c>
      <c r="G715" s="341" t="s">
        <v>2038</v>
      </c>
      <c r="H715" s="341" t="s">
        <v>8372</v>
      </c>
      <c r="I715" s="341" t="s">
        <v>16</v>
      </c>
      <c r="J715" s="342">
        <v>0.5</v>
      </c>
      <c r="K715" s="342" t="s">
        <v>9623</v>
      </c>
      <c r="L715" s="342">
        <v>0</v>
      </c>
    </row>
    <row r="716" spans="1:12" x14ac:dyDescent="0.25">
      <c r="A716" s="341" t="s">
        <v>416</v>
      </c>
      <c r="B716" s="341" t="s">
        <v>9972</v>
      </c>
      <c r="C716" s="341" t="s">
        <v>25</v>
      </c>
      <c r="D716" s="342">
        <v>1</v>
      </c>
      <c r="E716" s="342">
        <v>0</v>
      </c>
      <c r="F716" s="342" t="s">
        <v>9622</v>
      </c>
      <c r="G716" s="341" t="s">
        <v>1234</v>
      </c>
      <c r="H716" s="341" t="s">
        <v>6899</v>
      </c>
      <c r="I716" s="341" t="s">
        <v>4230</v>
      </c>
      <c r="J716" s="342">
        <v>1.25</v>
      </c>
      <c r="K716" s="342" t="s">
        <v>4230</v>
      </c>
      <c r="L716" s="342">
        <v>0</v>
      </c>
    </row>
    <row r="717" spans="1:12" x14ac:dyDescent="0.25">
      <c r="A717" s="341" t="s">
        <v>2420</v>
      </c>
      <c r="B717" s="341" t="s">
        <v>2420</v>
      </c>
      <c r="C717" s="341" t="s">
        <v>2420</v>
      </c>
      <c r="D717" s="342">
        <v>0</v>
      </c>
      <c r="E717" s="342" t="s">
        <v>2420</v>
      </c>
      <c r="F717" s="342" t="s">
        <v>9622</v>
      </c>
      <c r="G717" s="341" t="s">
        <v>1235</v>
      </c>
      <c r="H717" s="341" t="s">
        <v>6900</v>
      </c>
      <c r="I717" s="341" t="s">
        <v>4230</v>
      </c>
      <c r="J717" s="342">
        <v>0.5</v>
      </c>
      <c r="K717" s="342" t="s">
        <v>4230</v>
      </c>
      <c r="L717" s="342">
        <v>0</v>
      </c>
    </row>
    <row r="718" spans="1:12" x14ac:dyDescent="0.25">
      <c r="A718" s="341" t="s">
        <v>2420</v>
      </c>
      <c r="B718" s="341" t="s">
        <v>2420</v>
      </c>
      <c r="C718" s="341" t="s">
        <v>2420</v>
      </c>
      <c r="D718" s="342">
        <v>0</v>
      </c>
      <c r="E718" s="342" t="s">
        <v>2420</v>
      </c>
      <c r="F718" s="342" t="s">
        <v>9622</v>
      </c>
      <c r="G718" s="341" t="s">
        <v>1378</v>
      </c>
      <c r="H718" s="341" t="s">
        <v>7096</v>
      </c>
      <c r="I718" s="341" t="s">
        <v>2557</v>
      </c>
      <c r="J718" s="342">
        <v>1.19</v>
      </c>
      <c r="K718" s="342" t="s">
        <v>25</v>
      </c>
      <c r="L718" s="342">
        <v>0</v>
      </c>
    </row>
    <row r="719" spans="1:12" x14ac:dyDescent="0.25">
      <c r="A719" s="341" t="s">
        <v>2420</v>
      </c>
      <c r="B719" s="341" t="s">
        <v>2420</v>
      </c>
      <c r="C719" s="341" t="s">
        <v>2420</v>
      </c>
      <c r="D719" s="342">
        <v>0</v>
      </c>
      <c r="E719" s="342" t="s">
        <v>2420</v>
      </c>
      <c r="F719" s="342" t="s">
        <v>9622</v>
      </c>
      <c r="G719" s="341" t="s">
        <v>1566</v>
      </c>
      <c r="H719" s="341" t="s">
        <v>9973</v>
      </c>
      <c r="I719" s="341" t="s">
        <v>25</v>
      </c>
      <c r="J719" s="342">
        <v>1.05</v>
      </c>
      <c r="K719" s="342" t="s">
        <v>25</v>
      </c>
      <c r="L719" s="342">
        <v>0</v>
      </c>
    </row>
    <row r="720" spans="1:12" x14ac:dyDescent="0.25">
      <c r="A720" s="341" t="s">
        <v>2420</v>
      </c>
      <c r="B720" s="341" t="s">
        <v>2420</v>
      </c>
      <c r="C720" s="341" t="s">
        <v>2420</v>
      </c>
      <c r="D720" s="342">
        <v>0</v>
      </c>
      <c r="E720" s="342" t="s">
        <v>2420</v>
      </c>
      <c r="F720" s="342" t="s">
        <v>9622</v>
      </c>
      <c r="G720" s="341" t="s">
        <v>1613</v>
      </c>
      <c r="H720" s="341" t="s">
        <v>7333</v>
      </c>
      <c r="I720" s="341" t="s">
        <v>2557</v>
      </c>
      <c r="J720" s="342">
        <v>0.11899999999999999</v>
      </c>
      <c r="K720" s="342" t="s">
        <v>25</v>
      </c>
      <c r="L720" s="342">
        <v>0</v>
      </c>
    </row>
    <row r="721" spans="1:12" x14ac:dyDescent="0.25">
      <c r="A721" s="341" t="s">
        <v>2420</v>
      </c>
      <c r="B721" s="341" t="s">
        <v>2420</v>
      </c>
      <c r="C721" s="341" t="s">
        <v>2420</v>
      </c>
      <c r="D721" s="342">
        <v>0</v>
      </c>
      <c r="E721" s="342" t="s">
        <v>2420</v>
      </c>
      <c r="F721" s="342" t="s">
        <v>9622</v>
      </c>
      <c r="G721" s="341" t="s">
        <v>1869</v>
      </c>
      <c r="H721" s="341" t="s">
        <v>7996</v>
      </c>
      <c r="I721" s="341" t="s">
        <v>25</v>
      </c>
      <c r="J721" s="342">
        <v>1</v>
      </c>
      <c r="K721" s="342" t="s">
        <v>9623</v>
      </c>
      <c r="L721" s="342">
        <v>0</v>
      </c>
    </row>
    <row r="722" spans="1:12" x14ac:dyDescent="0.25">
      <c r="A722" s="341" t="s">
        <v>2420</v>
      </c>
      <c r="B722" s="341" t="s">
        <v>2420</v>
      </c>
      <c r="C722" s="341" t="s">
        <v>2420</v>
      </c>
      <c r="D722" s="342">
        <v>0</v>
      </c>
      <c r="E722" s="342" t="s">
        <v>2420</v>
      </c>
      <c r="F722" s="342" t="s">
        <v>9622</v>
      </c>
      <c r="G722" s="341" t="s">
        <v>2038</v>
      </c>
      <c r="H722" s="341" t="s">
        <v>8372</v>
      </c>
      <c r="I722" s="341" t="s">
        <v>16</v>
      </c>
      <c r="J722" s="342">
        <v>0.5</v>
      </c>
      <c r="K722" s="342" t="s">
        <v>9623</v>
      </c>
      <c r="L722" s="342">
        <v>0</v>
      </c>
    </row>
    <row r="723" spans="1:12" x14ac:dyDescent="0.25">
      <c r="A723" s="341" t="s">
        <v>417</v>
      </c>
      <c r="B723" s="341" t="s">
        <v>9974</v>
      </c>
      <c r="C723" s="341" t="s">
        <v>25</v>
      </c>
      <c r="D723" s="342">
        <v>1</v>
      </c>
      <c r="E723" s="342">
        <v>0</v>
      </c>
      <c r="F723" s="342" t="s">
        <v>9622</v>
      </c>
      <c r="G723" s="341" t="s">
        <v>1234</v>
      </c>
      <c r="H723" s="341" t="s">
        <v>6899</v>
      </c>
      <c r="I723" s="341" t="s">
        <v>4230</v>
      </c>
      <c r="J723" s="342">
        <v>1.25</v>
      </c>
      <c r="K723" s="342" t="s">
        <v>4230</v>
      </c>
      <c r="L723" s="342">
        <v>0</v>
      </c>
    </row>
    <row r="724" spans="1:12" x14ac:dyDescent="0.25">
      <c r="A724" s="341" t="s">
        <v>2420</v>
      </c>
      <c r="B724" s="341" t="s">
        <v>2420</v>
      </c>
      <c r="C724" s="341" t="s">
        <v>2420</v>
      </c>
      <c r="D724" s="342">
        <v>0</v>
      </c>
      <c r="E724" s="342" t="s">
        <v>2420</v>
      </c>
      <c r="F724" s="342" t="s">
        <v>9622</v>
      </c>
      <c r="G724" s="341" t="s">
        <v>1235</v>
      </c>
      <c r="H724" s="341" t="s">
        <v>6900</v>
      </c>
      <c r="I724" s="341" t="s">
        <v>4230</v>
      </c>
      <c r="J724" s="342">
        <v>0.5</v>
      </c>
      <c r="K724" s="342" t="s">
        <v>4230</v>
      </c>
      <c r="L724" s="342">
        <v>0</v>
      </c>
    </row>
    <row r="725" spans="1:12" x14ac:dyDescent="0.25">
      <c r="A725" s="341" t="s">
        <v>2420</v>
      </c>
      <c r="B725" s="341" t="s">
        <v>2420</v>
      </c>
      <c r="C725" s="341" t="s">
        <v>2420</v>
      </c>
      <c r="D725" s="342">
        <v>0</v>
      </c>
      <c r="E725" s="342" t="s">
        <v>2420</v>
      </c>
      <c r="F725" s="342" t="s">
        <v>9622</v>
      </c>
      <c r="G725" s="341" t="s">
        <v>1378</v>
      </c>
      <c r="H725" s="341" t="s">
        <v>7096</v>
      </c>
      <c r="I725" s="341" t="s">
        <v>2557</v>
      </c>
      <c r="J725" s="342">
        <v>1.54</v>
      </c>
      <c r="K725" s="342" t="s">
        <v>25</v>
      </c>
      <c r="L725" s="342">
        <v>0</v>
      </c>
    </row>
    <row r="726" spans="1:12" x14ac:dyDescent="0.25">
      <c r="A726" s="341" t="s">
        <v>2420</v>
      </c>
      <c r="B726" s="341" t="s">
        <v>2420</v>
      </c>
      <c r="C726" s="341" t="s">
        <v>2420</v>
      </c>
      <c r="D726" s="342">
        <v>0</v>
      </c>
      <c r="E726" s="342" t="s">
        <v>2420</v>
      </c>
      <c r="F726" s="342" t="s">
        <v>9622</v>
      </c>
      <c r="G726" s="341" t="s">
        <v>1491</v>
      </c>
      <c r="H726" s="341" t="s">
        <v>9975</v>
      </c>
      <c r="I726" s="341" t="s">
        <v>25</v>
      </c>
      <c r="J726" s="342">
        <v>1.05</v>
      </c>
      <c r="K726" s="342" t="s">
        <v>25</v>
      </c>
      <c r="L726" s="342">
        <v>0</v>
      </c>
    </row>
    <row r="727" spans="1:12" x14ac:dyDescent="0.25">
      <c r="A727" s="341" t="s">
        <v>2420</v>
      </c>
      <c r="B727" s="341" t="s">
        <v>2420</v>
      </c>
      <c r="C727" s="341" t="s">
        <v>2420</v>
      </c>
      <c r="D727" s="342">
        <v>0</v>
      </c>
      <c r="E727" s="342" t="s">
        <v>2420</v>
      </c>
      <c r="F727" s="342" t="s">
        <v>9622</v>
      </c>
      <c r="G727" s="341" t="s">
        <v>1613</v>
      </c>
      <c r="H727" s="341" t="s">
        <v>7333</v>
      </c>
      <c r="I727" s="341" t="s">
        <v>2557</v>
      </c>
      <c r="J727" s="342">
        <v>0.154</v>
      </c>
      <c r="K727" s="342" t="s">
        <v>25</v>
      </c>
      <c r="L727" s="342">
        <v>0</v>
      </c>
    </row>
    <row r="728" spans="1:12" x14ac:dyDescent="0.25">
      <c r="A728" s="341" t="s">
        <v>2420</v>
      </c>
      <c r="B728" s="341" t="s">
        <v>2420</v>
      </c>
      <c r="C728" s="341" t="s">
        <v>2420</v>
      </c>
      <c r="D728" s="342">
        <v>0</v>
      </c>
      <c r="E728" s="342" t="s">
        <v>2420</v>
      </c>
      <c r="F728" s="342" t="s">
        <v>9622</v>
      </c>
      <c r="G728" s="341" t="s">
        <v>1869</v>
      </c>
      <c r="H728" s="341" t="s">
        <v>7996</v>
      </c>
      <c r="I728" s="341" t="s">
        <v>25</v>
      </c>
      <c r="J728" s="342">
        <v>1</v>
      </c>
      <c r="K728" s="342" t="s">
        <v>9623</v>
      </c>
      <c r="L728" s="342">
        <v>0</v>
      </c>
    </row>
    <row r="729" spans="1:12" x14ac:dyDescent="0.25">
      <c r="A729" s="341" t="s">
        <v>2420</v>
      </c>
      <c r="B729" s="341" t="s">
        <v>2420</v>
      </c>
      <c r="C729" s="341" t="s">
        <v>2420</v>
      </c>
      <c r="D729" s="342">
        <v>0</v>
      </c>
      <c r="E729" s="342" t="s">
        <v>2420</v>
      </c>
      <c r="F729" s="342" t="s">
        <v>9622</v>
      </c>
      <c r="G729" s="341" t="s">
        <v>2038</v>
      </c>
      <c r="H729" s="341" t="s">
        <v>8372</v>
      </c>
      <c r="I729" s="341" t="s">
        <v>16</v>
      </c>
      <c r="J729" s="342">
        <v>0.5</v>
      </c>
      <c r="K729" s="342" t="s">
        <v>9623</v>
      </c>
      <c r="L729" s="342">
        <v>0</v>
      </c>
    </row>
    <row r="730" spans="1:12" x14ac:dyDescent="0.25">
      <c r="A730" s="341" t="s">
        <v>418</v>
      </c>
      <c r="B730" s="341" t="s">
        <v>9976</v>
      </c>
      <c r="C730" s="341" t="s">
        <v>25</v>
      </c>
      <c r="D730" s="342">
        <v>1</v>
      </c>
      <c r="E730" s="342">
        <v>0</v>
      </c>
      <c r="F730" s="342" t="s">
        <v>9622</v>
      </c>
      <c r="G730" s="341" t="s">
        <v>1234</v>
      </c>
      <c r="H730" s="341" t="s">
        <v>6899</v>
      </c>
      <c r="I730" s="341" t="s">
        <v>4230</v>
      </c>
      <c r="J730" s="342">
        <v>1.25</v>
      </c>
      <c r="K730" s="342" t="s">
        <v>4230</v>
      </c>
      <c r="L730" s="342">
        <v>0</v>
      </c>
    </row>
    <row r="731" spans="1:12" x14ac:dyDescent="0.25">
      <c r="A731" s="341" t="s">
        <v>2420</v>
      </c>
      <c r="B731" s="341" t="s">
        <v>2420</v>
      </c>
      <c r="C731" s="341" t="s">
        <v>2420</v>
      </c>
      <c r="D731" s="342">
        <v>0</v>
      </c>
      <c r="E731" s="342" t="s">
        <v>2420</v>
      </c>
      <c r="F731" s="342" t="s">
        <v>9622</v>
      </c>
      <c r="G731" s="341" t="s">
        <v>1235</v>
      </c>
      <c r="H731" s="341" t="s">
        <v>6900</v>
      </c>
      <c r="I731" s="341" t="s">
        <v>4230</v>
      </c>
      <c r="J731" s="342">
        <v>0.5</v>
      </c>
      <c r="K731" s="342" t="s">
        <v>4230</v>
      </c>
      <c r="L731" s="342">
        <v>0</v>
      </c>
    </row>
    <row r="732" spans="1:12" x14ac:dyDescent="0.25">
      <c r="A732" s="341" t="s">
        <v>2420</v>
      </c>
      <c r="B732" s="341" t="s">
        <v>2420</v>
      </c>
      <c r="C732" s="341" t="s">
        <v>2420</v>
      </c>
      <c r="D732" s="342">
        <v>0</v>
      </c>
      <c r="E732" s="342" t="s">
        <v>2420</v>
      </c>
      <c r="F732" s="342" t="s">
        <v>9622</v>
      </c>
      <c r="G732" s="341" t="s">
        <v>1472</v>
      </c>
      <c r="H732" s="341" t="s">
        <v>7212</v>
      </c>
      <c r="I732" s="341" t="s">
        <v>2557</v>
      </c>
      <c r="J732" s="342">
        <v>2.94</v>
      </c>
      <c r="K732" s="342" t="s">
        <v>25</v>
      </c>
      <c r="L732" s="342">
        <v>0</v>
      </c>
    </row>
    <row r="733" spans="1:12" x14ac:dyDescent="0.25">
      <c r="A733" s="341" t="s">
        <v>2420</v>
      </c>
      <c r="B733" s="341" t="s">
        <v>2420</v>
      </c>
      <c r="C733" s="341" t="s">
        <v>2420</v>
      </c>
      <c r="D733" s="342">
        <v>0</v>
      </c>
      <c r="E733" s="342" t="s">
        <v>2420</v>
      </c>
      <c r="F733" s="342" t="s">
        <v>9622</v>
      </c>
      <c r="G733" s="341" t="s">
        <v>1556</v>
      </c>
      <c r="H733" s="341" t="s">
        <v>9977</v>
      </c>
      <c r="I733" s="341" t="s">
        <v>25</v>
      </c>
      <c r="J733" s="342">
        <v>1.05</v>
      </c>
      <c r="K733" s="342" t="s">
        <v>25</v>
      </c>
      <c r="L733" s="342">
        <v>0</v>
      </c>
    </row>
    <row r="734" spans="1:12" x14ac:dyDescent="0.25">
      <c r="A734" s="341" t="s">
        <v>2420</v>
      </c>
      <c r="B734" s="341" t="s">
        <v>2420</v>
      </c>
      <c r="C734" s="341" t="s">
        <v>2420</v>
      </c>
      <c r="D734" s="342">
        <v>0</v>
      </c>
      <c r="E734" s="342" t="s">
        <v>2420</v>
      </c>
      <c r="F734" s="342" t="s">
        <v>9622</v>
      </c>
      <c r="G734" s="341" t="s">
        <v>1613</v>
      </c>
      <c r="H734" s="341" t="s">
        <v>7333</v>
      </c>
      <c r="I734" s="341" t="s">
        <v>2557</v>
      </c>
      <c r="J734" s="342">
        <v>0.29399999999999998</v>
      </c>
      <c r="K734" s="342" t="s">
        <v>25</v>
      </c>
      <c r="L734" s="342">
        <v>0</v>
      </c>
    </row>
    <row r="735" spans="1:12" x14ac:dyDescent="0.25">
      <c r="A735" s="341" t="s">
        <v>2420</v>
      </c>
      <c r="B735" s="341" t="s">
        <v>2420</v>
      </c>
      <c r="C735" s="341" t="s">
        <v>2420</v>
      </c>
      <c r="D735" s="342">
        <v>0</v>
      </c>
      <c r="E735" s="342" t="s">
        <v>2420</v>
      </c>
      <c r="F735" s="342" t="s">
        <v>9622</v>
      </c>
      <c r="G735" s="341" t="s">
        <v>1869</v>
      </c>
      <c r="H735" s="341" t="s">
        <v>7996</v>
      </c>
      <c r="I735" s="341" t="s">
        <v>25</v>
      </c>
      <c r="J735" s="342">
        <v>1</v>
      </c>
      <c r="K735" s="342" t="s">
        <v>9623</v>
      </c>
      <c r="L735" s="342">
        <v>0</v>
      </c>
    </row>
    <row r="736" spans="1:12" x14ac:dyDescent="0.25">
      <c r="A736" s="341" t="s">
        <v>2420</v>
      </c>
      <c r="B736" s="341" t="s">
        <v>2420</v>
      </c>
      <c r="C736" s="341" t="s">
        <v>2420</v>
      </c>
      <c r="D736" s="342">
        <v>0</v>
      </c>
      <c r="E736" s="342" t="s">
        <v>2420</v>
      </c>
      <c r="F736" s="342" t="s">
        <v>9622</v>
      </c>
      <c r="G736" s="341" t="s">
        <v>2038</v>
      </c>
      <c r="H736" s="341" t="s">
        <v>8372</v>
      </c>
      <c r="I736" s="341" t="s">
        <v>16</v>
      </c>
      <c r="J736" s="342">
        <v>1</v>
      </c>
      <c r="K736" s="342" t="s">
        <v>9623</v>
      </c>
      <c r="L736" s="342">
        <v>0</v>
      </c>
    </row>
    <row r="737" spans="1:12" x14ac:dyDescent="0.25">
      <c r="A737" s="341" t="s">
        <v>192</v>
      </c>
      <c r="B737" s="341" t="s">
        <v>9978</v>
      </c>
      <c r="C737" s="341" t="s">
        <v>25</v>
      </c>
      <c r="D737" s="342">
        <v>1</v>
      </c>
      <c r="E737" s="342">
        <v>0</v>
      </c>
      <c r="F737" s="342" t="s">
        <v>9622</v>
      </c>
      <c r="G737" s="341" t="s">
        <v>1241</v>
      </c>
      <c r="H737" s="341" t="s">
        <v>6905</v>
      </c>
      <c r="I737" s="341" t="s">
        <v>4230</v>
      </c>
      <c r="J737" s="342">
        <v>0.4</v>
      </c>
      <c r="K737" s="342" t="s">
        <v>4230</v>
      </c>
      <c r="L737" s="342">
        <v>0</v>
      </c>
    </row>
    <row r="738" spans="1:12" x14ac:dyDescent="0.25">
      <c r="A738" s="341" t="s">
        <v>2420</v>
      </c>
      <c r="B738" s="341" t="s">
        <v>2420</v>
      </c>
      <c r="C738" s="341" t="s">
        <v>2420</v>
      </c>
      <c r="D738" s="342">
        <v>0</v>
      </c>
      <c r="E738" s="342" t="s">
        <v>2420</v>
      </c>
      <c r="F738" s="342" t="s">
        <v>9622</v>
      </c>
      <c r="G738" s="341" t="s">
        <v>1242</v>
      </c>
      <c r="H738" s="341" t="s">
        <v>9833</v>
      </c>
      <c r="I738" s="341" t="s">
        <v>4230</v>
      </c>
      <c r="J738" s="342">
        <v>0.4</v>
      </c>
      <c r="K738" s="342" t="s">
        <v>4230</v>
      </c>
      <c r="L738" s="342">
        <v>0</v>
      </c>
    </row>
    <row r="739" spans="1:12" x14ac:dyDescent="0.25">
      <c r="A739" s="341" t="s">
        <v>2420</v>
      </c>
      <c r="B739" s="341" t="s">
        <v>2420</v>
      </c>
      <c r="C739" s="341" t="s">
        <v>2420</v>
      </c>
      <c r="D739" s="342">
        <v>0</v>
      </c>
      <c r="E739" s="342" t="s">
        <v>2420</v>
      </c>
      <c r="F739" s="342" t="s">
        <v>9622</v>
      </c>
      <c r="G739" s="341" t="s">
        <v>2063</v>
      </c>
      <c r="H739" s="341" t="s">
        <v>9979</v>
      </c>
      <c r="I739" s="341" t="s">
        <v>25</v>
      </c>
      <c r="J739" s="342">
        <v>1</v>
      </c>
      <c r="K739" s="342" t="s">
        <v>9623</v>
      </c>
      <c r="L739" s="342">
        <v>0</v>
      </c>
    </row>
    <row r="740" spans="1:12" x14ac:dyDescent="0.25">
      <c r="A740" s="341" t="s">
        <v>173</v>
      </c>
      <c r="B740" s="341" t="s">
        <v>9980</v>
      </c>
      <c r="C740" s="341" t="s">
        <v>16</v>
      </c>
      <c r="D740" s="342">
        <v>1</v>
      </c>
      <c r="E740" s="342">
        <v>0</v>
      </c>
      <c r="F740" s="342" t="s">
        <v>9622</v>
      </c>
      <c r="G740" s="341" t="s">
        <v>1234</v>
      </c>
      <c r="H740" s="341" t="s">
        <v>6899</v>
      </c>
      <c r="I740" s="341" t="s">
        <v>4230</v>
      </c>
      <c r="J740" s="342">
        <v>0.6</v>
      </c>
      <c r="K740" s="342" t="s">
        <v>4230</v>
      </c>
      <c r="L740" s="342">
        <v>0</v>
      </c>
    </row>
    <row r="741" spans="1:12" x14ac:dyDescent="0.25">
      <c r="A741" s="341" t="s">
        <v>2420</v>
      </c>
      <c r="B741" s="341" t="s">
        <v>2420</v>
      </c>
      <c r="C741" s="341" t="s">
        <v>2420</v>
      </c>
      <c r="D741" s="342">
        <v>0</v>
      </c>
      <c r="E741" s="342" t="s">
        <v>2420</v>
      </c>
      <c r="F741" s="342" t="s">
        <v>9622</v>
      </c>
      <c r="G741" s="341" t="s">
        <v>1235</v>
      </c>
      <c r="H741" s="341" t="s">
        <v>6900</v>
      </c>
      <c r="I741" s="341" t="s">
        <v>4230</v>
      </c>
      <c r="J741" s="342">
        <v>0.6</v>
      </c>
      <c r="K741" s="342" t="s">
        <v>4230</v>
      </c>
      <c r="L741" s="342">
        <v>0</v>
      </c>
    </row>
    <row r="742" spans="1:12" x14ac:dyDescent="0.25">
      <c r="A742" s="341" t="s">
        <v>2420</v>
      </c>
      <c r="B742" s="341" t="s">
        <v>2420</v>
      </c>
      <c r="C742" s="341" t="s">
        <v>2420</v>
      </c>
      <c r="D742" s="342">
        <v>0</v>
      </c>
      <c r="E742" s="342" t="s">
        <v>2420</v>
      </c>
      <c r="F742" s="342" t="s">
        <v>9622</v>
      </c>
      <c r="G742" s="341" t="s">
        <v>1377</v>
      </c>
      <c r="H742" s="341" t="s">
        <v>9981</v>
      </c>
      <c r="I742" s="341" t="s">
        <v>2557</v>
      </c>
      <c r="J742" s="342">
        <v>0.45</v>
      </c>
      <c r="K742" s="342" t="s">
        <v>25</v>
      </c>
      <c r="L742" s="342">
        <v>0</v>
      </c>
    </row>
    <row r="743" spans="1:12" x14ac:dyDescent="0.25">
      <c r="A743" s="341" t="s">
        <v>2420</v>
      </c>
      <c r="B743" s="341" t="s">
        <v>2420</v>
      </c>
      <c r="C743" s="341" t="s">
        <v>2420</v>
      </c>
      <c r="D743" s="342">
        <v>0</v>
      </c>
      <c r="E743" s="342" t="s">
        <v>2420</v>
      </c>
      <c r="F743" s="342" t="s">
        <v>9622</v>
      </c>
      <c r="G743" s="341" t="s">
        <v>1648</v>
      </c>
      <c r="H743" s="341" t="s">
        <v>9751</v>
      </c>
      <c r="I743" s="341" t="s">
        <v>2557</v>
      </c>
      <c r="J743" s="342">
        <v>60</v>
      </c>
      <c r="K743" s="342" t="s">
        <v>25</v>
      </c>
      <c r="L743" s="342">
        <v>0</v>
      </c>
    </row>
    <row r="744" spans="1:12" x14ac:dyDescent="0.25">
      <c r="A744" s="341" t="s">
        <v>2420</v>
      </c>
      <c r="B744" s="341" t="s">
        <v>2420</v>
      </c>
      <c r="C744" s="341" t="s">
        <v>2420</v>
      </c>
      <c r="D744" s="342">
        <v>0</v>
      </c>
      <c r="E744" s="342" t="s">
        <v>2420</v>
      </c>
      <c r="F744" s="342" t="s">
        <v>9622</v>
      </c>
      <c r="G744" s="341" t="s">
        <v>2087</v>
      </c>
      <c r="H744" s="341" t="s">
        <v>8625</v>
      </c>
      <c r="I744" s="341" t="s">
        <v>16</v>
      </c>
      <c r="J744" s="342">
        <v>1</v>
      </c>
      <c r="K744" s="342" t="s">
        <v>9623</v>
      </c>
      <c r="L744" s="342">
        <v>0</v>
      </c>
    </row>
    <row r="745" spans="1:12" x14ac:dyDescent="0.25">
      <c r="A745" s="341" t="s">
        <v>341</v>
      </c>
      <c r="B745" s="341" t="s">
        <v>9982</v>
      </c>
      <c r="C745" s="341" t="s">
        <v>11</v>
      </c>
      <c r="D745" s="342">
        <v>1</v>
      </c>
      <c r="E745" s="342">
        <v>0</v>
      </c>
      <c r="F745" s="342" t="s">
        <v>9622</v>
      </c>
      <c r="G745" s="341" t="s">
        <v>1363</v>
      </c>
      <c r="H745" s="341" t="s">
        <v>7080</v>
      </c>
      <c r="I745" s="341" t="s">
        <v>11</v>
      </c>
      <c r="J745" s="342">
        <v>1</v>
      </c>
      <c r="K745" s="342" t="s">
        <v>25</v>
      </c>
      <c r="L745" s="342">
        <v>0</v>
      </c>
    </row>
    <row r="746" spans="1:12" x14ac:dyDescent="0.25">
      <c r="A746" s="341" t="s">
        <v>2420</v>
      </c>
      <c r="B746" s="341" t="s">
        <v>2420</v>
      </c>
      <c r="C746" s="341" t="s">
        <v>2420</v>
      </c>
      <c r="D746" s="342">
        <v>0</v>
      </c>
      <c r="E746" s="342" t="s">
        <v>2420</v>
      </c>
      <c r="F746" s="342" t="s">
        <v>9622</v>
      </c>
      <c r="G746" s="341" t="s">
        <v>2075</v>
      </c>
      <c r="H746" s="341" t="s">
        <v>9983</v>
      </c>
      <c r="I746" s="341" t="s">
        <v>11</v>
      </c>
      <c r="J746" s="342">
        <v>1</v>
      </c>
      <c r="K746" s="342" t="s">
        <v>9623</v>
      </c>
      <c r="L746" s="342">
        <v>0</v>
      </c>
    </row>
    <row r="747" spans="1:12" x14ac:dyDescent="0.25">
      <c r="A747" s="341" t="s">
        <v>2420</v>
      </c>
      <c r="B747" s="341" t="s">
        <v>2420</v>
      </c>
      <c r="C747" s="341" t="s">
        <v>2420</v>
      </c>
      <c r="D747" s="342">
        <v>0</v>
      </c>
      <c r="E747" s="342" t="s">
        <v>2420</v>
      </c>
      <c r="F747" s="342" t="s">
        <v>9622</v>
      </c>
      <c r="G747" s="341" t="s">
        <v>2076</v>
      </c>
      <c r="H747" s="341" t="s">
        <v>9984</v>
      </c>
      <c r="I747" s="341" t="s">
        <v>11</v>
      </c>
      <c r="J747" s="342">
        <v>1</v>
      </c>
      <c r="K747" s="342" t="s">
        <v>9623</v>
      </c>
      <c r="L747" s="342">
        <v>0</v>
      </c>
    </row>
    <row r="748" spans="1:12" x14ac:dyDescent="0.25">
      <c r="A748" s="341" t="s">
        <v>2420</v>
      </c>
      <c r="B748" s="341" t="s">
        <v>2420</v>
      </c>
      <c r="C748" s="341" t="s">
        <v>2420</v>
      </c>
      <c r="D748" s="342">
        <v>0</v>
      </c>
      <c r="E748" s="342" t="s">
        <v>2420</v>
      </c>
      <c r="F748" s="342" t="s">
        <v>9624</v>
      </c>
      <c r="G748" s="341" t="s">
        <v>9985</v>
      </c>
      <c r="H748" s="341" t="s">
        <v>9986</v>
      </c>
      <c r="I748" s="341" t="s">
        <v>16</v>
      </c>
      <c r="J748" s="342">
        <v>1.89</v>
      </c>
      <c r="K748" s="342" t="s">
        <v>2420</v>
      </c>
      <c r="L748" s="342">
        <v>0</v>
      </c>
    </row>
    <row r="749" spans="1:12" x14ac:dyDescent="0.25">
      <c r="A749" s="341" t="s">
        <v>430</v>
      </c>
      <c r="B749" s="341" t="s">
        <v>9987</v>
      </c>
      <c r="C749" s="341" t="s">
        <v>16</v>
      </c>
      <c r="D749" s="342">
        <v>1</v>
      </c>
      <c r="E749" s="342">
        <v>0</v>
      </c>
      <c r="F749" s="342" t="s">
        <v>9622</v>
      </c>
      <c r="G749" s="341" t="s">
        <v>9988</v>
      </c>
      <c r="H749" s="341" t="s">
        <v>9989</v>
      </c>
      <c r="I749" s="341" t="s">
        <v>11</v>
      </c>
      <c r="J749" s="342">
        <v>1.04</v>
      </c>
      <c r="K749" s="342" t="s">
        <v>25</v>
      </c>
      <c r="L749" s="342">
        <v>0</v>
      </c>
    </row>
    <row r="750" spans="1:12" x14ac:dyDescent="0.25">
      <c r="A750" s="341" t="s">
        <v>2420</v>
      </c>
      <c r="B750" s="341" t="s">
        <v>2420</v>
      </c>
      <c r="C750" s="341" t="s">
        <v>2420</v>
      </c>
      <c r="D750" s="342">
        <v>0</v>
      </c>
      <c r="E750" s="342" t="s">
        <v>2420</v>
      </c>
      <c r="F750" s="342" t="s">
        <v>9622</v>
      </c>
      <c r="G750" s="341" t="s">
        <v>9990</v>
      </c>
      <c r="H750" s="341" t="s">
        <v>9991</v>
      </c>
      <c r="I750" s="341" t="s">
        <v>11</v>
      </c>
      <c r="J750" s="342">
        <v>1.04</v>
      </c>
      <c r="K750" s="342" t="s">
        <v>25</v>
      </c>
      <c r="L750" s="342">
        <v>0</v>
      </c>
    </row>
    <row r="751" spans="1:12" x14ac:dyDescent="0.25">
      <c r="A751" s="341" t="s">
        <v>2420</v>
      </c>
      <c r="B751" s="341" t="s">
        <v>2420</v>
      </c>
      <c r="C751" s="341" t="s">
        <v>2420</v>
      </c>
      <c r="D751" s="342">
        <v>0</v>
      </c>
      <c r="E751" s="342" t="s">
        <v>2420</v>
      </c>
      <c r="F751" s="342" t="s">
        <v>9622</v>
      </c>
      <c r="G751" s="341" t="s">
        <v>1419</v>
      </c>
      <c r="H751" s="341" t="s">
        <v>9992</v>
      </c>
      <c r="I751" s="341" t="s">
        <v>16</v>
      </c>
      <c r="J751" s="342">
        <v>1.22</v>
      </c>
      <c r="K751" s="342" t="s">
        <v>25</v>
      </c>
      <c r="L751" s="342">
        <v>0</v>
      </c>
    </row>
    <row r="752" spans="1:12" x14ac:dyDescent="0.25">
      <c r="A752" s="341" t="s">
        <v>509</v>
      </c>
      <c r="B752" s="341" t="s">
        <v>7055</v>
      </c>
      <c r="C752" s="341" t="s">
        <v>16</v>
      </c>
      <c r="D752" s="342">
        <v>1</v>
      </c>
      <c r="E752" s="342">
        <v>0</v>
      </c>
      <c r="F752" s="342" t="s">
        <v>9622</v>
      </c>
      <c r="G752" s="341" t="s">
        <v>1234</v>
      </c>
      <c r="H752" s="341" t="s">
        <v>6899</v>
      </c>
      <c r="I752" s="341" t="s">
        <v>4230</v>
      </c>
      <c r="J752" s="342">
        <v>0.88</v>
      </c>
      <c r="K752" s="342" t="s">
        <v>4230</v>
      </c>
      <c r="L752" s="342">
        <v>0</v>
      </c>
    </row>
    <row r="753" spans="1:12" x14ac:dyDescent="0.25">
      <c r="A753" s="341" t="s">
        <v>2420</v>
      </c>
      <c r="B753" s="341" t="s">
        <v>2420</v>
      </c>
      <c r="C753" s="341" t="s">
        <v>2420</v>
      </c>
      <c r="D753" s="342">
        <v>0</v>
      </c>
      <c r="E753" s="342" t="s">
        <v>2420</v>
      </c>
      <c r="F753" s="342" t="s">
        <v>9622</v>
      </c>
      <c r="G753" s="341" t="s">
        <v>1235</v>
      </c>
      <c r="H753" s="341" t="s">
        <v>6900</v>
      </c>
      <c r="I753" s="341" t="s">
        <v>4230</v>
      </c>
      <c r="J753" s="342">
        <v>0.44</v>
      </c>
      <c r="K753" s="342" t="s">
        <v>4230</v>
      </c>
      <c r="L753" s="342">
        <v>0</v>
      </c>
    </row>
    <row r="754" spans="1:12" x14ac:dyDescent="0.25">
      <c r="A754" s="341" t="s">
        <v>2420</v>
      </c>
      <c r="B754" s="341" t="s">
        <v>2420</v>
      </c>
      <c r="C754" s="341" t="s">
        <v>2420</v>
      </c>
      <c r="D754" s="342">
        <v>0</v>
      </c>
      <c r="E754" s="342" t="s">
        <v>2420</v>
      </c>
      <c r="F754" s="342" t="s">
        <v>9622</v>
      </c>
      <c r="G754" s="341" t="s">
        <v>1336</v>
      </c>
      <c r="H754" s="341" t="s">
        <v>7055</v>
      </c>
      <c r="I754" s="341" t="s">
        <v>16</v>
      </c>
      <c r="J754" s="342">
        <v>1.05</v>
      </c>
      <c r="K754" s="342" t="s">
        <v>25</v>
      </c>
      <c r="L754" s="342">
        <v>0</v>
      </c>
    </row>
    <row r="755" spans="1:12" x14ac:dyDescent="0.25">
      <c r="A755" s="341" t="s">
        <v>2420</v>
      </c>
      <c r="B755" s="341" t="s">
        <v>2420</v>
      </c>
      <c r="C755" s="341" t="s">
        <v>2420</v>
      </c>
      <c r="D755" s="342">
        <v>0</v>
      </c>
      <c r="E755" s="342" t="s">
        <v>2420</v>
      </c>
      <c r="F755" s="342" t="s">
        <v>9622</v>
      </c>
      <c r="G755" s="341" t="s">
        <v>2088</v>
      </c>
      <c r="H755" s="341" t="s">
        <v>8626</v>
      </c>
      <c r="I755" s="341" t="s">
        <v>16</v>
      </c>
      <c r="J755" s="342">
        <v>1</v>
      </c>
      <c r="K755" s="342" t="s">
        <v>9623</v>
      </c>
      <c r="L755" s="342">
        <v>0</v>
      </c>
    </row>
    <row r="756" spans="1:12" x14ac:dyDescent="0.25">
      <c r="A756" s="341" t="s">
        <v>2420</v>
      </c>
      <c r="B756" s="341" t="s">
        <v>2420</v>
      </c>
      <c r="C756" s="341" t="s">
        <v>2420</v>
      </c>
      <c r="D756" s="342">
        <v>0</v>
      </c>
      <c r="E756" s="342" t="s">
        <v>2420</v>
      </c>
      <c r="F756" s="342" t="s">
        <v>9624</v>
      </c>
      <c r="G756" s="341" t="s">
        <v>9738</v>
      </c>
      <c r="H756" s="341" t="s">
        <v>9739</v>
      </c>
      <c r="I756" s="341" t="s">
        <v>52</v>
      </c>
      <c r="J756" s="342">
        <v>2.5000000000000001E-2</v>
      </c>
      <c r="K756" s="342" t="s">
        <v>2420</v>
      </c>
      <c r="L756" s="342">
        <v>0</v>
      </c>
    </row>
    <row r="757" spans="1:12" x14ac:dyDescent="0.25">
      <c r="A757" s="341" t="s">
        <v>297</v>
      </c>
      <c r="B757" s="341" t="s">
        <v>9756</v>
      </c>
      <c r="C757" s="341" t="s">
        <v>16</v>
      </c>
      <c r="D757" s="342">
        <v>1</v>
      </c>
      <c r="E757" s="342">
        <v>0</v>
      </c>
      <c r="F757" s="342" t="s">
        <v>9622</v>
      </c>
      <c r="G757" s="341" t="s">
        <v>1234</v>
      </c>
      <c r="H757" s="341" t="s">
        <v>6899</v>
      </c>
      <c r="I757" s="341" t="s">
        <v>4230</v>
      </c>
      <c r="J757" s="342">
        <v>1.5</v>
      </c>
      <c r="K757" s="342" t="s">
        <v>4230</v>
      </c>
      <c r="L757" s="342">
        <v>0</v>
      </c>
    </row>
    <row r="758" spans="1:12" x14ac:dyDescent="0.25">
      <c r="A758" s="341" t="s">
        <v>2420</v>
      </c>
      <c r="B758" s="341" t="s">
        <v>2420</v>
      </c>
      <c r="C758" s="341" t="s">
        <v>2420</v>
      </c>
      <c r="D758" s="342">
        <v>0</v>
      </c>
      <c r="E758" s="342" t="s">
        <v>2420</v>
      </c>
      <c r="F758" s="342" t="s">
        <v>9622</v>
      </c>
      <c r="G758" s="341" t="s">
        <v>1235</v>
      </c>
      <c r="H758" s="341" t="s">
        <v>6900</v>
      </c>
      <c r="I758" s="341" t="s">
        <v>4230</v>
      </c>
      <c r="J758" s="342">
        <v>2</v>
      </c>
      <c r="K758" s="342" t="s">
        <v>4230</v>
      </c>
      <c r="L758" s="342">
        <v>0</v>
      </c>
    </row>
    <row r="759" spans="1:12" x14ac:dyDescent="0.25">
      <c r="A759" s="341" t="s">
        <v>2420</v>
      </c>
      <c r="B759" s="341" t="s">
        <v>2420</v>
      </c>
      <c r="C759" s="341" t="s">
        <v>2420</v>
      </c>
      <c r="D759" s="342">
        <v>0</v>
      </c>
      <c r="E759" s="342" t="s">
        <v>2420</v>
      </c>
      <c r="F759" s="342" t="s">
        <v>9622</v>
      </c>
      <c r="G759" s="341" t="s">
        <v>2036</v>
      </c>
      <c r="H759" s="341" t="s">
        <v>9993</v>
      </c>
      <c r="I759" s="341" t="s">
        <v>16</v>
      </c>
      <c r="J759" s="342">
        <v>1</v>
      </c>
      <c r="K759" s="342" t="s">
        <v>9623</v>
      </c>
      <c r="L759" s="342">
        <v>0</v>
      </c>
    </row>
    <row r="760" spans="1:12" x14ac:dyDescent="0.25">
      <c r="A760" s="341" t="s">
        <v>404</v>
      </c>
      <c r="B760" s="341" t="s">
        <v>9994</v>
      </c>
      <c r="C760" s="341" t="s">
        <v>16</v>
      </c>
      <c r="D760" s="342">
        <v>1</v>
      </c>
      <c r="E760" s="342">
        <v>0</v>
      </c>
      <c r="F760" s="342" t="s">
        <v>9622</v>
      </c>
      <c r="G760" s="341" t="s">
        <v>1234</v>
      </c>
      <c r="H760" s="341" t="s">
        <v>6899</v>
      </c>
      <c r="I760" s="341" t="s">
        <v>4230</v>
      </c>
      <c r="J760" s="342">
        <v>0.88</v>
      </c>
      <c r="K760" s="342" t="s">
        <v>4230</v>
      </c>
      <c r="L760" s="342">
        <v>0</v>
      </c>
    </row>
    <row r="761" spans="1:12" x14ac:dyDescent="0.25">
      <c r="A761" s="341" t="s">
        <v>2420</v>
      </c>
      <c r="B761" s="341" t="s">
        <v>2420</v>
      </c>
      <c r="C761" s="341" t="s">
        <v>2420</v>
      </c>
      <c r="D761" s="342">
        <v>0</v>
      </c>
      <c r="E761" s="342" t="s">
        <v>2420</v>
      </c>
      <c r="F761" s="342" t="s">
        <v>9622</v>
      </c>
      <c r="G761" s="341" t="s">
        <v>1235</v>
      </c>
      <c r="H761" s="341" t="s">
        <v>6900</v>
      </c>
      <c r="I761" s="341" t="s">
        <v>4230</v>
      </c>
      <c r="J761" s="342">
        <v>0.44</v>
      </c>
      <c r="K761" s="342" t="s">
        <v>4230</v>
      </c>
      <c r="L761" s="342">
        <v>0</v>
      </c>
    </row>
    <row r="762" spans="1:12" x14ac:dyDescent="0.25">
      <c r="A762" s="341" t="s">
        <v>2420</v>
      </c>
      <c r="B762" s="341" t="s">
        <v>2420</v>
      </c>
      <c r="C762" s="341" t="s">
        <v>2420</v>
      </c>
      <c r="D762" s="342">
        <v>0</v>
      </c>
      <c r="E762" s="342" t="s">
        <v>2420</v>
      </c>
      <c r="F762" s="342" t="s">
        <v>9622</v>
      </c>
      <c r="G762" s="341" t="s">
        <v>1472</v>
      </c>
      <c r="H762" s="341" t="s">
        <v>7212</v>
      </c>
      <c r="I762" s="341" t="s">
        <v>2557</v>
      </c>
      <c r="J762" s="342">
        <v>6</v>
      </c>
      <c r="K762" s="342" t="s">
        <v>25</v>
      </c>
      <c r="L762" s="342">
        <v>0</v>
      </c>
    </row>
    <row r="763" spans="1:12" x14ac:dyDescent="0.25">
      <c r="A763" s="341" t="s">
        <v>2420</v>
      </c>
      <c r="B763" s="341" t="s">
        <v>2420</v>
      </c>
      <c r="C763" s="341" t="s">
        <v>2420</v>
      </c>
      <c r="D763" s="342">
        <v>0</v>
      </c>
      <c r="E763" s="342" t="s">
        <v>2420</v>
      </c>
      <c r="F763" s="342" t="s">
        <v>9622</v>
      </c>
      <c r="G763" s="341" t="s">
        <v>1551</v>
      </c>
      <c r="H763" s="341" t="s">
        <v>9995</v>
      </c>
      <c r="I763" s="341" t="s">
        <v>16</v>
      </c>
      <c r="J763" s="342">
        <v>1.05</v>
      </c>
      <c r="K763" s="342" t="s">
        <v>25</v>
      </c>
      <c r="L763" s="342">
        <v>0</v>
      </c>
    </row>
    <row r="764" spans="1:12" x14ac:dyDescent="0.25">
      <c r="A764" s="341" t="s">
        <v>2420</v>
      </c>
      <c r="B764" s="341" t="s">
        <v>2420</v>
      </c>
      <c r="C764" s="341" t="s">
        <v>2420</v>
      </c>
      <c r="D764" s="342">
        <v>0</v>
      </c>
      <c r="E764" s="342" t="s">
        <v>2420</v>
      </c>
      <c r="F764" s="342" t="s">
        <v>9622</v>
      </c>
      <c r="G764" s="341" t="s">
        <v>9880</v>
      </c>
      <c r="H764" s="341" t="s">
        <v>9881</v>
      </c>
      <c r="I764" s="341" t="s">
        <v>16</v>
      </c>
      <c r="J764" s="342">
        <v>1</v>
      </c>
      <c r="K764" s="342" t="s">
        <v>9623</v>
      </c>
      <c r="L764" s="342">
        <v>0</v>
      </c>
    </row>
    <row r="765" spans="1:12" x14ac:dyDescent="0.25">
      <c r="A765" s="341" t="s">
        <v>2420</v>
      </c>
      <c r="B765" s="341" t="s">
        <v>2420</v>
      </c>
      <c r="C765" s="341" t="s">
        <v>2420</v>
      </c>
      <c r="D765" s="342">
        <v>0</v>
      </c>
      <c r="E765" s="342" t="s">
        <v>2420</v>
      </c>
      <c r="F765" s="342" t="s">
        <v>9624</v>
      </c>
      <c r="G765" s="341" t="s">
        <v>9857</v>
      </c>
      <c r="H765" s="341" t="s">
        <v>9858</v>
      </c>
      <c r="I765" s="341" t="s">
        <v>16</v>
      </c>
      <c r="J765" s="342">
        <v>1</v>
      </c>
      <c r="K765" s="342" t="s">
        <v>2420</v>
      </c>
      <c r="L765" s="342">
        <v>0</v>
      </c>
    </row>
    <row r="766" spans="1:12" x14ac:dyDescent="0.25">
      <c r="A766" s="341" t="s">
        <v>350</v>
      </c>
      <c r="B766" s="341" t="s">
        <v>2708</v>
      </c>
      <c r="C766" s="341" t="s">
        <v>16</v>
      </c>
      <c r="D766" s="342">
        <v>1</v>
      </c>
      <c r="E766" s="342">
        <v>0</v>
      </c>
      <c r="F766" s="342" t="s">
        <v>9622</v>
      </c>
      <c r="G766" s="341" t="s">
        <v>6342</v>
      </c>
      <c r="H766" s="341" t="s">
        <v>9996</v>
      </c>
      <c r="I766" s="341" t="s">
        <v>16</v>
      </c>
      <c r="J766" s="342">
        <v>1</v>
      </c>
      <c r="K766" s="342" t="s">
        <v>9623</v>
      </c>
      <c r="L766" s="342">
        <v>0</v>
      </c>
    </row>
    <row r="767" spans="1:12" x14ac:dyDescent="0.25">
      <c r="A767" s="341" t="s">
        <v>2420</v>
      </c>
      <c r="B767" s="341" t="s">
        <v>2420</v>
      </c>
      <c r="C767" s="341" t="s">
        <v>2420</v>
      </c>
      <c r="D767" s="342">
        <v>0</v>
      </c>
      <c r="E767" s="342" t="s">
        <v>2420</v>
      </c>
      <c r="F767" s="342" t="s">
        <v>9622</v>
      </c>
      <c r="G767" s="341" t="s">
        <v>1249</v>
      </c>
      <c r="H767" s="341" t="s">
        <v>6907</v>
      </c>
      <c r="I767" s="341" t="s">
        <v>4230</v>
      </c>
      <c r="J767" s="342">
        <v>0.39</v>
      </c>
      <c r="K767" s="342" t="s">
        <v>4230</v>
      </c>
      <c r="L767" s="342">
        <v>0</v>
      </c>
    </row>
    <row r="768" spans="1:12" x14ac:dyDescent="0.25">
      <c r="A768" s="341" t="s">
        <v>351</v>
      </c>
      <c r="B768" s="341" t="s">
        <v>2709</v>
      </c>
      <c r="C768" s="341" t="s">
        <v>16</v>
      </c>
      <c r="D768" s="342">
        <v>1</v>
      </c>
      <c r="E768" s="342">
        <v>0</v>
      </c>
      <c r="F768" s="342" t="s">
        <v>9622</v>
      </c>
      <c r="G768" s="341" t="s">
        <v>1249</v>
      </c>
      <c r="H768" s="341" t="s">
        <v>6907</v>
      </c>
      <c r="I768" s="341" t="s">
        <v>4230</v>
      </c>
      <c r="J768" s="342">
        <v>0.27</v>
      </c>
      <c r="K768" s="342" t="s">
        <v>4230</v>
      </c>
      <c r="L768" s="342">
        <v>0</v>
      </c>
    </row>
    <row r="769" spans="1:12" x14ac:dyDescent="0.25">
      <c r="A769" s="341" t="s">
        <v>2420</v>
      </c>
      <c r="B769" s="341" t="s">
        <v>2420</v>
      </c>
      <c r="C769" s="341" t="s">
        <v>2420</v>
      </c>
      <c r="D769" s="342">
        <v>0</v>
      </c>
      <c r="E769" s="342" t="s">
        <v>2420</v>
      </c>
      <c r="F769" s="342" t="s">
        <v>9622</v>
      </c>
      <c r="G769" s="341" t="s">
        <v>2037</v>
      </c>
      <c r="H769" s="341" t="s">
        <v>2709</v>
      </c>
      <c r="I769" s="341" t="s">
        <v>16</v>
      </c>
      <c r="J769" s="342">
        <v>1</v>
      </c>
      <c r="K769" s="342" t="s">
        <v>9623</v>
      </c>
      <c r="L769" s="342">
        <v>0</v>
      </c>
    </row>
    <row r="770" spans="1:12" x14ac:dyDescent="0.25">
      <c r="A770" s="341" t="s">
        <v>157</v>
      </c>
      <c r="B770" s="341" t="s">
        <v>9997</v>
      </c>
      <c r="C770" s="341" t="s">
        <v>16</v>
      </c>
      <c r="D770" s="342">
        <v>1</v>
      </c>
      <c r="E770" s="342">
        <v>0</v>
      </c>
      <c r="F770" s="342" t="s">
        <v>9622</v>
      </c>
      <c r="G770" s="341" t="s">
        <v>1234</v>
      </c>
      <c r="H770" s="341" t="s">
        <v>6899</v>
      </c>
      <c r="I770" s="341" t="s">
        <v>4230</v>
      </c>
      <c r="J770" s="342">
        <v>1.5</v>
      </c>
      <c r="K770" s="342" t="s">
        <v>4230</v>
      </c>
      <c r="L770" s="342">
        <v>0</v>
      </c>
    </row>
    <row r="771" spans="1:12" x14ac:dyDescent="0.25">
      <c r="A771" s="341" t="s">
        <v>2420</v>
      </c>
      <c r="B771" s="341" t="s">
        <v>2420</v>
      </c>
      <c r="C771" s="341" t="s">
        <v>2420</v>
      </c>
      <c r="D771" s="342">
        <v>0</v>
      </c>
      <c r="E771" s="342" t="s">
        <v>2420</v>
      </c>
      <c r="F771" s="342" t="s">
        <v>9622</v>
      </c>
      <c r="G771" s="341" t="s">
        <v>1235</v>
      </c>
      <c r="H771" s="341" t="s">
        <v>6900</v>
      </c>
      <c r="I771" s="341" t="s">
        <v>4230</v>
      </c>
      <c r="J771" s="342">
        <v>2</v>
      </c>
      <c r="K771" s="342" t="s">
        <v>4230</v>
      </c>
      <c r="L771" s="342">
        <v>0</v>
      </c>
    </row>
    <row r="772" spans="1:12" x14ac:dyDescent="0.25">
      <c r="A772" s="341" t="s">
        <v>2420</v>
      </c>
      <c r="B772" s="341" t="s">
        <v>2420</v>
      </c>
      <c r="C772" s="341" t="s">
        <v>2420</v>
      </c>
      <c r="D772" s="342">
        <v>0</v>
      </c>
      <c r="E772" s="342" t="s">
        <v>2420</v>
      </c>
      <c r="F772" s="342" t="s">
        <v>9622</v>
      </c>
      <c r="G772" s="341" t="s">
        <v>3256</v>
      </c>
      <c r="H772" s="341" t="s">
        <v>9998</v>
      </c>
      <c r="I772" s="341" t="s">
        <v>16</v>
      </c>
      <c r="J772" s="342">
        <v>1</v>
      </c>
      <c r="K772" s="342" t="s">
        <v>9623</v>
      </c>
      <c r="L772" s="342">
        <v>0</v>
      </c>
    </row>
    <row r="773" spans="1:12" x14ac:dyDescent="0.25">
      <c r="A773" s="341" t="s">
        <v>284</v>
      </c>
      <c r="B773" s="341" t="s">
        <v>9999</v>
      </c>
      <c r="C773" s="341" t="s">
        <v>11</v>
      </c>
      <c r="D773" s="342">
        <v>1</v>
      </c>
      <c r="E773" s="342">
        <v>0</v>
      </c>
      <c r="F773" s="342" t="s">
        <v>9622</v>
      </c>
      <c r="G773" s="341" t="s">
        <v>1601</v>
      </c>
      <c r="H773" s="341" t="s">
        <v>10000</v>
      </c>
      <c r="I773" s="341" t="s">
        <v>11</v>
      </c>
      <c r="J773" s="342">
        <v>1</v>
      </c>
      <c r="K773" s="342" t="s">
        <v>25</v>
      </c>
      <c r="L773" s="342">
        <v>0</v>
      </c>
    </row>
    <row r="774" spans="1:12" x14ac:dyDescent="0.25">
      <c r="A774" s="341" t="s">
        <v>2420</v>
      </c>
      <c r="B774" s="341" t="s">
        <v>2420</v>
      </c>
      <c r="C774" s="341" t="s">
        <v>2420</v>
      </c>
      <c r="D774" s="342">
        <v>0</v>
      </c>
      <c r="E774" s="342" t="s">
        <v>2420</v>
      </c>
      <c r="F774" s="342" t="s">
        <v>9624</v>
      </c>
      <c r="G774" s="341" t="s">
        <v>9627</v>
      </c>
      <c r="H774" s="341" t="s">
        <v>9780</v>
      </c>
      <c r="I774" s="341" t="s">
        <v>11</v>
      </c>
      <c r="J774" s="342">
        <v>1</v>
      </c>
      <c r="K774" s="342" t="s">
        <v>2420</v>
      </c>
      <c r="L774" s="342">
        <v>0</v>
      </c>
    </row>
    <row r="775" spans="1:12" x14ac:dyDescent="0.25">
      <c r="A775" s="341" t="s">
        <v>283</v>
      </c>
      <c r="B775" s="341" t="s">
        <v>10001</v>
      </c>
      <c r="C775" s="341" t="s">
        <v>11</v>
      </c>
      <c r="D775" s="342">
        <v>1</v>
      </c>
      <c r="E775" s="342">
        <v>0</v>
      </c>
      <c r="F775" s="342" t="s">
        <v>9622</v>
      </c>
      <c r="G775" s="341" t="s">
        <v>1602</v>
      </c>
      <c r="H775" s="341" t="s">
        <v>10002</v>
      </c>
      <c r="I775" s="341" t="s">
        <v>11</v>
      </c>
      <c r="J775" s="342">
        <v>1</v>
      </c>
      <c r="K775" s="342" t="s">
        <v>25</v>
      </c>
      <c r="L775" s="342">
        <v>0</v>
      </c>
    </row>
    <row r="776" spans="1:12" x14ac:dyDescent="0.25">
      <c r="A776" s="341" t="s">
        <v>2420</v>
      </c>
      <c r="B776" s="341" t="s">
        <v>2420</v>
      </c>
      <c r="C776" s="341" t="s">
        <v>2420</v>
      </c>
      <c r="D776" s="342">
        <v>0</v>
      </c>
      <c r="E776" s="342" t="s">
        <v>2420</v>
      </c>
      <c r="F776" s="342" t="s">
        <v>9624</v>
      </c>
      <c r="G776" s="341" t="s">
        <v>9627</v>
      </c>
      <c r="H776" s="341" t="s">
        <v>9780</v>
      </c>
      <c r="I776" s="341" t="s">
        <v>11</v>
      </c>
      <c r="J776" s="342">
        <v>1</v>
      </c>
      <c r="K776" s="342" t="s">
        <v>2420</v>
      </c>
      <c r="L776" s="342">
        <v>0</v>
      </c>
    </row>
    <row r="777" spans="1:12" x14ac:dyDescent="0.25">
      <c r="A777" s="341" t="s">
        <v>282</v>
      </c>
      <c r="B777" s="341" t="s">
        <v>10003</v>
      </c>
      <c r="C777" s="341" t="s">
        <v>11</v>
      </c>
      <c r="D777" s="342">
        <v>1</v>
      </c>
      <c r="E777" s="342">
        <v>0</v>
      </c>
      <c r="F777" s="342" t="s">
        <v>9622</v>
      </c>
      <c r="G777" s="341" t="s">
        <v>1603</v>
      </c>
      <c r="H777" s="341" t="s">
        <v>10004</v>
      </c>
      <c r="I777" s="341" t="s">
        <v>11</v>
      </c>
      <c r="J777" s="342">
        <v>1</v>
      </c>
      <c r="K777" s="342" t="s">
        <v>25</v>
      </c>
      <c r="L777" s="342">
        <v>0</v>
      </c>
    </row>
    <row r="778" spans="1:12" x14ac:dyDescent="0.25">
      <c r="A778" s="341" t="s">
        <v>2420</v>
      </c>
      <c r="B778" s="341" t="s">
        <v>2420</v>
      </c>
      <c r="C778" s="341" t="s">
        <v>2420</v>
      </c>
      <c r="D778" s="342">
        <v>0</v>
      </c>
      <c r="E778" s="342" t="s">
        <v>2420</v>
      </c>
      <c r="F778" s="342" t="s">
        <v>9624</v>
      </c>
      <c r="G778" s="341" t="s">
        <v>9627</v>
      </c>
      <c r="H778" s="341" t="s">
        <v>9780</v>
      </c>
      <c r="I778" s="341" t="s">
        <v>11</v>
      </c>
      <c r="J778" s="342">
        <v>1</v>
      </c>
      <c r="K778" s="342" t="s">
        <v>2420</v>
      </c>
      <c r="L778" s="342">
        <v>0</v>
      </c>
    </row>
    <row r="779" spans="1:12" x14ac:dyDescent="0.25">
      <c r="A779" s="341" t="s">
        <v>188</v>
      </c>
      <c r="B779" s="341" t="s">
        <v>10005</v>
      </c>
      <c r="C779" s="341" t="s">
        <v>16</v>
      </c>
      <c r="D779" s="342">
        <v>1</v>
      </c>
      <c r="E779" s="342">
        <v>0</v>
      </c>
      <c r="F779" s="342" t="s">
        <v>9622</v>
      </c>
      <c r="G779" s="341" t="s">
        <v>1241</v>
      </c>
      <c r="H779" s="341" t="s">
        <v>6905</v>
      </c>
      <c r="I779" s="341" t="s">
        <v>4230</v>
      </c>
      <c r="J779" s="342">
        <v>0.8</v>
      </c>
      <c r="K779" s="342" t="s">
        <v>4230</v>
      </c>
      <c r="L779" s="342">
        <v>0</v>
      </c>
    </row>
    <row r="780" spans="1:12" x14ac:dyDescent="0.25">
      <c r="A780" s="341" t="s">
        <v>2420</v>
      </c>
      <c r="B780" s="341" t="s">
        <v>2420</v>
      </c>
      <c r="C780" s="341" t="s">
        <v>2420</v>
      </c>
      <c r="D780" s="342">
        <v>0</v>
      </c>
      <c r="E780" s="342" t="s">
        <v>2420</v>
      </c>
      <c r="F780" s="342" t="s">
        <v>9622</v>
      </c>
      <c r="G780" s="341" t="s">
        <v>1242</v>
      </c>
      <c r="H780" s="341" t="s">
        <v>9833</v>
      </c>
      <c r="I780" s="341" t="s">
        <v>4230</v>
      </c>
      <c r="J780" s="342">
        <v>0.6</v>
      </c>
      <c r="K780" s="342" t="s">
        <v>4230</v>
      </c>
      <c r="L780" s="342">
        <v>0</v>
      </c>
    </row>
    <row r="781" spans="1:12" x14ac:dyDescent="0.25">
      <c r="A781" s="341" t="s">
        <v>2420</v>
      </c>
      <c r="B781" s="341" t="s">
        <v>2420</v>
      </c>
      <c r="C781" s="341" t="s">
        <v>2420</v>
      </c>
      <c r="D781" s="342">
        <v>0</v>
      </c>
      <c r="E781" s="342" t="s">
        <v>2420</v>
      </c>
      <c r="F781" s="342" t="s">
        <v>9622</v>
      </c>
      <c r="G781" s="341" t="s">
        <v>1848</v>
      </c>
      <c r="H781" s="341" t="s">
        <v>10006</v>
      </c>
      <c r="I781" s="341" t="s">
        <v>16</v>
      </c>
      <c r="J781" s="342">
        <v>1</v>
      </c>
      <c r="K781" s="342" t="s">
        <v>9623</v>
      </c>
      <c r="L781" s="342">
        <v>0</v>
      </c>
    </row>
    <row r="782" spans="1:12" x14ac:dyDescent="0.25">
      <c r="A782" s="341" t="s">
        <v>406</v>
      </c>
      <c r="B782" s="341" t="s">
        <v>10007</v>
      </c>
      <c r="C782" s="341" t="s">
        <v>16</v>
      </c>
      <c r="D782" s="342">
        <v>1</v>
      </c>
      <c r="E782" s="342">
        <v>0</v>
      </c>
      <c r="F782" s="342" t="s">
        <v>9622</v>
      </c>
      <c r="G782" s="341" t="s">
        <v>1234</v>
      </c>
      <c r="H782" s="341" t="s">
        <v>6899</v>
      </c>
      <c r="I782" s="341" t="s">
        <v>4230</v>
      </c>
      <c r="J782" s="342">
        <v>0.88</v>
      </c>
      <c r="K782" s="342" t="s">
        <v>4230</v>
      </c>
      <c r="L782" s="342">
        <v>0</v>
      </c>
    </row>
    <row r="783" spans="1:12" x14ac:dyDescent="0.25">
      <c r="A783" s="341" t="s">
        <v>2420</v>
      </c>
      <c r="B783" s="341" t="s">
        <v>2420</v>
      </c>
      <c r="C783" s="341" t="s">
        <v>2420</v>
      </c>
      <c r="D783" s="342">
        <v>0</v>
      </c>
      <c r="E783" s="342" t="s">
        <v>2420</v>
      </c>
      <c r="F783" s="342" t="s">
        <v>9622</v>
      </c>
      <c r="G783" s="341" t="s">
        <v>1235</v>
      </c>
      <c r="H783" s="341" t="s">
        <v>6900</v>
      </c>
      <c r="I783" s="341" t="s">
        <v>4230</v>
      </c>
      <c r="J783" s="342">
        <v>0.44</v>
      </c>
      <c r="K783" s="342" t="s">
        <v>4230</v>
      </c>
      <c r="L783" s="342">
        <v>0</v>
      </c>
    </row>
    <row r="784" spans="1:12" x14ac:dyDescent="0.25">
      <c r="A784" s="341" t="s">
        <v>2420</v>
      </c>
      <c r="B784" s="341" t="s">
        <v>2420</v>
      </c>
      <c r="C784" s="341" t="s">
        <v>2420</v>
      </c>
      <c r="D784" s="342">
        <v>0</v>
      </c>
      <c r="E784" s="342" t="s">
        <v>2420</v>
      </c>
      <c r="F784" s="342" t="s">
        <v>9622</v>
      </c>
      <c r="G784" s="341" t="s">
        <v>1445</v>
      </c>
      <c r="H784" s="341" t="s">
        <v>2851</v>
      </c>
      <c r="I784" s="341" t="s">
        <v>16</v>
      </c>
      <c r="J784" s="342">
        <v>1.05</v>
      </c>
      <c r="K784" s="342" t="s">
        <v>25</v>
      </c>
      <c r="L784" s="342">
        <v>0</v>
      </c>
    </row>
    <row r="785" spans="1:12" x14ac:dyDescent="0.25">
      <c r="A785" s="341" t="s">
        <v>2420</v>
      </c>
      <c r="B785" s="341" t="s">
        <v>2420</v>
      </c>
      <c r="C785" s="341" t="s">
        <v>2420</v>
      </c>
      <c r="D785" s="342">
        <v>0</v>
      </c>
      <c r="E785" s="342" t="s">
        <v>2420</v>
      </c>
      <c r="F785" s="342" t="s">
        <v>9622</v>
      </c>
      <c r="G785" s="341" t="s">
        <v>1472</v>
      </c>
      <c r="H785" s="341" t="s">
        <v>7212</v>
      </c>
      <c r="I785" s="341" t="s">
        <v>2557</v>
      </c>
      <c r="J785" s="342">
        <v>8</v>
      </c>
      <c r="K785" s="342" t="s">
        <v>25</v>
      </c>
      <c r="L785" s="342">
        <v>0</v>
      </c>
    </row>
    <row r="786" spans="1:12" x14ac:dyDescent="0.25">
      <c r="A786" s="341" t="s">
        <v>2420</v>
      </c>
      <c r="B786" s="341" t="s">
        <v>2420</v>
      </c>
      <c r="C786" s="341" t="s">
        <v>2420</v>
      </c>
      <c r="D786" s="342">
        <v>0</v>
      </c>
      <c r="E786" s="342" t="s">
        <v>2420</v>
      </c>
      <c r="F786" s="342" t="s">
        <v>9622</v>
      </c>
      <c r="G786" s="341" t="s">
        <v>2021</v>
      </c>
      <c r="H786" s="341" t="s">
        <v>8320</v>
      </c>
      <c r="I786" s="341" t="s">
        <v>16</v>
      </c>
      <c r="J786" s="342">
        <v>1</v>
      </c>
      <c r="K786" s="342" t="s">
        <v>9623</v>
      </c>
      <c r="L786" s="342">
        <v>0</v>
      </c>
    </row>
    <row r="787" spans="1:12" x14ac:dyDescent="0.25">
      <c r="A787" s="341" t="s">
        <v>2420</v>
      </c>
      <c r="B787" s="341" t="s">
        <v>2420</v>
      </c>
      <c r="C787" s="341" t="s">
        <v>2420</v>
      </c>
      <c r="D787" s="342">
        <v>0</v>
      </c>
      <c r="E787" s="342" t="s">
        <v>2420</v>
      </c>
      <c r="F787" s="342" t="s">
        <v>9624</v>
      </c>
      <c r="G787" s="341" t="s">
        <v>9629</v>
      </c>
      <c r="H787" s="341" t="s">
        <v>9953</v>
      </c>
      <c r="I787" s="341" t="s">
        <v>16</v>
      </c>
      <c r="J787" s="342">
        <v>1</v>
      </c>
      <c r="K787" s="342" t="s">
        <v>2420</v>
      </c>
      <c r="L787" s="342">
        <v>0</v>
      </c>
    </row>
    <row r="788" spans="1:12" x14ac:dyDescent="0.25">
      <c r="A788" s="341" t="s">
        <v>422</v>
      </c>
      <c r="B788" s="341" t="s">
        <v>10008</v>
      </c>
      <c r="C788" s="341" t="s">
        <v>16</v>
      </c>
      <c r="D788" s="342">
        <v>1</v>
      </c>
      <c r="E788" s="342">
        <v>0</v>
      </c>
      <c r="F788" s="342" t="s">
        <v>9622</v>
      </c>
      <c r="G788" s="341" t="s">
        <v>1887</v>
      </c>
      <c r="H788" s="341" t="s">
        <v>10009</v>
      </c>
      <c r="I788" s="341" t="s">
        <v>16</v>
      </c>
      <c r="J788" s="342">
        <v>1</v>
      </c>
      <c r="K788" s="342" t="s">
        <v>9623</v>
      </c>
      <c r="L788" s="342">
        <v>0</v>
      </c>
    </row>
    <row r="789" spans="1:12" x14ac:dyDescent="0.25">
      <c r="A789" s="341" t="s">
        <v>510</v>
      </c>
      <c r="B789" s="341" t="s">
        <v>2979</v>
      </c>
      <c r="C789" s="341" t="s">
        <v>16</v>
      </c>
      <c r="D789" s="342">
        <v>1</v>
      </c>
      <c r="E789" s="342">
        <v>0</v>
      </c>
      <c r="F789" s="342" t="s">
        <v>9622</v>
      </c>
      <c r="G789" s="341" t="s">
        <v>1210</v>
      </c>
      <c r="H789" s="341" t="s">
        <v>6855</v>
      </c>
      <c r="I789" s="341" t="s">
        <v>4230</v>
      </c>
      <c r="J789" s="342">
        <v>0.2</v>
      </c>
      <c r="K789" s="342" t="s">
        <v>4230</v>
      </c>
      <c r="L789" s="342">
        <v>0</v>
      </c>
    </row>
    <row r="790" spans="1:12" x14ac:dyDescent="0.25">
      <c r="A790" s="341" t="s">
        <v>2420</v>
      </c>
      <c r="B790" s="341" t="s">
        <v>2420</v>
      </c>
      <c r="C790" s="341" t="s">
        <v>2420</v>
      </c>
      <c r="D790" s="342">
        <v>0</v>
      </c>
      <c r="E790" s="342" t="s">
        <v>2420</v>
      </c>
      <c r="F790" s="342" t="s">
        <v>9622</v>
      </c>
      <c r="G790" s="341" t="s">
        <v>1275</v>
      </c>
      <c r="H790" s="341" t="s">
        <v>6938</v>
      </c>
      <c r="I790" s="341" t="s">
        <v>52</v>
      </c>
      <c r="J790" s="342">
        <v>5.5E-2</v>
      </c>
      <c r="K790" s="342" t="s">
        <v>25</v>
      </c>
      <c r="L790" s="342">
        <v>0</v>
      </c>
    </row>
    <row r="791" spans="1:12" x14ac:dyDescent="0.25">
      <c r="A791" s="341" t="s">
        <v>2420</v>
      </c>
      <c r="B791" s="341" t="s">
        <v>2420</v>
      </c>
      <c r="C791" s="341" t="s">
        <v>2420</v>
      </c>
      <c r="D791" s="342">
        <v>0</v>
      </c>
      <c r="E791" s="342" t="s">
        <v>2420</v>
      </c>
      <c r="F791" s="342" t="s">
        <v>9622</v>
      </c>
      <c r="G791" s="341" t="s">
        <v>1303</v>
      </c>
      <c r="H791" s="341" t="s">
        <v>6980</v>
      </c>
      <c r="I791" s="341" t="s">
        <v>2557</v>
      </c>
      <c r="J791" s="342">
        <v>1.5</v>
      </c>
      <c r="K791" s="342" t="s">
        <v>25</v>
      </c>
      <c r="L791" s="342">
        <v>0</v>
      </c>
    </row>
    <row r="792" spans="1:12" x14ac:dyDescent="0.25">
      <c r="A792" s="341" t="s">
        <v>2420</v>
      </c>
      <c r="B792" s="341" t="s">
        <v>2420</v>
      </c>
      <c r="C792" s="341" t="s">
        <v>2420</v>
      </c>
      <c r="D792" s="342">
        <v>0</v>
      </c>
      <c r="E792" s="342" t="s">
        <v>2420</v>
      </c>
      <c r="F792" s="342" t="s">
        <v>9622</v>
      </c>
      <c r="G792" s="341" t="s">
        <v>1886</v>
      </c>
      <c r="H792" s="341" t="s">
        <v>8017</v>
      </c>
      <c r="I792" s="341" t="s">
        <v>16</v>
      </c>
      <c r="J792" s="342">
        <v>1</v>
      </c>
      <c r="K792" s="342" t="s">
        <v>9623</v>
      </c>
      <c r="L792" s="342">
        <v>0</v>
      </c>
    </row>
    <row r="793" spans="1:12" x14ac:dyDescent="0.25">
      <c r="A793" s="341" t="s">
        <v>426</v>
      </c>
      <c r="B793" s="341" t="s">
        <v>10010</v>
      </c>
      <c r="C793" s="341" t="s">
        <v>16</v>
      </c>
      <c r="D793" s="342">
        <v>1</v>
      </c>
      <c r="E793" s="342">
        <v>0</v>
      </c>
      <c r="F793" s="342" t="s">
        <v>9622</v>
      </c>
      <c r="G793" s="341" t="s">
        <v>1911</v>
      </c>
      <c r="H793" s="341" t="s">
        <v>10011</v>
      </c>
      <c r="I793" s="341" t="s">
        <v>16</v>
      </c>
      <c r="J793" s="342">
        <v>1</v>
      </c>
      <c r="K793" s="342" t="s">
        <v>9623</v>
      </c>
      <c r="L793" s="342">
        <v>0</v>
      </c>
    </row>
    <row r="794" spans="1:12" x14ac:dyDescent="0.25">
      <c r="A794" s="341" t="s">
        <v>358</v>
      </c>
      <c r="B794" s="341" t="s">
        <v>10012</v>
      </c>
      <c r="C794" s="341" t="s">
        <v>16</v>
      </c>
      <c r="D794" s="342">
        <v>1</v>
      </c>
      <c r="E794" s="342">
        <v>0</v>
      </c>
      <c r="F794" s="342" t="s">
        <v>9622</v>
      </c>
      <c r="G794" s="341" t="s">
        <v>1234</v>
      </c>
      <c r="H794" s="341" t="s">
        <v>6899</v>
      </c>
      <c r="I794" s="341" t="s">
        <v>4230</v>
      </c>
      <c r="J794" s="342">
        <v>0.88</v>
      </c>
      <c r="K794" s="342" t="s">
        <v>4230</v>
      </c>
      <c r="L794" s="342">
        <v>0</v>
      </c>
    </row>
    <row r="795" spans="1:12" x14ac:dyDescent="0.25">
      <c r="A795" s="341" t="s">
        <v>2420</v>
      </c>
      <c r="B795" s="341" t="s">
        <v>2420</v>
      </c>
      <c r="C795" s="341" t="s">
        <v>2420</v>
      </c>
      <c r="D795" s="342">
        <v>0</v>
      </c>
      <c r="E795" s="342" t="s">
        <v>2420</v>
      </c>
      <c r="F795" s="342" t="s">
        <v>9622</v>
      </c>
      <c r="G795" s="341" t="s">
        <v>1235</v>
      </c>
      <c r="H795" s="341" t="s">
        <v>6900</v>
      </c>
      <c r="I795" s="341" t="s">
        <v>4230</v>
      </c>
      <c r="J795" s="342">
        <v>0.44</v>
      </c>
      <c r="K795" s="342" t="s">
        <v>4230</v>
      </c>
      <c r="L795" s="342">
        <v>0</v>
      </c>
    </row>
    <row r="796" spans="1:12" x14ac:dyDescent="0.25">
      <c r="A796" s="341" t="s">
        <v>2420</v>
      </c>
      <c r="B796" s="341" t="s">
        <v>2420</v>
      </c>
      <c r="C796" s="341" t="s">
        <v>2420</v>
      </c>
      <c r="D796" s="342">
        <v>0</v>
      </c>
      <c r="E796" s="342" t="s">
        <v>2420</v>
      </c>
      <c r="F796" s="342" t="s">
        <v>9622</v>
      </c>
      <c r="G796" s="341" t="s">
        <v>1472</v>
      </c>
      <c r="H796" s="341" t="s">
        <v>7212</v>
      </c>
      <c r="I796" s="341" t="s">
        <v>2557</v>
      </c>
      <c r="J796" s="342">
        <v>7</v>
      </c>
      <c r="K796" s="342" t="s">
        <v>25</v>
      </c>
      <c r="L796" s="342">
        <v>0</v>
      </c>
    </row>
    <row r="797" spans="1:12" x14ac:dyDescent="0.25">
      <c r="A797" s="341" t="s">
        <v>2420</v>
      </c>
      <c r="B797" s="341" t="s">
        <v>2420</v>
      </c>
      <c r="C797" s="341" t="s">
        <v>2420</v>
      </c>
      <c r="D797" s="342">
        <v>0</v>
      </c>
      <c r="E797" s="342" t="s">
        <v>2420</v>
      </c>
      <c r="F797" s="342" t="s">
        <v>9622</v>
      </c>
      <c r="G797" s="341" t="s">
        <v>1623</v>
      </c>
      <c r="H797" s="341" t="s">
        <v>7343</v>
      </c>
      <c r="I797" s="341" t="s">
        <v>11</v>
      </c>
      <c r="J797" s="342">
        <v>10</v>
      </c>
      <c r="K797" s="342" t="s">
        <v>25</v>
      </c>
      <c r="L797" s="342">
        <v>0</v>
      </c>
    </row>
    <row r="798" spans="1:12" x14ac:dyDescent="0.25">
      <c r="A798" s="341" t="s">
        <v>2420</v>
      </c>
      <c r="B798" s="341" t="s">
        <v>2420</v>
      </c>
      <c r="C798" s="341" t="s">
        <v>2420</v>
      </c>
      <c r="D798" s="342">
        <v>0</v>
      </c>
      <c r="E798" s="342" t="s">
        <v>2420</v>
      </c>
      <c r="F798" s="342" t="s">
        <v>9622</v>
      </c>
      <c r="G798" s="341" t="s">
        <v>1657</v>
      </c>
      <c r="H798" s="341" t="s">
        <v>2790</v>
      </c>
      <c r="I798" s="341" t="s">
        <v>16</v>
      </c>
      <c r="J798" s="342">
        <v>1.05</v>
      </c>
      <c r="K798" s="342" t="s">
        <v>25</v>
      </c>
      <c r="L798" s="342">
        <v>0</v>
      </c>
    </row>
    <row r="799" spans="1:12" x14ac:dyDescent="0.25">
      <c r="A799" s="341" t="s">
        <v>2420</v>
      </c>
      <c r="B799" s="341" t="s">
        <v>2420</v>
      </c>
      <c r="C799" s="341" t="s">
        <v>2420</v>
      </c>
      <c r="D799" s="342">
        <v>0</v>
      </c>
      <c r="E799" s="342" t="s">
        <v>2420</v>
      </c>
      <c r="F799" s="342" t="s">
        <v>9622</v>
      </c>
      <c r="G799" s="341" t="s">
        <v>1864</v>
      </c>
      <c r="H799" s="341" t="s">
        <v>9827</v>
      </c>
      <c r="I799" s="341" t="s">
        <v>16</v>
      </c>
      <c r="J799" s="342">
        <v>1</v>
      </c>
      <c r="K799" s="342" t="s">
        <v>9623</v>
      </c>
      <c r="L799" s="342">
        <v>0</v>
      </c>
    </row>
    <row r="800" spans="1:12" x14ac:dyDescent="0.25">
      <c r="A800" s="341" t="s">
        <v>2420</v>
      </c>
      <c r="B800" s="341" t="s">
        <v>2420</v>
      </c>
      <c r="C800" s="341" t="s">
        <v>2420</v>
      </c>
      <c r="D800" s="342">
        <v>0</v>
      </c>
      <c r="E800" s="342" t="s">
        <v>2420</v>
      </c>
      <c r="F800" s="342" t="s">
        <v>9624</v>
      </c>
      <c r="G800" s="341" t="s">
        <v>9828</v>
      </c>
      <c r="H800" s="341" t="s">
        <v>9829</v>
      </c>
      <c r="I800" s="341" t="s">
        <v>16</v>
      </c>
      <c r="J800" s="342">
        <v>1</v>
      </c>
      <c r="K800" s="342" t="s">
        <v>2420</v>
      </c>
      <c r="L800" s="342">
        <v>0</v>
      </c>
    </row>
    <row r="801" spans="1:12" x14ac:dyDescent="0.25">
      <c r="A801" s="341" t="s">
        <v>169</v>
      </c>
      <c r="B801" s="341" t="s">
        <v>10013</v>
      </c>
      <c r="C801" s="341" t="s">
        <v>16</v>
      </c>
      <c r="D801" s="342">
        <v>1</v>
      </c>
      <c r="E801" s="342">
        <v>0</v>
      </c>
      <c r="F801" s="342" t="s">
        <v>9622</v>
      </c>
      <c r="G801" s="341" t="s">
        <v>1234</v>
      </c>
      <c r="H801" s="341" t="s">
        <v>6899</v>
      </c>
      <c r="I801" s="341" t="s">
        <v>4230</v>
      </c>
      <c r="J801" s="342">
        <v>0.88</v>
      </c>
      <c r="K801" s="342" t="s">
        <v>4230</v>
      </c>
      <c r="L801" s="342">
        <v>0</v>
      </c>
    </row>
    <row r="802" spans="1:12" x14ac:dyDescent="0.25">
      <c r="A802" s="341" t="s">
        <v>2420</v>
      </c>
      <c r="B802" s="341" t="s">
        <v>2420</v>
      </c>
      <c r="C802" s="341" t="s">
        <v>2420</v>
      </c>
      <c r="D802" s="342">
        <v>0</v>
      </c>
      <c r="E802" s="342" t="s">
        <v>2420</v>
      </c>
      <c r="F802" s="342" t="s">
        <v>9622</v>
      </c>
      <c r="G802" s="341" t="s">
        <v>1235</v>
      </c>
      <c r="H802" s="341" t="s">
        <v>6900</v>
      </c>
      <c r="I802" s="341" t="s">
        <v>4230</v>
      </c>
      <c r="J802" s="342">
        <v>0.44</v>
      </c>
      <c r="K802" s="342" t="s">
        <v>4230</v>
      </c>
      <c r="L802" s="342">
        <v>0</v>
      </c>
    </row>
    <row r="803" spans="1:12" x14ac:dyDescent="0.25">
      <c r="A803" s="341" t="s">
        <v>2420</v>
      </c>
      <c r="B803" s="341" t="s">
        <v>2420</v>
      </c>
      <c r="C803" s="341" t="s">
        <v>2420</v>
      </c>
      <c r="D803" s="342">
        <v>0</v>
      </c>
      <c r="E803" s="342" t="s">
        <v>2420</v>
      </c>
      <c r="F803" s="342" t="s">
        <v>9622</v>
      </c>
      <c r="G803" s="341" t="s">
        <v>1472</v>
      </c>
      <c r="H803" s="341" t="s">
        <v>7212</v>
      </c>
      <c r="I803" s="341" t="s">
        <v>2557</v>
      </c>
      <c r="J803" s="342">
        <v>7</v>
      </c>
      <c r="K803" s="342" t="s">
        <v>25</v>
      </c>
      <c r="L803" s="342">
        <v>0</v>
      </c>
    </row>
    <row r="804" spans="1:12" x14ac:dyDescent="0.25">
      <c r="A804" s="341" t="s">
        <v>2420</v>
      </c>
      <c r="B804" s="341" t="s">
        <v>2420</v>
      </c>
      <c r="C804" s="341" t="s">
        <v>2420</v>
      </c>
      <c r="D804" s="342">
        <v>0</v>
      </c>
      <c r="E804" s="342" t="s">
        <v>2420</v>
      </c>
      <c r="F804" s="342" t="s">
        <v>9622</v>
      </c>
      <c r="G804" s="341" t="s">
        <v>1623</v>
      </c>
      <c r="H804" s="341" t="s">
        <v>7343</v>
      </c>
      <c r="I804" s="341" t="s">
        <v>11</v>
      </c>
      <c r="J804" s="342">
        <v>10</v>
      </c>
      <c r="K804" s="342" t="s">
        <v>25</v>
      </c>
      <c r="L804" s="342">
        <v>0</v>
      </c>
    </row>
    <row r="805" spans="1:12" x14ac:dyDescent="0.25">
      <c r="A805" s="341" t="s">
        <v>2420</v>
      </c>
      <c r="B805" s="341" t="s">
        <v>2420</v>
      </c>
      <c r="C805" s="341" t="s">
        <v>2420</v>
      </c>
      <c r="D805" s="342">
        <v>0</v>
      </c>
      <c r="E805" s="342" t="s">
        <v>2420</v>
      </c>
      <c r="F805" s="342" t="s">
        <v>9622</v>
      </c>
      <c r="G805" s="341" t="s">
        <v>1685</v>
      </c>
      <c r="H805" s="341" t="s">
        <v>2789</v>
      </c>
      <c r="I805" s="341" t="s">
        <v>16</v>
      </c>
      <c r="J805" s="342">
        <v>1.05</v>
      </c>
      <c r="K805" s="342" t="s">
        <v>25</v>
      </c>
      <c r="L805" s="342">
        <v>0</v>
      </c>
    </row>
    <row r="806" spans="1:12" x14ac:dyDescent="0.25">
      <c r="A806" s="341" t="s">
        <v>2420</v>
      </c>
      <c r="B806" s="341" t="s">
        <v>2420</v>
      </c>
      <c r="C806" s="341" t="s">
        <v>2420</v>
      </c>
      <c r="D806" s="342">
        <v>0</v>
      </c>
      <c r="E806" s="342" t="s">
        <v>2420</v>
      </c>
      <c r="F806" s="342" t="s">
        <v>9622</v>
      </c>
      <c r="G806" s="341" t="s">
        <v>1864</v>
      </c>
      <c r="H806" s="341" t="s">
        <v>9827</v>
      </c>
      <c r="I806" s="341" t="s">
        <v>16</v>
      </c>
      <c r="J806" s="342">
        <v>1</v>
      </c>
      <c r="K806" s="342" t="s">
        <v>9623</v>
      </c>
      <c r="L806" s="342">
        <v>0</v>
      </c>
    </row>
    <row r="807" spans="1:12" x14ac:dyDescent="0.25">
      <c r="A807" s="341" t="s">
        <v>2420</v>
      </c>
      <c r="B807" s="341" t="s">
        <v>2420</v>
      </c>
      <c r="C807" s="341" t="s">
        <v>2420</v>
      </c>
      <c r="D807" s="342">
        <v>0</v>
      </c>
      <c r="E807" s="342" t="s">
        <v>2420</v>
      </c>
      <c r="F807" s="342" t="s">
        <v>9624</v>
      </c>
      <c r="G807" s="341" t="s">
        <v>9828</v>
      </c>
      <c r="H807" s="341" t="s">
        <v>9829</v>
      </c>
      <c r="I807" s="341" t="s">
        <v>16</v>
      </c>
      <c r="J807" s="342">
        <v>1</v>
      </c>
      <c r="K807" s="342" t="s">
        <v>2420</v>
      </c>
      <c r="L807" s="342">
        <v>0</v>
      </c>
    </row>
    <row r="808" spans="1:12" x14ac:dyDescent="0.25">
      <c r="A808" s="341" t="s">
        <v>408</v>
      </c>
      <c r="B808" s="341" t="s">
        <v>9830</v>
      </c>
      <c r="C808" s="341" t="s">
        <v>16</v>
      </c>
      <c r="D808" s="342">
        <v>1</v>
      </c>
      <c r="E808" s="342">
        <v>0</v>
      </c>
      <c r="F808" s="342" t="s">
        <v>9622</v>
      </c>
      <c r="G808" s="341" t="s">
        <v>1234</v>
      </c>
      <c r="H808" s="341" t="s">
        <v>6899</v>
      </c>
      <c r="I808" s="341" t="s">
        <v>4230</v>
      </c>
      <c r="J808" s="342">
        <v>0.88</v>
      </c>
      <c r="K808" s="342" t="s">
        <v>4230</v>
      </c>
      <c r="L808" s="342">
        <v>0</v>
      </c>
    </row>
    <row r="809" spans="1:12" x14ac:dyDescent="0.25">
      <c r="A809" s="341" t="s">
        <v>2420</v>
      </c>
      <c r="B809" s="341" t="s">
        <v>2420</v>
      </c>
      <c r="C809" s="341" t="s">
        <v>2420</v>
      </c>
      <c r="D809" s="342">
        <v>0</v>
      </c>
      <c r="E809" s="342" t="s">
        <v>2420</v>
      </c>
      <c r="F809" s="342" t="s">
        <v>9622</v>
      </c>
      <c r="G809" s="341" t="s">
        <v>1235</v>
      </c>
      <c r="H809" s="341" t="s">
        <v>6900</v>
      </c>
      <c r="I809" s="341" t="s">
        <v>4230</v>
      </c>
      <c r="J809" s="342">
        <v>0.44</v>
      </c>
      <c r="K809" s="342" t="s">
        <v>4230</v>
      </c>
      <c r="L809" s="342">
        <v>0</v>
      </c>
    </row>
    <row r="810" spans="1:12" x14ac:dyDescent="0.25">
      <c r="A810" s="341" t="s">
        <v>2420</v>
      </c>
      <c r="B810" s="341" t="s">
        <v>2420</v>
      </c>
      <c r="C810" s="341" t="s">
        <v>2420</v>
      </c>
      <c r="D810" s="342">
        <v>0</v>
      </c>
      <c r="E810" s="342" t="s">
        <v>2420</v>
      </c>
      <c r="F810" s="342" t="s">
        <v>9622</v>
      </c>
      <c r="G810" s="341" t="s">
        <v>1378</v>
      </c>
      <c r="H810" s="341" t="s">
        <v>7096</v>
      </c>
      <c r="I810" s="341" t="s">
        <v>2557</v>
      </c>
      <c r="J810" s="342">
        <v>8</v>
      </c>
      <c r="K810" s="342" t="s">
        <v>25</v>
      </c>
      <c r="L810" s="342">
        <v>0</v>
      </c>
    </row>
    <row r="811" spans="1:12" x14ac:dyDescent="0.25">
      <c r="A811" s="341" t="s">
        <v>2420</v>
      </c>
      <c r="B811" s="341" t="s">
        <v>2420</v>
      </c>
      <c r="C811" s="341" t="s">
        <v>2420</v>
      </c>
      <c r="D811" s="342">
        <v>0</v>
      </c>
      <c r="E811" s="342" t="s">
        <v>2420</v>
      </c>
      <c r="F811" s="342" t="s">
        <v>9622</v>
      </c>
      <c r="G811" s="341" t="s">
        <v>1520</v>
      </c>
      <c r="H811" s="341" t="s">
        <v>2853</v>
      </c>
      <c r="I811" s="341" t="s">
        <v>16</v>
      </c>
      <c r="J811" s="342">
        <v>1.05</v>
      </c>
      <c r="K811" s="342" t="s">
        <v>25</v>
      </c>
      <c r="L811" s="342">
        <v>0</v>
      </c>
    </row>
    <row r="812" spans="1:12" x14ac:dyDescent="0.25">
      <c r="A812" s="341" t="s">
        <v>2420</v>
      </c>
      <c r="B812" s="341" t="s">
        <v>2420</v>
      </c>
      <c r="C812" s="341" t="s">
        <v>2420</v>
      </c>
      <c r="D812" s="342">
        <v>0</v>
      </c>
      <c r="E812" s="342" t="s">
        <v>2420</v>
      </c>
      <c r="F812" s="342" t="s">
        <v>9622</v>
      </c>
      <c r="G812" s="341" t="s">
        <v>1623</v>
      </c>
      <c r="H812" s="341" t="s">
        <v>7343</v>
      </c>
      <c r="I812" s="341" t="s">
        <v>11</v>
      </c>
      <c r="J812" s="342">
        <v>10</v>
      </c>
      <c r="K812" s="342" t="s">
        <v>25</v>
      </c>
      <c r="L812" s="342">
        <v>0</v>
      </c>
    </row>
    <row r="813" spans="1:12" x14ac:dyDescent="0.25">
      <c r="A813" s="341" t="s">
        <v>2420</v>
      </c>
      <c r="B813" s="341" t="s">
        <v>2420</v>
      </c>
      <c r="C813" s="341" t="s">
        <v>2420</v>
      </c>
      <c r="D813" s="342">
        <v>0</v>
      </c>
      <c r="E813" s="342" t="s">
        <v>2420</v>
      </c>
      <c r="F813" s="342" t="s">
        <v>9622</v>
      </c>
      <c r="G813" s="341" t="s">
        <v>1864</v>
      </c>
      <c r="H813" s="341" t="s">
        <v>9827</v>
      </c>
      <c r="I813" s="341" t="s">
        <v>16</v>
      </c>
      <c r="J813" s="342">
        <v>1</v>
      </c>
      <c r="K813" s="342" t="s">
        <v>9623</v>
      </c>
      <c r="L813" s="342">
        <v>0</v>
      </c>
    </row>
    <row r="814" spans="1:12" x14ac:dyDescent="0.25">
      <c r="A814" s="341" t="s">
        <v>2420</v>
      </c>
      <c r="B814" s="341" t="s">
        <v>2420</v>
      </c>
      <c r="C814" s="341" t="s">
        <v>2420</v>
      </c>
      <c r="D814" s="342">
        <v>0</v>
      </c>
      <c r="E814" s="342" t="s">
        <v>2420</v>
      </c>
      <c r="F814" s="342" t="s">
        <v>9624</v>
      </c>
      <c r="G814" s="341" t="s">
        <v>9828</v>
      </c>
      <c r="H814" s="341" t="s">
        <v>9829</v>
      </c>
      <c r="I814" s="341" t="s">
        <v>16</v>
      </c>
      <c r="J814" s="342">
        <v>1</v>
      </c>
      <c r="K814" s="342" t="s">
        <v>2420</v>
      </c>
      <c r="L814" s="342">
        <v>0</v>
      </c>
    </row>
    <row r="815" spans="1:12" x14ac:dyDescent="0.25">
      <c r="A815" s="341" t="s">
        <v>381</v>
      </c>
      <c r="B815" s="341" t="s">
        <v>10014</v>
      </c>
      <c r="C815" s="341" t="s">
        <v>16</v>
      </c>
      <c r="D815" s="342">
        <v>1</v>
      </c>
      <c r="E815" s="342">
        <v>0</v>
      </c>
      <c r="F815" s="342" t="s">
        <v>9622</v>
      </c>
      <c r="G815" s="341" t="s">
        <v>1234</v>
      </c>
      <c r="H815" s="341" t="s">
        <v>6899</v>
      </c>
      <c r="I815" s="341" t="s">
        <v>4230</v>
      </c>
      <c r="J815" s="342">
        <v>0.88</v>
      </c>
      <c r="K815" s="342" t="s">
        <v>4230</v>
      </c>
      <c r="L815" s="342">
        <v>0</v>
      </c>
    </row>
    <row r="816" spans="1:12" x14ac:dyDescent="0.25">
      <c r="A816" s="341" t="s">
        <v>2420</v>
      </c>
      <c r="B816" s="341" t="s">
        <v>2420</v>
      </c>
      <c r="C816" s="341" t="s">
        <v>2420</v>
      </c>
      <c r="D816" s="342">
        <v>0</v>
      </c>
      <c r="E816" s="342" t="s">
        <v>2420</v>
      </c>
      <c r="F816" s="342" t="s">
        <v>9622</v>
      </c>
      <c r="G816" s="341" t="s">
        <v>1235</v>
      </c>
      <c r="H816" s="341" t="s">
        <v>6900</v>
      </c>
      <c r="I816" s="341" t="s">
        <v>4230</v>
      </c>
      <c r="J816" s="342">
        <v>0.44</v>
      </c>
      <c r="K816" s="342" t="s">
        <v>4230</v>
      </c>
      <c r="L816" s="342">
        <v>0</v>
      </c>
    </row>
    <row r="817" spans="1:12" x14ac:dyDescent="0.25">
      <c r="A817" s="341" t="s">
        <v>2420</v>
      </c>
      <c r="B817" s="341" t="s">
        <v>2420</v>
      </c>
      <c r="C817" s="341" t="s">
        <v>2420</v>
      </c>
      <c r="D817" s="342">
        <v>0</v>
      </c>
      <c r="E817" s="342" t="s">
        <v>2420</v>
      </c>
      <c r="F817" s="342" t="s">
        <v>9622</v>
      </c>
      <c r="G817" s="341" t="s">
        <v>1378</v>
      </c>
      <c r="H817" s="341" t="s">
        <v>7096</v>
      </c>
      <c r="I817" s="341" t="s">
        <v>2557</v>
      </c>
      <c r="J817" s="342">
        <v>7</v>
      </c>
      <c r="K817" s="342" t="s">
        <v>25</v>
      </c>
      <c r="L817" s="342">
        <v>0</v>
      </c>
    </row>
    <row r="818" spans="1:12" x14ac:dyDescent="0.25">
      <c r="A818" s="341" t="s">
        <v>2420</v>
      </c>
      <c r="B818" s="341" t="s">
        <v>2420</v>
      </c>
      <c r="C818" s="341" t="s">
        <v>2420</v>
      </c>
      <c r="D818" s="342">
        <v>0</v>
      </c>
      <c r="E818" s="342" t="s">
        <v>2420</v>
      </c>
      <c r="F818" s="342" t="s">
        <v>9622</v>
      </c>
      <c r="G818" s="341" t="s">
        <v>1521</v>
      </c>
      <c r="H818" s="341" t="s">
        <v>2810</v>
      </c>
      <c r="I818" s="341" t="s">
        <v>16</v>
      </c>
      <c r="J818" s="342">
        <v>1.05</v>
      </c>
      <c r="K818" s="342" t="s">
        <v>25</v>
      </c>
      <c r="L818" s="342">
        <v>0</v>
      </c>
    </row>
    <row r="819" spans="1:12" x14ac:dyDescent="0.25">
      <c r="A819" s="341" t="s">
        <v>2420</v>
      </c>
      <c r="B819" s="341" t="s">
        <v>2420</v>
      </c>
      <c r="C819" s="341" t="s">
        <v>2420</v>
      </c>
      <c r="D819" s="342">
        <v>0</v>
      </c>
      <c r="E819" s="342" t="s">
        <v>2420</v>
      </c>
      <c r="F819" s="342" t="s">
        <v>9622</v>
      </c>
      <c r="G819" s="341" t="s">
        <v>1865</v>
      </c>
      <c r="H819" s="341" t="s">
        <v>9835</v>
      </c>
      <c r="I819" s="341" t="s">
        <v>16</v>
      </c>
      <c r="J819" s="342">
        <v>1</v>
      </c>
      <c r="K819" s="342" t="s">
        <v>9623</v>
      </c>
      <c r="L819" s="342">
        <v>0</v>
      </c>
    </row>
    <row r="820" spans="1:12" x14ac:dyDescent="0.25">
      <c r="A820" s="341" t="s">
        <v>2420</v>
      </c>
      <c r="B820" s="341" t="s">
        <v>2420</v>
      </c>
      <c r="C820" s="341" t="s">
        <v>2420</v>
      </c>
      <c r="D820" s="342">
        <v>0</v>
      </c>
      <c r="E820" s="342" t="s">
        <v>2420</v>
      </c>
      <c r="F820" s="342" t="s">
        <v>9624</v>
      </c>
      <c r="G820" s="341" t="s">
        <v>9828</v>
      </c>
      <c r="H820" s="341" t="s">
        <v>9829</v>
      </c>
      <c r="I820" s="341" t="s">
        <v>16</v>
      </c>
      <c r="J820" s="342">
        <v>1</v>
      </c>
      <c r="K820" s="342" t="s">
        <v>2420</v>
      </c>
      <c r="L820" s="342">
        <v>0</v>
      </c>
    </row>
    <row r="821" spans="1:12" x14ac:dyDescent="0.25">
      <c r="A821" s="341" t="s">
        <v>512</v>
      </c>
      <c r="B821" s="341" t="s">
        <v>9365</v>
      </c>
      <c r="C821" s="341" t="s">
        <v>16</v>
      </c>
      <c r="D821" s="342">
        <v>1</v>
      </c>
      <c r="E821" s="342">
        <v>0</v>
      </c>
      <c r="F821" s="342" t="s">
        <v>9622</v>
      </c>
      <c r="G821" s="341" t="s">
        <v>6070</v>
      </c>
      <c r="H821" s="341" t="s">
        <v>10015</v>
      </c>
      <c r="I821" s="341" t="s">
        <v>16</v>
      </c>
      <c r="J821" s="342">
        <v>1</v>
      </c>
      <c r="K821" s="342" t="s">
        <v>9623</v>
      </c>
      <c r="L821" s="342">
        <v>0</v>
      </c>
    </row>
    <row r="822" spans="1:12" x14ac:dyDescent="0.25">
      <c r="A822" s="341" t="s">
        <v>2420</v>
      </c>
      <c r="B822" s="341" t="s">
        <v>2420</v>
      </c>
      <c r="C822" s="341" t="s">
        <v>2420</v>
      </c>
      <c r="D822" s="342">
        <v>0</v>
      </c>
      <c r="E822" s="342" t="s">
        <v>2420</v>
      </c>
      <c r="F822" s="342" t="s">
        <v>9622</v>
      </c>
      <c r="G822" s="341" t="s">
        <v>1210</v>
      </c>
      <c r="H822" s="341" t="s">
        <v>6855</v>
      </c>
      <c r="I822" s="341" t="s">
        <v>4230</v>
      </c>
      <c r="J822" s="342">
        <v>0.3</v>
      </c>
      <c r="K822" s="342" t="s">
        <v>4230</v>
      </c>
      <c r="L822" s="342">
        <v>0</v>
      </c>
    </row>
    <row r="823" spans="1:12" x14ac:dyDescent="0.25">
      <c r="A823" s="341" t="s">
        <v>2420</v>
      </c>
      <c r="B823" s="341" t="s">
        <v>2420</v>
      </c>
      <c r="C823" s="341" t="s">
        <v>2420</v>
      </c>
      <c r="D823" s="342">
        <v>0</v>
      </c>
      <c r="E823" s="342" t="s">
        <v>2420</v>
      </c>
      <c r="F823" s="342" t="s">
        <v>9622</v>
      </c>
      <c r="G823" s="341" t="s">
        <v>1275</v>
      </c>
      <c r="H823" s="341" t="s">
        <v>6938</v>
      </c>
      <c r="I823" s="341" t="s">
        <v>52</v>
      </c>
      <c r="J823" s="342">
        <v>0.1</v>
      </c>
      <c r="K823" s="342" t="s">
        <v>25</v>
      </c>
      <c r="L823" s="342">
        <v>0</v>
      </c>
    </row>
    <row r="824" spans="1:12" x14ac:dyDescent="0.25">
      <c r="A824" s="341" t="s">
        <v>2420</v>
      </c>
      <c r="B824" s="341" t="s">
        <v>2420</v>
      </c>
      <c r="C824" s="341" t="s">
        <v>2420</v>
      </c>
      <c r="D824" s="342">
        <v>0</v>
      </c>
      <c r="E824" s="342" t="s">
        <v>2420</v>
      </c>
      <c r="F824" s="342" t="s">
        <v>9624</v>
      </c>
      <c r="G824" s="341" t="s">
        <v>9712</v>
      </c>
      <c r="H824" s="341" t="s">
        <v>9713</v>
      </c>
      <c r="I824" s="341" t="s">
        <v>52</v>
      </c>
      <c r="J824" s="342">
        <v>1.2999999999999999E-3</v>
      </c>
      <c r="K824" s="342" t="s">
        <v>2420</v>
      </c>
      <c r="L824" s="342">
        <v>0</v>
      </c>
    </row>
    <row r="825" spans="1:12" x14ac:dyDescent="0.25">
      <c r="A825" s="341" t="s">
        <v>411</v>
      </c>
      <c r="B825" s="341" t="s">
        <v>10016</v>
      </c>
      <c r="C825" s="341" t="s">
        <v>16</v>
      </c>
      <c r="D825" s="342">
        <v>1</v>
      </c>
      <c r="E825" s="342">
        <v>0</v>
      </c>
      <c r="F825" s="342" t="s">
        <v>9622</v>
      </c>
      <c r="G825" s="341" t="s">
        <v>1643</v>
      </c>
      <c r="H825" s="341" t="s">
        <v>10017</v>
      </c>
      <c r="I825" s="341" t="s">
        <v>16</v>
      </c>
      <c r="J825" s="342">
        <v>1.05</v>
      </c>
      <c r="K825" s="342" t="s">
        <v>25</v>
      </c>
      <c r="L825" s="342">
        <v>0</v>
      </c>
    </row>
    <row r="826" spans="1:12" x14ac:dyDescent="0.25">
      <c r="A826" s="341" t="s">
        <v>2420</v>
      </c>
      <c r="B826" s="341" t="s">
        <v>2420</v>
      </c>
      <c r="C826" s="341" t="s">
        <v>2420</v>
      </c>
      <c r="D826" s="342">
        <v>0</v>
      </c>
      <c r="E826" s="342" t="s">
        <v>2420</v>
      </c>
      <c r="F826" s="342" t="s">
        <v>9622</v>
      </c>
      <c r="G826" s="341" t="s">
        <v>10018</v>
      </c>
      <c r="H826" s="341" t="s">
        <v>10019</v>
      </c>
      <c r="I826" s="341" t="s">
        <v>16</v>
      </c>
      <c r="J826" s="342">
        <v>1</v>
      </c>
      <c r="K826" s="342" t="s">
        <v>9623</v>
      </c>
      <c r="L826" s="342">
        <v>0</v>
      </c>
    </row>
    <row r="827" spans="1:12" x14ac:dyDescent="0.25">
      <c r="A827" s="341" t="s">
        <v>2420</v>
      </c>
      <c r="B827" s="341" t="s">
        <v>2420</v>
      </c>
      <c r="C827" s="341" t="s">
        <v>2420</v>
      </c>
      <c r="D827" s="342">
        <v>0</v>
      </c>
      <c r="E827" s="342" t="s">
        <v>2420</v>
      </c>
      <c r="F827" s="342" t="s">
        <v>9624</v>
      </c>
      <c r="G827" s="341" t="s">
        <v>10020</v>
      </c>
      <c r="H827" s="341" t="s">
        <v>10021</v>
      </c>
      <c r="I827" s="341" t="s">
        <v>16</v>
      </c>
      <c r="J827" s="342">
        <v>1</v>
      </c>
      <c r="K827" s="342" t="s">
        <v>2420</v>
      </c>
      <c r="L827" s="342">
        <v>0</v>
      </c>
    </row>
    <row r="828" spans="1:12" x14ac:dyDescent="0.25">
      <c r="A828" s="341" t="s">
        <v>2420</v>
      </c>
      <c r="B828" s="341" t="s">
        <v>2420</v>
      </c>
      <c r="C828" s="341" t="s">
        <v>2420</v>
      </c>
      <c r="D828" s="342">
        <v>0</v>
      </c>
      <c r="E828" s="342" t="s">
        <v>2420</v>
      </c>
      <c r="F828" s="342" t="s">
        <v>9624</v>
      </c>
      <c r="G828" s="341" t="s">
        <v>10022</v>
      </c>
      <c r="H828" s="341" t="s">
        <v>10023</v>
      </c>
      <c r="I828" s="341" t="s">
        <v>16</v>
      </c>
      <c r="J828" s="342">
        <v>1</v>
      </c>
      <c r="K828" s="342" t="s">
        <v>2420</v>
      </c>
      <c r="L828" s="342">
        <v>0</v>
      </c>
    </row>
    <row r="829" spans="1:12" x14ac:dyDescent="0.25">
      <c r="A829" s="341" t="s">
        <v>453</v>
      </c>
      <c r="B829" s="341" t="s">
        <v>10024</v>
      </c>
      <c r="C829" s="341" t="s">
        <v>16</v>
      </c>
      <c r="D829" s="342">
        <v>1</v>
      </c>
      <c r="E829" s="342">
        <v>0</v>
      </c>
      <c r="F829" s="342" t="s">
        <v>9622</v>
      </c>
      <c r="G829" s="341" t="s">
        <v>1234</v>
      </c>
      <c r="H829" s="341" t="s">
        <v>6899</v>
      </c>
      <c r="I829" s="341" t="s">
        <v>4230</v>
      </c>
      <c r="J829" s="342">
        <v>0.3</v>
      </c>
      <c r="K829" s="342" t="s">
        <v>4230</v>
      </c>
      <c r="L829" s="342">
        <v>0</v>
      </c>
    </row>
    <row r="830" spans="1:12" x14ac:dyDescent="0.25">
      <c r="A830" s="341" t="s">
        <v>2420</v>
      </c>
      <c r="B830" s="341" t="s">
        <v>2420</v>
      </c>
      <c r="C830" s="341" t="s">
        <v>2420</v>
      </c>
      <c r="D830" s="342">
        <v>0</v>
      </c>
      <c r="E830" s="342" t="s">
        <v>2420</v>
      </c>
      <c r="F830" s="342" t="s">
        <v>9622</v>
      </c>
      <c r="G830" s="341" t="s">
        <v>1235</v>
      </c>
      <c r="H830" s="341" t="s">
        <v>6900</v>
      </c>
      <c r="I830" s="341" t="s">
        <v>4230</v>
      </c>
      <c r="J830" s="342">
        <v>0.56999999999999995</v>
      </c>
      <c r="K830" s="342" t="s">
        <v>4230</v>
      </c>
      <c r="L830" s="342">
        <v>0</v>
      </c>
    </row>
    <row r="831" spans="1:12" x14ac:dyDescent="0.25">
      <c r="A831" s="341" t="s">
        <v>2420</v>
      </c>
      <c r="B831" s="341" t="s">
        <v>2420</v>
      </c>
      <c r="C831" s="341" t="s">
        <v>2420</v>
      </c>
      <c r="D831" s="342">
        <v>0</v>
      </c>
      <c r="E831" s="342" t="s">
        <v>2420</v>
      </c>
      <c r="F831" s="342" t="s">
        <v>9622</v>
      </c>
      <c r="G831" s="341" t="s">
        <v>1241</v>
      </c>
      <c r="H831" s="341" t="s">
        <v>6905</v>
      </c>
      <c r="I831" s="341" t="s">
        <v>4230</v>
      </c>
      <c r="J831" s="342">
        <v>0.54</v>
      </c>
      <c r="K831" s="342" t="s">
        <v>4230</v>
      </c>
      <c r="L831" s="342">
        <v>0</v>
      </c>
    </row>
    <row r="832" spans="1:12" x14ac:dyDescent="0.25">
      <c r="A832" s="341" t="s">
        <v>2420</v>
      </c>
      <c r="B832" s="341" t="s">
        <v>2420</v>
      </c>
      <c r="C832" s="341" t="s">
        <v>2420</v>
      </c>
      <c r="D832" s="342">
        <v>0</v>
      </c>
      <c r="E832" s="342" t="s">
        <v>2420</v>
      </c>
      <c r="F832" s="342" t="s">
        <v>9622</v>
      </c>
      <c r="G832" s="341" t="s">
        <v>1303</v>
      </c>
      <c r="H832" s="341" t="s">
        <v>6980</v>
      </c>
      <c r="I832" s="341" t="s">
        <v>2557</v>
      </c>
      <c r="J832" s="342">
        <v>1</v>
      </c>
      <c r="K832" s="342" t="s">
        <v>25</v>
      </c>
      <c r="L832" s="342">
        <v>0</v>
      </c>
    </row>
    <row r="833" spans="1:12" x14ac:dyDescent="0.25">
      <c r="A833" s="341" t="s">
        <v>2420</v>
      </c>
      <c r="B833" s="341" t="s">
        <v>2420</v>
      </c>
      <c r="C833" s="341" t="s">
        <v>2420</v>
      </c>
      <c r="D833" s="342">
        <v>0</v>
      </c>
      <c r="E833" s="342" t="s">
        <v>2420</v>
      </c>
      <c r="F833" s="342" t="s">
        <v>9622</v>
      </c>
      <c r="G833" s="341" t="s">
        <v>1310</v>
      </c>
      <c r="H833" s="341" t="s">
        <v>6988</v>
      </c>
      <c r="I833" s="341" t="s">
        <v>2557</v>
      </c>
      <c r="J833" s="342">
        <v>0.5</v>
      </c>
      <c r="K833" s="342" t="s">
        <v>25</v>
      </c>
      <c r="L833" s="342">
        <v>0</v>
      </c>
    </row>
    <row r="834" spans="1:12" x14ac:dyDescent="0.25">
      <c r="A834" s="341" t="s">
        <v>2420</v>
      </c>
      <c r="B834" s="341" t="s">
        <v>2420</v>
      </c>
      <c r="C834" s="341" t="s">
        <v>2420</v>
      </c>
      <c r="D834" s="342">
        <v>0</v>
      </c>
      <c r="E834" s="342" t="s">
        <v>2420</v>
      </c>
      <c r="F834" s="342" t="s">
        <v>9622</v>
      </c>
      <c r="G834" s="341" t="s">
        <v>1871</v>
      </c>
      <c r="H834" s="341" t="s">
        <v>10025</v>
      </c>
      <c r="I834" s="341" t="s">
        <v>16</v>
      </c>
      <c r="J834" s="342">
        <v>1</v>
      </c>
      <c r="K834" s="342" t="s">
        <v>9623</v>
      </c>
      <c r="L834" s="342">
        <v>0</v>
      </c>
    </row>
    <row r="835" spans="1:12" x14ac:dyDescent="0.25">
      <c r="A835" s="341" t="s">
        <v>369</v>
      </c>
      <c r="B835" s="341" t="s">
        <v>10026</v>
      </c>
      <c r="C835" s="341" t="s">
        <v>16</v>
      </c>
      <c r="D835" s="342">
        <v>1</v>
      </c>
      <c r="E835" s="342">
        <v>0</v>
      </c>
      <c r="F835" s="342" t="s">
        <v>9622</v>
      </c>
      <c r="G835" s="341" t="s">
        <v>1234</v>
      </c>
      <c r="H835" s="341" t="s">
        <v>6899</v>
      </c>
      <c r="I835" s="341" t="s">
        <v>4230</v>
      </c>
      <c r="J835" s="342">
        <v>0.88</v>
      </c>
      <c r="K835" s="342" t="s">
        <v>4230</v>
      </c>
      <c r="L835" s="342">
        <v>0</v>
      </c>
    </row>
    <row r="836" spans="1:12" x14ac:dyDescent="0.25">
      <c r="A836" s="341" t="s">
        <v>2420</v>
      </c>
      <c r="B836" s="341" t="s">
        <v>2420</v>
      </c>
      <c r="C836" s="341" t="s">
        <v>2420</v>
      </c>
      <c r="D836" s="342">
        <v>0</v>
      </c>
      <c r="E836" s="342" t="s">
        <v>2420</v>
      </c>
      <c r="F836" s="342" t="s">
        <v>9622</v>
      </c>
      <c r="G836" s="341" t="s">
        <v>1235</v>
      </c>
      <c r="H836" s="341" t="s">
        <v>6900</v>
      </c>
      <c r="I836" s="341" t="s">
        <v>4230</v>
      </c>
      <c r="J836" s="342">
        <v>0.64</v>
      </c>
      <c r="K836" s="342" t="s">
        <v>4230</v>
      </c>
      <c r="L836" s="342">
        <v>0</v>
      </c>
    </row>
    <row r="837" spans="1:12" x14ac:dyDescent="0.25">
      <c r="A837" s="341" t="s">
        <v>2420</v>
      </c>
      <c r="B837" s="341" t="s">
        <v>2420</v>
      </c>
      <c r="C837" s="341" t="s">
        <v>2420</v>
      </c>
      <c r="D837" s="342">
        <v>0</v>
      </c>
      <c r="E837" s="342" t="s">
        <v>2420</v>
      </c>
      <c r="F837" s="342" t="s">
        <v>9622</v>
      </c>
      <c r="G837" s="341" t="s">
        <v>1677</v>
      </c>
      <c r="H837" s="341" t="s">
        <v>10026</v>
      </c>
      <c r="I837" s="341" t="s">
        <v>16</v>
      </c>
      <c r="J837" s="342">
        <v>1</v>
      </c>
      <c r="K837" s="342" t="s">
        <v>25</v>
      </c>
      <c r="L837" s="342">
        <v>0</v>
      </c>
    </row>
    <row r="838" spans="1:12" x14ac:dyDescent="0.25">
      <c r="A838" s="341" t="s">
        <v>2420</v>
      </c>
      <c r="B838" s="341" t="s">
        <v>2420</v>
      </c>
      <c r="C838" s="341" t="s">
        <v>2420</v>
      </c>
      <c r="D838" s="342">
        <v>0</v>
      </c>
      <c r="E838" s="342" t="s">
        <v>2420</v>
      </c>
      <c r="F838" s="342" t="s">
        <v>9622</v>
      </c>
      <c r="G838" s="341" t="s">
        <v>10027</v>
      </c>
      <c r="H838" s="341" t="s">
        <v>10028</v>
      </c>
      <c r="I838" s="341" t="s">
        <v>11</v>
      </c>
      <c r="J838" s="342">
        <v>1.7007099999999999</v>
      </c>
      <c r="K838" s="342" t="s">
        <v>25</v>
      </c>
      <c r="L838" s="342">
        <v>0</v>
      </c>
    </row>
    <row r="839" spans="1:12" x14ac:dyDescent="0.25">
      <c r="A839" s="341" t="s">
        <v>2420</v>
      </c>
      <c r="B839" s="341" t="s">
        <v>2420</v>
      </c>
      <c r="C839" s="341" t="s">
        <v>2420</v>
      </c>
      <c r="D839" s="342">
        <v>0</v>
      </c>
      <c r="E839" s="342" t="s">
        <v>2420</v>
      </c>
      <c r="F839" s="342" t="s">
        <v>9622</v>
      </c>
      <c r="G839" s="341" t="s">
        <v>10029</v>
      </c>
      <c r="H839" s="341" t="s">
        <v>10030</v>
      </c>
      <c r="I839" s="341" t="s">
        <v>25</v>
      </c>
      <c r="J839" s="342">
        <v>0.34014</v>
      </c>
      <c r="K839" s="342" t="s">
        <v>9638</v>
      </c>
      <c r="L839" s="342">
        <v>0</v>
      </c>
    </row>
    <row r="840" spans="1:12" x14ac:dyDescent="0.25">
      <c r="A840" s="341" t="s">
        <v>2420</v>
      </c>
      <c r="B840" s="341" t="s">
        <v>2420</v>
      </c>
      <c r="C840" s="341" t="s">
        <v>2420</v>
      </c>
      <c r="D840" s="342">
        <v>0</v>
      </c>
      <c r="E840" s="342" t="s">
        <v>2420</v>
      </c>
      <c r="F840" s="342" t="s">
        <v>9622</v>
      </c>
      <c r="G840" s="341" t="s">
        <v>10031</v>
      </c>
      <c r="H840" s="341" t="s">
        <v>10032</v>
      </c>
      <c r="I840" s="341" t="s">
        <v>16</v>
      </c>
      <c r="J840" s="342">
        <v>1</v>
      </c>
      <c r="K840" s="342" t="s">
        <v>9623</v>
      </c>
      <c r="L840" s="342">
        <v>0</v>
      </c>
    </row>
    <row r="841" spans="1:12" x14ac:dyDescent="0.25">
      <c r="A841" s="341" t="s">
        <v>2420</v>
      </c>
      <c r="B841" s="341" t="s">
        <v>2420</v>
      </c>
      <c r="C841" s="341" t="s">
        <v>2420</v>
      </c>
      <c r="D841" s="342">
        <v>0</v>
      </c>
      <c r="E841" s="342" t="s">
        <v>2420</v>
      </c>
      <c r="F841" s="342" t="s">
        <v>9624</v>
      </c>
      <c r="G841" s="341" t="s">
        <v>9799</v>
      </c>
      <c r="H841" s="341" t="s">
        <v>9800</v>
      </c>
      <c r="I841" s="341" t="s">
        <v>52</v>
      </c>
      <c r="J841" s="342">
        <v>2.6700000000000001E-3</v>
      </c>
      <c r="K841" s="342" t="s">
        <v>2420</v>
      </c>
      <c r="L841" s="342">
        <v>0</v>
      </c>
    </row>
    <row r="842" spans="1:12" x14ac:dyDescent="0.25">
      <c r="A842" s="341" t="s">
        <v>189</v>
      </c>
      <c r="B842" s="341" t="s">
        <v>10033</v>
      </c>
      <c r="C842" s="341" t="s">
        <v>16</v>
      </c>
      <c r="D842" s="342">
        <v>1</v>
      </c>
      <c r="E842" s="342">
        <v>0</v>
      </c>
      <c r="F842" s="342" t="s">
        <v>9622</v>
      </c>
      <c r="G842" s="341" t="s">
        <v>1241</v>
      </c>
      <c r="H842" s="341" t="s">
        <v>6905</v>
      </c>
      <c r="I842" s="341" t="s">
        <v>4230</v>
      </c>
      <c r="J842" s="342">
        <v>0.5</v>
      </c>
      <c r="K842" s="342" t="s">
        <v>4230</v>
      </c>
      <c r="L842" s="342">
        <v>0</v>
      </c>
    </row>
    <row r="843" spans="1:12" x14ac:dyDescent="0.25">
      <c r="A843" s="341" t="s">
        <v>2420</v>
      </c>
      <c r="B843" s="341" t="s">
        <v>2420</v>
      </c>
      <c r="C843" s="341" t="s">
        <v>2420</v>
      </c>
      <c r="D843" s="342">
        <v>0</v>
      </c>
      <c r="E843" s="342" t="s">
        <v>2420</v>
      </c>
      <c r="F843" s="342" t="s">
        <v>9622</v>
      </c>
      <c r="G843" s="341" t="s">
        <v>1242</v>
      </c>
      <c r="H843" s="341" t="s">
        <v>9833</v>
      </c>
      <c r="I843" s="341" t="s">
        <v>4230</v>
      </c>
      <c r="J843" s="342">
        <v>0.4</v>
      </c>
      <c r="K843" s="342" t="s">
        <v>4230</v>
      </c>
      <c r="L843" s="342">
        <v>0</v>
      </c>
    </row>
    <row r="844" spans="1:12" x14ac:dyDescent="0.25">
      <c r="A844" s="341" t="s">
        <v>2420</v>
      </c>
      <c r="B844" s="341" t="s">
        <v>2420</v>
      </c>
      <c r="C844" s="341" t="s">
        <v>2420</v>
      </c>
      <c r="D844" s="342">
        <v>0</v>
      </c>
      <c r="E844" s="342" t="s">
        <v>2420</v>
      </c>
      <c r="F844" s="342" t="s">
        <v>9622</v>
      </c>
      <c r="G844" s="341" t="s">
        <v>2070</v>
      </c>
      <c r="H844" s="341" t="s">
        <v>10034</v>
      </c>
      <c r="I844" s="341" t="s">
        <v>16</v>
      </c>
      <c r="J844" s="342">
        <v>1</v>
      </c>
      <c r="K844" s="342" t="s">
        <v>9623</v>
      </c>
      <c r="L844" s="342">
        <v>0</v>
      </c>
    </row>
    <row r="845" spans="1:12" x14ac:dyDescent="0.25">
      <c r="A845" s="341" t="s">
        <v>448</v>
      </c>
      <c r="B845" s="341" t="s">
        <v>10035</v>
      </c>
      <c r="C845" s="341" t="s">
        <v>16</v>
      </c>
      <c r="D845" s="342">
        <v>1</v>
      </c>
      <c r="E845" s="342">
        <v>0</v>
      </c>
      <c r="F845" s="342" t="s">
        <v>9622</v>
      </c>
      <c r="G845" s="341" t="s">
        <v>1241</v>
      </c>
      <c r="H845" s="341" t="s">
        <v>6905</v>
      </c>
      <c r="I845" s="341" t="s">
        <v>4230</v>
      </c>
      <c r="J845" s="342">
        <v>0.6</v>
      </c>
      <c r="K845" s="342" t="s">
        <v>4230</v>
      </c>
      <c r="L845" s="342">
        <v>0</v>
      </c>
    </row>
    <row r="846" spans="1:12" x14ac:dyDescent="0.25">
      <c r="A846" s="341" t="s">
        <v>2420</v>
      </c>
      <c r="B846" s="341" t="s">
        <v>2420</v>
      </c>
      <c r="C846" s="341" t="s">
        <v>2420</v>
      </c>
      <c r="D846" s="342">
        <v>0</v>
      </c>
      <c r="E846" s="342" t="s">
        <v>2420</v>
      </c>
      <c r="F846" s="342" t="s">
        <v>9622</v>
      </c>
      <c r="G846" s="341" t="s">
        <v>1242</v>
      </c>
      <c r="H846" s="341" t="s">
        <v>9833</v>
      </c>
      <c r="I846" s="341" t="s">
        <v>4230</v>
      </c>
      <c r="J846" s="342">
        <v>0.5</v>
      </c>
      <c r="K846" s="342" t="s">
        <v>4230</v>
      </c>
      <c r="L846" s="342">
        <v>0</v>
      </c>
    </row>
    <row r="847" spans="1:12" x14ac:dyDescent="0.25">
      <c r="A847" s="341" t="s">
        <v>2420</v>
      </c>
      <c r="B847" s="341" t="s">
        <v>2420</v>
      </c>
      <c r="C847" s="341" t="s">
        <v>2420</v>
      </c>
      <c r="D847" s="342">
        <v>0</v>
      </c>
      <c r="E847" s="342" t="s">
        <v>2420</v>
      </c>
      <c r="F847" s="342" t="s">
        <v>9622</v>
      </c>
      <c r="G847" s="341" t="s">
        <v>1847</v>
      </c>
      <c r="H847" s="341" t="s">
        <v>10036</v>
      </c>
      <c r="I847" s="341" t="s">
        <v>16</v>
      </c>
      <c r="J847" s="342">
        <v>1</v>
      </c>
      <c r="K847" s="342" t="s">
        <v>9623</v>
      </c>
      <c r="L847" s="342">
        <v>0</v>
      </c>
    </row>
    <row r="848" spans="1:12" x14ac:dyDescent="0.25">
      <c r="A848" s="341" t="s">
        <v>2475</v>
      </c>
      <c r="B848" s="341" t="s">
        <v>10037</v>
      </c>
      <c r="C848" s="341" t="s">
        <v>6602</v>
      </c>
      <c r="D848" s="342">
        <v>1</v>
      </c>
      <c r="E848" s="342">
        <v>0</v>
      </c>
      <c r="F848" s="342" t="s">
        <v>9622</v>
      </c>
      <c r="G848" s="341" t="s">
        <v>1129</v>
      </c>
      <c r="H848" s="341" t="s">
        <v>10038</v>
      </c>
      <c r="I848" s="341" t="s">
        <v>6602</v>
      </c>
      <c r="J848" s="342">
        <v>14</v>
      </c>
      <c r="K848" s="342" t="s">
        <v>9842</v>
      </c>
      <c r="L848" s="342">
        <v>0</v>
      </c>
    </row>
    <row r="849" spans="1:12" x14ac:dyDescent="0.25">
      <c r="A849" s="341" t="s">
        <v>2500</v>
      </c>
      <c r="B849" s="341" t="s">
        <v>10039</v>
      </c>
      <c r="C849" s="341" t="s">
        <v>16</v>
      </c>
      <c r="D849" s="342">
        <v>1</v>
      </c>
      <c r="E849" s="342">
        <v>0</v>
      </c>
      <c r="F849" s="342" t="s">
        <v>9622</v>
      </c>
      <c r="G849" s="341" t="s">
        <v>1210</v>
      </c>
      <c r="H849" s="341" t="s">
        <v>6855</v>
      </c>
      <c r="I849" s="341" t="s">
        <v>4230</v>
      </c>
      <c r="J849" s="342">
        <v>0.2</v>
      </c>
      <c r="K849" s="342" t="s">
        <v>4230</v>
      </c>
      <c r="L849" s="342">
        <v>0</v>
      </c>
    </row>
    <row r="850" spans="1:12" x14ac:dyDescent="0.25">
      <c r="A850" s="341" t="s">
        <v>2420</v>
      </c>
      <c r="B850" s="341" t="s">
        <v>2420</v>
      </c>
      <c r="C850" s="341" t="s">
        <v>2420</v>
      </c>
      <c r="D850" s="342">
        <v>0</v>
      </c>
      <c r="E850" s="342" t="s">
        <v>2420</v>
      </c>
      <c r="F850" s="342" t="s">
        <v>9622</v>
      </c>
      <c r="G850" s="341" t="s">
        <v>1526</v>
      </c>
      <c r="H850" s="341" t="s">
        <v>9816</v>
      </c>
      <c r="I850" s="341" t="s">
        <v>16</v>
      </c>
      <c r="J850" s="342">
        <v>1.1000000000000001</v>
      </c>
      <c r="K850" s="342" t="s">
        <v>25</v>
      </c>
      <c r="L850" s="342">
        <v>0</v>
      </c>
    </row>
    <row r="851" spans="1:12" x14ac:dyDescent="0.25">
      <c r="A851" s="341" t="s">
        <v>2489</v>
      </c>
      <c r="B851" s="341" t="s">
        <v>10040</v>
      </c>
      <c r="C851" s="341" t="s">
        <v>6602</v>
      </c>
      <c r="D851" s="342">
        <v>1</v>
      </c>
      <c r="E851" s="342">
        <v>0</v>
      </c>
      <c r="F851" s="342" t="s">
        <v>9622</v>
      </c>
      <c r="G851" s="341" t="s">
        <v>1154</v>
      </c>
      <c r="H851" s="341" t="s">
        <v>10041</v>
      </c>
      <c r="I851" s="341" t="s">
        <v>10042</v>
      </c>
      <c r="J851" s="342">
        <v>84</v>
      </c>
      <c r="K851" s="342" t="s">
        <v>9842</v>
      </c>
      <c r="L851" s="342">
        <v>0</v>
      </c>
    </row>
    <row r="852" spans="1:12" x14ac:dyDescent="0.25">
      <c r="A852" s="341" t="s">
        <v>2495</v>
      </c>
      <c r="B852" s="341" t="s">
        <v>10043</v>
      </c>
      <c r="C852" s="341" t="s">
        <v>6602</v>
      </c>
      <c r="D852" s="342">
        <v>1</v>
      </c>
      <c r="E852" s="342">
        <v>0</v>
      </c>
      <c r="F852" s="342" t="s">
        <v>9622</v>
      </c>
      <c r="G852" s="341" t="s">
        <v>1343</v>
      </c>
      <c r="H852" s="341" t="s">
        <v>10044</v>
      </c>
      <c r="I852" s="341" t="s">
        <v>10042</v>
      </c>
      <c r="J852" s="342">
        <v>168</v>
      </c>
      <c r="K852" s="342" t="s">
        <v>25</v>
      </c>
      <c r="L852" s="342">
        <v>0</v>
      </c>
    </row>
    <row r="853" spans="1:12" x14ac:dyDescent="0.25">
      <c r="A853" s="341" t="s">
        <v>2491</v>
      </c>
      <c r="B853" s="341" t="s">
        <v>10045</v>
      </c>
      <c r="C853" s="341" t="s">
        <v>25</v>
      </c>
      <c r="D853" s="342">
        <v>1</v>
      </c>
      <c r="E853" s="342">
        <v>0</v>
      </c>
      <c r="F853" s="342" t="s">
        <v>9622</v>
      </c>
      <c r="G853" s="341" t="s">
        <v>1193</v>
      </c>
      <c r="H853" s="341" t="s">
        <v>9792</v>
      </c>
      <c r="I853" s="341" t="s">
        <v>4230</v>
      </c>
      <c r="J853" s="342">
        <v>2.5</v>
      </c>
      <c r="K853" s="342" t="s">
        <v>4230</v>
      </c>
      <c r="L853" s="342">
        <v>0</v>
      </c>
    </row>
    <row r="854" spans="1:12" x14ac:dyDescent="0.25">
      <c r="A854" s="341" t="s">
        <v>2420</v>
      </c>
      <c r="B854" s="341" t="s">
        <v>2420</v>
      </c>
      <c r="C854" s="341" t="s">
        <v>2420</v>
      </c>
      <c r="D854" s="342">
        <v>0</v>
      </c>
      <c r="E854" s="342" t="s">
        <v>2420</v>
      </c>
      <c r="F854" s="342" t="s">
        <v>9622</v>
      </c>
      <c r="G854" s="341" t="s">
        <v>1202</v>
      </c>
      <c r="H854" s="341" t="s">
        <v>9793</v>
      </c>
      <c r="I854" s="341" t="s">
        <v>4230</v>
      </c>
      <c r="J854" s="342">
        <v>3</v>
      </c>
      <c r="K854" s="342" t="s">
        <v>4230</v>
      </c>
      <c r="L854" s="342">
        <v>0</v>
      </c>
    </row>
    <row r="855" spans="1:12" x14ac:dyDescent="0.25">
      <c r="A855" s="341" t="s">
        <v>2458</v>
      </c>
      <c r="B855" s="341" t="s">
        <v>10046</v>
      </c>
      <c r="C855" s="341" t="s">
        <v>2338</v>
      </c>
      <c r="D855" s="342">
        <v>1</v>
      </c>
      <c r="E855" s="342">
        <v>0</v>
      </c>
      <c r="F855" s="342" t="s">
        <v>9622</v>
      </c>
      <c r="G855" s="341" t="s">
        <v>5355</v>
      </c>
      <c r="H855" s="341" t="s">
        <v>8210</v>
      </c>
      <c r="I855" s="341" t="s">
        <v>2338</v>
      </c>
      <c r="J855" s="342">
        <v>1</v>
      </c>
      <c r="K855" s="342" t="s">
        <v>9623</v>
      </c>
      <c r="L855" s="342">
        <v>0</v>
      </c>
    </row>
    <row r="856" spans="1:12" x14ac:dyDescent="0.25">
      <c r="A856" s="341" t="s">
        <v>2420</v>
      </c>
      <c r="B856" s="341" t="s">
        <v>2420</v>
      </c>
      <c r="C856" s="341" t="s">
        <v>2420</v>
      </c>
      <c r="D856" s="342">
        <v>0</v>
      </c>
      <c r="E856" s="342" t="s">
        <v>2420</v>
      </c>
      <c r="F856" s="342" t="s">
        <v>9622</v>
      </c>
      <c r="G856" s="341" t="s">
        <v>5356</v>
      </c>
      <c r="H856" s="341" t="s">
        <v>10047</v>
      </c>
      <c r="I856" s="341" t="s">
        <v>2338</v>
      </c>
      <c r="J856" s="342">
        <v>1</v>
      </c>
      <c r="K856" s="342" t="s">
        <v>9623</v>
      </c>
      <c r="L856" s="342">
        <v>0</v>
      </c>
    </row>
    <row r="857" spans="1:12" x14ac:dyDescent="0.25">
      <c r="A857" s="341" t="s">
        <v>2477</v>
      </c>
      <c r="B857" s="341" t="s">
        <v>10048</v>
      </c>
      <c r="C857" s="341" t="s">
        <v>11</v>
      </c>
      <c r="D857" s="342">
        <v>1</v>
      </c>
      <c r="E857" s="342">
        <v>0</v>
      </c>
      <c r="F857" s="342" t="s">
        <v>9622</v>
      </c>
      <c r="G857" s="341" t="s">
        <v>5357</v>
      </c>
      <c r="H857" s="341" t="s">
        <v>10049</v>
      </c>
      <c r="I857" s="341" t="s">
        <v>11</v>
      </c>
      <c r="J857" s="342">
        <v>1</v>
      </c>
      <c r="K857" s="342" t="s">
        <v>9623</v>
      </c>
      <c r="L857" s="342">
        <v>0</v>
      </c>
    </row>
    <row r="858" spans="1:12" x14ac:dyDescent="0.25">
      <c r="A858" s="341" t="s">
        <v>2420</v>
      </c>
      <c r="B858" s="341" t="s">
        <v>2420</v>
      </c>
      <c r="C858" s="341" t="s">
        <v>2420</v>
      </c>
      <c r="D858" s="342">
        <v>0</v>
      </c>
      <c r="E858" s="342" t="s">
        <v>2420</v>
      </c>
      <c r="F858" s="342" t="s">
        <v>9622</v>
      </c>
      <c r="G858" s="341" t="s">
        <v>5358</v>
      </c>
      <c r="H858" s="341" t="s">
        <v>10050</v>
      </c>
      <c r="I858" s="341" t="s">
        <v>11</v>
      </c>
      <c r="J858" s="342">
        <v>1</v>
      </c>
      <c r="K858" s="342" t="s">
        <v>9623</v>
      </c>
      <c r="L858" s="342">
        <v>0</v>
      </c>
    </row>
    <row r="859" spans="1:12" x14ac:dyDescent="0.25">
      <c r="A859" s="341" t="s">
        <v>2481</v>
      </c>
      <c r="B859" s="341" t="s">
        <v>10051</v>
      </c>
      <c r="C859" s="341" t="s">
        <v>16</v>
      </c>
      <c r="D859" s="342">
        <v>1</v>
      </c>
      <c r="E859" s="342">
        <v>0</v>
      </c>
      <c r="F859" s="342" t="s">
        <v>9622</v>
      </c>
      <c r="G859" s="341" t="s">
        <v>3161</v>
      </c>
      <c r="H859" s="341" t="s">
        <v>10052</v>
      </c>
      <c r="I859" s="341" t="s">
        <v>16</v>
      </c>
      <c r="J859" s="342">
        <v>1</v>
      </c>
      <c r="K859" s="342" t="s">
        <v>9842</v>
      </c>
      <c r="L859" s="342">
        <v>0</v>
      </c>
    </row>
    <row r="860" spans="1:12" x14ac:dyDescent="0.25">
      <c r="A860" s="341" t="s">
        <v>2420</v>
      </c>
      <c r="B860" s="341" t="s">
        <v>2420</v>
      </c>
      <c r="C860" s="341" t="s">
        <v>2420</v>
      </c>
      <c r="D860" s="342">
        <v>0</v>
      </c>
      <c r="E860" s="342" t="s">
        <v>2420</v>
      </c>
      <c r="F860" s="342" t="s">
        <v>9622</v>
      </c>
      <c r="G860" s="341" t="s">
        <v>1210</v>
      </c>
      <c r="H860" s="341" t="s">
        <v>6855</v>
      </c>
      <c r="I860" s="341" t="s">
        <v>4230</v>
      </c>
      <c r="J860" s="342">
        <v>0.2</v>
      </c>
      <c r="K860" s="342" t="s">
        <v>4230</v>
      </c>
      <c r="L860" s="342">
        <v>0</v>
      </c>
    </row>
    <row r="861" spans="1:12" x14ac:dyDescent="0.25">
      <c r="A861" s="341" t="s">
        <v>2515</v>
      </c>
      <c r="B861" s="341" t="s">
        <v>8005</v>
      </c>
      <c r="C861" s="341" t="s">
        <v>6602</v>
      </c>
      <c r="D861" s="342">
        <v>1</v>
      </c>
      <c r="E861" s="342">
        <v>0</v>
      </c>
      <c r="F861" s="342" t="s">
        <v>9622</v>
      </c>
      <c r="G861" s="341" t="s">
        <v>3181</v>
      </c>
      <c r="H861" s="341" t="s">
        <v>8005</v>
      </c>
      <c r="I861" s="341" t="s">
        <v>6617</v>
      </c>
      <c r="J861" s="342">
        <v>8</v>
      </c>
      <c r="K861" s="342" t="s">
        <v>9623</v>
      </c>
      <c r="L861" s="342">
        <v>0</v>
      </c>
    </row>
    <row r="862" spans="1:12" x14ac:dyDescent="0.25">
      <c r="A862" s="341" t="s">
        <v>2517</v>
      </c>
      <c r="B862" s="341" t="s">
        <v>10053</v>
      </c>
      <c r="C862" s="341" t="s">
        <v>6602</v>
      </c>
      <c r="D862" s="342">
        <v>1</v>
      </c>
      <c r="E862" s="342">
        <v>0</v>
      </c>
      <c r="F862" s="342" t="s">
        <v>9622</v>
      </c>
      <c r="G862" s="341" t="s">
        <v>1157</v>
      </c>
      <c r="H862" s="341" t="s">
        <v>10054</v>
      </c>
      <c r="I862" s="341" t="s">
        <v>6605</v>
      </c>
      <c r="J862" s="342">
        <v>8</v>
      </c>
      <c r="K862" s="342" t="s">
        <v>9842</v>
      </c>
      <c r="L862" s="342">
        <v>0</v>
      </c>
    </row>
    <row r="863" spans="1:12" x14ac:dyDescent="0.25">
      <c r="A863" s="341" t="s">
        <v>2466</v>
      </c>
      <c r="B863" s="341" t="s">
        <v>2467</v>
      </c>
      <c r="C863" s="341" t="s">
        <v>2338</v>
      </c>
      <c r="D863" s="342">
        <v>1</v>
      </c>
      <c r="E863" s="342">
        <v>0</v>
      </c>
      <c r="F863" s="342" t="s">
        <v>9622</v>
      </c>
      <c r="G863" s="341" t="s">
        <v>1180</v>
      </c>
      <c r="H863" s="341" t="s">
        <v>2467</v>
      </c>
      <c r="I863" s="341" t="s">
        <v>6602</v>
      </c>
      <c r="J863" s="342">
        <v>1</v>
      </c>
      <c r="K863" s="342" t="s">
        <v>9842</v>
      </c>
      <c r="L863" s="342">
        <v>0</v>
      </c>
    </row>
    <row r="864" spans="1:12" x14ac:dyDescent="0.25">
      <c r="A864" s="341" t="s">
        <v>2420</v>
      </c>
      <c r="B864" s="341" t="s">
        <v>2420</v>
      </c>
      <c r="C864" s="341" t="s">
        <v>2420</v>
      </c>
      <c r="D864" s="342">
        <v>0</v>
      </c>
      <c r="E864" s="342" t="s">
        <v>2420</v>
      </c>
      <c r="F864" s="342" t="s">
        <v>9622</v>
      </c>
      <c r="G864" s="341" t="s">
        <v>5360</v>
      </c>
      <c r="H864" s="341" t="s">
        <v>8217</v>
      </c>
      <c r="I864" s="341" t="s">
        <v>2338</v>
      </c>
      <c r="J864" s="342">
        <v>0</v>
      </c>
      <c r="K864" s="342" t="s">
        <v>9623</v>
      </c>
      <c r="L864" s="342">
        <v>0</v>
      </c>
    </row>
    <row r="865" spans="1:12" x14ac:dyDescent="0.25">
      <c r="A865" s="341" t="s">
        <v>2420</v>
      </c>
      <c r="B865" s="341" t="s">
        <v>2420</v>
      </c>
      <c r="C865" s="341" t="s">
        <v>2420</v>
      </c>
      <c r="D865" s="342">
        <v>0</v>
      </c>
      <c r="E865" s="342" t="s">
        <v>2420</v>
      </c>
      <c r="F865" s="342" t="s">
        <v>9622</v>
      </c>
      <c r="G865" s="341" t="s">
        <v>5361</v>
      </c>
      <c r="H865" s="341" t="s">
        <v>8218</v>
      </c>
      <c r="I865" s="341" t="s">
        <v>2338</v>
      </c>
      <c r="J865" s="342">
        <v>0</v>
      </c>
      <c r="K865" s="342" t="s">
        <v>9623</v>
      </c>
      <c r="L865" s="342">
        <v>0</v>
      </c>
    </row>
    <row r="866" spans="1:12" x14ac:dyDescent="0.25">
      <c r="A866" s="341" t="s">
        <v>2420</v>
      </c>
      <c r="B866" s="341" t="s">
        <v>2420</v>
      </c>
      <c r="C866" s="341" t="s">
        <v>2420</v>
      </c>
      <c r="D866" s="342">
        <v>0</v>
      </c>
      <c r="E866" s="342" t="s">
        <v>2420</v>
      </c>
      <c r="F866" s="342" t="s">
        <v>9624</v>
      </c>
      <c r="G866" s="341" t="s">
        <v>10055</v>
      </c>
      <c r="H866" s="341" t="s">
        <v>10056</v>
      </c>
      <c r="I866" s="341" t="s">
        <v>2338</v>
      </c>
      <c r="J866" s="342">
        <v>1</v>
      </c>
      <c r="K866" s="342" t="s">
        <v>2420</v>
      </c>
      <c r="L866" s="342">
        <v>0</v>
      </c>
    </row>
    <row r="867" spans="1:12" x14ac:dyDescent="0.25">
      <c r="A867" s="341" t="s">
        <v>2479</v>
      </c>
      <c r="B867" s="341" t="s">
        <v>6738</v>
      </c>
      <c r="C867" s="341" t="s">
        <v>6602</v>
      </c>
      <c r="D867" s="342">
        <v>1</v>
      </c>
      <c r="E867" s="342">
        <v>0</v>
      </c>
      <c r="F867" s="342" t="s">
        <v>9622</v>
      </c>
      <c r="G867" s="341" t="s">
        <v>1168</v>
      </c>
      <c r="H867" s="341" t="s">
        <v>10057</v>
      </c>
      <c r="I867" s="341" t="s">
        <v>10058</v>
      </c>
      <c r="J867" s="342">
        <v>422.96</v>
      </c>
      <c r="K867" s="342" t="s">
        <v>9842</v>
      </c>
      <c r="L867" s="342">
        <v>0</v>
      </c>
    </row>
    <row r="868" spans="1:12" x14ac:dyDescent="0.25">
      <c r="A868" s="341" t="s">
        <v>224</v>
      </c>
      <c r="B868" s="341" t="s">
        <v>2536</v>
      </c>
      <c r="C868" s="341" t="s">
        <v>16</v>
      </c>
      <c r="D868" s="342">
        <v>1</v>
      </c>
      <c r="E868" s="342">
        <v>0</v>
      </c>
      <c r="F868" s="342" t="s">
        <v>9622</v>
      </c>
      <c r="G868" s="341" t="s">
        <v>1193</v>
      </c>
      <c r="H868" s="341" t="s">
        <v>9792</v>
      </c>
      <c r="I868" s="341" t="s">
        <v>4230</v>
      </c>
      <c r="J868" s="342">
        <v>0.1</v>
      </c>
      <c r="K868" s="342" t="s">
        <v>4230</v>
      </c>
      <c r="L868" s="342">
        <v>0</v>
      </c>
    </row>
    <row r="869" spans="1:12" x14ac:dyDescent="0.25">
      <c r="A869" s="341" t="s">
        <v>2420</v>
      </c>
      <c r="B869" s="341" t="s">
        <v>2420</v>
      </c>
      <c r="C869" s="341" t="s">
        <v>2420</v>
      </c>
      <c r="D869" s="342">
        <v>0</v>
      </c>
      <c r="E869" s="342" t="s">
        <v>2420</v>
      </c>
      <c r="F869" s="342" t="s">
        <v>9622</v>
      </c>
      <c r="G869" s="341" t="s">
        <v>1202</v>
      </c>
      <c r="H869" s="341" t="s">
        <v>9793</v>
      </c>
      <c r="I869" s="341" t="s">
        <v>4230</v>
      </c>
      <c r="J869" s="342">
        <v>0.1</v>
      </c>
      <c r="K869" s="342" t="s">
        <v>4230</v>
      </c>
      <c r="L869" s="342">
        <v>0</v>
      </c>
    </row>
    <row r="870" spans="1:12" x14ac:dyDescent="0.25">
      <c r="A870" s="341" t="s">
        <v>2420</v>
      </c>
      <c r="B870" s="341" t="s">
        <v>2420</v>
      </c>
      <c r="C870" s="341" t="s">
        <v>2420</v>
      </c>
      <c r="D870" s="342">
        <v>0</v>
      </c>
      <c r="E870" s="342" t="s">
        <v>2420</v>
      </c>
      <c r="F870" s="342" t="s">
        <v>9622</v>
      </c>
      <c r="G870" s="341" t="s">
        <v>1272</v>
      </c>
      <c r="H870" s="341" t="s">
        <v>9720</v>
      </c>
      <c r="I870" s="341" t="s">
        <v>2557</v>
      </c>
      <c r="J870" s="342">
        <v>0.02</v>
      </c>
      <c r="K870" s="342" t="s">
        <v>25</v>
      </c>
      <c r="L870" s="342">
        <v>0</v>
      </c>
    </row>
    <row r="871" spans="1:12" x14ac:dyDescent="0.25">
      <c r="A871" s="341" t="s">
        <v>2420</v>
      </c>
      <c r="B871" s="341" t="s">
        <v>2420</v>
      </c>
      <c r="C871" s="341" t="s">
        <v>2420</v>
      </c>
      <c r="D871" s="342">
        <v>0</v>
      </c>
      <c r="E871" s="342" t="s">
        <v>2420</v>
      </c>
      <c r="F871" s="342" t="s">
        <v>9622</v>
      </c>
      <c r="G871" s="341" t="s">
        <v>1359</v>
      </c>
      <c r="H871" s="341" t="s">
        <v>7078</v>
      </c>
      <c r="I871" s="341" t="s">
        <v>25</v>
      </c>
      <c r="J871" s="342">
        <v>0.04</v>
      </c>
      <c r="K871" s="342" t="s">
        <v>25</v>
      </c>
      <c r="L871" s="342">
        <v>0</v>
      </c>
    </row>
    <row r="872" spans="1:12" x14ac:dyDescent="0.25">
      <c r="A872" s="341" t="s">
        <v>2420</v>
      </c>
      <c r="B872" s="341" t="s">
        <v>2420</v>
      </c>
      <c r="C872" s="341" t="s">
        <v>2420</v>
      </c>
      <c r="D872" s="342">
        <v>0</v>
      </c>
      <c r="E872" s="342" t="s">
        <v>2420</v>
      </c>
      <c r="F872" s="342" t="s">
        <v>9622</v>
      </c>
      <c r="G872" s="341" t="s">
        <v>1360</v>
      </c>
      <c r="H872" s="341" t="s">
        <v>7079</v>
      </c>
      <c r="I872" s="341" t="s">
        <v>2557</v>
      </c>
      <c r="J872" s="342">
        <v>0.01</v>
      </c>
      <c r="K872" s="342" t="s">
        <v>25</v>
      </c>
      <c r="L872" s="342">
        <v>0</v>
      </c>
    </row>
    <row r="873" spans="1:12" x14ac:dyDescent="0.25">
      <c r="A873" s="341" t="s">
        <v>2420</v>
      </c>
      <c r="B873" s="341" t="s">
        <v>2420</v>
      </c>
      <c r="C873" s="341" t="s">
        <v>2420</v>
      </c>
      <c r="D873" s="342">
        <v>0</v>
      </c>
      <c r="E873" s="342" t="s">
        <v>2420</v>
      </c>
      <c r="F873" s="342" t="s">
        <v>9622</v>
      </c>
      <c r="G873" s="341" t="s">
        <v>1382</v>
      </c>
      <c r="H873" s="341" t="s">
        <v>9786</v>
      </c>
      <c r="I873" s="341" t="s">
        <v>16</v>
      </c>
      <c r="J873" s="342">
        <v>0.09</v>
      </c>
      <c r="K873" s="342" t="s">
        <v>25</v>
      </c>
      <c r="L873" s="342">
        <v>0</v>
      </c>
    </row>
    <row r="874" spans="1:12" x14ac:dyDescent="0.25">
      <c r="A874" s="341" t="s">
        <v>342</v>
      </c>
      <c r="B874" s="341" t="s">
        <v>10059</v>
      </c>
      <c r="C874" s="341" t="s">
        <v>25</v>
      </c>
      <c r="D874" s="342">
        <v>1</v>
      </c>
      <c r="E874" s="342">
        <v>0</v>
      </c>
      <c r="F874" s="342" t="s">
        <v>9622</v>
      </c>
      <c r="G874" s="341" t="s">
        <v>1717</v>
      </c>
      <c r="H874" s="341" t="s">
        <v>10060</v>
      </c>
      <c r="I874" s="341" t="s">
        <v>25</v>
      </c>
      <c r="J874" s="342">
        <v>1</v>
      </c>
      <c r="K874" s="342" t="s">
        <v>25</v>
      </c>
      <c r="L874" s="342">
        <v>0</v>
      </c>
    </row>
    <row r="875" spans="1:12" x14ac:dyDescent="0.25">
      <c r="A875" s="341" t="s">
        <v>2420</v>
      </c>
      <c r="B875" s="341" t="s">
        <v>2420</v>
      </c>
      <c r="C875" s="341" t="s">
        <v>2420</v>
      </c>
      <c r="D875" s="342">
        <v>0</v>
      </c>
      <c r="E875" s="342" t="s">
        <v>2420</v>
      </c>
      <c r="F875" s="342" t="s">
        <v>9624</v>
      </c>
      <c r="G875" s="341" t="s">
        <v>9628</v>
      </c>
      <c r="H875" s="341" t="s">
        <v>9756</v>
      </c>
      <c r="I875" s="341" t="s">
        <v>16</v>
      </c>
      <c r="J875" s="342">
        <v>1.1000000000000001</v>
      </c>
      <c r="K875" s="342" t="s">
        <v>2420</v>
      </c>
      <c r="L875" s="342">
        <v>0</v>
      </c>
    </row>
    <row r="876" spans="1:12" x14ac:dyDescent="0.25">
      <c r="A876" s="341" t="s">
        <v>343</v>
      </c>
      <c r="B876" s="341" t="s">
        <v>10061</v>
      </c>
      <c r="C876" s="341" t="s">
        <v>25</v>
      </c>
      <c r="D876" s="342">
        <v>1</v>
      </c>
      <c r="E876" s="342">
        <v>0</v>
      </c>
      <c r="F876" s="342" t="s">
        <v>9622</v>
      </c>
      <c r="G876" s="341" t="s">
        <v>1716</v>
      </c>
      <c r="H876" s="341" t="s">
        <v>10062</v>
      </c>
      <c r="I876" s="341" t="s">
        <v>25</v>
      </c>
      <c r="J876" s="342">
        <v>1</v>
      </c>
      <c r="K876" s="342" t="s">
        <v>25</v>
      </c>
      <c r="L876" s="342">
        <v>0</v>
      </c>
    </row>
    <row r="877" spans="1:12" x14ac:dyDescent="0.25">
      <c r="A877" s="341" t="s">
        <v>2420</v>
      </c>
      <c r="B877" s="341" t="s">
        <v>2420</v>
      </c>
      <c r="C877" s="341" t="s">
        <v>2420</v>
      </c>
      <c r="D877" s="342">
        <v>0</v>
      </c>
      <c r="E877" s="342" t="s">
        <v>2420</v>
      </c>
      <c r="F877" s="342" t="s">
        <v>9624</v>
      </c>
      <c r="G877" s="341" t="s">
        <v>9628</v>
      </c>
      <c r="H877" s="341" t="s">
        <v>9756</v>
      </c>
      <c r="I877" s="341" t="s">
        <v>16</v>
      </c>
      <c r="J877" s="342">
        <v>1.1000000000000001</v>
      </c>
      <c r="K877" s="342" t="s">
        <v>2420</v>
      </c>
      <c r="L877" s="342">
        <v>0</v>
      </c>
    </row>
    <row r="878" spans="1:12" x14ac:dyDescent="0.25">
      <c r="A878" s="341" t="s">
        <v>2683</v>
      </c>
      <c r="B878" s="341" t="s">
        <v>9982</v>
      </c>
      <c r="C878" s="341" t="s">
        <v>11</v>
      </c>
      <c r="D878" s="342">
        <v>1</v>
      </c>
      <c r="E878" s="342">
        <v>0</v>
      </c>
      <c r="F878" s="342" t="s">
        <v>9622</v>
      </c>
      <c r="G878" s="341" t="s">
        <v>1286</v>
      </c>
      <c r="H878" s="341" t="s">
        <v>9863</v>
      </c>
      <c r="I878" s="341" t="s">
        <v>2557</v>
      </c>
      <c r="J878" s="342">
        <v>34</v>
      </c>
      <c r="K878" s="342" t="s">
        <v>25</v>
      </c>
      <c r="L878" s="342">
        <v>0</v>
      </c>
    </row>
    <row r="879" spans="1:12" x14ac:dyDescent="0.25">
      <c r="A879" s="341" t="s">
        <v>2687</v>
      </c>
      <c r="B879" s="341" t="s">
        <v>10059</v>
      </c>
      <c r="C879" s="341" t="s">
        <v>25</v>
      </c>
      <c r="D879" s="342">
        <v>1</v>
      </c>
      <c r="E879" s="342">
        <v>0</v>
      </c>
      <c r="F879" s="342" t="s">
        <v>9624</v>
      </c>
      <c r="G879" s="341" t="s">
        <v>9625</v>
      </c>
      <c r="H879" s="341" t="s">
        <v>9756</v>
      </c>
      <c r="I879" s="341" t="s">
        <v>16</v>
      </c>
      <c r="J879" s="342">
        <v>1.1000000000000001</v>
      </c>
      <c r="K879" s="342" t="s">
        <v>2420</v>
      </c>
      <c r="L879" s="342">
        <v>0</v>
      </c>
    </row>
    <row r="880" spans="1:12" x14ac:dyDescent="0.25">
      <c r="A880" s="341" t="s">
        <v>2689</v>
      </c>
      <c r="B880" s="341" t="s">
        <v>10061</v>
      </c>
      <c r="C880" s="341" t="s">
        <v>25</v>
      </c>
      <c r="D880" s="342">
        <v>1</v>
      </c>
      <c r="E880" s="342">
        <v>0</v>
      </c>
      <c r="F880" s="342" t="s">
        <v>9624</v>
      </c>
      <c r="G880" s="341" t="s">
        <v>9625</v>
      </c>
      <c r="H880" s="341" t="s">
        <v>9756</v>
      </c>
      <c r="I880" s="341" t="s">
        <v>16</v>
      </c>
      <c r="J880" s="342">
        <v>1.1000000000000001</v>
      </c>
      <c r="K880" s="342" t="s">
        <v>2420</v>
      </c>
      <c r="L880" s="342">
        <v>0</v>
      </c>
    </row>
    <row r="881" spans="1:12" x14ac:dyDescent="0.25">
      <c r="A881" s="341" t="s">
        <v>2553</v>
      </c>
      <c r="B881" s="341" t="s">
        <v>9702</v>
      </c>
      <c r="C881" s="341" t="s">
        <v>52</v>
      </c>
      <c r="D881" s="342">
        <v>1</v>
      </c>
      <c r="E881" s="342">
        <v>0</v>
      </c>
      <c r="F881" s="342" t="s">
        <v>9622</v>
      </c>
      <c r="G881" s="341" t="s">
        <v>1235</v>
      </c>
      <c r="H881" s="341" t="s">
        <v>6900</v>
      </c>
      <c r="I881" s="341" t="s">
        <v>4230</v>
      </c>
      <c r="J881" s="342">
        <v>3.5</v>
      </c>
      <c r="K881" s="342" t="s">
        <v>4230</v>
      </c>
      <c r="L881" s="342">
        <v>0</v>
      </c>
    </row>
    <row r="882" spans="1:12" x14ac:dyDescent="0.25">
      <c r="A882" s="341" t="s">
        <v>2420</v>
      </c>
      <c r="B882" s="341" t="s">
        <v>2420</v>
      </c>
      <c r="C882" s="341" t="s">
        <v>2420</v>
      </c>
      <c r="D882" s="342">
        <v>0</v>
      </c>
      <c r="E882" s="342" t="s">
        <v>2420</v>
      </c>
      <c r="F882" s="342" t="s">
        <v>9622</v>
      </c>
      <c r="G882" s="341" t="s">
        <v>2032</v>
      </c>
      <c r="H882" s="341" t="s">
        <v>10063</v>
      </c>
      <c r="I882" s="341" t="s">
        <v>52</v>
      </c>
      <c r="J882" s="342">
        <v>1</v>
      </c>
      <c r="K882" s="342" t="s">
        <v>9623</v>
      </c>
      <c r="L882" s="342">
        <v>0</v>
      </c>
    </row>
    <row r="883" spans="1:12" x14ac:dyDescent="0.25">
      <c r="A883" s="341" t="s">
        <v>2678</v>
      </c>
      <c r="B883" s="341" t="s">
        <v>9997</v>
      </c>
      <c r="C883" s="341" t="s">
        <v>16</v>
      </c>
      <c r="D883" s="342">
        <v>1</v>
      </c>
      <c r="E883" s="342">
        <v>0</v>
      </c>
      <c r="F883" s="342" t="s">
        <v>9622</v>
      </c>
      <c r="G883" s="341" t="s">
        <v>1286</v>
      </c>
      <c r="H883" s="341" t="s">
        <v>9863</v>
      </c>
      <c r="I883" s="341" t="s">
        <v>2557</v>
      </c>
      <c r="J883" s="342">
        <v>18.7</v>
      </c>
      <c r="K883" s="342" t="s">
        <v>25</v>
      </c>
      <c r="L883" s="342">
        <v>0</v>
      </c>
    </row>
    <row r="884" spans="1:12" x14ac:dyDescent="0.25">
      <c r="A884" s="341" t="s">
        <v>2680</v>
      </c>
      <c r="B884" s="341" t="s">
        <v>9756</v>
      </c>
      <c r="C884" s="341" t="s">
        <v>16</v>
      </c>
      <c r="D884" s="342">
        <v>1</v>
      </c>
      <c r="E884" s="342">
        <v>0</v>
      </c>
      <c r="F884" s="342" t="s">
        <v>9622</v>
      </c>
      <c r="G884" s="341" t="s">
        <v>1286</v>
      </c>
      <c r="H884" s="341" t="s">
        <v>9863</v>
      </c>
      <c r="I884" s="341" t="s">
        <v>2557</v>
      </c>
      <c r="J884" s="342">
        <v>18.7</v>
      </c>
      <c r="K884" s="342" t="s">
        <v>25</v>
      </c>
      <c r="L884" s="342">
        <v>0</v>
      </c>
    </row>
    <row r="885" spans="1:12" x14ac:dyDescent="0.25">
      <c r="A885" s="341" t="s">
        <v>2693</v>
      </c>
      <c r="B885" s="341" t="s">
        <v>10064</v>
      </c>
      <c r="C885" s="341" t="s">
        <v>11</v>
      </c>
      <c r="D885" s="342">
        <v>1</v>
      </c>
      <c r="E885" s="342">
        <v>0</v>
      </c>
      <c r="F885" s="342" t="s">
        <v>9624</v>
      </c>
      <c r="G885" s="341" t="s">
        <v>9625</v>
      </c>
      <c r="H885" s="341" t="s">
        <v>9756</v>
      </c>
      <c r="I885" s="341" t="s">
        <v>16</v>
      </c>
      <c r="J885" s="342">
        <v>1.68</v>
      </c>
      <c r="K885" s="342" t="s">
        <v>2420</v>
      </c>
      <c r="L885" s="342">
        <v>0</v>
      </c>
    </row>
    <row r="886" spans="1:12" x14ac:dyDescent="0.25">
      <c r="A886" s="341" t="s">
        <v>2695</v>
      </c>
      <c r="B886" s="341" t="s">
        <v>10065</v>
      </c>
      <c r="C886" s="341" t="s">
        <v>11</v>
      </c>
      <c r="D886" s="342">
        <v>1</v>
      </c>
      <c r="E886" s="342">
        <v>0</v>
      </c>
      <c r="F886" s="342" t="s">
        <v>9624</v>
      </c>
      <c r="G886" s="341" t="s">
        <v>9625</v>
      </c>
      <c r="H886" s="341" t="s">
        <v>9756</v>
      </c>
      <c r="I886" s="341" t="s">
        <v>16</v>
      </c>
      <c r="J886" s="342">
        <v>1.47</v>
      </c>
      <c r="K886" s="342" t="s">
        <v>2420</v>
      </c>
      <c r="L886" s="342">
        <v>0</v>
      </c>
    </row>
    <row r="887" spans="1:12" x14ac:dyDescent="0.25">
      <c r="A887" s="341" t="s">
        <v>9625</v>
      </c>
      <c r="B887" s="341" t="s">
        <v>9756</v>
      </c>
      <c r="C887" s="341" t="s">
        <v>16</v>
      </c>
      <c r="D887" s="342">
        <v>1</v>
      </c>
      <c r="E887" s="342">
        <v>0</v>
      </c>
      <c r="F887" s="342" t="s">
        <v>9622</v>
      </c>
      <c r="G887" s="341" t="s">
        <v>1286</v>
      </c>
      <c r="H887" s="341" t="s">
        <v>9863</v>
      </c>
      <c r="I887" s="341" t="s">
        <v>2557</v>
      </c>
      <c r="J887" s="342">
        <v>18.7</v>
      </c>
      <c r="K887" s="342" t="s">
        <v>25</v>
      </c>
      <c r="L887" s="342">
        <v>0</v>
      </c>
    </row>
    <row r="888" spans="1:12" x14ac:dyDescent="0.25">
      <c r="A888" s="341" t="s">
        <v>9628</v>
      </c>
      <c r="B888" s="341" t="s">
        <v>9756</v>
      </c>
      <c r="C888" s="341" t="s">
        <v>16</v>
      </c>
      <c r="D888" s="342">
        <v>1</v>
      </c>
      <c r="E888" s="342">
        <v>0</v>
      </c>
      <c r="F888" s="342" t="s">
        <v>9622</v>
      </c>
      <c r="G888" s="341" t="s">
        <v>1204</v>
      </c>
      <c r="H888" s="341" t="s">
        <v>6854</v>
      </c>
      <c r="I888" s="341" t="s">
        <v>4230</v>
      </c>
      <c r="J888" s="342">
        <v>1.5</v>
      </c>
      <c r="K888" s="342" t="s">
        <v>4230</v>
      </c>
      <c r="L888" s="342">
        <v>0</v>
      </c>
    </row>
    <row r="889" spans="1:12" x14ac:dyDescent="0.25">
      <c r="A889" s="341" t="s">
        <v>2420</v>
      </c>
      <c r="B889" s="341" t="s">
        <v>2420</v>
      </c>
      <c r="C889" s="341" t="s">
        <v>2420</v>
      </c>
      <c r="D889" s="342">
        <v>0</v>
      </c>
      <c r="E889" s="342" t="s">
        <v>2420</v>
      </c>
      <c r="F889" s="342" t="s">
        <v>9622</v>
      </c>
      <c r="G889" s="341" t="s">
        <v>1210</v>
      </c>
      <c r="H889" s="341" t="s">
        <v>6855</v>
      </c>
      <c r="I889" s="341" t="s">
        <v>4230</v>
      </c>
      <c r="J889" s="342">
        <v>2</v>
      </c>
      <c r="K889" s="342" t="s">
        <v>4230</v>
      </c>
      <c r="L889" s="342">
        <v>0</v>
      </c>
    </row>
    <row r="890" spans="1:12" x14ac:dyDescent="0.25">
      <c r="A890" s="341" t="s">
        <v>2685</v>
      </c>
      <c r="B890" s="341" t="s">
        <v>9754</v>
      </c>
      <c r="C890" s="341" t="s">
        <v>25</v>
      </c>
      <c r="D890" s="342">
        <v>1</v>
      </c>
      <c r="E890" s="342">
        <v>0</v>
      </c>
      <c r="F890" s="342" t="s">
        <v>9624</v>
      </c>
      <c r="G890" s="341" t="s">
        <v>9625</v>
      </c>
      <c r="H890" s="341" t="s">
        <v>9756</v>
      </c>
      <c r="I890" s="341" t="s">
        <v>16</v>
      </c>
      <c r="J890" s="342">
        <v>0.5</v>
      </c>
      <c r="K890" s="342" t="s">
        <v>2420</v>
      </c>
      <c r="L890" s="342">
        <v>0</v>
      </c>
    </row>
    <row r="891" spans="1:12" x14ac:dyDescent="0.25">
      <c r="A891" s="341" t="s">
        <v>2691</v>
      </c>
      <c r="B891" s="341" t="s">
        <v>9759</v>
      </c>
      <c r="C891" s="341" t="s">
        <v>11</v>
      </c>
      <c r="D891" s="342">
        <v>1</v>
      </c>
      <c r="E891" s="342">
        <v>0</v>
      </c>
      <c r="F891" s="342" t="s">
        <v>9624</v>
      </c>
      <c r="G891" s="341" t="s">
        <v>9625</v>
      </c>
      <c r="H891" s="341" t="s">
        <v>9756</v>
      </c>
      <c r="I891" s="341" t="s">
        <v>16</v>
      </c>
      <c r="J891" s="342">
        <v>0.49</v>
      </c>
      <c r="K891" s="342" t="s">
        <v>2420</v>
      </c>
      <c r="L891" s="342">
        <v>0</v>
      </c>
    </row>
    <row r="892" spans="1:12" x14ac:dyDescent="0.25">
      <c r="A892" s="341" t="s">
        <v>2699</v>
      </c>
      <c r="B892" s="341" t="s">
        <v>9760</v>
      </c>
      <c r="C892" s="341" t="s">
        <v>16</v>
      </c>
      <c r="D892" s="342">
        <v>1</v>
      </c>
      <c r="E892" s="342">
        <v>0</v>
      </c>
      <c r="F892" s="342" t="s">
        <v>9624</v>
      </c>
      <c r="G892" s="341" t="s">
        <v>9625</v>
      </c>
      <c r="H892" s="341" t="s">
        <v>9756</v>
      </c>
      <c r="I892" s="341" t="s">
        <v>16</v>
      </c>
      <c r="J892" s="342">
        <v>1</v>
      </c>
      <c r="K892" s="342" t="s">
        <v>2420</v>
      </c>
      <c r="L892" s="342">
        <v>0</v>
      </c>
    </row>
    <row r="893" spans="1:12" x14ac:dyDescent="0.25">
      <c r="A893" s="341" t="s">
        <v>3005</v>
      </c>
      <c r="B893" s="341" t="s">
        <v>10066</v>
      </c>
      <c r="C893" s="341" t="s">
        <v>2338</v>
      </c>
      <c r="D893" s="342">
        <v>1</v>
      </c>
      <c r="E893" s="342">
        <v>0</v>
      </c>
      <c r="F893" s="342" t="s">
        <v>9622</v>
      </c>
      <c r="G893" s="341" t="s">
        <v>1973</v>
      </c>
      <c r="H893" s="341" t="s">
        <v>10066</v>
      </c>
      <c r="I893" s="341" t="s">
        <v>2338</v>
      </c>
      <c r="J893" s="342">
        <v>1</v>
      </c>
      <c r="K893" s="342" t="s">
        <v>9623</v>
      </c>
      <c r="L893" s="342">
        <v>0</v>
      </c>
    </row>
    <row r="894" spans="1:12" x14ac:dyDescent="0.25">
      <c r="A894" s="341" t="s">
        <v>3006</v>
      </c>
      <c r="B894" s="341" t="s">
        <v>2340</v>
      </c>
      <c r="C894" s="341" t="s">
        <v>2338</v>
      </c>
      <c r="D894" s="342">
        <v>1</v>
      </c>
      <c r="E894" s="342">
        <v>0</v>
      </c>
      <c r="F894" s="342" t="s">
        <v>9622</v>
      </c>
      <c r="G894" s="341" t="s">
        <v>1917</v>
      </c>
      <c r="H894" s="341" t="s">
        <v>2340</v>
      </c>
      <c r="I894" s="341" t="s">
        <v>2338</v>
      </c>
      <c r="J894" s="342">
        <v>1</v>
      </c>
      <c r="K894" s="342" t="s">
        <v>9623</v>
      </c>
      <c r="L894" s="342">
        <v>0</v>
      </c>
    </row>
    <row r="895" spans="1:12" x14ac:dyDescent="0.25">
      <c r="A895" s="341" t="s">
        <v>3007</v>
      </c>
      <c r="B895" s="341" t="s">
        <v>2341</v>
      </c>
      <c r="C895" s="341" t="s">
        <v>2338</v>
      </c>
      <c r="D895" s="342">
        <v>1</v>
      </c>
      <c r="E895" s="342">
        <v>0</v>
      </c>
      <c r="F895" s="342" t="s">
        <v>9622</v>
      </c>
      <c r="G895" s="341" t="s">
        <v>3008</v>
      </c>
      <c r="H895" s="341" t="s">
        <v>2350</v>
      </c>
      <c r="I895" s="341" t="s">
        <v>2338</v>
      </c>
      <c r="J895" s="342">
        <v>1</v>
      </c>
      <c r="K895" s="342" t="s">
        <v>9623</v>
      </c>
      <c r="L895" s="342">
        <v>0</v>
      </c>
    </row>
    <row r="896" spans="1:12" x14ac:dyDescent="0.25">
      <c r="A896" s="341" t="s">
        <v>3009</v>
      </c>
      <c r="B896" s="341" t="s">
        <v>10067</v>
      </c>
      <c r="C896" s="341" t="s">
        <v>2338</v>
      </c>
      <c r="D896" s="342">
        <v>1</v>
      </c>
      <c r="E896" s="342">
        <v>0</v>
      </c>
      <c r="F896" s="342" t="s">
        <v>9622</v>
      </c>
      <c r="G896" s="341" t="s">
        <v>3010</v>
      </c>
      <c r="H896" s="341" t="s">
        <v>10067</v>
      </c>
      <c r="I896" s="341" t="s">
        <v>2338</v>
      </c>
      <c r="J896" s="342">
        <v>1</v>
      </c>
      <c r="K896" s="342" t="s">
        <v>9623</v>
      </c>
      <c r="L896" s="342">
        <v>0</v>
      </c>
    </row>
    <row r="897" spans="1:12" x14ac:dyDescent="0.25">
      <c r="A897" s="341" t="s">
        <v>3011</v>
      </c>
      <c r="B897" s="341" t="s">
        <v>10068</v>
      </c>
      <c r="C897" s="341" t="s">
        <v>2338</v>
      </c>
      <c r="D897" s="342">
        <v>1</v>
      </c>
      <c r="E897" s="342">
        <v>0</v>
      </c>
      <c r="F897" s="342" t="s">
        <v>9622</v>
      </c>
      <c r="G897" s="341" t="s">
        <v>1918</v>
      </c>
      <c r="H897" s="341" t="s">
        <v>10068</v>
      </c>
      <c r="I897" s="341" t="s">
        <v>2338</v>
      </c>
      <c r="J897" s="342">
        <v>1</v>
      </c>
      <c r="K897" s="342" t="s">
        <v>9623</v>
      </c>
      <c r="L897" s="342">
        <v>0</v>
      </c>
    </row>
    <row r="898" spans="1:12" x14ac:dyDescent="0.25">
      <c r="A898" s="341" t="s">
        <v>3012</v>
      </c>
      <c r="B898" s="341" t="s">
        <v>10069</v>
      </c>
      <c r="C898" s="341" t="s">
        <v>2338</v>
      </c>
      <c r="D898" s="342">
        <v>1</v>
      </c>
      <c r="E898" s="342">
        <v>0</v>
      </c>
      <c r="F898" s="342" t="s">
        <v>9622</v>
      </c>
      <c r="G898" s="341" t="s">
        <v>3013</v>
      </c>
      <c r="H898" s="341" t="s">
        <v>10069</v>
      </c>
      <c r="I898" s="341" t="s">
        <v>2338</v>
      </c>
      <c r="J898" s="342">
        <v>1</v>
      </c>
      <c r="K898" s="342" t="s">
        <v>9623</v>
      </c>
      <c r="L898" s="342">
        <v>0</v>
      </c>
    </row>
    <row r="899" spans="1:12" x14ac:dyDescent="0.25">
      <c r="A899" s="341" t="s">
        <v>3014</v>
      </c>
      <c r="B899" s="341" t="s">
        <v>2345</v>
      </c>
      <c r="C899" s="341" t="s">
        <v>2338</v>
      </c>
      <c r="D899" s="342">
        <v>1</v>
      </c>
      <c r="E899" s="342">
        <v>0</v>
      </c>
      <c r="F899" s="342" t="s">
        <v>9622</v>
      </c>
      <c r="G899" s="341" t="s">
        <v>3015</v>
      </c>
      <c r="H899" s="341" t="s">
        <v>2345</v>
      </c>
      <c r="I899" s="341" t="s">
        <v>2338</v>
      </c>
      <c r="J899" s="342">
        <v>1</v>
      </c>
      <c r="K899" s="342" t="s">
        <v>9623</v>
      </c>
      <c r="L899" s="342">
        <v>0</v>
      </c>
    </row>
    <row r="900" spans="1:12" x14ac:dyDescent="0.25">
      <c r="A900" s="341" t="s">
        <v>3016</v>
      </c>
      <c r="B900" s="341" t="s">
        <v>2346</v>
      </c>
      <c r="C900" s="341" t="s">
        <v>2338</v>
      </c>
      <c r="D900" s="342">
        <v>1</v>
      </c>
      <c r="E900" s="342">
        <v>0</v>
      </c>
      <c r="F900" s="342" t="s">
        <v>9622</v>
      </c>
      <c r="G900" s="341" t="s">
        <v>3017</v>
      </c>
      <c r="H900" s="341" t="s">
        <v>2346</v>
      </c>
      <c r="I900" s="341" t="s">
        <v>2338</v>
      </c>
      <c r="J900" s="342">
        <v>1</v>
      </c>
      <c r="K900" s="342" t="s">
        <v>9623</v>
      </c>
      <c r="L900" s="342">
        <v>0</v>
      </c>
    </row>
    <row r="901" spans="1:12" x14ac:dyDescent="0.25">
      <c r="A901" s="341" t="s">
        <v>3018</v>
      </c>
      <c r="B901" s="341" t="s">
        <v>2347</v>
      </c>
      <c r="C901" s="341" t="s">
        <v>2338</v>
      </c>
      <c r="D901" s="342">
        <v>1</v>
      </c>
      <c r="E901" s="342">
        <v>0</v>
      </c>
      <c r="F901" s="342" t="s">
        <v>9622</v>
      </c>
      <c r="G901" s="341" t="s">
        <v>3019</v>
      </c>
      <c r="H901" s="341" t="s">
        <v>2347</v>
      </c>
      <c r="I901" s="341" t="s">
        <v>2338</v>
      </c>
      <c r="J901" s="342">
        <v>1</v>
      </c>
      <c r="K901" s="342" t="s">
        <v>9623</v>
      </c>
      <c r="L901" s="342">
        <v>0</v>
      </c>
    </row>
    <row r="902" spans="1:12" x14ac:dyDescent="0.25">
      <c r="A902" s="341" t="s">
        <v>3020</v>
      </c>
      <c r="B902" s="341" t="s">
        <v>2348</v>
      </c>
      <c r="C902" s="341" t="s">
        <v>2338</v>
      </c>
      <c r="D902" s="342">
        <v>1</v>
      </c>
      <c r="E902" s="342">
        <v>0</v>
      </c>
      <c r="F902" s="342" t="s">
        <v>9622</v>
      </c>
      <c r="G902" s="341" t="s">
        <v>3021</v>
      </c>
      <c r="H902" s="341" t="s">
        <v>2348</v>
      </c>
      <c r="I902" s="341" t="s">
        <v>2338</v>
      </c>
      <c r="J902" s="342">
        <v>1</v>
      </c>
      <c r="K902" s="342" t="s">
        <v>9623</v>
      </c>
      <c r="L902" s="342">
        <v>0</v>
      </c>
    </row>
    <row r="903" spans="1:12" x14ac:dyDescent="0.25">
      <c r="A903" s="341" t="s">
        <v>3022</v>
      </c>
      <c r="B903" s="341" t="s">
        <v>2349</v>
      </c>
      <c r="C903" s="341" t="s">
        <v>2338</v>
      </c>
      <c r="D903" s="342">
        <v>1</v>
      </c>
      <c r="E903" s="342">
        <v>0</v>
      </c>
      <c r="F903" s="342" t="s">
        <v>9622</v>
      </c>
      <c r="G903" s="341" t="s">
        <v>1890</v>
      </c>
      <c r="H903" s="341" t="s">
        <v>2349</v>
      </c>
      <c r="I903" s="341" t="s">
        <v>2338</v>
      </c>
      <c r="J903" s="342">
        <v>1</v>
      </c>
      <c r="K903" s="342" t="s">
        <v>9623</v>
      </c>
      <c r="L903" s="342">
        <v>0</v>
      </c>
    </row>
    <row r="904" spans="1:12" x14ac:dyDescent="0.25">
      <c r="A904" s="341" t="s">
        <v>3023</v>
      </c>
      <c r="B904" s="341" t="s">
        <v>2350</v>
      </c>
      <c r="C904" s="341" t="s">
        <v>2338</v>
      </c>
      <c r="D904" s="342">
        <v>1</v>
      </c>
      <c r="E904" s="342">
        <v>0</v>
      </c>
      <c r="F904" s="342" t="s">
        <v>9622</v>
      </c>
      <c r="G904" s="341" t="s">
        <v>3008</v>
      </c>
      <c r="H904" s="341" t="s">
        <v>2350</v>
      </c>
      <c r="I904" s="341" t="s">
        <v>2338</v>
      </c>
      <c r="J904" s="342">
        <v>1</v>
      </c>
      <c r="K904" s="342" t="s">
        <v>9623</v>
      </c>
      <c r="L904" s="342">
        <v>0</v>
      </c>
    </row>
    <row r="905" spans="1:12" x14ac:dyDescent="0.25">
      <c r="A905" s="341" t="s">
        <v>3024</v>
      </c>
      <c r="B905" s="341" t="s">
        <v>2351</v>
      </c>
      <c r="C905" s="341" t="s">
        <v>2338</v>
      </c>
      <c r="D905" s="342">
        <v>1</v>
      </c>
      <c r="E905" s="342">
        <v>0</v>
      </c>
      <c r="F905" s="342" t="s">
        <v>9622</v>
      </c>
      <c r="G905" s="341" t="s">
        <v>1843</v>
      </c>
      <c r="H905" s="341" t="s">
        <v>2351</v>
      </c>
      <c r="I905" s="341" t="s">
        <v>2338</v>
      </c>
      <c r="J905" s="342">
        <v>1</v>
      </c>
      <c r="K905" s="342" t="s">
        <v>9623</v>
      </c>
      <c r="L905" s="342">
        <v>0</v>
      </c>
    </row>
    <row r="906" spans="1:12" x14ac:dyDescent="0.25">
      <c r="A906" s="341" t="s">
        <v>3025</v>
      </c>
      <c r="B906" s="341" t="s">
        <v>2352</v>
      </c>
      <c r="C906" s="341" t="s">
        <v>2338</v>
      </c>
      <c r="D906" s="342">
        <v>1</v>
      </c>
      <c r="E906" s="342">
        <v>0</v>
      </c>
      <c r="F906" s="342" t="s">
        <v>9622</v>
      </c>
      <c r="G906" s="341" t="s">
        <v>3026</v>
      </c>
      <c r="H906" s="341" t="s">
        <v>2352</v>
      </c>
      <c r="I906" s="341" t="s">
        <v>2338</v>
      </c>
      <c r="J906" s="342">
        <v>1</v>
      </c>
      <c r="K906" s="342" t="s">
        <v>9623</v>
      </c>
      <c r="L906" s="342">
        <v>0</v>
      </c>
    </row>
    <row r="907" spans="1:12" x14ac:dyDescent="0.25">
      <c r="A907" s="341" t="s">
        <v>3027</v>
      </c>
      <c r="B907" s="341" t="s">
        <v>2353</v>
      </c>
      <c r="C907" s="341" t="s">
        <v>2338</v>
      </c>
      <c r="D907" s="342">
        <v>1</v>
      </c>
      <c r="E907" s="342">
        <v>0</v>
      </c>
      <c r="F907" s="342" t="s">
        <v>9622</v>
      </c>
      <c r="G907" s="341" t="s">
        <v>3028</v>
      </c>
      <c r="H907" s="341" t="s">
        <v>2353</v>
      </c>
      <c r="I907" s="341" t="s">
        <v>2338</v>
      </c>
      <c r="J907" s="342">
        <v>1</v>
      </c>
      <c r="K907" s="342" t="s">
        <v>9623</v>
      </c>
      <c r="L907" s="342">
        <v>0</v>
      </c>
    </row>
    <row r="908" spans="1:12" x14ac:dyDescent="0.25">
      <c r="A908" s="341" t="s">
        <v>3029</v>
      </c>
      <c r="B908" s="341" t="s">
        <v>2354</v>
      </c>
      <c r="C908" s="341" t="s">
        <v>2338</v>
      </c>
      <c r="D908" s="342">
        <v>1</v>
      </c>
      <c r="E908" s="342">
        <v>0</v>
      </c>
      <c r="F908" s="342" t="s">
        <v>9622</v>
      </c>
      <c r="G908" s="341" t="s">
        <v>2196</v>
      </c>
      <c r="H908" s="341" t="s">
        <v>2354</v>
      </c>
      <c r="I908" s="341" t="s">
        <v>2338</v>
      </c>
      <c r="J908" s="342">
        <v>1</v>
      </c>
      <c r="K908" s="342" t="s">
        <v>9623</v>
      </c>
      <c r="L908" s="342">
        <v>0</v>
      </c>
    </row>
    <row r="909" spans="1:12" x14ac:dyDescent="0.25">
      <c r="A909" s="341" t="s">
        <v>3030</v>
      </c>
      <c r="B909" s="341" t="s">
        <v>2355</v>
      </c>
      <c r="C909" s="341" t="s">
        <v>2338</v>
      </c>
      <c r="D909" s="342">
        <v>1</v>
      </c>
      <c r="E909" s="342">
        <v>0</v>
      </c>
      <c r="F909" s="342" t="s">
        <v>9622</v>
      </c>
      <c r="G909" s="341" t="s">
        <v>3031</v>
      </c>
      <c r="H909" s="341" t="s">
        <v>2355</v>
      </c>
      <c r="I909" s="341" t="s">
        <v>2338</v>
      </c>
      <c r="J909" s="342">
        <v>1</v>
      </c>
      <c r="K909" s="342" t="s">
        <v>9623</v>
      </c>
      <c r="L909" s="342">
        <v>0</v>
      </c>
    </row>
    <row r="910" spans="1:12" x14ac:dyDescent="0.25">
      <c r="A910" s="341" t="s">
        <v>3032</v>
      </c>
      <c r="B910" s="341" t="s">
        <v>2356</v>
      </c>
      <c r="C910" s="341" t="s">
        <v>2338</v>
      </c>
      <c r="D910" s="342">
        <v>1</v>
      </c>
      <c r="E910" s="342">
        <v>0</v>
      </c>
      <c r="F910" s="342" t="s">
        <v>9622</v>
      </c>
      <c r="G910" s="341" t="s">
        <v>2197</v>
      </c>
      <c r="H910" s="341" t="s">
        <v>2356</v>
      </c>
      <c r="I910" s="341" t="s">
        <v>2338</v>
      </c>
      <c r="J910" s="342">
        <v>1</v>
      </c>
      <c r="K910" s="342" t="s">
        <v>9623</v>
      </c>
      <c r="L910" s="342">
        <v>0</v>
      </c>
    </row>
    <row r="911" spans="1:12" x14ac:dyDescent="0.25">
      <c r="A911" s="341" t="s">
        <v>3033</v>
      </c>
      <c r="B911" s="341" t="s">
        <v>2357</v>
      </c>
      <c r="C911" s="341" t="s">
        <v>2338</v>
      </c>
      <c r="D911" s="342">
        <v>1</v>
      </c>
      <c r="E911" s="342">
        <v>0</v>
      </c>
      <c r="F911" s="342" t="s">
        <v>9622</v>
      </c>
      <c r="G911" s="341" t="s">
        <v>3034</v>
      </c>
      <c r="H911" s="341" t="s">
        <v>2357</v>
      </c>
      <c r="I911" s="341" t="s">
        <v>2338</v>
      </c>
      <c r="J911" s="342">
        <v>1</v>
      </c>
      <c r="K911" s="342" t="s">
        <v>9623</v>
      </c>
      <c r="L911" s="342">
        <v>0</v>
      </c>
    </row>
    <row r="912" spans="1:12" x14ac:dyDescent="0.25">
      <c r="A912" s="341" t="s">
        <v>3035</v>
      </c>
      <c r="B912" s="341" t="s">
        <v>2358</v>
      </c>
      <c r="C912" s="341" t="s">
        <v>2338</v>
      </c>
      <c r="D912" s="342">
        <v>1</v>
      </c>
      <c r="E912" s="342">
        <v>0</v>
      </c>
      <c r="F912" s="342" t="s">
        <v>9622</v>
      </c>
      <c r="G912" s="341" t="s">
        <v>1949</v>
      </c>
      <c r="H912" s="341" t="s">
        <v>2358</v>
      </c>
      <c r="I912" s="341" t="s">
        <v>2338</v>
      </c>
      <c r="J912" s="342">
        <v>1</v>
      </c>
      <c r="K912" s="342" t="s">
        <v>9623</v>
      </c>
      <c r="L912" s="342">
        <v>0</v>
      </c>
    </row>
    <row r="913" spans="1:12" x14ac:dyDescent="0.25">
      <c r="A913" s="341" t="s">
        <v>3036</v>
      </c>
      <c r="B913" s="341" t="s">
        <v>2359</v>
      </c>
      <c r="C913" s="341" t="s">
        <v>2338</v>
      </c>
      <c r="D913" s="342">
        <v>1</v>
      </c>
      <c r="E913" s="342">
        <v>0</v>
      </c>
      <c r="F913" s="342" t="s">
        <v>9622</v>
      </c>
      <c r="G913" s="341" t="s">
        <v>2090</v>
      </c>
      <c r="H913" s="341" t="s">
        <v>2359</v>
      </c>
      <c r="I913" s="341" t="s">
        <v>2338</v>
      </c>
      <c r="J913" s="342">
        <v>1</v>
      </c>
      <c r="K913" s="342" t="s">
        <v>9623</v>
      </c>
      <c r="L913" s="342">
        <v>0</v>
      </c>
    </row>
    <row r="914" spans="1:12" x14ac:dyDescent="0.25">
      <c r="A914" s="341" t="s">
        <v>3037</v>
      </c>
      <c r="B914" s="341" t="s">
        <v>2360</v>
      </c>
      <c r="C914" s="341" t="s">
        <v>2338</v>
      </c>
      <c r="D914" s="342">
        <v>1</v>
      </c>
      <c r="E914" s="342">
        <v>0</v>
      </c>
      <c r="F914" s="342" t="s">
        <v>9622</v>
      </c>
      <c r="G914" s="341" t="s">
        <v>10070</v>
      </c>
      <c r="H914" s="341" t="s">
        <v>10071</v>
      </c>
      <c r="I914" s="341" t="s">
        <v>2338</v>
      </c>
      <c r="J914" s="342">
        <v>1</v>
      </c>
      <c r="K914" s="342" t="s">
        <v>9623</v>
      </c>
      <c r="L914" s="342">
        <v>0</v>
      </c>
    </row>
    <row r="915" spans="1:12" x14ac:dyDescent="0.25">
      <c r="A915" s="341" t="s">
        <v>3038</v>
      </c>
      <c r="B915" s="341" t="s">
        <v>2361</v>
      </c>
      <c r="C915" s="341" t="s">
        <v>2338</v>
      </c>
      <c r="D915" s="342">
        <v>1</v>
      </c>
      <c r="E915" s="342">
        <v>0</v>
      </c>
      <c r="F915" s="342" t="s">
        <v>9622</v>
      </c>
      <c r="G915" s="341" t="s">
        <v>1986</v>
      </c>
      <c r="H915" s="341" t="s">
        <v>2361</v>
      </c>
      <c r="I915" s="341" t="s">
        <v>2338</v>
      </c>
      <c r="J915" s="342">
        <v>1</v>
      </c>
      <c r="K915" s="342" t="s">
        <v>9623</v>
      </c>
      <c r="L915" s="342">
        <v>0</v>
      </c>
    </row>
    <row r="916" spans="1:12" x14ac:dyDescent="0.25">
      <c r="A916" s="341" t="s">
        <v>3039</v>
      </c>
      <c r="B916" s="341" t="s">
        <v>2362</v>
      </c>
      <c r="C916" s="341" t="s">
        <v>2338</v>
      </c>
      <c r="D916" s="342">
        <v>1</v>
      </c>
      <c r="E916" s="342">
        <v>0</v>
      </c>
      <c r="F916" s="342" t="s">
        <v>9622</v>
      </c>
      <c r="G916" s="341" t="s">
        <v>5457</v>
      </c>
      <c r="H916" s="341" t="s">
        <v>2362</v>
      </c>
      <c r="I916" s="341" t="s">
        <v>2338</v>
      </c>
      <c r="J916" s="342">
        <v>1</v>
      </c>
      <c r="K916" s="342" t="s">
        <v>9623</v>
      </c>
      <c r="L916" s="342">
        <v>0</v>
      </c>
    </row>
    <row r="917" spans="1:12" x14ac:dyDescent="0.25">
      <c r="A917" s="341" t="s">
        <v>3040</v>
      </c>
      <c r="B917" s="341" t="s">
        <v>2363</v>
      </c>
      <c r="C917" s="341" t="s">
        <v>2338</v>
      </c>
      <c r="D917" s="342">
        <v>1</v>
      </c>
      <c r="E917" s="342">
        <v>0</v>
      </c>
      <c r="F917" s="342" t="s">
        <v>9622</v>
      </c>
      <c r="G917" s="341" t="s">
        <v>2085</v>
      </c>
      <c r="H917" s="341" t="s">
        <v>2363</v>
      </c>
      <c r="I917" s="341" t="s">
        <v>2338</v>
      </c>
      <c r="J917" s="342">
        <v>1</v>
      </c>
      <c r="K917" s="342" t="s">
        <v>9623</v>
      </c>
      <c r="L917" s="342">
        <v>0</v>
      </c>
    </row>
    <row r="918" spans="1:12" x14ac:dyDescent="0.25">
      <c r="A918" s="341" t="s">
        <v>3041</v>
      </c>
      <c r="B918" s="341" t="s">
        <v>10072</v>
      </c>
      <c r="C918" s="341" t="s">
        <v>2338</v>
      </c>
      <c r="D918" s="342">
        <v>1</v>
      </c>
      <c r="E918" s="342">
        <v>0</v>
      </c>
      <c r="F918" s="342" t="s">
        <v>9622</v>
      </c>
      <c r="G918" s="341" t="s">
        <v>2121</v>
      </c>
      <c r="H918" s="341" t="s">
        <v>10072</v>
      </c>
      <c r="I918" s="341" t="s">
        <v>2338</v>
      </c>
      <c r="J918" s="342">
        <v>1</v>
      </c>
      <c r="K918" s="342" t="s">
        <v>9623</v>
      </c>
      <c r="L918" s="342">
        <v>0</v>
      </c>
    </row>
    <row r="919" spans="1:12" x14ac:dyDescent="0.25">
      <c r="A919" s="341" t="s">
        <v>3042</v>
      </c>
      <c r="B919" s="341" t="s">
        <v>10073</v>
      </c>
      <c r="C919" s="341" t="s">
        <v>2338</v>
      </c>
      <c r="D919" s="342">
        <v>1</v>
      </c>
      <c r="E919" s="342">
        <v>0</v>
      </c>
      <c r="F919" s="342" t="s">
        <v>9622</v>
      </c>
      <c r="G919" s="341" t="s">
        <v>2120</v>
      </c>
      <c r="H919" s="341" t="s">
        <v>10073</v>
      </c>
      <c r="I919" s="341" t="s">
        <v>2338</v>
      </c>
      <c r="J919" s="342">
        <v>1</v>
      </c>
      <c r="K919" s="342" t="s">
        <v>9623</v>
      </c>
      <c r="L919" s="342">
        <v>0</v>
      </c>
    </row>
    <row r="920" spans="1:12" x14ac:dyDescent="0.25">
      <c r="A920" s="341" t="s">
        <v>3043</v>
      </c>
      <c r="B920" s="341" t="s">
        <v>2366</v>
      </c>
      <c r="C920" s="341" t="s">
        <v>2338</v>
      </c>
      <c r="D920" s="342">
        <v>1</v>
      </c>
      <c r="E920" s="342">
        <v>0</v>
      </c>
      <c r="F920" s="342" t="s">
        <v>9622</v>
      </c>
      <c r="G920" s="341" t="s">
        <v>2187</v>
      </c>
      <c r="H920" s="341" t="s">
        <v>2366</v>
      </c>
      <c r="I920" s="341" t="s">
        <v>2338</v>
      </c>
      <c r="J920" s="342">
        <v>1</v>
      </c>
      <c r="K920" s="342" t="s">
        <v>9623</v>
      </c>
      <c r="L920" s="342">
        <v>0</v>
      </c>
    </row>
    <row r="921" spans="1:12" x14ac:dyDescent="0.25">
      <c r="A921" s="341" t="s">
        <v>3044</v>
      </c>
      <c r="B921" s="341" t="s">
        <v>2368</v>
      </c>
      <c r="C921" s="341" t="s">
        <v>2338</v>
      </c>
      <c r="D921" s="342">
        <v>1</v>
      </c>
      <c r="E921" s="342">
        <v>0</v>
      </c>
      <c r="F921" s="342" t="s">
        <v>9622</v>
      </c>
      <c r="G921" s="341" t="s">
        <v>3045</v>
      </c>
      <c r="H921" s="341" t="s">
        <v>2368</v>
      </c>
      <c r="I921" s="341" t="s">
        <v>2338</v>
      </c>
      <c r="J921" s="342">
        <v>0</v>
      </c>
      <c r="K921" s="342" t="s">
        <v>9623</v>
      </c>
      <c r="L921" s="342">
        <v>0</v>
      </c>
    </row>
    <row r="922" spans="1:12" x14ac:dyDescent="0.25">
      <c r="A922" s="341" t="s">
        <v>3046</v>
      </c>
      <c r="B922" s="341" t="s">
        <v>2369</v>
      </c>
      <c r="C922" s="341" t="s">
        <v>2338</v>
      </c>
      <c r="D922" s="342">
        <v>1</v>
      </c>
      <c r="E922" s="342">
        <v>0</v>
      </c>
      <c r="F922" s="342" t="s">
        <v>9622</v>
      </c>
      <c r="G922" s="341" t="s">
        <v>3047</v>
      </c>
      <c r="H922" s="341" t="s">
        <v>2369</v>
      </c>
      <c r="I922" s="341" t="s">
        <v>2338</v>
      </c>
      <c r="J922" s="342">
        <v>0</v>
      </c>
      <c r="K922" s="342" t="s">
        <v>9623</v>
      </c>
      <c r="L922" s="342">
        <v>0</v>
      </c>
    </row>
    <row r="923" spans="1:12" x14ac:dyDescent="0.25">
      <c r="A923" s="341" t="s">
        <v>3048</v>
      </c>
      <c r="B923" s="341" t="s">
        <v>2370</v>
      </c>
      <c r="C923" s="341" t="s">
        <v>6602</v>
      </c>
      <c r="D923" s="342">
        <v>1</v>
      </c>
      <c r="E923" s="342">
        <v>0</v>
      </c>
      <c r="F923" s="342" t="s">
        <v>9622</v>
      </c>
      <c r="G923" s="341" t="s">
        <v>3049</v>
      </c>
      <c r="H923" s="341" t="s">
        <v>2370</v>
      </c>
      <c r="I923" s="341" t="s">
        <v>6602</v>
      </c>
      <c r="J923" s="342">
        <v>0</v>
      </c>
      <c r="K923" s="342" t="s">
        <v>9623</v>
      </c>
      <c r="L923" s="342">
        <v>0</v>
      </c>
    </row>
    <row r="924" spans="1:12" x14ac:dyDescent="0.25">
      <c r="A924" s="341" t="s">
        <v>3050</v>
      </c>
      <c r="B924" s="341" t="s">
        <v>2372</v>
      </c>
      <c r="C924" s="341" t="s">
        <v>6602</v>
      </c>
      <c r="D924" s="342">
        <v>1</v>
      </c>
      <c r="E924" s="342">
        <v>0</v>
      </c>
      <c r="F924" s="342" t="s">
        <v>9622</v>
      </c>
      <c r="G924" s="341" t="s">
        <v>3051</v>
      </c>
      <c r="H924" s="341" t="s">
        <v>2372</v>
      </c>
      <c r="I924" s="341" t="s">
        <v>6602</v>
      </c>
      <c r="J924" s="342">
        <v>0</v>
      </c>
      <c r="K924" s="342" t="s">
        <v>9623</v>
      </c>
      <c r="L924" s="342">
        <v>0</v>
      </c>
    </row>
    <row r="925" spans="1:12" x14ac:dyDescent="0.25">
      <c r="A925" s="341" t="s">
        <v>3052</v>
      </c>
      <c r="B925" s="341" t="s">
        <v>10074</v>
      </c>
      <c r="C925" s="341" t="s">
        <v>11</v>
      </c>
      <c r="D925" s="342">
        <v>1</v>
      </c>
      <c r="E925" s="342">
        <v>0</v>
      </c>
      <c r="F925" s="342" t="s">
        <v>9622</v>
      </c>
      <c r="G925" s="341" t="s">
        <v>2043</v>
      </c>
      <c r="H925" s="341" t="s">
        <v>10074</v>
      </c>
      <c r="I925" s="341" t="s">
        <v>11</v>
      </c>
      <c r="J925" s="342">
        <v>1</v>
      </c>
      <c r="K925" s="342" t="s">
        <v>9623</v>
      </c>
      <c r="L925" s="342">
        <v>0</v>
      </c>
    </row>
    <row r="926" spans="1:12" x14ac:dyDescent="0.25">
      <c r="A926" s="341" t="s">
        <v>3053</v>
      </c>
      <c r="B926" s="341" t="s">
        <v>10075</v>
      </c>
      <c r="C926" s="341" t="s">
        <v>2338</v>
      </c>
      <c r="D926" s="342">
        <v>1</v>
      </c>
      <c r="E926" s="342">
        <v>0</v>
      </c>
      <c r="F926" s="342" t="s">
        <v>9622</v>
      </c>
      <c r="G926" s="341" t="s">
        <v>1948</v>
      </c>
      <c r="H926" s="341" t="s">
        <v>10075</v>
      </c>
      <c r="I926" s="341" t="s">
        <v>2338</v>
      </c>
      <c r="J926" s="342">
        <v>1</v>
      </c>
      <c r="K926" s="342" t="s">
        <v>9623</v>
      </c>
      <c r="L926" s="342">
        <v>0</v>
      </c>
    </row>
    <row r="927" spans="1:12" x14ac:dyDescent="0.25">
      <c r="A927" s="341" t="s">
        <v>3054</v>
      </c>
      <c r="B927" s="341" t="s">
        <v>2376</v>
      </c>
      <c r="C927" s="341" t="s">
        <v>2338</v>
      </c>
      <c r="D927" s="342">
        <v>1</v>
      </c>
      <c r="E927" s="342">
        <v>0</v>
      </c>
      <c r="F927" s="342" t="s">
        <v>9622</v>
      </c>
      <c r="G927" s="341" t="s">
        <v>1330</v>
      </c>
      <c r="H927" s="341" t="s">
        <v>2376</v>
      </c>
      <c r="I927" s="341" t="s">
        <v>2338</v>
      </c>
      <c r="J927" s="342">
        <v>1</v>
      </c>
      <c r="K927" s="342" t="s">
        <v>25</v>
      </c>
      <c r="L927" s="342">
        <v>0</v>
      </c>
    </row>
    <row r="928" spans="1:12" x14ac:dyDescent="0.25">
      <c r="A928" s="341" t="s">
        <v>3055</v>
      </c>
      <c r="B928" s="341" t="s">
        <v>2377</v>
      </c>
      <c r="C928" s="341" t="s">
        <v>16</v>
      </c>
      <c r="D928" s="342">
        <v>1</v>
      </c>
      <c r="E928" s="342">
        <v>0</v>
      </c>
      <c r="F928" s="342" t="s">
        <v>9622</v>
      </c>
      <c r="G928" s="341" t="s">
        <v>3056</v>
      </c>
      <c r="H928" s="341" t="s">
        <v>2377</v>
      </c>
      <c r="I928" s="341" t="s">
        <v>16</v>
      </c>
      <c r="J928" s="342">
        <v>1</v>
      </c>
      <c r="K928" s="342" t="s">
        <v>10076</v>
      </c>
      <c r="L928" s="342">
        <v>0</v>
      </c>
    </row>
    <row r="929" spans="1:12" x14ac:dyDescent="0.25">
      <c r="A929" s="341" t="s">
        <v>3057</v>
      </c>
      <c r="B929" s="341" t="s">
        <v>2378</v>
      </c>
      <c r="C929" s="341" t="s">
        <v>2338</v>
      </c>
      <c r="D929" s="342">
        <v>1</v>
      </c>
      <c r="E929" s="342">
        <v>0</v>
      </c>
      <c r="F929" s="342" t="s">
        <v>9622</v>
      </c>
      <c r="G929" s="341" t="s">
        <v>3058</v>
      </c>
      <c r="H929" s="341" t="s">
        <v>2378</v>
      </c>
      <c r="I929" s="341" t="s">
        <v>2338</v>
      </c>
      <c r="J929" s="342">
        <v>0</v>
      </c>
      <c r="K929" s="342" t="s">
        <v>9623</v>
      </c>
      <c r="L929" s="342">
        <v>0</v>
      </c>
    </row>
    <row r="930" spans="1:12" x14ac:dyDescent="0.25">
      <c r="A930" s="341" t="s">
        <v>3059</v>
      </c>
      <c r="B930" s="341" t="s">
        <v>10077</v>
      </c>
      <c r="C930" s="341" t="s">
        <v>6602</v>
      </c>
      <c r="D930" s="342">
        <v>1</v>
      </c>
      <c r="E930" s="342">
        <v>0</v>
      </c>
      <c r="F930" s="342" t="s">
        <v>9622</v>
      </c>
      <c r="G930" s="341" t="s">
        <v>1132</v>
      </c>
      <c r="H930" s="341" t="s">
        <v>10077</v>
      </c>
      <c r="I930" s="341" t="s">
        <v>6602</v>
      </c>
      <c r="J930" s="342">
        <v>1</v>
      </c>
      <c r="K930" s="342" t="s">
        <v>9842</v>
      </c>
      <c r="L930" s="342">
        <v>0</v>
      </c>
    </row>
    <row r="931" spans="1:12" x14ac:dyDescent="0.25">
      <c r="A931" s="341" t="s">
        <v>3060</v>
      </c>
      <c r="B931" s="341" t="s">
        <v>10078</v>
      </c>
      <c r="C931" s="341" t="s">
        <v>6602</v>
      </c>
      <c r="D931" s="342">
        <v>1</v>
      </c>
      <c r="E931" s="342">
        <v>0</v>
      </c>
      <c r="F931" s="342" t="s">
        <v>9622</v>
      </c>
      <c r="G931" s="341" t="s">
        <v>1173</v>
      </c>
      <c r="H931" s="341" t="s">
        <v>10078</v>
      </c>
      <c r="I931" s="341" t="s">
        <v>6602</v>
      </c>
      <c r="J931" s="342">
        <v>1</v>
      </c>
      <c r="K931" s="342" t="s">
        <v>9842</v>
      </c>
      <c r="L931" s="342">
        <v>0</v>
      </c>
    </row>
    <row r="932" spans="1:12" x14ac:dyDescent="0.25">
      <c r="A932" s="341" t="s">
        <v>3061</v>
      </c>
      <c r="B932" s="341" t="s">
        <v>2381</v>
      </c>
      <c r="C932" s="341" t="s">
        <v>6602</v>
      </c>
      <c r="D932" s="342">
        <v>1</v>
      </c>
      <c r="E932" s="342">
        <v>0</v>
      </c>
      <c r="F932" s="342" t="s">
        <v>9622</v>
      </c>
      <c r="G932" s="341" t="s">
        <v>1134</v>
      </c>
      <c r="H932" s="341" t="s">
        <v>2381</v>
      </c>
      <c r="I932" s="341" t="s">
        <v>6602</v>
      </c>
      <c r="J932" s="342">
        <v>1</v>
      </c>
      <c r="K932" s="342" t="s">
        <v>9842</v>
      </c>
      <c r="L932" s="342">
        <v>0</v>
      </c>
    </row>
    <row r="933" spans="1:12" x14ac:dyDescent="0.25">
      <c r="A933" s="341" t="s">
        <v>3062</v>
      </c>
      <c r="B933" s="341" t="s">
        <v>2382</v>
      </c>
      <c r="C933" s="341" t="s">
        <v>6602</v>
      </c>
      <c r="D933" s="342">
        <v>1</v>
      </c>
      <c r="E933" s="342">
        <v>0</v>
      </c>
      <c r="F933" s="342" t="s">
        <v>9622</v>
      </c>
      <c r="G933" s="341" t="s">
        <v>1133</v>
      </c>
      <c r="H933" s="341" t="s">
        <v>2382</v>
      </c>
      <c r="I933" s="341" t="s">
        <v>6602</v>
      </c>
      <c r="J933" s="342">
        <v>1</v>
      </c>
      <c r="K933" s="342" t="s">
        <v>9842</v>
      </c>
      <c r="L933" s="342">
        <v>0</v>
      </c>
    </row>
    <row r="934" spans="1:12" x14ac:dyDescent="0.25">
      <c r="A934" s="341" t="s">
        <v>3063</v>
      </c>
      <c r="B934" s="341" t="s">
        <v>10079</v>
      </c>
      <c r="C934" s="341" t="s">
        <v>6602</v>
      </c>
      <c r="D934" s="342">
        <v>1</v>
      </c>
      <c r="E934" s="342">
        <v>0</v>
      </c>
      <c r="F934" s="342" t="s">
        <v>9622</v>
      </c>
      <c r="G934" s="341" t="s">
        <v>1174</v>
      </c>
      <c r="H934" s="341" t="s">
        <v>10079</v>
      </c>
      <c r="I934" s="341" t="s">
        <v>6602</v>
      </c>
      <c r="J934" s="342">
        <v>1</v>
      </c>
      <c r="K934" s="342" t="s">
        <v>9842</v>
      </c>
      <c r="L934" s="342">
        <v>0</v>
      </c>
    </row>
    <row r="935" spans="1:12" x14ac:dyDescent="0.25">
      <c r="A935" s="341" t="s">
        <v>3064</v>
      </c>
      <c r="B935" s="341" t="s">
        <v>10080</v>
      </c>
      <c r="C935" s="341" t="s">
        <v>2338</v>
      </c>
      <c r="D935" s="342">
        <v>1</v>
      </c>
      <c r="E935" s="342">
        <v>0</v>
      </c>
      <c r="F935" s="342" t="s">
        <v>9622</v>
      </c>
      <c r="G935" s="341" t="s">
        <v>2178</v>
      </c>
      <c r="H935" s="341" t="s">
        <v>10080</v>
      </c>
      <c r="I935" s="341" t="s">
        <v>2338</v>
      </c>
      <c r="J935" s="342">
        <v>1</v>
      </c>
      <c r="K935" s="342" t="s">
        <v>9623</v>
      </c>
      <c r="L935" s="342">
        <v>0</v>
      </c>
    </row>
    <row r="936" spans="1:12" x14ac:dyDescent="0.25">
      <c r="A936" s="341" t="s">
        <v>3065</v>
      </c>
      <c r="B936" s="341" t="s">
        <v>10081</v>
      </c>
      <c r="C936" s="341" t="s">
        <v>2338</v>
      </c>
      <c r="D936" s="342">
        <v>1</v>
      </c>
      <c r="E936" s="342">
        <v>0</v>
      </c>
      <c r="F936" s="342" t="s">
        <v>9622</v>
      </c>
      <c r="G936" s="341" t="s">
        <v>1817</v>
      </c>
      <c r="H936" s="341" t="s">
        <v>10081</v>
      </c>
      <c r="I936" s="341" t="s">
        <v>2338</v>
      </c>
      <c r="J936" s="342">
        <v>1</v>
      </c>
      <c r="K936" s="342" t="s">
        <v>9638</v>
      </c>
      <c r="L936" s="342">
        <v>0</v>
      </c>
    </row>
    <row r="937" spans="1:12" x14ac:dyDescent="0.25">
      <c r="A937" s="341" t="s">
        <v>3066</v>
      </c>
      <c r="B937" s="341" t="s">
        <v>10082</v>
      </c>
      <c r="C937" s="341" t="s">
        <v>2338</v>
      </c>
      <c r="D937" s="342">
        <v>1</v>
      </c>
      <c r="E937" s="342">
        <v>0</v>
      </c>
      <c r="F937" s="342" t="s">
        <v>9622</v>
      </c>
      <c r="G937" s="341" t="s">
        <v>3067</v>
      </c>
      <c r="H937" s="341" t="s">
        <v>10082</v>
      </c>
      <c r="I937" s="341" t="s">
        <v>2338</v>
      </c>
      <c r="J937" s="342">
        <v>0</v>
      </c>
      <c r="K937" s="342" t="s">
        <v>9623</v>
      </c>
      <c r="L937" s="342">
        <v>0</v>
      </c>
    </row>
    <row r="938" spans="1:12" x14ac:dyDescent="0.25">
      <c r="A938" s="341" t="s">
        <v>3068</v>
      </c>
      <c r="B938" s="341" t="s">
        <v>10083</v>
      </c>
      <c r="C938" s="341" t="s">
        <v>2338</v>
      </c>
      <c r="D938" s="342">
        <v>1</v>
      </c>
      <c r="E938" s="342">
        <v>0</v>
      </c>
      <c r="F938" s="342" t="s">
        <v>9622</v>
      </c>
      <c r="G938" s="341" t="s">
        <v>1175</v>
      </c>
      <c r="H938" s="341" t="s">
        <v>10083</v>
      </c>
      <c r="I938" s="341" t="s">
        <v>2338</v>
      </c>
      <c r="J938" s="342">
        <v>1</v>
      </c>
      <c r="K938" s="342" t="s">
        <v>9842</v>
      </c>
      <c r="L938" s="342">
        <v>0</v>
      </c>
    </row>
    <row r="939" spans="1:12" x14ac:dyDescent="0.25">
      <c r="A939" s="341" t="s">
        <v>3069</v>
      </c>
      <c r="B939" s="341" t="s">
        <v>2388</v>
      </c>
      <c r="C939" s="341" t="s">
        <v>11</v>
      </c>
      <c r="D939" s="342">
        <v>1</v>
      </c>
      <c r="E939" s="342">
        <v>0</v>
      </c>
      <c r="F939" s="342" t="s">
        <v>9622</v>
      </c>
      <c r="G939" s="341" t="s">
        <v>1277</v>
      </c>
      <c r="H939" s="341" t="s">
        <v>2388</v>
      </c>
      <c r="I939" s="341" t="s">
        <v>11</v>
      </c>
      <c r="J939" s="342">
        <v>1</v>
      </c>
      <c r="K939" s="342" t="s">
        <v>25</v>
      </c>
      <c r="L939" s="342">
        <v>0</v>
      </c>
    </row>
    <row r="940" spans="1:12" x14ac:dyDescent="0.25">
      <c r="A940" s="341" t="s">
        <v>3070</v>
      </c>
      <c r="B940" s="341" t="s">
        <v>10084</v>
      </c>
      <c r="C940" s="341" t="s">
        <v>6602</v>
      </c>
      <c r="D940" s="342">
        <v>1</v>
      </c>
      <c r="E940" s="342">
        <v>0</v>
      </c>
      <c r="F940" s="342" t="s">
        <v>9622</v>
      </c>
      <c r="G940" s="341" t="s">
        <v>3071</v>
      </c>
      <c r="H940" s="341" t="s">
        <v>10084</v>
      </c>
      <c r="I940" s="341" t="s">
        <v>6602</v>
      </c>
      <c r="J940" s="342">
        <v>0</v>
      </c>
      <c r="K940" s="342" t="s">
        <v>9623</v>
      </c>
      <c r="L940" s="342">
        <v>0</v>
      </c>
    </row>
    <row r="941" spans="1:12" x14ac:dyDescent="0.25">
      <c r="A941" s="341" t="s">
        <v>3072</v>
      </c>
      <c r="B941" s="341" t="s">
        <v>2390</v>
      </c>
      <c r="C941" s="341" t="s">
        <v>6602</v>
      </c>
      <c r="D941" s="342">
        <v>1</v>
      </c>
      <c r="E941" s="342">
        <v>0</v>
      </c>
      <c r="F941" s="342" t="s">
        <v>9622</v>
      </c>
      <c r="G941" s="341" t="s">
        <v>2101</v>
      </c>
      <c r="H941" s="341" t="s">
        <v>2390</v>
      </c>
      <c r="I941" s="341" t="s">
        <v>6602</v>
      </c>
      <c r="J941" s="342">
        <v>1</v>
      </c>
      <c r="K941" s="342" t="s">
        <v>9623</v>
      </c>
      <c r="L941" s="342">
        <v>0</v>
      </c>
    </row>
    <row r="942" spans="1:12" x14ac:dyDescent="0.25">
      <c r="A942" s="341" t="s">
        <v>3073</v>
      </c>
      <c r="B942" s="341" t="s">
        <v>2391</v>
      </c>
      <c r="C942" s="341" t="s">
        <v>6602</v>
      </c>
      <c r="D942" s="342">
        <v>1</v>
      </c>
      <c r="E942" s="342">
        <v>0</v>
      </c>
      <c r="F942" s="342" t="s">
        <v>9622</v>
      </c>
      <c r="G942" s="341" t="s">
        <v>1906</v>
      </c>
      <c r="H942" s="341" t="s">
        <v>2391</v>
      </c>
      <c r="I942" s="341" t="s">
        <v>6602</v>
      </c>
      <c r="J942" s="342">
        <v>1</v>
      </c>
      <c r="K942" s="342" t="s">
        <v>9623</v>
      </c>
      <c r="L942" s="342">
        <v>0</v>
      </c>
    </row>
    <row r="943" spans="1:12" x14ac:dyDescent="0.25">
      <c r="A943" s="341" t="s">
        <v>3074</v>
      </c>
      <c r="B943" s="341" t="s">
        <v>10085</v>
      </c>
      <c r="C943" s="341" t="s">
        <v>6602</v>
      </c>
      <c r="D943" s="342">
        <v>1</v>
      </c>
      <c r="E943" s="342">
        <v>0</v>
      </c>
      <c r="F943" s="342" t="s">
        <v>9622</v>
      </c>
      <c r="G943" s="341" t="s">
        <v>1223</v>
      </c>
      <c r="H943" s="341" t="s">
        <v>10085</v>
      </c>
      <c r="I943" s="341" t="s">
        <v>6602</v>
      </c>
      <c r="J943" s="342">
        <v>1</v>
      </c>
      <c r="K943" s="342" t="s">
        <v>4230</v>
      </c>
      <c r="L943" s="342">
        <v>0</v>
      </c>
    </row>
    <row r="944" spans="1:12" x14ac:dyDescent="0.25">
      <c r="A944" s="341" t="s">
        <v>3075</v>
      </c>
      <c r="B944" s="341" t="s">
        <v>2393</v>
      </c>
      <c r="C944" s="341" t="s">
        <v>6602</v>
      </c>
      <c r="D944" s="342">
        <v>1</v>
      </c>
      <c r="E944" s="342">
        <v>0</v>
      </c>
      <c r="F944" s="342" t="s">
        <v>9622</v>
      </c>
      <c r="G944" s="341" t="s">
        <v>1907</v>
      </c>
      <c r="H944" s="341" t="s">
        <v>2393</v>
      </c>
      <c r="I944" s="341" t="s">
        <v>6602</v>
      </c>
      <c r="J944" s="342">
        <v>1</v>
      </c>
      <c r="K944" s="342" t="s">
        <v>9623</v>
      </c>
      <c r="L944" s="342">
        <v>0</v>
      </c>
    </row>
    <row r="945" spans="1:12" x14ac:dyDescent="0.25">
      <c r="A945" s="341" t="s">
        <v>3076</v>
      </c>
      <c r="B945" s="341" t="s">
        <v>2394</v>
      </c>
      <c r="C945" s="341" t="s">
        <v>6602</v>
      </c>
      <c r="D945" s="342">
        <v>1</v>
      </c>
      <c r="E945" s="342">
        <v>0</v>
      </c>
      <c r="F945" s="342" t="s">
        <v>9622</v>
      </c>
      <c r="G945" s="341" t="s">
        <v>1217</v>
      </c>
      <c r="H945" s="341" t="s">
        <v>2394</v>
      </c>
      <c r="I945" s="341" t="s">
        <v>6602</v>
      </c>
      <c r="J945" s="342">
        <v>1</v>
      </c>
      <c r="K945" s="342" t="s">
        <v>4230</v>
      </c>
      <c r="L945" s="342">
        <v>0</v>
      </c>
    </row>
    <row r="946" spans="1:12" x14ac:dyDescent="0.25">
      <c r="A946" s="341" t="s">
        <v>3077</v>
      </c>
      <c r="B946" s="341" t="s">
        <v>2395</v>
      </c>
      <c r="C946" s="341" t="s">
        <v>6602</v>
      </c>
      <c r="D946" s="342">
        <v>1</v>
      </c>
      <c r="E946" s="342">
        <v>0</v>
      </c>
      <c r="F946" s="342" t="s">
        <v>9622</v>
      </c>
      <c r="G946" s="341" t="s">
        <v>1213</v>
      </c>
      <c r="H946" s="341" t="s">
        <v>2395</v>
      </c>
      <c r="I946" s="341" t="s">
        <v>6602</v>
      </c>
      <c r="J946" s="342">
        <v>1</v>
      </c>
      <c r="K946" s="342" t="s">
        <v>4230</v>
      </c>
      <c r="L946" s="342">
        <v>0</v>
      </c>
    </row>
    <row r="947" spans="1:12" x14ac:dyDescent="0.25">
      <c r="A947" s="341" t="s">
        <v>3078</v>
      </c>
      <c r="B947" s="341" t="s">
        <v>2396</v>
      </c>
      <c r="C947" s="341" t="s">
        <v>6602</v>
      </c>
      <c r="D947" s="342">
        <v>1</v>
      </c>
      <c r="E947" s="342">
        <v>0</v>
      </c>
      <c r="F947" s="342" t="s">
        <v>9622</v>
      </c>
      <c r="G947" s="341" t="s">
        <v>3079</v>
      </c>
      <c r="H947" s="341" t="s">
        <v>2396</v>
      </c>
      <c r="I947" s="341" t="s">
        <v>6602</v>
      </c>
      <c r="J947" s="342">
        <v>1</v>
      </c>
      <c r="K947" s="342" t="s">
        <v>4230</v>
      </c>
      <c r="L947" s="342">
        <v>0</v>
      </c>
    </row>
    <row r="948" spans="1:12" x14ac:dyDescent="0.25">
      <c r="A948" s="341" t="s">
        <v>3080</v>
      </c>
      <c r="B948" s="341" t="s">
        <v>2397</v>
      </c>
      <c r="C948" s="341" t="s">
        <v>6602</v>
      </c>
      <c r="D948" s="342">
        <v>1</v>
      </c>
      <c r="E948" s="342">
        <v>0</v>
      </c>
      <c r="F948" s="342" t="s">
        <v>9622</v>
      </c>
      <c r="G948" s="341" t="s">
        <v>1216</v>
      </c>
      <c r="H948" s="341" t="s">
        <v>2397</v>
      </c>
      <c r="I948" s="341" t="s">
        <v>6602</v>
      </c>
      <c r="J948" s="342">
        <v>1</v>
      </c>
      <c r="K948" s="342" t="s">
        <v>4230</v>
      </c>
      <c r="L948" s="342">
        <v>0</v>
      </c>
    </row>
    <row r="949" spans="1:12" x14ac:dyDescent="0.25">
      <c r="A949" s="341" t="s">
        <v>3081</v>
      </c>
      <c r="B949" s="341" t="s">
        <v>2398</v>
      </c>
      <c r="C949" s="341" t="s">
        <v>6602</v>
      </c>
      <c r="D949" s="342">
        <v>1</v>
      </c>
      <c r="E949" s="342">
        <v>0</v>
      </c>
      <c r="F949" s="342" t="s">
        <v>9622</v>
      </c>
      <c r="G949" s="341" t="s">
        <v>1229</v>
      </c>
      <c r="H949" s="341" t="s">
        <v>2398</v>
      </c>
      <c r="I949" s="341" t="s">
        <v>6602</v>
      </c>
      <c r="J949" s="342">
        <v>1</v>
      </c>
      <c r="K949" s="342" t="s">
        <v>4230</v>
      </c>
      <c r="L949" s="342">
        <v>0</v>
      </c>
    </row>
    <row r="950" spans="1:12" x14ac:dyDescent="0.25">
      <c r="A950" s="341" t="s">
        <v>3082</v>
      </c>
      <c r="B950" s="341" t="s">
        <v>2399</v>
      </c>
      <c r="C950" s="341" t="s">
        <v>6602</v>
      </c>
      <c r="D950" s="342">
        <v>1</v>
      </c>
      <c r="E950" s="342">
        <v>0</v>
      </c>
      <c r="F950" s="342" t="s">
        <v>9622</v>
      </c>
      <c r="G950" s="341" t="s">
        <v>1231</v>
      </c>
      <c r="H950" s="341" t="s">
        <v>2399</v>
      </c>
      <c r="I950" s="341" t="s">
        <v>6602</v>
      </c>
      <c r="J950" s="342">
        <v>1</v>
      </c>
      <c r="K950" s="342" t="s">
        <v>4230</v>
      </c>
      <c r="L950" s="342">
        <v>0</v>
      </c>
    </row>
    <row r="951" spans="1:12" x14ac:dyDescent="0.25">
      <c r="A951" s="341" t="s">
        <v>3083</v>
      </c>
      <c r="B951" s="341" t="s">
        <v>2400</v>
      </c>
      <c r="C951" s="341" t="s">
        <v>6602</v>
      </c>
      <c r="D951" s="342">
        <v>1</v>
      </c>
      <c r="E951" s="342">
        <v>0</v>
      </c>
      <c r="F951" s="342" t="s">
        <v>9622</v>
      </c>
      <c r="G951" s="341" t="s">
        <v>1232</v>
      </c>
      <c r="H951" s="341" t="s">
        <v>2400</v>
      </c>
      <c r="I951" s="341" t="s">
        <v>6602</v>
      </c>
      <c r="J951" s="342">
        <v>1</v>
      </c>
      <c r="K951" s="342" t="s">
        <v>4230</v>
      </c>
      <c r="L951" s="342">
        <v>0</v>
      </c>
    </row>
    <row r="952" spans="1:12" x14ac:dyDescent="0.25">
      <c r="A952" s="341" t="s">
        <v>3084</v>
      </c>
      <c r="B952" s="341" t="s">
        <v>2401</v>
      </c>
      <c r="C952" s="341" t="s">
        <v>6602</v>
      </c>
      <c r="D952" s="342">
        <v>1</v>
      </c>
      <c r="E952" s="342">
        <v>0</v>
      </c>
      <c r="F952" s="342" t="s">
        <v>9622</v>
      </c>
      <c r="G952" s="341" t="s">
        <v>1220</v>
      </c>
      <c r="H952" s="341" t="s">
        <v>2401</v>
      </c>
      <c r="I952" s="341" t="s">
        <v>6602</v>
      </c>
      <c r="J952" s="342">
        <v>1</v>
      </c>
      <c r="K952" s="342" t="s">
        <v>4230</v>
      </c>
      <c r="L952" s="342">
        <v>0</v>
      </c>
    </row>
    <row r="953" spans="1:12" x14ac:dyDescent="0.25">
      <c r="A953" s="341" t="s">
        <v>3085</v>
      </c>
      <c r="B953" s="341" t="s">
        <v>2402</v>
      </c>
      <c r="C953" s="341" t="s">
        <v>6602</v>
      </c>
      <c r="D953" s="342">
        <v>1</v>
      </c>
      <c r="E953" s="342">
        <v>0</v>
      </c>
      <c r="F953" s="342" t="s">
        <v>9622</v>
      </c>
      <c r="G953" s="341" t="s">
        <v>1226</v>
      </c>
      <c r="H953" s="341" t="s">
        <v>2402</v>
      </c>
      <c r="I953" s="341" t="s">
        <v>6602</v>
      </c>
      <c r="J953" s="342">
        <v>1</v>
      </c>
      <c r="K953" s="342" t="s">
        <v>4230</v>
      </c>
      <c r="L953" s="342">
        <v>0</v>
      </c>
    </row>
    <row r="954" spans="1:12" x14ac:dyDescent="0.25">
      <c r="A954" s="341" t="s">
        <v>3086</v>
      </c>
      <c r="B954" s="341" t="s">
        <v>2403</v>
      </c>
      <c r="C954" s="341" t="s">
        <v>6602</v>
      </c>
      <c r="D954" s="342">
        <v>1</v>
      </c>
      <c r="E954" s="342">
        <v>0</v>
      </c>
      <c r="F954" s="342" t="s">
        <v>9622</v>
      </c>
      <c r="G954" s="341" t="s">
        <v>1227</v>
      </c>
      <c r="H954" s="341" t="s">
        <v>2403</v>
      </c>
      <c r="I954" s="341" t="s">
        <v>6602</v>
      </c>
      <c r="J954" s="342">
        <v>1</v>
      </c>
      <c r="K954" s="342" t="s">
        <v>4230</v>
      </c>
      <c r="L954" s="342">
        <v>0</v>
      </c>
    </row>
    <row r="955" spans="1:12" x14ac:dyDescent="0.25">
      <c r="A955" s="341" t="s">
        <v>3087</v>
      </c>
      <c r="B955" s="341" t="s">
        <v>2404</v>
      </c>
      <c r="C955" s="341" t="s">
        <v>6602</v>
      </c>
      <c r="D955" s="342">
        <v>1</v>
      </c>
      <c r="E955" s="342">
        <v>0</v>
      </c>
      <c r="F955" s="342" t="s">
        <v>9622</v>
      </c>
      <c r="G955" s="341" t="s">
        <v>1230</v>
      </c>
      <c r="H955" s="341" t="s">
        <v>2404</v>
      </c>
      <c r="I955" s="341" t="s">
        <v>6602</v>
      </c>
      <c r="J955" s="342">
        <v>1</v>
      </c>
      <c r="K955" s="342" t="s">
        <v>4230</v>
      </c>
      <c r="L955" s="342">
        <v>0</v>
      </c>
    </row>
    <row r="956" spans="1:12" x14ac:dyDescent="0.25">
      <c r="A956" s="341" t="s">
        <v>3088</v>
      </c>
      <c r="B956" s="341" t="s">
        <v>2405</v>
      </c>
      <c r="C956" s="341" t="s">
        <v>6602</v>
      </c>
      <c r="D956" s="342">
        <v>1</v>
      </c>
      <c r="E956" s="342">
        <v>0</v>
      </c>
      <c r="F956" s="342" t="s">
        <v>9622</v>
      </c>
      <c r="G956" s="341" t="s">
        <v>1221</v>
      </c>
      <c r="H956" s="341" t="s">
        <v>2405</v>
      </c>
      <c r="I956" s="341" t="s">
        <v>6602</v>
      </c>
      <c r="J956" s="342">
        <v>1</v>
      </c>
      <c r="K956" s="342" t="s">
        <v>4230</v>
      </c>
      <c r="L956" s="342">
        <v>0</v>
      </c>
    </row>
    <row r="957" spans="1:12" x14ac:dyDescent="0.25">
      <c r="A957" s="341" t="s">
        <v>3089</v>
      </c>
      <c r="B957" s="341" t="s">
        <v>10086</v>
      </c>
      <c r="C957" s="341" t="s">
        <v>6602</v>
      </c>
      <c r="D957" s="342">
        <v>1</v>
      </c>
      <c r="E957" s="342">
        <v>0</v>
      </c>
      <c r="F957" s="342" t="s">
        <v>9622</v>
      </c>
      <c r="G957" s="341" t="s">
        <v>1197</v>
      </c>
      <c r="H957" s="341" t="s">
        <v>10086</v>
      </c>
      <c r="I957" s="341" t="s">
        <v>6602</v>
      </c>
      <c r="J957" s="342">
        <v>1</v>
      </c>
      <c r="K957" s="342" t="s">
        <v>4230</v>
      </c>
      <c r="L957" s="342">
        <v>0</v>
      </c>
    </row>
    <row r="958" spans="1:12" x14ac:dyDescent="0.25">
      <c r="A958" s="341" t="s">
        <v>3090</v>
      </c>
      <c r="B958" s="341" t="s">
        <v>10087</v>
      </c>
      <c r="C958" s="341" t="s">
        <v>6602</v>
      </c>
      <c r="D958" s="342">
        <v>1</v>
      </c>
      <c r="E958" s="342">
        <v>0</v>
      </c>
      <c r="F958" s="342" t="s">
        <v>9622</v>
      </c>
      <c r="G958" s="341" t="s">
        <v>1248</v>
      </c>
      <c r="H958" s="341" t="s">
        <v>10087</v>
      </c>
      <c r="I958" s="341" t="s">
        <v>6602</v>
      </c>
      <c r="J958" s="342">
        <v>1</v>
      </c>
      <c r="K958" s="342" t="s">
        <v>4230</v>
      </c>
      <c r="L958" s="342">
        <v>0</v>
      </c>
    </row>
    <row r="959" spans="1:12" x14ac:dyDescent="0.25">
      <c r="A959" s="341" t="s">
        <v>3091</v>
      </c>
      <c r="B959" s="341" t="s">
        <v>10088</v>
      </c>
      <c r="C959" s="341" t="s">
        <v>6602</v>
      </c>
      <c r="D959" s="342">
        <v>1</v>
      </c>
      <c r="E959" s="342">
        <v>0</v>
      </c>
      <c r="F959" s="342" t="s">
        <v>9622</v>
      </c>
      <c r="G959" s="341" t="s">
        <v>1222</v>
      </c>
      <c r="H959" s="341" t="s">
        <v>10088</v>
      </c>
      <c r="I959" s="341" t="s">
        <v>6602</v>
      </c>
      <c r="J959" s="342">
        <v>1</v>
      </c>
      <c r="K959" s="342" t="s">
        <v>4230</v>
      </c>
      <c r="L959" s="342">
        <v>0</v>
      </c>
    </row>
    <row r="960" spans="1:12" x14ac:dyDescent="0.25">
      <c r="A960" s="341" t="s">
        <v>3092</v>
      </c>
      <c r="B960" s="341" t="s">
        <v>2409</v>
      </c>
      <c r="C960" s="341" t="s">
        <v>6602</v>
      </c>
      <c r="D960" s="342">
        <v>1</v>
      </c>
      <c r="E960" s="342">
        <v>0</v>
      </c>
      <c r="F960" s="342" t="s">
        <v>9622</v>
      </c>
      <c r="G960" s="341" t="s">
        <v>1246</v>
      </c>
      <c r="H960" s="341" t="s">
        <v>2409</v>
      </c>
      <c r="I960" s="341" t="s">
        <v>6602</v>
      </c>
      <c r="J960" s="342">
        <v>1</v>
      </c>
      <c r="K960" s="342" t="s">
        <v>4230</v>
      </c>
      <c r="L960" s="342">
        <v>0</v>
      </c>
    </row>
    <row r="961" spans="1:12" x14ac:dyDescent="0.25">
      <c r="A961" s="341" t="s">
        <v>3093</v>
      </c>
      <c r="B961" s="341" t="s">
        <v>10089</v>
      </c>
      <c r="C961" s="341" t="s">
        <v>6602</v>
      </c>
      <c r="D961" s="342">
        <v>1</v>
      </c>
      <c r="E961" s="342">
        <v>0</v>
      </c>
      <c r="F961" s="342" t="s">
        <v>9622</v>
      </c>
      <c r="G961" s="341" t="s">
        <v>1191</v>
      </c>
      <c r="H961" s="341" t="s">
        <v>10089</v>
      </c>
      <c r="I961" s="341" t="s">
        <v>6602</v>
      </c>
      <c r="J961" s="342">
        <v>1</v>
      </c>
      <c r="K961" s="342" t="s">
        <v>4230</v>
      </c>
      <c r="L961" s="342">
        <v>0</v>
      </c>
    </row>
    <row r="962" spans="1:12" x14ac:dyDescent="0.25">
      <c r="A962" s="341" t="s">
        <v>3094</v>
      </c>
      <c r="B962" s="341" t="s">
        <v>2411</v>
      </c>
      <c r="C962" s="341" t="s">
        <v>6602</v>
      </c>
      <c r="D962" s="342">
        <v>1</v>
      </c>
      <c r="E962" s="342">
        <v>0</v>
      </c>
      <c r="F962" s="342" t="s">
        <v>9622</v>
      </c>
      <c r="G962" s="341" t="s">
        <v>1200</v>
      </c>
      <c r="H962" s="341" t="s">
        <v>2411</v>
      </c>
      <c r="I962" s="341" t="s">
        <v>6602</v>
      </c>
      <c r="J962" s="342">
        <v>1</v>
      </c>
      <c r="K962" s="342" t="s">
        <v>4230</v>
      </c>
      <c r="L962" s="342">
        <v>0</v>
      </c>
    </row>
    <row r="963" spans="1:12" x14ac:dyDescent="0.25">
      <c r="A963" s="341" t="s">
        <v>3095</v>
      </c>
      <c r="B963" s="341" t="s">
        <v>2412</v>
      </c>
      <c r="C963" s="341" t="s">
        <v>6602</v>
      </c>
      <c r="D963" s="342">
        <v>1</v>
      </c>
      <c r="E963" s="342">
        <v>0</v>
      </c>
      <c r="F963" s="342" t="s">
        <v>9622</v>
      </c>
      <c r="G963" s="341" t="s">
        <v>1201</v>
      </c>
      <c r="H963" s="341" t="s">
        <v>2412</v>
      </c>
      <c r="I963" s="341" t="s">
        <v>6602</v>
      </c>
      <c r="J963" s="342">
        <v>1</v>
      </c>
      <c r="K963" s="342" t="s">
        <v>4230</v>
      </c>
      <c r="L963" s="342">
        <v>0</v>
      </c>
    </row>
    <row r="964" spans="1:12" x14ac:dyDescent="0.25">
      <c r="A964" s="341" t="s">
        <v>3096</v>
      </c>
      <c r="B964" s="341" t="s">
        <v>2413</v>
      </c>
      <c r="C964" s="341" t="s">
        <v>6602</v>
      </c>
      <c r="D964" s="342">
        <v>1</v>
      </c>
      <c r="E964" s="342">
        <v>0</v>
      </c>
      <c r="F964" s="342" t="s">
        <v>9622</v>
      </c>
      <c r="G964" s="341" t="s">
        <v>1198</v>
      </c>
      <c r="H964" s="341" t="s">
        <v>2413</v>
      </c>
      <c r="I964" s="341" t="s">
        <v>6602</v>
      </c>
      <c r="J964" s="342">
        <v>1</v>
      </c>
      <c r="K964" s="342" t="s">
        <v>4230</v>
      </c>
      <c r="L964" s="342">
        <v>0</v>
      </c>
    </row>
    <row r="965" spans="1:12" x14ac:dyDescent="0.25">
      <c r="A965" s="341" t="s">
        <v>3097</v>
      </c>
      <c r="B965" s="341" t="s">
        <v>2414</v>
      </c>
      <c r="C965" s="341" t="s">
        <v>6602</v>
      </c>
      <c r="D965" s="342">
        <v>1</v>
      </c>
      <c r="E965" s="342">
        <v>0</v>
      </c>
      <c r="F965" s="342" t="s">
        <v>9622</v>
      </c>
      <c r="G965" s="341" t="s">
        <v>1199</v>
      </c>
      <c r="H965" s="341" t="s">
        <v>2414</v>
      </c>
      <c r="I965" s="341" t="s">
        <v>6602</v>
      </c>
      <c r="J965" s="342">
        <v>1</v>
      </c>
      <c r="K965" s="342" t="s">
        <v>4230</v>
      </c>
      <c r="L965" s="342">
        <v>0</v>
      </c>
    </row>
    <row r="966" spans="1:12" x14ac:dyDescent="0.25">
      <c r="A966" s="341" t="s">
        <v>3098</v>
      </c>
      <c r="B966" s="341" t="s">
        <v>2415</v>
      </c>
      <c r="C966" s="341" t="s">
        <v>6602</v>
      </c>
      <c r="D966" s="342">
        <v>1</v>
      </c>
      <c r="E966" s="342">
        <v>0</v>
      </c>
      <c r="F966" s="342" t="s">
        <v>9622</v>
      </c>
      <c r="G966" s="341" t="s">
        <v>1188</v>
      </c>
      <c r="H966" s="341" t="s">
        <v>2415</v>
      </c>
      <c r="I966" s="341" t="s">
        <v>6602</v>
      </c>
      <c r="J966" s="342">
        <v>1</v>
      </c>
      <c r="K966" s="342" t="s">
        <v>4230</v>
      </c>
      <c r="L966" s="342">
        <v>0</v>
      </c>
    </row>
    <row r="967" spans="1:12" x14ac:dyDescent="0.25">
      <c r="A967" s="341" t="s">
        <v>3099</v>
      </c>
      <c r="B967" s="341" t="s">
        <v>2416</v>
      </c>
      <c r="C967" s="341" t="s">
        <v>6602</v>
      </c>
      <c r="D967" s="342">
        <v>1</v>
      </c>
      <c r="E967" s="342">
        <v>0</v>
      </c>
      <c r="F967" s="342" t="s">
        <v>9622</v>
      </c>
      <c r="G967" s="341" t="s">
        <v>1190</v>
      </c>
      <c r="H967" s="341" t="s">
        <v>2416</v>
      </c>
      <c r="I967" s="341" t="s">
        <v>6602</v>
      </c>
      <c r="J967" s="342">
        <v>1</v>
      </c>
      <c r="K967" s="342" t="s">
        <v>4230</v>
      </c>
      <c r="L967" s="342">
        <v>0</v>
      </c>
    </row>
    <row r="968" spans="1:12" x14ac:dyDescent="0.25">
      <c r="A968" s="341" t="s">
        <v>3100</v>
      </c>
      <c r="B968" s="341" t="s">
        <v>2417</v>
      </c>
      <c r="C968" s="341" t="s">
        <v>6602</v>
      </c>
      <c r="D968" s="342">
        <v>1</v>
      </c>
      <c r="E968" s="342">
        <v>0</v>
      </c>
      <c r="F968" s="342" t="s">
        <v>9622</v>
      </c>
      <c r="G968" s="341" t="s">
        <v>1219</v>
      </c>
      <c r="H968" s="341" t="s">
        <v>2417</v>
      </c>
      <c r="I968" s="341" t="s">
        <v>6602</v>
      </c>
      <c r="J968" s="342">
        <v>1</v>
      </c>
      <c r="K968" s="342" t="s">
        <v>4230</v>
      </c>
      <c r="L968" s="342">
        <v>0</v>
      </c>
    </row>
    <row r="969" spans="1:12" x14ac:dyDescent="0.25">
      <c r="A969" s="341" t="s">
        <v>3101</v>
      </c>
      <c r="B969" s="341" t="s">
        <v>2418</v>
      </c>
      <c r="C969" s="341" t="s">
        <v>6602</v>
      </c>
      <c r="D969" s="342">
        <v>1</v>
      </c>
      <c r="E969" s="342">
        <v>0</v>
      </c>
      <c r="F969" s="342" t="s">
        <v>9622</v>
      </c>
      <c r="G969" s="341" t="s">
        <v>1228</v>
      </c>
      <c r="H969" s="341" t="s">
        <v>2418</v>
      </c>
      <c r="I969" s="341" t="s">
        <v>6602</v>
      </c>
      <c r="J969" s="342">
        <v>1</v>
      </c>
      <c r="K969" s="342" t="s">
        <v>4230</v>
      </c>
      <c r="L969" s="342">
        <v>0</v>
      </c>
    </row>
    <row r="970" spans="1:12" x14ac:dyDescent="0.25">
      <c r="A970" s="341" t="s">
        <v>3102</v>
      </c>
      <c r="B970" s="341" t="s">
        <v>2419</v>
      </c>
      <c r="C970" s="341" t="s">
        <v>2338</v>
      </c>
      <c r="D970" s="342">
        <v>1</v>
      </c>
      <c r="E970" s="342">
        <v>0</v>
      </c>
      <c r="F970" s="342" t="s">
        <v>9622</v>
      </c>
      <c r="G970" s="341" t="s">
        <v>2080</v>
      </c>
      <c r="H970" s="341" t="s">
        <v>2419</v>
      </c>
      <c r="I970" s="341" t="s">
        <v>2338</v>
      </c>
      <c r="J970" s="342">
        <v>1</v>
      </c>
      <c r="K970" s="342" t="s">
        <v>9623</v>
      </c>
      <c r="L970" s="342">
        <v>0</v>
      </c>
    </row>
    <row r="971" spans="1:12" x14ac:dyDescent="0.25">
      <c r="A971" s="341" t="s">
        <v>3103</v>
      </c>
      <c r="B971" s="341" t="s">
        <v>2422</v>
      </c>
      <c r="C971" s="341" t="s">
        <v>11</v>
      </c>
      <c r="D971" s="342">
        <v>1</v>
      </c>
      <c r="E971" s="342">
        <v>0</v>
      </c>
      <c r="F971" s="342" t="s">
        <v>9622</v>
      </c>
      <c r="G971" s="341" t="s">
        <v>3104</v>
      </c>
      <c r="H971" s="341" t="s">
        <v>2422</v>
      </c>
      <c r="I971" s="341" t="s">
        <v>11</v>
      </c>
      <c r="J971" s="342">
        <v>0</v>
      </c>
      <c r="K971" s="342" t="s">
        <v>9623</v>
      </c>
      <c r="L971" s="342">
        <v>0</v>
      </c>
    </row>
    <row r="972" spans="1:12" x14ac:dyDescent="0.25">
      <c r="A972" s="341" t="s">
        <v>3105</v>
      </c>
      <c r="B972" s="341" t="s">
        <v>10090</v>
      </c>
      <c r="C972" s="341" t="s">
        <v>11</v>
      </c>
      <c r="D972" s="342">
        <v>1</v>
      </c>
      <c r="E972" s="342">
        <v>0</v>
      </c>
      <c r="F972" s="342" t="s">
        <v>9622</v>
      </c>
      <c r="G972" s="341" t="s">
        <v>3106</v>
      </c>
      <c r="H972" s="341" t="s">
        <v>10090</v>
      </c>
      <c r="I972" s="341" t="s">
        <v>11</v>
      </c>
      <c r="J972" s="342">
        <v>0</v>
      </c>
      <c r="K972" s="342" t="s">
        <v>9623</v>
      </c>
      <c r="L972" s="342">
        <v>0</v>
      </c>
    </row>
    <row r="973" spans="1:12" x14ac:dyDescent="0.25">
      <c r="A973" s="341" t="s">
        <v>3107</v>
      </c>
      <c r="B973" s="341" t="s">
        <v>2424</v>
      </c>
      <c r="C973" s="341" t="s">
        <v>11</v>
      </c>
      <c r="D973" s="342">
        <v>1</v>
      </c>
      <c r="E973" s="342">
        <v>0</v>
      </c>
      <c r="F973" s="342" t="s">
        <v>9622</v>
      </c>
      <c r="G973" s="341" t="s">
        <v>3108</v>
      </c>
      <c r="H973" s="341" t="s">
        <v>2424</v>
      </c>
      <c r="I973" s="341" t="s">
        <v>11</v>
      </c>
      <c r="J973" s="342">
        <v>0</v>
      </c>
      <c r="K973" s="342" t="s">
        <v>9623</v>
      </c>
      <c r="L973" s="342">
        <v>0</v>
      </c>
    </row>
    <row r="974" spans="1:12" x14ac:dyDescent="0.25">
      <c r="A974" s="341" t="s">
        <v>3109</v>
      </c>
      <c r="B974" s="341" t="s">
        <v>2425</v>
      </c>
      <c r="C974" s="341" t="s">
        <v>6602</v>
      </c>
      <c r="D974" s="342">
        <v>1</v>
      </c>
      <c r="E974" s="342">
        <v>0</v>
      </c>
      <c r="F974" s="342" t="s">
        <v>9622</v>
      </c>
      <c r="G974" s="341" t="s">
        <v>3110</v>
      </c>
      <c r="H974" s="341" t="s">
        <v>8525</v>
      </c>
      <c r="I974" s="341" t="s">
        <v>6602</v>
      </c>
      <c r="J974" s="342">
        <v>0</v>
      </c>
      <c r="K974" s="342" t="s">
        <v>9623</v>
      </c>
      <c r="L974" s="342">
        <v>0</v>
      </c>
    </row>
    <row r="975" spans="1:12" x14ac:dyDescent="0.25">
      <c r="A975" s="341" t="s">
        <v>3111</v>
      </c>
      <c r="B975" s="341" t="s">
        <v>2426</v>
      </c>
      <c r="C975" s="341" t="s">
        <v>2338</v>
      </c>
      <c r="D975" s="342">
        <v>1</v>
      </c>
      <c r="E975" s="342">
        <v>0</v>
      </c>
      <c r="F975" s="342" t="s">
        <v>9622</v>
      </c>
      <c r="G975" s="341" t="s">
        <v>3112</v>
      </c>
      <c r="H975" s="341" t="s">
        <v>2426</v>
      </c>
      <c r="I975" s="341" t="s">
        <v>2338</v>
      </c>
      <c r="J975" s="342">
        <v>0</v>
      </c>
      <c r="K975" s="342" t="s">
        <v>9623</v>
      </c>
      <c r="L975" s="342">
        <v>0</v>
      </c>
    </row>
    <row r="976" spans="1:12" x14ac:dyDescent="0.25">
      <c r="A976" s="341" t="s">
        <v>3113</v>
      </c>
      <c r="B976" s="341" t="s">
        <v>2427</v>
      </c>
      <c r="C976" s="341" t="s">
        <v>2338</v>
      </c>
      <c r="D976" s="342">
        <v>1</v>
      </c>
      <c r="E976" s="342">
        <v>0</v>
      </c>
      <c r="F976" s="342" t="s">
        <v>9622</v>
      </c>
      <c r="G976" s="341" t="s">
        <v>3114</v>
      </c>
      <c r="H976" s="341" t="s">
        <v>2427</v>
      </c>
      <c r="I976" s="341" t="s">
        <v>2338</v>
      </c>
      <c r="J976" s="342">
        <v>0</v>
      </c>
      <c r="K976" s="342" t="s">
        <v>9623</v>
      </c>
      <c r="L976" s="342">
        <v>0</v>
      </c>
    </row>
    <row r="977" spans="1:12" x14ac:dyDescent="0.25">
      <c r="A977" s="341" t="s">
        <v>3115</v>
      </c>
      <c r="B977" s="341" t="s">
        <v>2428</v>
      </c>
      <c r="C977" s="341" t="s">
        <v>6602</v>
      </c>
      <c r="D977" s="342">
        <v>1</v>
      </c>
      <c r="E977" s="342">
        <v>0</v>
      </c>
      <c r="F977" s="342" t="s">
        <v>9622</v>
      </c>
      <c r="G977" s="341" t="s">
        <v>3116</v>
      </c>
      <c r="H977" s="341" t="s">
        <v>2428</v>
      </c>
      <c r="I977" s="341" t="s">
        <v>6602</v>
      </c>
      <c r="J977" s="342">
        <v>0</v>
      </c>
      <c r="K977" s="342" t="s">
        <v>9623</v>
      </c>
      <c r="L977" s="342">
        <v>0</v>
      </c>
    </row>
    <row r="978" spans="1:12" x14ac:dyDescent="0.25">
      <c r="A978" s="341" t="s">
        <v>3117</v>
      </c>
      <c r="B978" s="341" t="s">
        <v>10091</v>
      </c>
      <c r="C978" s="341" t="s">
        <v>6602</v>
      </c>
      <c r="D978" s="342">
        <v>1</v>
      </c>
      <c r="E978" s="342">
        <v>0</v>
      </c>
      <c r="F978" s="342" t="s">
        <v>9622</v>
      </c>
      <c r="G978" s="341" t="s">
        <v>1974</v>
      </c>
      <c r="H978" s="341" t="s">
        <v>10091</v>
      </c>
      <c r="I978" s="341" t="s">
        <v>6602</v>
      </c>
      <c r="J978" s="342">
        <v>1</v>
      </c>
      <c r="K978" s="342" t="s">
        <v>9623</v>
      </c>
      <c r="L978" s="342">
        <v>0</v>
      </c>
    </row>
    <row r="979" spans="1:12" x14ac:dyDescent="0.25">
      <c r="A979" s="341" t="s">
        <v>3118</v>
      </c>
      <c r="B979" s="341" t="s">
        <v>10092</v>
      </c>
      <c r="C979" s="341" t="s">
        <v>6602</v>
      </c>
      <c r="D979" s="342">
        <v>1</v>
      </c>
      <c r="E979" s="342">
        <v>0</v>
      </c>
      <c r="F979" s="342" t="s">
        <v>9622</v>
      </c>
      <c r="G979" s="341" t="s">
        <v>3119</v>
      </c>
      <c r="H979" s="341" t="s">
        <v>10092</v>
      </c>
      <c r="I979" s="341" t="s">
        <v>6602</v>
      </c>
      <c r="J979" s="342">
        <v>0</v>
      </c>
      <c r="K979" s="342" t="s">
        <v>9623</v>
      </c>
      <c r="L979" s="342">
        <v>0</v>
      </c>
    </row>
    <row r="980" spans="1:12" x14ac:dyDescent="0.25">
      <c r="A980" s="341" t="s">
        <v>3120</v>
      </c>
      <c r="B980" s="341" t="s">
        <v>2434</v>
      </c>
      <c r="C980" s="341" t="s">
        <v>11</v>
      </c>
      <c r="D980" s="342">
        <v>1</v>
      </c>
      <c r="E980" s="342">
        <v>0</v>
      </c>
      <c r="F980" s="342" t="s">
        <v>9622</v>
      </c>
      <c r="G980" s="341" t="s">
        <v>1765</v>
      </c>
      <c r="H980" s="341" t="s">
        <v>2434</v>
      </c>
      <c r="I980" s="341" t="s">
        <v>11</v>
      </c>
      <c r="J980" s="342">
        <v>1</v>
      </c>
      <c r="K980" s="342" t="s">
        <v>9638</v>
      </c>
      <c r="L980" s="342">
        <v>0</v>
      </c>
    </row>
    <row r="981" spans="1:12" x14ac:dyDescent="0.25">
      <c r="A981" s="341" t="s">
        <v>3121</v>
      </c>
      <c r="B981" s="341" t="s">
        <v>2435</v>
      </c>
      <c r="C981" s="341" t="s">
        <v>11</v>
      </c>
      <c r="D981" s="342">
        <v>1</v>
      </c>
      <c r="E981" s="342">
        <v>0</v>
      </c>
      <c r="F981" s="342" t="s">
        <v>9622</v>
      </c>
      <c r="G981" s="341" t="s">
        <v>1140</v>
      </c>
      <c r="H981" s="341" t="s">
        <v>2435</v>
      </c>
      <c r="I981" s="341" t="s">
        <v>11</v>
      </c>
      <c r="J981" s="342">
        <v>1</v>
      </c>
      <c r="K981" s="342" t="s">
        <v>9842</v>
      </c>
      <c r="L981" s="342">
        <v>0</v>
      </c>
    </row>
    <row r="982" spans="1:12" x14ac:dyDescent="0.25">
      <c r="A982" s="341" t="s">
        <v>3122</v>
      </c>
      <c r="B982" s="341" t="s">
        <v>10093</v>
      </c>
      <c r="C982" s="341" t="s">
        <v>11</v>
      </c>
      <c r="D982" s="342">
        <v>1</v>
      </c>
      <c r="E982" s="342">
        <v>0</v>
      </c>
      <c r="F982" s="342" t="s">
        <v>9622</v>
      </c>
      <c r="G982" s="341" t="s">
        <v>1161</v>
      </c>
      <c r="H982" s="341" t="s">
        <v>10093</v>
      </c>
      <c r="I982" s="341" t="s">
        <v>11</v>
      </c>
      <c r="J982" s="342">
        <v>1</v>
      </c>
      <c r="K982" s="342" t="s">
        <v>9842</v>
      </c>
      <c r="L982" s="342">
        <v>0</v>
      </c>
    </row>
    <row r="983" spans="1:12" x14ac:dyDescent="0.25">
      <c r="A983" s="341" t="s">
        <v>3123</v>
      </c>
      <c r="B983" s="341" t="s">
        <v>10094</v>
      </c>
      <c r="C983" s="341" t="s">
        <v>11</v>
      </c>
      <c r="D983" s="342">
        <v>1</v>
      </c>
      <c r="E983" s="342">
        <v>0</v>
      </c>
      <c r="F983" s="342" t="s">
        <v>9622</v>
      </c>
      <c r="G983" s="341" t="s">
        <v>3124</v>
      </c>
      <c r="H983" s="341" t="s">
        <v>10094</v>
      </c>
      <c r="I983" s="341" t="s">
        <v>11</v>
      </c>
      <c r="J983" s="342">
        <v>1</v>
      </c>
      <c r="K983" s="342" t="s">
        <v>9842</v>
      </c>
      <c r="L983" s="342">
        <v>0</v>
      </c>
    </row>
    <row r="984" spans="1:12" x14ac:dyDescent="0.25">
      <c r="A984" s="341" t="s">
        <v>3125</v>
      </c>
      <c r="B984" s="341" t="s">
        <v>10095</v>
      </c>
      <c r="C984" s="341" t="s">
        <v>6602</v>
      </c>
      <c r="D984" s="342">
        <v>1</v>
      </c>
      <c r="E984" s="342">
        <v>0</v>
      </c>
      <c r="F984" s="342" t="s">
        <v>9622</v>
      </c>
      <c r="G984" s="341" t="s">
        <v>1144</v>
      </c>
      <c r="H984" s="341" t="s">
        <v>10095</v>
      </c>
      <c r="I984" s="341" t="s">
        <v>6602</v>
      </c>
      <c r="J984" s="342">
        <v>1</v>
      </c>
      <c r="K984" s="342" t="s">
        <v>9842</v>
      </c>
      <c r="L984" s="342">
        <v>0</v>
      </c>
    </row>
    <row r="985" spans="1:12" x14ac:dyDescent="0.25">
      <c r="A985" s="341" t="s">
        <v>3126</v>
      </c>
      <c r="B985" s="341" t="s">
        <v>10096</v>
      </c>
      <c r="C985" s="341" t="s">
        <v>6602</v>
      </c>
      <c r="D985" s="342">
        <v>1</v>
      </c>
      <c r="E985" s="342">
        <v>0</v>
      </c>
      <c r="F985" s="342" t="s">
        <v>9622</v>
      </c>
      <c r="G985" s="341" t="s">
        <v>3127</v>
      </c>
      <c r="H985" s="341" t="s">
        <v>10096</v>
      </c>
      <c r="I985" s="341" t="s">
        <v>6602</v>
      </c>
      <c r="J985" s="342">
        <v>1</v>
      </c>
      <c r="K985" s="342" t="s">
        <v>9842</v>
      </c>
      <c r="L985" s="342">
        <v>0</v>
      </c>
    </row>
    <row r="986" spans="1:12" x14ac:dyDescent="0.25">
      <c r="A986" s="341" t="s">
        <v>3128</v>
      </c>
      <c r="B986" s="341" t="s">
        <v>10097</v>
      </c>
      <c r="C986" s="341" t="s">
        <v>6602</v>
      </c>
      <c r="D986" s="342">
        <v>1</v>
      </c>
      <c r="E986" s="342">
        <v>0</v>
      </c>
      <c r="F986" s="342" t="s">
        <v>9622</v>
      </c>
      <c r="G986" s="341" t="s">
        <v>3129</v>
      </c>
      <c r="H986" s="341" t="s">
        <v>10097</v>
      </c>
      <c r="I986" s="341" t="s">
        <v>6602</v>
      </c>
      <c r="J986" s="342">
        <v>1</v>
      </c>
      <c r="K986" s="342" t="s">
        <v>9842</v>
      </c>
      <c r="L986" s="342">
        <v>0</v>
      </c>
    </row>
    <row r="987" spans="1:12" x14ac:dyDescent="0.25">
      <c r="A987" s="341" t="s">
        <v>3130</v>
      </c>
      <c r="B987" s="341" t="s">
        <v>2441</v>
      </c>
      <c r="C987" s="341" t="s">
        <v>6602</v>
      </c>
      <c r="D987" s="342">
        <v>1</v>
      </c>
      <c r="E987" s="342">
        <v>0</v>
      </c>
      <c r="F987" s="342" t="s">
        <v>9622</v>
      </c>
      <c r="G987" s="341" t="s">
        <v>1145</v>
      </c>
      <c r="H987" s="341" t="s">
        <v>2441</v>
      </c>
      <c r="I987" s="341" t="s">
        <v>6602</v>
      </c>
      <c r="J987" s="342">
        <v>1</v>
      </c>
      <c r="K987" s="342" t="s">
        <v>9842</v>
      </c>
      <c r="L987" s="342">
        <v>0</v>
      </c>
    </row>
    <row r="988" spans="1:12" x14ac:dyDescent="0.25">
      <c r="A988" s="341" t="s">
        <v>3131</v>
      </c>
      <c r="B988" s="341" t="s">
        <v>2442</v>
      </c>
      <c r="C988" s="341" t="s">
        <v>6602</v>
      </c>
      <c r="D988" s="342">
        <v>1</v>
      </c>
      <c r="E988" s="342">
        <v>0</v>
      </c>
      <c r="F988" s="342" t="s">
        <v>9622</v>
      </c>
      <c r="G988" s="341" t="s">
        <v>1141</v>
      </c>
      <c r="H988" s="341" t="s">
        <v>2442</v>
      </c>
      <c r="I988" s="341" t="s">
        <v>6602</v>
      </c>
      <c r="J988" s="342">
        <v>1</v>
      </c>
      <c r="K988" s="342" t="s">
        <v>9842</v>
      </c>
      <c r="L988" s="342">
        <v>0</v>
      </c>
    </row>
    <row r="989" spans="1:12" x14ac:dyDescent="0.25">
      <c r="A989" s="341" t="s">
        <v>3132</v>
      </c>
      <c r="B989" s="341" t="s">
        <v>10098</v>
      </c>
      <c r="C989" s="341" t="s">
        <v>6602</v>
      </c>
      <c r="D989" s="342">
        <v>1</v>
      </c>
      <c r="E989" s="342">
        <v>0</v>
      </c>
      <c r="F989" s="342" t="s">
        <v>9622</v>
      </c>
      <c r="G989" s="341" t="s">
        <v>1135</v>
      </c>
      <c r="H989" s="341" t="s">
        <v>10098</v>
      </c>
      <c r="I989" s="341" t="s">
        <v>6602</v>
      </c>
      <c r="J989" s="342">
        <v>1</v>
      </c>
      <c r="K989" s="342" t="s">
        <v>9842</v>
      </c>
      <c r="L989" s="342">
        <v>0</v>
      </c>
    </row>
    <row r="990" spans="1:12" x14ac:dyDescent="0.25">
      <c r="A990" s="341" t="s">
        <v>3133</v>
      </c>
      <c r="B990" s="341" t="s">
        <v>10099</v>
      </c>
      <c r="C990" s="341" t="s">
        <v>6602</v>
      </c>
      <c r="D990" s="342">
        <v>1</v>
      </c>
      <c r="E990" s="342">
        <v>0</v>
      </c>
      <c r="F990" s="342" t="s">
        <v>9622</v>
      </c>
      <c r="G990" s="341" t="s">
        <v>1149</v>
      </c>
      <c r="H990" s="341" t="s">
        <v>10099</v>
      </c>
      <c r="I990" s="341" t="s">
        <v>6602</v>
      </c>
      <c r="J990" s="342">
        <v>1</v>
      </c>
      <c r="K990" s="342" t="s">
        <v>9842</v>
      </c>
      <c r="L990" s="342">
        <v>0</v>
      </c>
    </row>
    <row r="991" spans="1:12" x14ac:dyDescent="0.25">
      <c r="A991" s="341" t="s">
        <v>3134</v>
      </c>
      <c r="B991" s="341" t="s">
        <v>10100</v>
      </c>
      <c r="C991" s="341" t="s">
        <v>6602</v>
      </c>
      <c r="D991" s="342">
        <v>1</v>
      </c>
      <c r="E991" s="342">
        <v>0</v>
      </c>
      <c r="F991" s="342" t="s">
        <v>9622</v>
      </c>
      <c r="G991" s="341" t="s">
        <v>1142</v>
      </c>
      <c r="H991" s="341" t="s">
        <v>10100</v>
      </c>
      <c r="I991" s="341" t="s">
        <v>6602</v>
      </c>
      <c r="J991" s="342">
        <v>1</v>
      </c>
      <c r="K991" s="342" t="s">
        <v>9842</v>
      </c>
      <c r="L991" s="342">
        <v>0</v>
      </c>
    </row>
    <row r="992" spans="1:12" x14ac:dyDescent="0.25">
      <c r="A992" s="341" t="s">
        <v>3135</v>
      </c>
      <c r="B992" s="341" t="s">
        <v>2446</v>
      </c>
      <c r="C992" s="341" t="s">
        <v>6602</v>
      </c>
      <c r="D992" s="342">
        <v>1</v>
      </c>
      <c r="E992" s="342">
        <v>0</v>
      </c>
      <c r="F992" s="342" t="s">
        <v>9622</v>
      </c>
      <c r="G992" s="341" t="s">
        <v>3136</v>
      </c>
      <c r="H992" s="341" t="s">
        <v>2446</v>
      </c>
      <c r="I992" s="341" t="s">
        <v>6602</v>
      </c>
      <c r="J992" s="342">
        <v>1</v>
      </c>
      <c r="K992" s="342" t="s">
        <v>9842</v>
      </c>
      <c r="L992" s="342">
        <v>0</v>
      </c>
    </row>
    <row r="993" spans="1:12" x14ac:dyDescent="0.25">
      <c r="A993" s="341" t="s">
        <v>3137</v>
      </c>
      <c r="B993" s="341" t="s">
        <v>2447</v>
      </c>
      <c r="C993" s="341" t="s">
        <v>6602</v>
      </c>
      <c r="D993" s="342">
        <v>1</v>
      </c>
      <c r="E993" s="342">
        <v>0</v>
      </c>
      <c r="F993" s="342" t="s">
        <v>9622</v>
      </c>
      <c r="G993" s="341" t="s">
        <v>1147</v>
      </c>
      <c r="H993" s="341" t="s">
        <v>2447</v>
      </c>
      <c r="I993" s="341" t="s">
        <v>6602</v>
      </c>
      <c r="J993" s="342">
        <v>1</v>
      </c>
      <c r="K993" s="342" t="s">
        <v>9842</v>
      </c>
      <c r="L993" s="342">
        <v>0</v>
      </c>
    </row>
    <row r="994" spans="1:12" x14ac:dyDescent="0.25">
      <c r="A994" s="341" t="s">
        <v>3138</v>
      </c>
      <c r="B994" s="341" t="s">
        <v>2448</v>
      </c>
      <c r="C994" s="341" t="s">
        <v>11</v>
      </c>
      <c r="D994" s="342">
        <v>1</v>
      </c>
      <c r="E994" s="342">
        <v>0</v>
      </c>
      <c r="F994" s="342" t="s">
        <v>9622</v>
      </c>
      <c r="G994" s="341" t="s">
        <v>1156</v>
      </c>
      <c r="H994" s="341" t="s">
        <v>2448</v>
      </c>
      <c r="I994" s="341" t="s">
        <v>11</v>
      </c>
      <c r="J994" s="342">
        <v>1</v>
      </c>
      <c r="K994" s="342" t="s">
        <v>9842</v>
      </c>
      <c r="L994" s="342">
        <v>0</v>
      </c>
    </row>
    <row r="995" spans="1:12" x14ac:dyDescent="0.25">
      <c r="A995" s="341" t="s">
        <v>3139</v>
      </c>
      <c r="B995" s="341" t="s">
        <v>2449</v>
      </c>
      <c r="C995" s="341" t="s">
        <v>6602</v>
      </c>
      <c r="D995" s="342">
        <v>1</v>
      </c>
      <c r="E995" s="342">
        <v>0</v>
      </c>
      <c r="F995" s="342" t="s">
        <v>9622</v>
      </c>
      <c r="G995" s="341" t="s">
        <v>1170</v>
      </c>
      <c r="H995" s="341" t="s">
        <v>2449</v>
      </c>
      <c r="I995" s="341" t="s">
        <v>6602</v>
      </c>
      <c r="J995" s="342">
        <v>1</v>
      </c>
      <c r="K995" s="342" t="s">
        <v>9842</v>
      </c>
      <c r="L995" s="342">
        <v>0</v>
      </c>
    </row>
    <row r="996" spans="1:12" x14ac:dyDescent="0.25">
      <c r="A996" s="341" t="s">
        <v>3140</v>
      </c>
      <c r="B996" s="341" t="s">
        <v>2450</v>
      </c>
      <c r="C996" s="341" t="s">
        <v>6602</v>
      </c>
      <c r="D996" s="342">
        <v>1</v>
      </c>
      <c r="E996" s="342">
        <v>0</v>
      </c>
      <c r="F996" s="342" t="s">
        <v>9622</v>
      </c>
      <c r="G996" s="341" t="s">
        <v>1181</v>
      </c>
      <c r="H996" s="341" t="s">
        <v>2450</v>
      </c>
      <c r="I996" s="341" t="s">
        <v>6602</v>
      </c>
      <c r="J996" s="342">
        <v>1</v>
      </c>
      <c r="K996" s="342" t="s">
        <v>9842</v>
      </c>
      <c r="L996" s="342">
        <v>0</v>
      </c>
    </row>
    <row r="997" spans="1:12" x14ac:dyDescent="0.25">
      <c r="A997" s="341" t="s">
        <v>3141</v>
      </c>
      <c r="B997" s="341" t="s">
        <v>2451</v>
      </c>
      <c r="C997" s="341" t="s">
        <v>6602</v>
      </c>
      <c r="D997" s="342">
        <v>1</v>
      </c>
      <c r="E997" s="342">
        <v>0</v>
      </c>
      <c r="F997" s="342" t="s">
        <v>9622</v>
      </c>
      <c r="G997" s="341" t="s">
        <v>1146</v>
      </c>
      <c r="H997" s="341" t="s">
        <v>2451</v>
      </c>
      <c r="I997" s="341" t="s">
        <v>6602</v>
      </c>
      <c r="J997" s="342">
        <v>1</v>
      </c>
      <c r="K997" s="342" t="s">
        <v>9842</v>
      </c>
      <c r="L997" s="342">
        <v>0</v>
      </c>
    </row>
    <row r="998" spans="1:12" x14ac:dyDescent="0.25">
      <c r="A998" s="341" t="s">
        <v>3142</v>
      </c>
      <c r="B998" s="341" t="s">
        <v>2452</v>
      </c>
      <c r="C998" s="341" t="s">
        <v>6602</v>
      </c>
      <c r="D998" s="342">
        <v>1</v>
      </c>
      <c r="E998" s="342">
        <v>0</v>
      </c>
      <c r="F998" s="342" t="s">
        <v>9622</v>
      </c>
      <c r="G998" s="341" t="s">
        <v>1143</v>
      </c>
      <c r="H998" s="341" t="s">
        <v>2452</v>
      </c>
      <c r="I998" s="341" t="s">
        <v>6602</v>
      </c>
      <c r="J998" s="342">
        <v>1</v>
      </c>
      <c r="K998" s="342" t="s">
        <v>9842</v>
      </c>
      <c r="L998" s="342">
        <v>0</v>
      </c>
    </row>
    <row r="999" spans="1:12" x14ac:dyDescent="0.25">
      <c r="A999" s="341" t="s">
        <v>3143</v>
      </c>
      <c r="B999" s="341" t="s">
        <v>2453</v>
      </c>
      <c r="C999" s="341" t="s">
        <v>6602</v>
      </c>
      <c r="D999" s="342">
        <v>1</v>
      </c>
      <c r="E999" s="342">
        <v>0</v>
      </c>
      <c r="F999" s="342" t="s">
        <v>9622</v>
      </c>
      <c r="G999" s="341" t="s">
        <v>1150</v>
      </c>
      <c r="H999" s="341" t="s">
        <v>2453</v>
      </c>
      <c r="I999" s="341" t="s">
        <v>6602</v>
      </c>
      <c r="J999" s="342">
        <v>1</v>
      </c>
      <c r="K999" s="342" t="s">
        <v>9842</v>
      </c>
      <c r="L999" s="342">
        <v>0</v>
      </c>
    </row>
    <row r="1000" spans="1:12" x14ac:dyDescent="0.25">
      <c r="A1000" s="341" t="s">
        <v>3144</v>
      </c>
      <c r="B1000" s="341" t="s">
        <v>2454</v>
      </c>
      <c r="C1000" s="341" t="s">
        <v>6602</v>
      </c>
      <c r="D1000" s="342">
        <v>1</v>
      </c>
      <c r="E1000" s="342">
        <v>0</v>
      </c>
      <c r="F1000" s="342" t="s">
        <v>9622</v>
      </c>
      <c r="G1000" s="341" t="s">
        <v>1148</v>
      </c>
      <c r="H1000" s="341" t="s">
        <v>2454</v>
      </c>
      <c r="I1000" s="341" t="s">
        <v>6602</v>
      </c>
      <c r="J1000" s="342">
        <v>1</v>
      </c>
      <c r="K1000" s="342" t="s">
        <v>9842</v>
      </c>
      <c r="L1000" s="342">
        <v>0</v>
      </c>
    </row>
    <row r="1001" spans="1:12" x14ac:dyDescent="0.25">
      <c r="A1001" s="341" t="s">
        <v>3145</v>
      </c>
      <c r="B1001" s="341" t="s">
        <v>2455</v>
      </c>
      <c r="C1001" s="341" t="s">
        <v>6602</v>
      </c>
      <c r="D1001" s="342">
        <v>1</v>
      </c>
      <c r="E1001" s="342">
        <v>0</v>
      </c>
      <c r="F1001" s="342" t="s">
        <v>9622</v>
      </c>
      <c r="G1001" s="341" t="s">
        <v>1167</v>
      </c>
      <c r="H1001" s="341" t="s">
        <v>2455</v>
      </c>
      <c r="I1001" s="341" t="s">
        <v>6602</v>
      </c>
      <c r="J1001" s="342">
        <v>1</v>
      </c>
      <c r="K1001" s="342" t="s">
        <v>9842</v>
      </c>
      <c r="L1001" s="342">
        <v>0</v>
      </c>
    </row>
    <row r="1002" spans="1:12" x14ac:dyDescent="0.25">
      <c r="A1002" s="341" t="s">
        <v>3146</v>
      </c>
      <c r="B1002" s="341" t="s">
        <v>2456</v>
      </c>
      <c r="C1002" s="341" t="s">
        <v>6602</v>
      </c>
      <c r="D1002" s="342">
        <v>1</v>
      </c>
      <c r="E1002" s="342">
        <v>0</v>
      </c>
      <c r="F1002" s="342" t="s">
        <v>9622</v>
      </c>
      <c r="G1002" s="341" t="s">
        <v>1179</v>
      </c>
      <c r="H1002" s="341" t="s">
        <v>2456</v>
      </c>
      <c r="I1002" s="341" t="s">
        <v>6602</v>
      </c>
      <c r="J1002" s="342">
        <v>1</v>
      </c>
      <c r="K1002" s="342" t="s">
        <v>9842</v>
      </c>
      <c r="L1002" s="342">
        <v>0</v>
      </c>
    </row>
    <row r="1003" spans="1:12" x14ac:dyDescent="0.25">
      <c r="A1003" s="341" t="s">
        <v>3147</v>
      </c>
      <c r="B1003" s="341" t="s">
        <v>10101</v>
      </c>
      <c r="C1003" s="341" t="s">
        <v>6602</v>
      </c>
      <c r="D1003" s="342">
        <v>1</v>
      </c>
      <c r="E1003" s="342">
        <v>0</v>
      </c>
      <c r="F1003" s="342" t="s">
        <v>9622</v>
      </c>
      <c r="G1003" s="341" t="s">
        <v>1127</v>
      </c>
      <c r="H1003" s="341" t="s">
        <v>10101</v>
      </c>
      <c r="I1003" s="341" t="s">
        <v>6602</v>
      </c>
      <c r="J1003" s="342">
        <v>1</v>
      </c>
      <c r="K1003" s="342" t="s">
        <v>9842</v>
      </c>
      <c r="L1003" s="342">
        <v>0</v>
      </c>
    </row>
    <row r="1004" spans="1:12" x14ac:dyDescent="0.25">
      <c r="A1004" s="341" t="s">
        <v>3148</v>
      </c>
      <c r="B1004" s="341" t="s">
        <v>10102</v>
      </c>
      <c r="C1004" s="341" t="s">
        <v>2338</v>
      </c>
      <c r="D1004" s="342">
        <v>1</v>
      </c>
      <c r="E1004" s="342">
        <v>0</v>
      </c>
      <c r="F1004" s="342" t="s">
        <v>9622</v>
      </c>
      <c r="G1004" s="341" t="s">
        <v>1151</v>
      </c>
      <c r="H1004" s="341" t="s">
        <v>10102</v>
      </c>
      <c r="I1004" s="341" t="s">
        <v>2338</v>
      </c>
      <c r="J1004" s="342">
        <v>1</v>
      </c>
      <c r="K1004" s="342" t="s">
        <v>9842</v>
      </c>
      <c r="L1004" s="342">
        <v>0</v>
      </c>
    </row>
    <row r="1005" spans="1:12" x14ac:dyDescent="0.25">
      <c r="A1005" s="341" t="s">
        <v>3149</v>
      </c>
      <c r="B1005" s="341" t="s">
        <v>10101</v>
      </c>
      <c r="C1005" s="341" t="s">
        <v>6602</v>
      </c>
      <c r="D1005" s="342">
        <v>1</v>
      </c>
      <c r="E1005" s="342">
        <v>0</v>
      </c>
      <c r="F1005" s="342" t="s">
        <v>9622</v>
      </c>
      <c r="G1005" s="341" t="s">
        <v>1127</v>
      </c>
      <c r="H1005" s="341" t="s">
        <v>10101</v>
      </c>
      <c r="I1005" s="341" t="s">
        <v>6602</v>
      </c>
      <c r="J1005" s="342">
        <v>1</v>
      </c>
      <c r="K1005" s="342" t="s">
        <v>9842</v>
      </c>
      <c r="L1005" s="342">
        <v>0</v>
      </c>
    </row>
    <row r="1006" spans="1:12" x14ac:dyDescent="0.25">
      <c r="A1006" s="341" t="s">
        <v>3150</v>
      </c>
      <c r="B1006" s="341" t="s">
        <v>10103</v>
      </c>
      <c r="C1006" s="341" t="s">
        <v>4230</v>
      </c>
      <c r="D1006" s="342">
        <v>1</v>
      </c>
      <c r="E1006" s="342">
        <v>0</v>
      </c>
      <c r="F1006" s="342" t="s">
        <v>9622</v>
      </c>
      <c r="G1006" s="341" t="s">
        <v>3151</v>
      </c>
      <c r="H1006" s="341" t="s">
        <v>10103</v>
      </c>
      <c r="I1006" s="341" t="s">
        <v>4230</v>
      </c>
      <c r="J1006" s="342">
        <v>1</v>
      </c>
      <c r="K1006" s="342" t="s">
        <v>9842</v>
      </c>
      <c r="L1006" s="342">
        <v>0</v>
      </c>
    </row>
    <row r="1007" spans="1:12" x14ac:dyDescent="0.25">
      <c r="A1007" s="341" t="s">
        <v>3152</v>
      </c>
      <c r="B1007" s="341" t="s">
        <v>10104</v>
      </c>
      <c r="C1007" s="341" t="s">
        <v>6602</v>
      </c>
      <c r="D1007" s="342">
        <v>1</v>
      </c>
      <c r="E1007" s="342">
        <v>0</v>
      </c>
      <c r="F1007" s="342" t="s">
        <v>9622</v>
      </c>
      <c r="G1007" s="341" t="s">
        <v>3153</v>
      </c>
      <c r="H1007" s="341" t="s">
        <v>10104</v>
      </c>
      <c r="I1007" s="341" t="s">
        <v>6602</v>
      </c>
      <c r="J1007" s="342">
        <v>1</v>
      </c>
      <c r="K1007" s="342" t="s">
        <v>9842</v>
      </c>
      <c r="L1007" s="342">
        <v>0</v>
      </c>
    </row>
    <row r="1008" spans="1:12" x14ac:dyDescent="0.25">
      <c r="A1008" s="341" t="s">
        <v>3154</v>
      </c>
      <c r="B1008" s="341" t="s">
        <v>2465</v>
      </c>
      <c r="C1008" s="341" t="s">
        <v>6602</v>
      </c>
      <c r="D1008" s="342">
        <v>1</v>
      </c>
      <c r="E1008" s="342">
        <v>0</v>
      </c>
      <c r="F1008" s="342" t="s">
        <v>9622</v>
      </c>
      <c r="G1008" s="341" t="s">
        <v>1121</v>
      </c>
      <c r="H1008" s="341" t="s">
        <v>2465</v>
      </c>
      <c r="I1008" s="341" t="s">
        <v>6602</v>
      </c>
      <c r="J1008" s="342">
        <v>1</v>
      </c>
      <c r="K1008" s="342" t="s">
        <v>9842</v>
      </c>
      <c r="L1008" s="342">
        <v>0</v>
      </c>
    </row>
    <row r="1009" spans="1:12" x14ac:dyDescent="0.25">
      <c r="A1009" s="341" t="s">
        <v>3155</v>
      </c>
      <c r="B1009" s="341" t="s">
        <v>2468</v>
      </c>
      <c r="C1009" s="341" t="s">
        <v>6603</v>
      </c>
      <c r="D1009" s="342">
        <v>1</v>
      </c>
      <c r="E1009" s="342">
        <v>0</v>
      </c>
      <c r="F1009" s="342" t="s">
        <v>9622</v>
      </c>
      <c r="G1009" s="341" t="s">
        <v>1182</v>
      </c>
      <c r="H1009" s="341" t="s">
        <v>2468</v>
      </c>
      <c r="I1009" s="341" t="s">
        <v>6603</v>
      </c>
      <c r="J1009" s="342">
        <v>1</v>
      </c>
      <c r="K1009" s="342" t="s">
        <v>9842</v>
      </c>
      <c r="L1009" s="342">
        <v>0</v>
      </c>
    </row>
    <row r="1010" spans="1:12" x14ac:dyDescent="0.25">
      <c r="A1010" s="341" t="s">
        <v>3156</v>
      </c>
      <c r="B1010" s="341" t="s">
        <v>2470</v>
      </c>
      <c r="C1010" s="341" t="s">
        <v>6602</v>
      </c>
      <c r="D1010" s="342">
        <v>1</v>
      </c>
      <c r="E1010" s="342">
        <v>0</v>
      </c>
      <c r="F1010" s="342" t="s">
        <v>9622</v>
      </c>
      <c r="G1010" s="341" t="s">
        <v>1178</v>
      </c>
      <c r="H1010" s="341" t="s">
        <v>2470</v>
      </c>
      <c r="I1010" s="341" t="s">
        <v>6602</v>
      </c>
      <c r="J1010" s="342">
        <v>1</v>
      </c>
      <c r="K1010" s="342" t="s">
        <v>9842</v>
      </c>
      <c r="L1010" s="342">
        <v>0</v>
      </c>
    </row>
    <row r="1011" spans="1:12" x14ac:dyDescent="0.25">
      <c r="A1011" s="341" t="s">
        <v>3157</v>
      </c>
      <c r="B1011" s="341" t="s">
        <v>2471</v>
      </c>
      <c r="C1011" s="341" t="s">
        <v>6602</v>
      </c>
      <c r="D1011" s="342">
        <v>1</v>
      </c>
      <c r="E1011" s="342">
        <v>0</v>
      </c>
      <c r="F1011" s="342" t="s">
        <v>9622</v>
      </c>
      <c r="G1011" s="341" t="s">
        <v>1183</v>
      </c>
      <c r="H1011" s="341" t="s">
        <v>2471</v>
      </c>
      <c r="I1011" s="341" t="s">
        <v>6602</v>
      </c>
      <c r="J1011" s="342">
        <v>1</v>
      </c>
      <c r="K1011" s="342" t="s">
        <v>9842</v>
      </c>
      <c r="L1011" s="342">
        <v>0</v>
      </c>
    </row>
    <row r="1012" spans="1:12" x14ac:dyDescent="0.25">
      <c r="A1012" s="341" t="s">
        <v>3158</v>
      </c>
      <c r="B1012" s="341" t="s">
        <v>2472</v>
      </c>
      <c r="C1012" s="341" t="s">
        <v>6602</v>
      </c>
      <c r="D1012" s="342">
        <v>1</v>
      </c>
      <c r="E1012" s="342">
        <v>0</v>
      </c>
      <c r="F1012" s="342" t="s">
        <v>9622</v>
      </c>
      <c r="G1012" s="341" t="s">
        <v>1177</v>
      </c>
      <c r="H1012" s="341" t="s">
        <v>2472</v>
      </c>
      <c r="I1012" s="341" t="s">
        <v>6602</v>
      </c>
      <c r="J1012" s="342">
        <v>1</v>
      </c>
      <c r="K1012" s="342" t="s">
        <v>9842</v>
      </c>
      <c r="L1012" s="342">
        <v>0</v>
      </c>
    </row>
    <row r="1013" spans="1:12" x14ac:dyDescent="0.25">
      <c r="A1013" s="341" t="s">
        <v>3159</v>
      </c>
      <c r="B1013" s="341" t="s">
        <v>2473</v>
      </c>
      <c r="C1013" s="341" t="s">
        <v>6602</v>
      </c>
      <c r="D1013" s="342">
        <v>1</v>
      </c>
      <c r="E1013" s="342">
        <v>0</v>
      </c>
      <c r="F1013" s="342" t="s">
        <v>9622</v>
      </c>
      <c r="G1013" s="341" t="s">
        <v>3160</v>
      </c>
      <c r="H1013" s="341" t="s">
        <v>2473</v>
      </c>
      <c r="I1013" s="341" t="s">
        <v>6602</v>
      </c>
      <c r="J1013" s="342">
        <v>1</v>
      </c>
      <c r="K1013" s="342" t="s">
        <v>9842</v>
      </c>
      <c r="L1013" s="342">
        <v>0</v>
      </c>
    </row>
    <row r="1014" spans="1:12" x14ac:dyDescent="0.25">
      <c r="A1014" s="341" t="s">
        <v>3162</v>
      </c>
      <c r="B1014" s="341" t="s">
        <v>2483</v>
      </c>
      <c r="C1014" s="341" t="s">
        <v>6602</v>
      </c>
      <c r="D1014" s="342">
        <v>1</v>
      </c>
      <c r="E1014" s="342">
        <v>0</v>
      </c>
      <c r="F1014" s="342" t="s">
        <v>9622</v>
      </c>
      <c r="G1014" s="341" t="s">
        <v>2065</v>
      </c>
      <c r="H1014" s="341" t="s">
        <v>2483</v>
      </c>
      <c r="I1014" s="341" t="s">
        <v>6602</v>
      </c>
      <c r="J1014" s="342">
        <v>1</v>
      </c>
      <c r="K1014" s="342" t="s">
        <v>9623</v>
      </c>
      <c r="L1014" s="342">
        <v>0</v>
      </c>
    </row>
    <row r="1015" spans="1:12" x14ac:dyDescent="0.25">
      <c r="A1015" s="341" t="s">
        <v>3163</v>
      </c>
      <c r="B1015" s="341" t="s">
        <v>2484</v>
      </c>
      <c r="C1015" s="341" t="s">
        <v>2338</v>
      </c>
      <c r="D1015" s="342">
        <v>1</v>
      </c>
      <c r="E1015" s="342">
        <v>0</v>
      </c>
      <c r="F1015" s="342" t="s">
        <v>9622</v>
      </c>
      <c r="G1015" s="341" t="s">
        <v>1155</v>
      </c>
      <c r="H1015" s="341" t="s">
        <v>2484</v>
      </c>
      <c r="I1015" s="341" t="s">
        <v>2338</v>
      </c>
      <c r="J1015" s="342">
        <v>1</v>
      </c>
      <c r="K1015" s="342" t="s">
        <v>9842</v>
      </c>
      <c r="L1015" s="342">
        <v>0</v>
      </c>
    </row>
    <row r="1016" spans="1:12" x14ac:dyDescent="0.25">
      <c r="A1016" s="341" t="s">
        <v>3164</v>
      </c>
      <c r="B1016" s="341" t="s">
        <v>10105</v>
      </c>
      <c r="C1016" s="341" t="s">
        <v>6602</v>
      </c>
      <c r="D1016" s="342">
        <v>1</v>
      </c>
      <c r="E1016" s="342">
        <v>0</v>
      </c>
      <c r="F1016" s="342" t="s">
        <v>9622</v>
      </c>
      <c r="G1016" s="341" t="s">
        <v>3165</v>
      </c>
      <c r="H1016" s="341" t="s">
        <v>10105</v>
      </c>
      <c r="I1016" s="341" t="s">
        <v>6602</v>
      </c>
      <c r="J1016" s="342">
        <v>0</v>
      </c>
      <c r="K1016" s="342" t="s">
        <v>9623</v>
      </c>
      <c r="L1016" s="342">
        <v>0</v>
      </c>
    </row>
    <row r="1017" spans="1:12" x14ac:dyDescent="0.25">
      <c r="A1017" s="341" t="s">
        <v>3166</v>
      </c>
      <c r="B1017" s="341" t="s">
        <v>2505</v>
      </c>
      <c r="C1017" s="341" t="s">
        <v>6602</v>
      </c>
      <c r="D1017" s="342">
        <v>1</v>
      </c>
      <c r="E1017" s="342">
        <v>0</v>
      </c>
      <c r="F1017" s="342" t="s">
        <v>9622</v>
      </c>
      <c r="G1017" s="341" t="s">
        <v>3167</v>
      </c>
      <c r="H1017" s="341" t="s">
        <v>2505</v>
      </c>
      <c r="I1017" s="341" t="s">
        <v>6602</v>
      </c>
      <c r="J1017" s="342">
        <v>0</v>
      </c>
      <c r="K1017" s="342" t="s">
        <v>9623</v>
      </c>
      <c r="L1017" s="342">
        <v>0</v>
      </c>
    </row>
    <row r="1018" spans="1:12" x14ac:dyDescent="0.25">
      <c r="A1018" s="341" t="s">
        <v>3168</v>
      </c>
      <c r="B1018" s="341" t="s">
        <v>2506</v>
      </c>
      <c r="C1018" s="341" t="s">
        <v>6602</v>
      </c>
      <c r="D1018" s="342">
        <v>1</v>
      </c>
      <c r="E1018" s="342">
        <v>0</v>
      </c>
      <c r="F1018" s="342" t="s">
        <v>9622</v>
      </c>
      <c r="G1018" s="341" t="s">
        <v>3169</v>
      </c>
      <c r="H1018" s="341" t="s">
        <v>2506</v>
      </c>
      <c r="I1018" s="341" t="s">
        <v>6602</v>
      </c>
      <c r="J1018" s="342">
        <v>0</v>
      </c>
      <c r="K1018" s="342" t="s">
        <v>9623</v>
      </c>
      <c r="L1018" s="342">
        <v>0</v>
      </c>
    </row>
    <row r="1019" spans="1:12" x14ac:dyDescent="0.25">
      <c r="A1019" s="341" t="s">
        <v>3170</v>
      </c>
      <c r="B1019" s="341" t="s">
        <v>2507</v>
      </c>
      <c r="C1019" s="341" t="s">
        <v>6602</v>
      </c>
      <c r="D1019" s="342">
        <v>1</v>
      </c>
      <c r="E1019" s="342">
        <v>0</v>
      </c>
      <c r="F1019" s="342" t="s">
        <v>9622</v>
      </c>
      <c r="G1019" s="341" t="s">
        <v>3171</v>
      </c>
      <c r="H1019" s="341" t="s">
        <v>2507</v>
      </c>
      <c r="I1019" s="341" t="s">
        <v>6602</v>
      </c>
      <c r="J1019" s="342">
        <v>0</v>
      </c>
      <c r="K1019" s="342" t="s">
        <v>9623</v>
      </c>
      <c r="L1019" s="342">
        <v>0</v>
      </c>
    </row>
    <row r="1020" spans="1:12" x14ac:dyDescent="0.25">
      <c r="A1020" s="341" t="s">
        <v>3172</v>
      </c>
      <c r="B1020" s="341" t="s">
        <v>2509</v>
      </c>
      <c r="C1020" s="341" t="s">
        <v>6602</v>
      </c>
      <c r="D1020" s="342">
        <v>1</v>
      </c>
      <c r="E1020" s="342">
        <v>0</v>
      </c>
      <c r="F1020" s="342" t="s">
        <v>9622</v>
      </c>
      <c r="G1020" s="341" t="s">
        <v>3173</v>
      </c>
      <c r="H1020" s="341" t="s">
        <v>2509</v>
      </c>
      <c r="I1020" s="341" t="s">
        <v>6602</v>
      </c>
      <c r="J1020" s="342">
        <v>0</v>
      </c>
      <c r="K1020" s="342" t="s">
        <v>9623</v>
      </c>
      <c r="L1020" s="342">
        <v>0</v>
      </c>
    </row>
    <row r="1021" spans="1:12" x14ac:dyDescent="0.25">
      <c r="A1021" s="341" t="s">
        <v>3174</v>
      </c>
      <c r="B1021" s="341" t="s">
        <v>10106</v>
      </c>
      <c r="C1021" s="341" t="s">
        <v>2338</v>
      </c>
      <c r="D1021" s="342">
        <v>1</v>
      </c>
      <c r="E1021" s="342">
        <v>0</v>
      </c>
      <c r="F1021" s="342" t="s">
        <v>9622</v>
      </c>
      <c r="G1021" s="341" t="s">
        <v>3175</v>
      </c>
      <c r="H1021" s="341" t="s">
        <v>10106</v>
      </c>
      <c r="I1021" s="341" t="s">
        <v>2338</v>
      </c>
      <c r="J1021" s="342">
        <v>0</v>
      </c>
      <c r="K1021" s="342" t="s">
        <v>9623</v>
      </c>
      <c r="L1021" s="342">
        <v>0</v>
      </c>
    </row>
    <row r="1022" spans="1:12" x14ac:dyDescent="0.25">
      <c r="A1022" s="341" t="s">
        <v>3176</v>
      </c>
      <c r="B1022" s="341" t="s">
        <v>2511</v>
      </c>
      <c r="C1022" s="341" t="s">
        <v>6602</v>
      </c>
      <c r="D1022" s="342">
        <v>1</v>
      </c>
      <c r="E1022" s="342">
        <v>0</v>
      </c>
      <c r="F1022" s="342" t="s">
        <v>9622</v>
      </c>
      <c r="G1022" s="341" t="s">
        <v>1476</v>
      </c>
      <c r="H1022" s="341" t="s">
        <v>2511</v>
      </c>
      <c r="I1022" s="341" t="s">
        <v>6602</v>
      </c>
      <c r="J1022" s="342">
        <v>1</v>
      </c>
      <c r="K1022" s="342" t="s">
        <v>25</v>
      </c>
      <c r="L1022" s="342">
        <v>0</v>
      </c>
    </row>
    <row r="1023" spans="1:12" x14ac:dyDescent="0.25">
      <c r="A1023" s="341" t="s">
        <v>3177</v>
      </c>
      <c r="B1023" s="341" t="s">
        <v>2512</v>
      </c>
      <c r="C1023" s="341" t="s">
        <v>2338</v>
      </c>
      <c r="D1023" s="342">
        <v>1</v>
      </c>
      <c r="E1023" s="342">
        <v>0</v>
      </c>
      <c r="F1023" s="342" t="s">
        <v>9622</v>
      </c>
      <c r="G1023" s="341" t="s">
        <v>3178</v>
      </c>
      <c r="H1023" s="341" t="s">
        <v>2512</v>
      </c>
      <c r="I1023" s="341" t="s">
        <v>2338</v>
      </c>
      <c r="J1023" s="342">
        <v>0</v>
      </c>
      <c r="K1023" s="342" t="s">
        <v>9623</v>
      </c>
      <c r="L1023" s="342">
        <v>0</v>
      </c>
    </row>
    <row r="1024" spans="1:12" x14ac:dyDescent="0.25">
      <c r="A1024" s="341" t="s">
        <v>3179</v>
      </c>
      <c r="B1024" s="341" t="s">
        <v>2514</v>
      </c>
      <c r="C1024" s="341" t="s">
        <v>6602</v>
      </c>
      <c r="D1024" s="342">
        <v>1</v>
      </c>
      <c r="E1024" s="342">
        <v>0</v>
      </c>
      <c r="F1024" s="342" t="s">
        <v>9622</v>
      </c>
      <c r="G1024" s="341" t="s">
        <v>3180</v>
      </c>
      <c r="H1024" s="341" t="s">
        <v>2514</v>
      </c>
      <c r="I1024" s="341" t="s">
        <v>6602</v>
      </c>
      <c r="J1024" s="342">
        <v>0</v>
      </c>
      <c r="K1024" s="342" t="s">
        <v>9623</v>
      </c>
      <c r="L1024" s="342">
        <v>0</v>
      </c>
    </row>
    <row r="1025" spans="1:12" x14ac:dyDescent="0.25">
      <c r="A1025" s="341" t="s">
        <v>3182</v>
      </c>
      <c r="B1025" s="341" t="s">
        <v>2520</v>
      </c>
      <c r="C1025" s="341" t="s">
        <v>2338</v>
      </c>
      <c r="D1025" s="342">
        <v>1</v>
      </c>
      <c r="E1025" s="342">
        <v>0</v>
      </c>
      <c r="F1025" s="342" t="s">
        <v>9622</v>
      </c>
      <c r="G1025" s="341" t="s">
        <v>3183</v>
      </c>
      <c r="H1025" s="341" t="s">
        <v>2520</v>
      </c>
      <c r="I1025" s="341" t="s">
        <v>2338</v>
      </c>
      <c r="J1025" s="342">
        <v>0</v>
      </c>
      <c r="K1025" s="342" t="s">
        <v>9623</v>
      </c>
      <c r="L1025" s="342">
        <v>0</v>
      </c>
    </row>
    <row r="1026" spans="1:12" x14ac:dyDescent="0.25">
      <c r="A1026" s="341" t="s">
        <v>3184</v>
      </c>
      <c r="B1026" s="341" t="s">
        <v>2522</v>
      </c>
      <c r="C1026" s="341" t="s">
        <v>2338</v>
      </c>
      <c r="D1026" s="342">
        <v>1</v>
      </c>
      <c r="E1026" s="342">
        <v>0</v>
      </c>
      <c r="F1026" s="342" t="s">
        <v>9622</v>
      </c>
      <c r="G1026" s="341" t="s">
        <v>3185</v>
      </c>
      <c r="H1026" s="341" t="s">
        <v>2522</v>
      </c>
      <c r="I1026" s="341" t="s">
        <v>2338</v>
      </c>
      <c r="J1026" s="342">
        <v>0</v>
      </c>
      <c r="K1026" s="342" t="s">
        <v>9623</v>
      </c>
      <c r="L1026" s="342">
        <v>0</v>
      </c>
    </row>
    <row r="1027" spans="1:12" x14ac:dyDescent="0.25">
      <c r="A1027" s="341" t="s">
        <v>3186</v>
      </c>
      <c r="B1027" s="341" t="s">
        <v>2523</v>
      </c>
      <c r="C1027" s="341" t="s">
        <v>6602</v>
      </c>
      <c r="D1027" s="342">
        <v>1</v>
      </c>
      <c r="E1027" s="342">
        <v>0</v>
      </c>
      <c r="F1027" s="342" t="s">
        <v>9622</v>
      </c>
      <c r="G1027" s="341" t="s">
        <v>3187</v>
      </c>
      <c r="H1027" s="341" t="s">
        <v>2523</v>
      </c>
      <c r="I1027" s="341" t="s">
        <v>6602</v>
      </c>
      <c r="J1027" s="342">
        <v>0</v>
      </c>
      <c r="K1027" s="342" t="s">
        <v>9623</v>
      </c>
      <c r="L1027" s="342">
        <v>0</v>
      </c>
    </row>
    <row r="1028" spans="1:12" x14ac:dyDescent="0.25">
      <c r="A1028" s="341" t="s">
        <v>3188</v>
      </c>
      <c r="B1028" s="341" t="s">
        <v>10107</v>
      </c>
      <c r="C1028" s="341" t="s">
        <v>2338</v>
      </c>
      <c r="D1028" s="342">
        <v>1</v>
      </c>
      <c r="E1028" s="342">
        <v>0</v>
      </c>
      <c r="F1028" s="342" t="s">
        <v>9622</v>
      </c>
      <c r="G1028" s="341" t="s">
        <v>3189</v>
      </c>
      <c r="H1028" s="341" t="s">
        <v>10107</v>
      </c>
      <c r="I1028" s="341" t="s">
        <v>2338</v>
      </c>
      <c r="J1028" s="342">
        <v>0</v>
      </c>
      <c r="K1028" s="342" t="s">
        <v>9623</v>
      </c>
      <c r="L1028" s="342">
        <v>0</v>
      </c>
    </row>
    <row r="1029" spans="1:12" x14ac:dyDescent="0.25">
      <c r="A1029" s="341" t="s">
        <v>3190</v>
      </c>
      <c r="B1029" s="341" t="s">
        <v>10108</v>
      </c>
      <c r="C1029" s="341" t="s">
        <v>2338</v>
      </c>
      <c r="D1029" s="342">
        <v>1</v>
      </c>
      <c r="E1029" s="342">
        <v>0</v>
      </c>
      <c r="F1029" s="342" t="s">
        <v>9622</v>
      </c>
      <c r="G1029" s="341" t="s">
        <v>3191</v>
      </c>
      <c r="H1029" s="341" t="s">
        <v>10108</v>
      </c>
      <c r="I1029" s="341" t="s">
        <v>2338</v>
      </c>
      <c r="J1029" s="342">
        <v>0</v>
      </c>
      <c r="K1029" s="342" t="s">
        <v>9623</v>
      </c>
      <c r="L1029" s="342">
        <v>0</v>
      </c>
    </row>
    <row r="1030" spans="1:12" x14ac:dyDescent="0.25">
      <c r="A1030" s="341" t="s">
        <v>3192</v>
      </c>
      <c r="B1030" s="341" t="s">
        <v>10109</v>
      </c>
      <c r="C1030" s="341" t="s">
        <v>2338</v>
      </c>
      <c r="D1030" s="342">
        <v>1</v>
      </c>
      <c r="E1030" s="342">
        <v>0</v>
      </c>
      <c r="F1030" s="342" t="s">
        <v>9622</v>
      </c>
      <c r="G1030" s="341" t="s">
        <v>3193</v>
      </c>
      <c r="H1030" s="341" t="s">
        <v>10109</v>
      </c>
      <c r="I1030" s="341" t="s">
        <v>2338</v>
      </c>
      <c r="J1030" s="342">
        <v>0</v>
      </c>
      <c r="K1030" s="342" t="s">
        <v>9623</v>
      </c>
      <c r="L1030" s="342">
        <v>0</v>
      </c>
    </row>
    <row r="1031" spans="1:12" x14ac:dyDescent="0.25">
      <c r="A1031" s="341" t="s">
        <v>3194</v>
      </c>
      <c r="B1031" s="341" t="s">
        <v>2527</v>
      </c>
      <c r="C1031" s="341" t="s">
        <v>2338</v>
      </c>
      <c r="D1031" s="342">
        <v>1</v>
      </c>
      <c r="E1031" s="342">
        <v>0</v>
      </c>
      <c r="F1031" s="342" t="s">
        <v>9622</v>
      </c>
      <c r="G1031" s="341" t="s">
        <v>3195</v>
      </c>
      <c r="H1031" s="341" t="s">
        <v>2527</v>
      </c>
      <c r="I1031" s="341" t="s">
        <v>2338</v>
      </c>
      <c r="J1031" s="342">
        <v>0</v>
      </c>
      <c r="K1031" s="342" t="s">
        <v>9623</v>
      </c>
      <c r="L1031" s="342">
        <v>0</v>
      </c>
    </row>
    <row r="1032" spans="1:12" x14ac:dyDescent="0.25">
      <c r="A1032" s="341" t="s">
        <v>3196</v>
      </c>
      <c r="B1032" s="341" t="s">
        <v>2528</v>
      </c>
      <c r="C1032" s="341" t="s">
        <v>6602</v>
      </c>
      <c r="D1032" s="342">
        <v>1</v>
      </c>
      <c r="E1032" s="342">
        <v>0</v>
      </c>
      <c r="F1032" s="342" t="s">
        <v>9622</v>
      </c>
      <c r="G1032" s="341" t="s">
        <v>3197</v>
      </c>
      <c r="H1032" s="341" t="s">
        <v>2528</v>
      </c>
      <c r="I1032" s="341" t="s">
        <v>6602</v>
      </c>
      <c r="J1032" s="342">
        <v>0</v>
      </c>
      <c r="K1032" s="342" t="s">
        <v>9623</v>
      </c>
      <c r="L1032" s="342">
        <v>0</v>
      </c>
    </row>
    <row r="1033" spans="1:12" x14ac:dyDescent="0.25">
      <c r="A1033" s="341" t="s">
        <v>3198</v>
      </c>
      <c r="B1033" s="341" t="s">
        <v>10110</v>
      </c>
      <c r="C1033" s="341" t="s">
        <v>2338</v>
      </c>
      <c r="D1033" s="342">
        <v>1</v>
      </c>
      <c r="E1033" s="342">
        <v>0</v>
      </c>
      <c r="F1033" s="342" t="s">
        <v>9622</v>
      </c>
      <c r="G1033" s="341" t="s">
        <v>222</v>
      </c>
      <c r="H1033" s="341" t="s">
        <v>10110</v>
      </c>
      <c r="I1033" s="341" t="s">
        <v>2338</v>
      </c>
      <c r="J1033" s="342">
        <v>1</v>
      </c>
      <c r="K1033" s="342" t="s">
        <v>9623</v>
      </c>
      <c r="L1033" s="342">
        <v>0</v>
      </c>
    </row>
    <row r="1034" spans="1:12" x14ac:dyDescent="0.25">
      <c r="A1034" s="341" t="s">
        <v>3199</v>
      </c>
      <c r="B1034" s="341" t="s">
        <v>2534</v>
      </c>
      <c r="C1034" s="341" t="s">
        <v>6603</v>
      </c>
      <c r="D1034" s="342">
        <v>1</v>
      </c>
      <c r="E1034" s="342">
        <v>0</v>
      </c>
      <c r="F1034" s="342" t="s">
        <v>9622</v>
      </c>
      <c r="G1034" s="341" t="s">
        <v>226</v>
      </c>
      <c r="H1034" s="341" t="s">
        <v>2534</v>
      </c>
      <c r="I1034" s="341" t="s">
        <v>6603</v>
      </c>
      <c r="J1034" s="342">
        <v>1</v>
      </c>
      <c r="K1034" s="342" t="s">
        <v>9623</v>
      </c>
      <c r="L1034" s="342">
        <v>0</v>
      </c>
    </row>
    <row r="1035" spans="1:12" x14ac:dyDescent="0.25">
      <c r="A1035" s="341" t="s">
        <v>3200</v>
      </c>
      <c r="B1035" s="341" t="s">
        <v>2535</v>
      </c>
      <c r="C1035" s="341" t="s">
        <v>6602</v>
      </c>
      <c r="D1035" s="342">
        <v>1</v>
      </c>
      <c r="E1035" s="342">
        <v>0</v>
      </c>
      <c r="F1035" s="342" t="s">
        <v>9622</v>
      </c>
      <c r="G1035" s="341" t="s">
        <v>227</v>
      </c>
      <c r="H1035" s="341" t="s">
        <v>2535</v>
      </c>
      <c r="I1035" s="341" t="s">
        <v>6602</v>
      </c>
      <c r="J1035" s="342">
        <v>1</v>
      </c>
      <c r="K1035" s="342" t="s">
        <v>9623</v>
      </c>
      <c r="L1035" s="342">
        <v>0</v>
      </c>
    </row>
    <row r="1036" spans="1:12" x14ac:dyDescent="0.25">
      <c r="A1036" s="341" t="s">
        <v>3201</v>
      </c>
      <c r="B1036" s="341" t="s">
        <v>2540</v>
      </c>
      <c r="C1036" s="341" t="s">
        <v>10111</v>
      </c>
      <c r="D1036" s="342">
        <v>1</v>
      </c>
      <c r="E1036" s="342">
        <v>0</v>
      </c>
      <c r="F1036" s="342" t="s">
        <v>9622</v>
      </c>
      <c r="G1036" s="341" t="s">
        <v>5408</v>
      </c>
      <c r="H1036" s="341" t="s">
        <v>10112</v>
      </c>
      <c r="I1036" s="341" t="s">
        <v>2338</v>
      </c>
      <c r="J1036" s="342">
        <v>1</v>
      </c>
      <c r="K1036" s="342" t="s">
        <v>9623</v>
      </c>
      <c r="L1036" s="342">
        <v>0</v>
      </c>
    </row>
    <row r="1037" spans="1:12" x14ac:dyDescent="0.25">
      <c r="A1037" s="341" t="s">
        <v>3202</v>
      </c>
      <c r="B1037" s="341" t="s">
        <v>2541</v>
      </c>
      <c r="C1037" s="341" t="s">
        <v>10111</v>
      </c>
      <c r="D1037" s="342">
        <v>1</v>
      </c>
      <c r="E1037" s="342">
        <v>0</v>
      </c>
      <c r="F1037" s="342" t="s">
        <v>9622</v>
      </c>
      <c r="G1037" s="341" t="s">
        <v>6252</v>
      </c>
      <c r="H1037" s="341" t="s">
        <v>2541</v>
      </c>
      <c r="I1037" s="341" t="s">
        <v>2338</v>
      </c>
      <c r="J1037" s="342">
        <v>1</v>
      </c>
      <c r="K1037" s="342" t="s">
        <v>9623</v>
      </c>
      <c r="L1037" s="342">
        <v>0</v>
      </c>
    </row>
    <row r="1038" spans="1:12" x14ac:dyDescent="0.25">
      <c r="A1038" s="341" t="s">
        <v>3203</v>
      </c>
      <c r="B1038" s="341" t="s">
        <v>10113</v>
      </c>
      <c r="C1038" s="341" t="s">
        <v>2338</v>
      </c>
      <c r="D1038" s="342">
        <v>1</v>
      </c>
      <c r="E1038" s="342">
        <v>0</v>
      </c>
      <c r="F1038" s="342" t="s">
        <v>9622</v>
      </c>
      <c r="G1038" s="341" t="s">
        <v>3204</v>
      </c>
      <c r="H1038" s="341" t="s">
        <v>10113</v>
      </c>
      <c r="I1038" s="341" t="s">
        <v>2338</v>
      </c>
      <c r="J1038" s="342">
        <v>1</v>
      </c>
      <c r="K1038" s="342" t="s">
        <v>9623</v>
      </c>
      <c r="L1038" s="342">
        <v>0</v>
      </c>
    </row>
    <row r="1039" spans="1:12" x14ac:dyDescent="0.25">
      <c r="A1039" s="341" t="s">
        <v>3205</v>
      </c>
      <c r="B1039" s="341" t="s">
        <v>2544</v>
      </c>
      <c r="C1039" s="341" t="s">
        <v>52</v>
      </c>
      <c r="D1039" s="342">
        <v>1</v>
      </c>
      <c r="E1039" s="342">
        <v>0</v>
      </c>
      <c r="F1039" s="342" t="s">
        <v>9622</v>
      </c>
      <c r="G1039" s="341" t="s">
        <v>1235</v>
      </c>
      <c r="H1039" s="341" t="s">
        <v>6900</v>
      </c>
      <c r="I1039" s="341" t="s">
        <v>4230</v>
      </c>
      <c r="J1039" s="342">
        <v>1</v>
      </c>
      <c r="K1039" s="342" t="s">
        <v>4230</v>
      </c>
      <c r="L1039" s="342">
        <v>0</v>
      </c>
    </row>
    <row r="1040" spans="1:12" x14ac:dyDescent="0.25">
      <c r="A1040" s="341" t="s">
        <v>2420</v>
      </c>
      <c r="B1040" s="341" t="s">
        <v>2420</v>
      </c>
      <c r="C1040" s="341" t="s">
        <v>2420</v>
      </c>
      <c r="D1040" s="342">
        <v>0</v>
      </c>
      <c r="E1040" s="342" t="s">
        <v>2420</v>
      </c>
      <c r="F1040" s="342" t="s">
        <v>9622</v>
      </c>
      <c r="G1040" s="341" t="s">
        <v>229</v>
      </c>
      <c r="H1040" s="341" t="s">
        <v>2544</v>
      </c>
      <c r="I1040" s="341" t="s">
        <v>52</v>
      </c>
      <c r="J1040" s="342">
        <v>1</v>
      </c>
      <c r="K1040" s="342" t="s">
        <v>9623</v>
      </c>
      <c r="L1040" s="342">
        <v>0</v>
      </c>
    </row>
    <row r="1041" spans="1:12" x14ac:dyDescent="0.25">
      <c r="A1041" s="341" t="s">
        <v>3206</v>
      </c>
      <c r="B1041" s="341" t="s">
        <v>10114</v>
      </c>
      <c r="C1041" s="341" t="s">
        <v>52</v>
      </c>
      <c r="D1041" s="342">
        <v>1</v>
      </c>
      <c r="E1041" s="342">
        <v>0</v>
      </c>
      <c r="F1041" s="342" t="s">
        <v>9622</v>
      </c>
      <c r="G1041" s="341" t="s">
        <v>3207</v>
      </c>
      <c r="H1041" s="341" t="s">
        <v>10114</v>
      </c>
      <c r="I1041" s="341" t="s">
        <v>52</v>
      </c>
      <c r="J1041" s="342">
        <v>1</v>
      </c>
      <c r="K1041" s="342" t="s">
        <v>9623</v>
      </c>
      <c r="L1041" s="342">
        <v>0</v>
      </c>
    </row>
    <row r="1042" spans="1:12" x14ac:dyDescent="0.25">
      <c r="A1042" s="341" t="s">
        <v>3208</v>
      </c>
      <c r="B1042" s="341" t="s">
        <v>10115</v>
      </c>
      <c r="C1042" s="341" t="s">
        <v>52</v>
      </c>
      <c r="D1042" s="342">
        <v>1</v>
      </c>
      <c r="E1042" s="342">
        <v>0</v>
      </c>
      <c r="F1042" s="342" t="s">
        <v>9622</v>
      </c>
      <c r="G1042" s="341" t="s">
        <v>1884</v>
      </c>
      <c r="H1042" s="341" t="s">
        <v>10115</v>
      </c>
      <c r="I1042" s="341" t="s">
        <v>52</v>
      </c>
      <c r="J1042" s="342">
        <v>1</v>
      </c>
      <c r="K1042" s="342" t="s">
        <v>9623</v>
      </c>
      <c r="L1042" s="342">
        <v>0</v>
      </c>
    </row>
    <row r="1043" spans="1:12" x14ac:dyDescent="0.25">
      <c r="A1043" s="341" t="s">
        <v>3209</v>
      </c>
      <c r="B1043" s="341" t="s">
        <v>2547</v>
      </c>
      <c r="C1043" s="341" t="s">
        <v>52</v>
      </c>
      <c r="D1043" s="342">
        <v>1</v>
      </c>
      <c r="E1043" s="342">
        <v>0</v>
      </c>
      <c r="F1043" s="342" t="s">
        <v>9622</v>
      </c>
      <c r="G1043" s="341" t="s">
        <v>232</v>
      </c>
      <c r="H1043" s="341" t="s">
        <v>2547</v>
      </c>
      <c r="I1043" s="341" t="s">
        <v>52</v>
      </c>
      <c r="J1043" s="342">
        <v>1</v>
      </c>
      <c r="K1043" s="342" t="s">
        <v>9623</v>
      </c>
      <c r="L1043" s="342">
        <v>0</v>
      </c>
    </row>
    <row r="1044" spans="1:12" x14ac:dyDescent="0.25">
      <c r="A1044" s="341" t="s">
        <v>3210</v>
      </c>
      <c r="B1044" s="341" t="s">
        <v>2548</v>
      </c>
      <c r="C1044" s="341" t="s">
        <v>52</v>
      </c>
      <c r="D1044" s="342">
        <v>1</v>
      </c>
      <c r="E1044" s="342">
        <v>0</v>
      </c>
      <c r="F1044" s="342" t="s">
        <v>9622</v>
      </c>
      <c r="G1044" s="341" t="s">
        <v>233</v>
      </c>
      <c r="H1044" s="341" t="s">
        <v>2548</v>
      </c>
      <c r="I1044" s="341" t="s">
        <v>52</v>
      </c>
      <c r="J1044" s="342">
        <v>1</v>
      </c>
      <c r="K1044" s="342" t="s">
        <v>9623</v>
      </c>
      <c r="L1044" s="342">
        <v>0</v>
      </c>
    </row>
    <row r="1045" spans="1:12" x14ac:dyDescent="0.25">
      <c r="A1045" s="341" t="s">
        <v>3211</v>
      </c>
      <c r="B1045" s="341" t="s">
        <v>2549</v>
      </c>
      <c r="C1045" s="341" t="s">
        <v>52</v>
      </c>
      <c r="D1045" s="342">
        <v>1</v>
      </c>
      <c r="E1045" s="342">
        <v>0</v>
      </c>
      <c r="F1045" s="342" t="s">
        <v>9622</v>
      </c>
      <c r="G1045" s="341" t="s">
        <v>234</v>
      </c>
      <c r="H1045" s="341" t="s">
        <v>2549</v>
      </c>
      <c r="I1045" s="341" t="s">
        <v>52</v>
      </c>
      <c r="J1045" s="342">
        <v>1</v>
      </c>
      <c r="K1045" s="342" t="s">
        <v>9623</v>
      </c>
      <c r="L1045" s="342">
        <v>0</v>
      </c>
    </row>
    <row r="1046" spans="1:12" x14ac:dyDescent="0.25">
      <c r="A1046" s="341" t="s">
        <v>3212</v>
      </c>
      <c r="B1046" s="341" t="s">
        <v>10116</v>
      </c>
      <c r="C1046" s="341" t="s">
        <v>16</v>
      </c>
      <c r="D1046" s="342">
        <v>1</v>
      </c>
      <c r="E1046" s="342">
        <v>0</v>
      </c>
      <c r="F1046" s="342" t="s">
        <v>9622</v>
      </c>
      <c r="G1046" s="341" t="s">
        <v>237</v>
      </c>
      <c r="H1046" s="341" t="s">
        <v>10116</v>
      </c>
      <c r="I1046" s="341" t="s">
        <v>16</v>
      </c>
      <c r="J1046" s="342">
        <v>1</v>
      </c>
      <c r="K1046" s="342" t="s">
        <v>9623</v>
      </c>
      <c r="L1046" s="342">
        <v>0</v>
      </c>
    </row>
    <row r="1047" spans="1:12" x14ac:dyDescent="0.25">
      <c r="A1047" s="341" t="s">
        <v>3213</v>
      </c>
      <c r="B1047" s="341" t="s">
        <v>10117</v>
      </c>
      <c r="C1047" s="341" t="s">
        <v>52</v>
      </c>
      <c r="D1047" s="342">
        <v>1</v>
      </c>
      <c r="E1047" s="342">
        <v>0</v>
      </c>
      <c r="F1047" s="342" t="s">
        <v>9622</v>
      </c>
      <c r="G1047" s="341" t="s">
        <v>240</v>
      </c>
      <c r="H1047" s="341" t="s">
        <v>10117</v>
      </c>
      <c r="I1047" s="341" t="s">
        <v>52</v>
      </c>
      <c r="J1047" s="342">
        <v>1</v>
      </c>
      <c r="K1047" s="342" t="s">
        <v>9623</v>
      </c>
      <c r="L1047" s="342">
        <v>0</v>
      </c>
    </row>
    <row r="1048" spans="1:12" x14ac:dyDescent="0.25">
      <c r="A1048" s="341" t="s">
        <v>3214</v>
      </c>
      <c r="B1048" s="341" t="s">
        <v>2575</v>
      </c>
      <c r="C1048" s="341" t="s">
        <v>52</v>
      </c>
      <c r="D1048" s="342">
        <v>1</v>
      </c>
      <c r="E1048" s="342">
        <v>0</v>
      </c>
      <c r="F1048" s="342" t="s">
        <v>9622</v>
      </c>
      <c r="G1048" s="341" t="s">
        <v>243</v>
      </c>
      <c r="H1048" s="341" t="s">
        <v>2575</v>
      </c>
      <c r="I1048" s="341" t="s">
        <v>52</v>
      </c>
      <c r="J1048" s="342">
        <v>1</v>
      </c>
      <c r="K1048" s="342" t="s">
        <v>9623</v>
      </c>
      <c r="L1048" s="342">
        <v>0</v>
      </c>
    </row>
    <row r="1049" spans="1:12" x14ac:dyDescent="0.25">
      <c r="A1049" s="341" t="s">
        <v>3215</v>
      </c>
      <c r="B1049" s="341" t="s">
        <v>10118</v>
      </c>
      <c r="C1049" s="341" t="s">
        <v>2338</v>
      </c>
      <c r="D1049" s="342">
        <v>1</v>
      </c>
      <c r="E1049" s="342">
        <v>0</v>
      </c>
      <c r="F1049" s="342" t="s">
        <v>9622</v>
      </c>
      <c r="G1049" s="341" t="s">
        <v>3216</v>
      </c>
      <c r="H1049" s="341" t="s">
        <v>10118</v>
      </c>
      <c r="I1049" s="341" t="s">
        <v>2338</v>
      </c>
      <c r="J1049" s="342">
        <v>0</v>
      </c>
      <c r="K1049" s="342" t="s">
        <v>9623</v>
      </c>
      <c r="L1049" s="342">
        <v>0</v>
      </c>
    </row>
    <row r="1050" spans="1:12" x14ac:dyDescent="0.25">
      <c r="A1050" s="341" t="s">
        <v>3217</v>
      </c>
      <c r="B1050" s="341" t="s">
        <v>10119</v>
      </c>
      <c r="C1050" s="341" t="s">
        <v>52</v>
      </c>
      <c r="D1050" s="342">
        <v>1</v>
      </c>
      <c r="E1050" s="342">
        <v>0</v>
      </c>
      <c r="F1050" s="342" t="s">
        <v>9622</v>
      </c>
      <c r="G1050" s="341" t="s">
        <v>10120</v>
      </c>
      <c r="H1050" s="341" t="s">
        <v>10121</v>
      </c>
      <c r="I1050" s="341" t="s">
        <v>4230</v>
      </c>
      <c r="J1050" s="342">
        <v>4.7530000000000001</v>
      </c>
      <c r="K1050" s="342" t="s">
        <v>4230</v>
      </c>
      <c r="L1050" s="342">
        <v>0</v>
      </c>
    </row>
    <row r="1051" spans="1:12" x14ac:dyDescent="0.25">
      <c r="A1051" s="341" t="s">
        <v>2420</v>
      </c>
      <c r="B1051" s="341" t="s">
        <v>2420</v>
      </c>
      <c r="C1051" s="341" t="s">
        <v>2420</v>
      </c>
      <c r="D1051" s="342">
        <v>0</v>
      </c>
      <c r="E1051" s="342" t="s">
        <v>2420</v>
      </c>
      <c r="F1051" s="342" t="s">
        <v>9622</v>
      </c>
      <c r="G1051" s="341" t="s">
        <v>245</v>
      </c>
      <c r="H1051" s="341" t="s">
        <v>10119</v>
      </c>
      <c r="I1051" s="341" t="s">
        <v>52</v>
      </c>
      <c r="J1051" s="342">
        <v>1</v>
      </c>
      <c r="K1051" s="342" t="s">
        <v>9623</v>
      </c>
      <c r="L1051" s="342">
        <v>0</v>
      </c>
    </row>
    <row r="1052" spans="1:12" x14ac:dyDescent="0.25">
      <c r="A1052" s="341" t="s">
        <v>3218</v>
      </c>
      <c r="B1052" s="341" t="s">
        <v>2547</v>
      </c>
      <c r="C1052" s="341" t="s">
        <v>52</v>
      </c>
      <c r="D1052" s="342">
        <v>1</v>
      </c>
      <c r="E1052" s="342">
        <v>0</v>
      </c>
      <c r="F1052" s="342" t="s">
        <v>9622</v>
      </c>
      <c r="G1052" s="341" t="s">
        <v>232</v>
      </c>
      <c r="H1052" s="341" t="s">
        <v>2547</v>
      </c>
      <c r="I1052" s="341" t="s">
        <v>52</v>
      </c>
      <c r="J1052" s="342">
        <v>1</v>
      </c>
      <c r="K1052" s="342" t="s">
        <v>9623</v>
      </c>
      <c r="L1052" s="342">
        <v>0</v>
      </c>
    </row>
    <row r="1053" spans="1:12" x14ac:dyDescent="0.25">
      <c r="A1053" s="341" t="s">
        <v>3219</v>
      </c>
      <c r="B1053" s="341" t="s">
        <v>2590</v>
      </c>
      <c r="C1053" s="341" t="s">
        <v>52</v>
      </c>
      <c r="D1053" s="342">
        <v>1</v>
      </c>
      <c r="E1053" s="342">
        <v>0</v>
      </c>
      <c r="F1053" s="342" t="s">
        <v>9622</v>
      </c>
      <c r="G1053" s="341" t="s">
        <v>10122</v>
      </c>
      <c r="H1053" s="341" t="s">
        <v>10123</v>
      </c>
      <c r="I1053" s="341" t="s">
        <v>4230</v>
      </c>
      <c r="J1053" s="342">
        <v>4.7530000000000001</v>
      </c>
      <c r="K1053" s="342" t="s">
        <v>4230</v>
      </c>
      <c r="L1053" s="342">
        <v>0</v>
      </c>
    </row>
    <row r="1054" spans="1:12" x14ac:dyDescent="0.25">
      <c r="A1054" s="341" t="s">
        <v>2420</v>
      </c>
      <c r="B1054" s="341" t="s">
        <v>2420</v>
      </c>
      <c r="C1054" s="341" t="s">
        <v>2420</v>
      </c>
      <c r="D1054" s="342">
        <v>0</v>
      </c>
      <c r="E1054" s="342" t="s">
        <v>2420</v>
      </c>
      <c r="F1054" s="342" t="s">
        <v>9622</v>
      </c>
      <c r="G1054" s="341" t="s">
        <v>10124</v>
      </c>
      <c r="H1054" s="341" t="s">
        <v>2590</v>
      </c>
      <c r="I1054" s="341" t="s">
        <v>52</v>
      </c>
      <c r="J1054" s="342">
        <v>1</v>
      </c>
      <c r="K1054" s="342" t="s">
        <v>9623</v>
      </c>
      <c r="L1054" s="342">
        <v>0</v>
      </c>
    </row>
    <row r="1055" spans="1:12" x14ac:dyDescent="0.25">
      <c r="A1055" s="341" t="s">
        <v>3220</v>
      </c>
      <c r="B1055" s="341" t="s">
        <v>2547</v>
      </c>
      <c r="C1055" s="341" t="s">
        <v>52</v>
      </c>
      <c r="D1055" s="342">
        <v>1</v>
      </c>
      <c r="E1055" s="342">
        <v>0</v>
      </c>
      <c r="F1055" s="342" t="s">
        <v>9622</v>
      </c>
      <c r="G1055" s="341" t="s">
        <v>232</v>
      </c>
      <c r="H1055" s="341" t="s">
        <v>2547</v>
      </c>
      <c r="I1055" s="341" t="s">
        <v>52</v>
      </c>
      <c r="J1055" s="342">
        <v>1</v>
      </c>
      <c r="K1055" s="342" t="s">
        <v>9623</v>
      </c>
      <c r="L1055" s="342">
        <v>0</v>
      </c>
    </row>
    <row r="1056" spans="1:12" x14ac:dyDescent="0.25">
      <c r="A1056" s="341" t="s">
        <v>3221</v>
      </c>
      <c r="B1056" s="341" t="s">
        <v>10118</v>
      </c>
      <c r="C1056" s="341" t="s">
        <v>2338</v>
      </c>
      <c r="D1056" s="342">
        <v>1</v>
      </c>
      <c r="E1056" s="342">
        <v>0</v>
      </c>
      <c r="F1056" s="342" t="s">
        <v>9622</v>
      </c>
      <c r="G1056" s="341" t="s">
        <v>3216</v>
      </c>
      <c r="H1056" s="341" t="s">
        <v>10118</v>
      </c>
      <c r="I1056" s="341" t="s">
        <v>2338</v>
      </c>
      <c r="J1056" s="342">
        <v>0</v>
      </c>
      <c r="K1056" s="342" t="s">
        <v>9623</v>
      </c>
      <c r="L1056" s="342">
        <v>0</v>
      </c>
    </row>
    <row r="1057" spans="1:12" x14ac:dyDescent="0.25">
      <c r="A1057" s="341" t="s">
        <v>3222</v>
      </c>
      <c r="B1057" s="341" t="s">
        <v>10125</v>
      </c>
      <c r="C1057" s="341" t="s">
        <v>25</v>
      </c>
      <c r="D1057" s="342">
        <v>1</v>
      </c>
      <c r="E1057" s="342">
        <v>0</v>
      </c>
      <c r="F1057" s="342" t="s">
        <v>9622</v>
      </c>
      <c r="G1057" s="341" t="s">
        <v>1235</v>
      </c>
      <c r="H1057" s="341" t="s">
        <v>6900</v>
      </c>
      <c r="I1057" s="341" t="s">
        <v>4230</v>
      </c>
      <c r="J1057" s="342">
        <v>0.25090000000000001</v>
      </c>
      <c r="K1057" s="342" t="s">
        <v>4230</v>
      </c>
      <c r="L1057" s="342">
        <v>0</v>
      </c>
    </row>
    <row r="1058" spans="1:12" x14ac:dyDescent="0.25">
      <c r="A1058" s="341" t="s">
        <v>2420</v>
      </c>
      <c r="B1058" s="341" t="s">
        <v>2420</v>
      </c>
      <c r="C1058" s="341" t="s">
        <v>2420</v>
      </c>
      <c r="D1058" s="342">
        <v>0</v>
      </c>
      <c r="E1058" s="342" t="s">
        <v>2420</v>
      </c>
      <c r="F1058" s="342" t="s">
        <v>9622</v>
      </c>
      <c r="G1058" s="341" t="s">
        <v>3223</v>
      </c>
      <c r="H1058" s="341" t="s">
        <v>10125</v>
      </c>
      <c r="I1058" s="341" t="s">
        <v>25</v>
      </c>
      <c r="J1058" s="342">
        <v>1</v>
      </c>
      <c r="K1058" s="342" t="s">
        <v>9623</v>
      </c>
      <c r="L1058" s="342">
        <v>0</v>
      </c>
    </row>
    <row r="1059" spans="1:12" x14ac:dyDescent="0.25">
      <c r="A1059" s="341" t="s">
        <v>3224</v>
      </c>
      <c r="B1059" s="341" t="s">
        <v>10126</v>
      </c>
      <c r="C1059" s="341" t="s">
        <v>25</v>
      </c>
      <c r="D1059" s="342">
        <v>1</v>
      </c>
      <c r="E1059" s="342">
        <v>0</v>
      </c>
      <c r="F1059" s="342" t="s">
        <v>9622</v>
      </c>
      <c r="G1059" s="341" t="s">
        <v>1235</v>
      </c>
      <c r="H1059" s="341" t="s">
        <v>6900</v>
      </c>
      <c r="I1059" s="341" t="s">
        <v>4230</v>
      </c>
      <c r="J1059" s="342">
        <v>0.1</v>
      </c>
      <c r="K1059" s="342" t="s">
        <v>4230</v>
      </c>
      <c r="L1059" s="342">
        <v>0</v>
      </c>
    </row>
    <row r="1060" spans="1:12" x14ac:dyDescent="0.25">
      <c r="A1060" s="341" t="s">
        <v>2420</v>
      </c>
      <c r="B1060" s="341" t="s">
        <v>2420</v>
      </c>
      <c r="C1060" s="341" t="s">
        <v>2420</v>
      </c>
      <c r="D1060" s="342">
        <v>0</v>
      </c>
      <c r="E1060" s="342" t="s">
        <v>2420</v>
      </c>
      <c r="F1060" s="342" t="s">
        <v>9622</v>
      </c>
      <c r="G1060" s="341" t="s">
        <v>251</v>
      </c>
      <c r="H1060" s="341" t="s">
        <v>10126</v>
      </c>
      <c r="I1060" s="341" t="s">
        <v>25</v>
      </c>
      <c r="J1060" s="342">
        <v>1</v>
      </c>
      <c r="K1060" s="342" t="s">
        <v>9623</v>
      </c>
      <c r="L1060" s="342">
        <v>0</v>
      </c>
    </row>
    <row r="1061" spans="1:12" x14ac:dyDescent="0.25">
      <c r="A1061" s="341" t="s">
        <v>3225</v>
      </c>
      <c r="B1061" s="341" t="s">
        <v>10127</v>
      </c>
      <c r="C1061" s="341" t="s">
        <v>25</v>
      </c>
      <c r="D1061" s="342">
        <v>1</v>
      </c>
      <c r="E1061" s="342">
        <v>0</v>
      </c>
      <c r="F1061" s="342" t="s">
        <v>9622</v>
      </c>
      <c r="G1061" s="341" t="s">
        <v>1235</v>
      </c>
      <c r="H1061" s="341" t="s">
        <v>6900</v>
      </c>
      <c r="I1061" s="341" t="s">
        <v>4230</v>
      </c>
      <c r="J1061" s="342">
        <v>0.307</v>
      </c>
      <c r="K1061" s="342" t="s">
        <v>4230</v>
      </c>
      <c r="L1061" s="342">
        <v>0</v>
      </c>
    </row>
    <row r="1062" spans="1:12" x14ac:dyDescent="0.25">
      <c r="A1062" s="341" t="s">
        <v>2420</v>
      </c>
      <c r="B1062" s="341" t="s">
        <v>2420</v>
      </c>
      <c r="C1062" s="341" t="s">
        <v>2420</v>
      </c>
      <c r="D1062" s="342">
        <v>0</v>
      </c>
      <c r="E1062" s="342" t="s">
        <v>2420</v>
      </c>
      <c r="F1062" s="342" t="s">
        <v>9622</v>
      </c>
      <c r="G1062" s="341" t="s">
        <v>252</v>
      </c>
      <c r="H1062" s="341" t="s">
        <v>10127</v>
      </c>
      <c r="I1062" s="341" t="s">
        <v>25</v>
      </c>
      <c r="J1062" s="342">
        <v>1</v>
      </c>
      <c r="K1062" s="342" t="s">
        <v>9623</v>
      </c>
      <c r="L1062" s="342">
        <v>0</v>
      </c>
    </row>
    <row r="1063" spans="1:12" x14ac:dyDescent="0.25">
      <c r="A1063" s="341" t="s">
        <v>3226</v>
      </c>
      <c r="B1063" s="341" t="s">
        <v>10128</v>
      </c>
      <c r="C1063" s="341" t="s">
        <v>25</v>
      </c>
      <c r="D1063" s="342">
        <v>1</v>
      </c>
      <c r="E1063" s="342">
        <v>0</v>
      </c>
      <c r="F1063" s="342" t="s">
        <v>9622</v>
      </c>
      <c r="G1063" s="341" t="s">
        <v>1235</v>
      </c>
      <c r="H1063" s="341" t="s">
        <v>6900</v>
      </c>
      <c r="I1063" s="341" t="s">
        <v>4230</v>
      </c>
      <c r="J1063" s="342">
        <v>0.55249999999999999</v>
      </c>
      <c r="K1063" s="342" t="s">
        <v>4230</v>
      </c>
      <c r="L1063" s="342">
        <v>0</v>
      </c>
    </row>
    <row r="1064" spans="1:12" x14ac:dyDescent="0.25">
      <c r="A1064" s="341" t="s">
        <v>2420</v>
      </c>
      <c r="B1064" s="341" t="s">
        <v>2420</v>
      </c>
      <c r="C1064" s="341" t="s">
        <v>2420</v>
      </c>
      <c r="D1064" s="342">
        <v>0</v>
      </c>
      <c r="E1064" s="342" t="s">
        <v>2420</v>
      </c>
      <c r="F1064" s="342" t="s">
        <v>9622</v>
      </c>
      <c r="G1064" s="341" t="s">
        <v>253</v>
      </c>
      <c r="H1064" s="341" t="s">
        <v>10128</v>
      </c>
      <c r="I1064" s="341" t="s">
        <v>25</v>
      </c>
      <c r="J1064" s="342">
        <v>1</v>
      </c>
      <c r="K1064" s="342" t="s">
        <v>9623</v>
      </c>
      <c r="L1064" s="342">
        <v>0</v>
      </c>
    </row>
    <row r="1065" spans="1:12" x14ac:dyDescent="0.25">
      <c r="A1065" s="341" t="s">
        <v>3227</v>
      </c>
      <c r="B1065" s="341" t="s">
        <v>10129</v>
      </c>
      <c r="C1065" s="341" t="s">
        <v>25</v>
      </c>
      <c r="D1065" s="342">
        <v>1</v>
      </c>
      <c r="E1065" s="342">
        <v>0</v>
      </c>
      <c r="F1065" s="342" t="s">
        <v>9622</v>
      </c>
      <c r="G1065" s="341" t="s">
        <v>1235</v>
      </c>
      <c r="H1065" s="341" t="s">
        <v>6900</v>
      </c>
      <c r="I1065" s="341" t="s">
        <v>4230</v>
      </c>
      <c r="J1065" s="342">
        <v>0.35659999999999997</v>
      </c>
      <c r="K1065" s="342" t="s">
        <v>4230</v>
      </c>
      <c r="L1065" s="342">
        <v>0</v>
      </c>
    </row>
    <row r="1066" spans="1:12" x14ac:dyDescent="0.25">
      <c r="A1066" s="341" t="s">
        <v>2420</v>
      </c>
      <c r="B1066" s="341" t="s">
        <v>2420</v>
      </c>
      <c r="C1066" s="341" t="s">
        <v>2420</v>
      </c>
      <c r="D1066" s="342">
        <v>0</v>
      </c>
      <c r="E1066" s="342" t="s">
        <v>2420</v>
      </c>
      <c r="F1066" s="342" t="s">
        <v>9622</v>
      </c>
      <c r="G1066" s="341" t="s">
        <v>254</v>
      </c>
      <c r="H1066" s="341" t="s">
        <v>10129</v>
      </c>
      <c r="I1066" s="341" t="s">
        <v>25</v>
      </c>
      <c r="J1066" s="342">
        <v>1</v>
      </c>
      <c r="K1066" s="342" t="s">
        <v>9623</v>
      </c>
      <c r="L1066" s="342">
        <v>0</v>
      </c>
    </row>
    <row r="1067" spans="1:12" x14ac:dyDescent="0.25">
      <c r="A1067" s="341" t="s">
        <v>3228</v>
      </c>
      <c r="B1067" s="341" t="s">
        <v>10130</v>
      </c>
      <c r="C1067" s="341" t="s">
        <v>25</v>
      </c>
      <c r="D1067" s="342">
        <v>1</v>
      </c>
      <c r="E1067" s="342">
        <v>0</v>
      </c>
      <c r="F1067" s="342" t="s">
        <v>9622</v>
      </c>
      <c r="G1067" s="341" t="s">
        <v>1235</v>
      </c>
      <c r="H1067" s="341" t="s">
        <v>6900</v>
      </c>
      <c r="I1067" s="341" t="s">
        <v>4230</v>
      </c>
      <c r="J1067" s="342">
        <v>0.39960000000000001</v>
      </c>
      <c r="K1067" s="342" t="s">
        <v>4230</v>
      </c>
      <c r="L1067" s="342">
        <v>0</v>
      </c>
    </row>
    <row r="1068" spans="1:12" x14ac:dyDescent="0.25">
      <c r="A1068" s="341" t="s">
        <v>2420</v>
      </c>
      <c r="B1068" s="341" t="s">
        <v>2420</v>
      </c>
      <c r="C1068" s="341" t="s">
        <v>2420</v>
      </c>
      <c r="D1068" s="342">
        <v>0</v>
      </c>
      <c r="E1068" s="342" t="s">
        <v>2420</v>
      </c>
      <c r="F1068" s="342" t="s">
        <v>9622</v>
      </c>
      <c r="G1068" s="341" t="s">
        <v>255</v>
      </c>
      <c r="H1068" s="341" t="s">
        <v>10130</v>
      </c>
      <c r="I1068" s="341" t="s">
        <v>25</v>
      </c>
      <c r="J1068" s="342">
        <v>1</v>
      </c>
      <c r="K1068" s="342" t="s">
        <v>9623</v>
      </c>
      <c r="L1068" s="342">
        <v>0</v>
      </c>
    </row>
    <row r="1069" spans="1:12" x14ac:dyDescent="0.25">
      <c r="A1069" s="341" t="s">
        <v>3229</v>
      </c>
      <c r="B1069" s="341" t="s">
        <v>10131</v>
      </c>
      <c r="C1069" s="341" t="s">
        <v>6602</v>
      </c>
      <c r="D1069" s="342">
        <v>1</v>
      </c>
      <c r="E1069" s="342">
        <v>0</v>
      </c>
      <c r="F1069" s="342" t="s">
        <v>9622</v>
      </c>
      <c r="G1069" s="341" t="s">
        <v>256</v>
      </c>
      <c r="H1069" s="341" t="s">
        <v>10132</v>
      </c>
      <c r="I1069" s="341" t="s">
        <v>6602</v>
      </c>
      <c r="J1069" s="342">
        <v>1</v>
      </c>
      <c r="K1069" s="342" t="s">
        <v>4230</v>
      </c>
      <c r="L1069" s="342">
        <v>0</v>
      </c>
    </row>
    <row r="1070" spans="1:12" x14ac:dyDescent="0.25">
      <c r="A1070" s="341" t="s">
        <v>3230</v>
      </c>
      <c r="B1070" s="341" t="s">
        <v>10118</v>
      </c>
      <c r="C1070" s="341" t="s">
        <v>2338</v>
      </c>
      <c r="D1070" s="342">
        <v>1</v>
      </c>
      <c r="E1070" s="342">
        <v>0</v>
      </c>
      <c r="F1070" s="342" t="s">
        <v>9622</v>
      </c>
      <c r="G1070" s="341" t="s">
        <v>3216</v>
      </c>
      <c r="H1070" s="341" t="s">
        <v>10118</v>
      </c>
      <c r="I1070" s="341" t="s">
        <v>2338</v>
      </c>
      <c r="J1070" s="342">
        <v>0</v>
      </c>
      <c r="K1070" s="342" t="s">
        <v>9623</v>
      </c>
      <c r="L1070" s="342">
        <v>0</v>
      </c>
    </row>
    <row r="1071" spans="1:12" x14ac:dyDescent="0.25">
      <c r="A1071" s="341" t="s">
        <v>3231</v>
      </c>
      <c r="B1071" s="341" t="s">
        <v>2605</v>
      </c>
      <c r="C1071" s="341" t="s">
        <v>25</v>
      </c>
      <c r="D1071" s="342">
        <v>1</v>
      </c>
      <c r="E1071" s="342">
        <v>0</v>
      </c>
      <c r="F1071" s="342" t="s">
        <v>9622</v>
      </c>
      <c r="G1071" s="341" t="s">
        <v>10120</v>
      </c>
      <c r="H1071" s="341" t="s">
        <v>10121</v>
      </c>
      <c r="I1071" s="341" t="s">
        <v>4230</v>
      </c>
      <c r="J1071" s="342">
        <v>6.8440000000000003</v>
      </c>
      <c r="K1071" s="342" t="s">
        <v>4230</v>
      </c>
      <c r="L1071" s="342">
        <v>0</v>
      </c>
    </row>
    <row r="1072" spans="1:12" x14ac:dyDescent="0.25">
      <c r="A1072" s="341" t="s">
        <v>2420</v>
      </c>
      <c r="B1072" s="341" t="s">
        <v>2420</v>
      </c>
      <c r="C1072" s="341" t="s">
        <v>2420</v>
      </c>
      <c r="D1072" s="342">
        <v>0</v>
      </c>
      <c r="E1072" s="342" t="s">
        <v>2420</v>
      </c>
      <c r="F1072" s="342" t="s">
        <v>9622</v>
      </c>
      <c r="G1072" s="341" t="s">
        <v>258</v>
      </c>
      <c r="H1072" s="341" t="s">
        <v>2605</v>
      </c>
      <c r="I1072" s="341" t="s">
        <v>25</v>
      </c>
      <c r="J1072" s="342">
        <v>1</v>
      </c>
      <c r="K1072" s="342" t="s">
        <v>9623</v>
      </c>
      <c r="L1072" s="342">
        <v>0</v>
      </c>
    </row>
    <row r="1073" spans="1:12" x14ac:dyDescent="0.25">
      <c r="A1073" s="341" t="s">
        <v>3232</v>
      </c>
      <c r="B1073" s="341" t="s">
        <v>10119</v>
      </c>
      <c r="C1073" s="341" t="s">
        <v>52</v>
      </c>
      <c r="D1073" s="342">
        <v>1</v>
      </c>
      <c r="E1073" s="342">
        <v>0</v>
      </c>
      <c r="F1073" s="342" t="s">
        <v>9622</v>
      </c>
      <c r="G1073" s="341" t="s">
        <v>10120</v>
      </c>
      <c r="H1073" s="341" t="s">
        <v>10121</v>
      </c>
      <c r="I1073" s="341" t="s">
        <v>4230</v>
      </c>
      <c r="J1073" s="342">
        <v>4.7530000000000001</v>
      </c>
      <c r="K1073" s="342" t="s">
        <v>4230</v>
      </c>
      <c r="L1073" s="342">
        <v>0</v>
      </c>
    </row>
    <row r="1074" spans="1:12" x14ac:dyDescent="0.25">
      <c r="A1074" s="341" t="s">
        <v>2420</v>
      </c>
      <c r="B1074" s="341" t="s">
        <v>2420</v>
      </c>
      <c r="C1074" s="341" t="s">
        <v>2420</v>
      </c>
      <c r="D1074" s="342">
        <v>0</v>
      </c>
      <c r="E1074" s="342" t="s">
        <v>2420</v>
      </c>
      <c r="F1074" s="342" t="s">
        <v>9622</v>
      </c>
      <c r="G1074" s="341" t="s">
        <v>245</v>
      </c>
      <c r="H1074" s="341" t="s">
        <v>10119</v>
      </c>
      <c r="I1074" s="341" t="s">
        <v>52</v>
      </c>
      <c r="J1074" s="342">
        <v>1</v>
      </c>
      <c r="K1074" s="342" t="s">
        <v>9623</v>
      </c>
      <c r="L1074" s="342">
        <v>0</v>
      </c>
    </row>
    <row r="1075" spans="1:12" x14ac:dyDescent="0.25">
      <c r="A1075" s="341" t="s">
        <v>3233</v>
      </c>
      <c r="B1075" s="341" t="s">
        <v>10133</v>
      </c>
      <c r="C1075" s="341" t="s">
        <v>2338</v>
      </c>
      <c r="D1075" s="342">
        <v>1</v>
      </c>
      <c r="E1075" s="342">
        <v>0</v>
      </c>
      <c r="F1075" s="342" t="s">
        <v>9622</v>
      </c>
      <c r="G1075" s="341" t="s">
        <v>3234</v>
      </c>
      <c r="H1075" s="341" t="s">
        <v>10133</v>
      </c>
      <c r="I1075" s="341" t="s">
        <v>2338</v>
      </c>
      <c r="J1075" s="342">
        <v>0</v>
      </c>
      <c r="K1075" s="342" t="s">
        <v>9623</v>
      </c>
      <c r="L1075" s="342">
        <v>0</v>
      </c>
    </row>
    <row r="1076" spans="1:12" x14ac:dyDescent="0.25">
      <c r="A1076" s="341" t="s">
        <v>3235</v>
      </c>
      <c r="B1076" s="341" t="s">
        <v>10134</v>
      </c>
      <c r="C1076" s="341" t="s">
        <v>25</v>
      </c>
      <c r="D1076" s="342">
        <v>1</v>
      </c>
      <c r="E1076" s="342">
        <v>0</v>
      </c>
      <c r="F1076" s="342" t="s">
        <v>9622</v>
      </c>
      <c r="G1076" s="341" t="s">
        <v>1235</v>
      </c>
      <c r="H1076" s="341" t="s">
        <v>6900</v>
      </c>
      <c r="I1076" s="341" t="s">
        <v>4230</v>
      </c>
      <c r="J1076" s="342">
        <v>0.25090000000000001</v>
      </c>
      <c r="K1076" s="342" t="s">
        <v>4230</v>
      </c>
      <c r="L1076" s="342">
        <v>0</v>
      </c>
    </row>
    <row r="1077" spans="1:12" x14ac:dyDescent="0.25">
      <c r="A1077" s="341" t="s">
        <v>2420</v>
      </c>
      <c r="B1077" s="341" t="s">
        <v>2420</v>
      </c>
      <c r="C1077" s="341" t="s">
        <v>2420</v>
      </c>
      <c r="D1077" s="342">
        <v>0</v>
      </c>
      <c r="E1077" s="342" t="s">
        <v>2420</v>
      </c>
      <c r="F1077" s="342" t="s">
        <v>9622</v>
      </c>
      <c r="G1077" s="341" t="s">
        <v>260</v>
      </c>
      <c r="H1077" s="341" t="s">
        <v>10134</v>
      </c>
      <c r="I1077" s="341" t="s">
        <v>25</v>
      </c>
      <c r="J1077" s="342">
        <v>1</v>
      </c>
      <c r="K1077" s="342" t="s">
        <v>9623</v>
      </c>
      <c r="L1077" s="342">
        <v>0</v>
      </c>
    </row>
    <row r="1078" spans="1:12" x14ac:dyDescent="0.25">
      <c r="A1078" s="341" t="s">
        <v>3236</v>
      </c>
      <c r="B1078" s="341" t="s">
        <v>10135</v>
      </c>
      <c r="C1078" s="341" t="s">
        <v>25</v>
      </c>
      <c r="D1078" s="342">
        <v>1</v>
      </c>
      <c r="E1078" s="342">
        <v>0</v>
      </c>
      <c r="F1078" s="342" t="s">
        <v>9622</v>
      </c>
      <c r="G1078" s="341" t="s">
        <v>1235</v>
      </c>
      <c r="H1078" s="341" t="s">
        <v>6900</v>
      </c>
      <c r="I1078" s="341" t="s">
        <v>4230</v>
      </c>
      <c r="J1078" s="342">
        <v>0.42</v>
      </c>
      <c r="K1078" s="342" t="s">
        <v>4230</v>
      </c>
      <c r="L1078" s="342">
        <v>0</v>
      </c>
    </row>
    <row r="1079" spans="1:12" x14ac:dyDescent="0.25">
      <c r="A1079" s="341" t="s">
        <v>2420</v>
      </c>
      <c r="B1079" s="341" t="s">
        <v>2420</v>
      </c>
      <c r="C1079" s="341" t="s">
        <v>2420</v>
      </c>
      <c r="D1079" s="342">
        <v>0</v>
      </c>
      <c r="E1079" s="342" t="s">
        <v>2420</v>
      </c>
      <c r="F1079" s="342" t="s">
        <v>9622</v>
      </c>
      <c r="G1079" s="341" t="s">
        <v>261</v>
      </c>
      <c r="H1079" s="341" t="s">
        <v>10135</v>
      </c>
      <c r="I1079" s="341" t="s">
        <v>25</v>
      </c>
      <c r="J1079" s="342">
        <v>1</v>
      </c>
      <c r="K1079" s="342" t="s">
        <v>9623</v>
      </c>
      <c r="L1079" s="342">
        <v>0</v>
      </c>
    </row>
    <row r="1080" spans="1:12" x14ac:dyDescent="0.25">
      <c r="A1080" s="341" t="s">
        <v>3237</v>
      </c>
      <c r="B1080" s="341" t="s">
        <v>10136</v>
      </c>
      <c r="C1080" s="341" t="s">
        <v>25</v>
      </c>
      <c r="D1080" s="342">
        <v>1</v>
      </c>
      <c r="E1080" s="342">
        <v>0</v>
      </c>
      <c r="F1080" s="342" t="s">
        <v>9622</v>
      </c>
      <c r="G1080" s="341" t="s">
        <v>1235</v>
      </c>
      <c r="H1080" s="341" t="s">
        <v>6900</v>
      </c>
      <c r="I1080" s="341" t="s">
        <v>4230</v>
      </c>
      <c r="J1080" s="342">
        <v>0.45</v>
      </c>
      <c r="K1080" s="342" t="s">
        <v>4230</v>
      </c>
      <c r="L1080" s="342">
        <v>0</v>
      </c>
    </row>
    <row r="1081" spans="1:12" x14ac:dyDescent="0.25">
      <c r="A1081" s="341" t="s">
        <v>2420</v>
      </c>
      <c r="B1081" s="341" t="s">
        <v>2420</v>
      </c>
      <c r="C1081" s="341" t="s">
        <v>2420</v>
      </c>
      <c r="D1081" s="342">
        <v>0</v>
      </c>
      <c r="E1081" s="342" t="s">
        <v>2420</v>
      </c>
      <c r="F1081" s="342" t="s">
        <v>9622</v>
      </c>
      <c r="G1081" s="341" t="s">
        <v>262</v>
      </c>
      <c r="H1081" s="341" t="s">
        <v>10136</v>
      </c>
      <c r="I1081" s="341" t="s">
        <v>25</v>
      </c>
      <c r="J1081" s="342">
        <v>1</v>
      </c>
      <c r="K1081" s="342" t="s">
        <v>9623</v>
      </c>
      <c r="L1081" s="342">
        <v>0</v>
      </c>
    </row>
    <row r="1082" spans="1:12" x14ac:dyDescent="0.25">
      <c r="A1082" s="341" t="s">
        <v>3238</v>
      </c>
      <c r="B1082" s="341" t="s">
        <v>10137</v>
      </c>
      <c r="C1082" s="341" t="s">
        <v>25</v>
      </c>
      <c r="D1082" s="342">
        <v>1</v>
      </c>
      <c r="E1082" s="342">
        <v>0</v>
      </c>
      <c r="F1082" s="342" t="s">
        <v>9622</v>
      </c>
      <c r="G1082" s="341" t="s">
        <v>1235</v>
      </c>
      <c r="H1082" s="341" t="s">
        <v>6900</v>
      </c>
      <c r="I1082" s="341" t="s">
        <v>4230</v>
      </c>
      <c r="J1082" s="342">
        <v>0.55249999999999999</v>
      </c>
      <c r="K1082" s="342" t="s">
        <v>4230</v>
      </c>
      <c r="L1082" s="342">
        <v>0</v>
      </c>
    </row>
    <row r="1083" spans="1:12" x14ac:dyDescent="0.25">
      <c r="A1083" s="341" t="s">
        <v>2420</v>
      </c>
      <c r="B1083" s="341" t="s">
        <v>2420</v>
      </c>
      <c r="C1083" s="341" t="s">
        <v>2420</v>
      </c>
      <c r="D1083" s="342">
        <v>0</v>
      </c>
      <c r="E1083" s="342" t="s">
        <v>2420</v>
      </c>
      <c r="F1083" s="342" t="s">
        <v>9622</v>
      </c>
      <c r="G1083" s="341" t="s">
        <v>263</v>
      </c>
      <c r="H1083" s="341" t="s">
        <v>10137</v>
      </c>
      <c r="I1083" s="341" t="s">
        <v>25</v>
      </c>
      <c r="J1083" s="342">
        <v>1</v>
      </c>
      <c r="K1083" s="342" t="s">
        <v>9623</v>
      </c>
      <c r="L1083" s="342">
        <v>0</v>
      </c>
    </row>
    <row r="1084" spans="1:12" x14ac:dyDescent="0.25">
      <c r="A1084" s="341" t="s">
        <v>3239</v>
      </c>
      <c r="B1084" s="341" t="s">
        <v>10138</v>
      </c>
      <c r="C1084" s="341" t="s">
        <v>25</v>
      </c>
      <c r="D1084" s="342">
        <v>1</v>
      </c>
      <c r="E1084" s="342">
        <v>0</v>
      </c>
      <c r="F1084" s="342" t="s">
        <v>9622</v>
      </c>
      <c r="G1084" s="341" t="s">
        <v>1235</v>
      </c>
      <c r="H1084" s="341" t="s">
        <v>6900</v>
      </c>
      <c r="I1084" s="341" t="s">
        <v>4230</v>
      </c>
      <c r="J1084" s="342">
        <v>0.35659999999999997</v>
      </c>
      <c r="K1084" s="342" t="s">
        <v>4230</v>
      </c>
      <c r="L1084" s="342">
        <v>0</v>
      </c>
    </row>
    <row r="1085" spans="1:12" x14ac:dyDescent="0.25">
      <c r="A1085" s="341" t="s">
        <v>2420</v>
      </c>
      <c r="B1085" s="341" t="s">
        <v>2420</v>
      </c>
      <c r="C1085" s="341" t="s">
        <v>2420</v>
      </c>
      <c r="D1085" s="342">
        <v>0</v>
      </c>
      <c r="E1085" s="342" t="s">
        <v>2420</v>
      </c>
      <c r="F1085" s="342" t="s">
        <v>9622</v>
      </c>
      <c r="G1085" s="341" t="s">
        <v>264</v>
      </c>
      <c r="H1085" s="341" t="s">
        <v>10138</v>
      </c>
      <c r="I1085" s="341" t="s">
        <v>25</v>
      </c>
      <c r="J1085" s="342">
        <v>1</v>
      </c>
      <c r="K1085" s="342" t="s">
        <v>9623</v>
      </c>
      <c r="L1085" s="342">
        <v>0</v>
      </c>
    </row>
    <row r="1086" spans="1:12" x14ac:dyDescent="0.25">
      <c r="A1086" s="341" t="s">
        <v>3240</v>
      </c>
      <c r="B1086" s="341" t="s">
        <v>10139</v>
      </c>
      <c r="C1086" s="341" t="s">
        <v>25</v>
      </c>
      <c r="D1086" s="342">
        <v>1</v>
      </c>
      <c r="E1086" s="342">
        <v>0</v>
      </c>
      <c r="F1086" s="342" t="s">
        <v>9622</v>
      </c>
      <c r="G1086" s="341" t="s">
        <v>1235</v>
      </c>
      <c r="H1086" s="341" t="s">
        <v>6900</v>
      </c>
      <c r="I1086" s="341" t="s">
        <v>4230</v>
      </c>
      <c r="J1086" s="342">
        <v>0.39960000000000001</v>
      </c>
      <c r="K1086" s="342" t="s">
        <v>4230</v>
      </c>
      <c r="L1086" s="342">
        <v>0</v>
      </c>
    </row>
    <row r="1087" spans="1:12" x14ac:dyDescent="0.25">
      <c r="A1087" s="341" t="s">
        <v>2420</v>
      </c>
      <c r="B1087" s="341" t="s">
        <v>2420</v>
      </c>
      <c r="C1087" s="341" t="s">
        <v>2420</v>
      </c>
      <c r="D1087" s="342">
        <v>0</v>
      </c>
      <c r="E1087" s="342" t="s">
        <v>2420</v>
      </c>
      <c r="F1087" s="342" t="s">
        <v>9622</v>
      </c>
      <c r="G1087" s="341" t="s">
        <v>265</v>
      </c>
      <c r="H1087" s="341" t="s">
        <v>10139</v>
      </c>
      <c r="I1087" s="341" t="s">
        <v>25</v>
      </c>
      <c r="J1087" s="342">
        <v>1</v>
      </c>
      <c r="K1087" s="342" t="s">
        <v>9623</v>
      </c>
      <c r="L1087" s="342">
        <v>0</v>
      </c>
    </row>
    <row r="1088" spans="1:12" x14ac:dyDescent="0.25">
      <c r="A1088" s="341" t="s">
        <v>3241</v>
      </c>
      <c r="B1088" s="341" t="s">
        <v>10132</v>
      </c>
      <c r="C1088" s="341" t="s">
        <v>6602</v>
      </c>
      <c r="D1088" s="342">
        <v>1</v>
      </c>
      <c r="E1088" s="342">
        <v>0</v>
      </c>
      <c r="F1088" s="342" t="s">
        <v>9622</v>
      </c>
      <c r="G1088" s="341" t="s">
        <v>256</v>
      </c>
      <c r="H1088" s="341" t="s">
        <v>10132</v>
      </c>
      <c r="I1088" s="341" t="s">
        <v>6602</v>
      </c>
      <c r="J1088" s="342">
        <v>1</v>
      </c>
      <c r="K1088" s="342" t="s">
        <v>4230</v>
      </c>
      <c r="L1088" s="342">
        <v>0</v>
      </c>
    </row>
    <row r="1089" spans="1:12" x14ac:dyDescent="0.25">
      <c r="A1089" s="341" t="s">
        <v>3242</v>
      </c>
      <c r="B1089" s="341" t="s">
        <v>2634</v>
      </c>
      <c r="C1089" s="341" t="s">
        <v>16</v>
      </c>
      <c r="D1089" s="342">
        <v>1</v>
      </c>
      <c r="E1089" s="342">
        <v>0</v>
      </c>
      <c r="F1089" s="342" t="s">
        <v>9622</v>
      </c>
      <c r="G1089" s="341" t="s">
        <v>654</v>
      </c>
      <c r="H1089" s="341" t="s">
        <v>2634</v>
      </c>
      <c r="I1089" s="341" t="s">
        <v>16</v>
      </c>
      <c r="J1089" s="342">
        <v>1</v>
      </c>
      <c r="K1089" s="342" t="s">
        <v>9623</v>
      </c>
      <c r="L1089" s="342">
        <v>0</v>
      </c>
    </row>
    <row r="1090" spans="1:12" x14ac:dyDescent="0.25">
      <c r="A1090" s="341" t="s">
        <v>3243</v>
      </c>
      <c r="B1090" s="341" t="s">
        <v>10140</v>
      </c>
      <c r="C1090" s="341" t="s">
        <v>16</v>
      </c>
      <c r="D1090" s="342">
        <v>1</v>
      </c>
      <c r="E1090" s="342">
        <v>0</v>
      </c>
      <c r="F1090" s="342" t="s">
        <v>9622</v>
      </c>
      <c r="G1090" s="341" t="s">
        <v>656</v>
      </c>
      <c r="H1090" s="341" t="s">
        <v>10140</v>
      </c>
      <c r="I1090" s="341" t="s">
        <v>16</v>
      </c>
      <c r="J1090" s="342">
        <v>1</v>
      </c>
      <c r="K1090" s="342" t="s">
        <v>9623</v>
      </c>
      <c r="L1090" s="342">
        <v>0</v>
      </c>
    </row>
    <row r="1091" spans="1:12" x14ac:dyDescent="0.25">
      <c r="A1091" s="341" t="s">
        <v>3244</v>
      </c>
      <c r="B1091" s="341" t="s">
        <v>2657</v>
      </c>
      <c r="C1091" s="341" t="s">
        <v>16</v>
      </c>
      <c r="D1091" s="342">
        <v>1</v>
      </c>
      <c r="E1091" s="342">
        <v>0</v>
      </c>
      <c r="F1091" s="342" t="s">
        <v>9622</v>
      </c>
      <c r="G1091" s="341" t="s">
        <v>155</v>
      </c>
      <c r="H1091" s="341" t="s">
        <v>2657</v>
      </c>
      <c r="I1091" s="341" t="s">
        <v>16</v>
      </c>
      <c r="J1091" s="342">
        <v>1</v>
      </c>
      <c r="K1091" s="342" t="s">
        <v>9623</v>
      </c>
      <c r="L1091" s="342">
        <v>0</v>
      </c>
    </row>
    <row r="1092" spans="1:12" x14ac:dyDescent="0.25">
      <c r="A1092" s="341" t="s">
        <v>3245</v>
      </c>
      <c r="B1092" s="341" t="s">
        <v>2658</v>
      </c>
      <c r="C1092" s="341" t="s">
        <v>16</v>
      </c>
      <c r="D1092" s="342">
        <v>1</v>
      </c>
      <c r="E1092" s="342">
        <v>0</v>
      </c>
      <c r="F1092" s="342" t="s">
        <v>9622</v>
      </c>
      <c r="G1092" s="341" t="s">
        <v>3246</v>
      </c>
      <c r="H1092" s="341" t="s">
        <v>2658</v>
      </c>
      <c r="I1092" s="341" t="s">
        <v>16</v>
      </c>
      <c r="J1092" s="342">
        <v>1</v>
      </c>
      <c r="K1092" s="342" t="s">
        <v>9623</v>
      </c>
      <c r="L1092" s="342">
        <v>0</v>
      </c>
    </row>
    <row r="1093" spans="1:12" x14ac:dyDescent="0.25">
      <c r="A1093" s="341" t="s">
        <v>3247</v>
      </c>
      <c r="B1093" s="341" t="s">
        <v>2659</v>
      </c>
      <c r="C1093" s="341" t="s">
        <v>16</v>
      </c>
      <c r="D1093" s="342">
        <v>1</v>
      </c>
      <c r="E1093" s="342">
        <v>0</v>
      </c>
      <c r="F1093" s="342" t="s">
        <v>9622</v>
      </c>
      <c r="G1093" s="341" t="s">
        <v>3248</v>
      </c>
      <c r="H1093" s="341" t="s">
        <v>2659</v>
      </c>
      <c r="I1093" s="341" t="s">
        <v>16</v>
      </c>
      <c r="J1093" s="342">
        <v>1</v>
      </c>
      <c r="K1093" s="342" t="s">
        <v>9623</v>
      </c>
      <c r="L1093" s="342">
        <v>0</v>
      </c>
    </row>
    <row r="1094" spans="1:12" x14ac:dyDescent="0.25">
      <c r="A1094" s="341" t="s">
        <v>3250</v>
      </c>
      <c r="B1094" s="341" t="s">
        <v>2721</v>
      </c>
      <c r="C1094" s="341" t="s">
        <v>11</v>
      </c>
      <c r="D1094" s="342">
        <v>1</v>
      </c>
      <c r="E1094" s="342">
        <v>0</v>
      </c>
      <c r="F1094" s="342" t="s">
        <v>9622</v>
      </c>
      <c r="G1094" s="341" t="s">
        <v>291</v>
      </c>
      <c r="H1094" s="341" t="s">
        <v>2721</v>
      </c>
      <c r="I1094" s="341" t="s">
        <v>11</v>
      </c>
      <c r="J1094" s="342">
        <v>1</v>
      </c>
      <c r="K1094" s="342" t="s">
        <v>25</v>
      </c>
      <c r="L1094" s="342">
        <v>0</v>
      </c>
    </row>
    <row r="1095" spans="1:12" x14ac:dyDescent="0.25">
      <c r="A1095" s="341" t="s">
        <v>3251</v>
      </c>
      <c r="B1095" s="341" t="s">
        <v>2722</v>
      </c>
      <c r="C1095" s="341" t="s">
        <v>11</v>
      </c>
      <c r="D1095" s="342">
        <v>1</v>
      </c>
      <c r="E1095" s="342">
        <v>0</v>
      </c>
      <c r="F1095" s="342" t="s">
        <v>9622</v>
      </c>
      <c r="G1095" s="341" t="s">
        <v>292</v>
      </c>
      <c r="H1095" s="341" t="s">
        <v>2722</v>
      </c>
      <c r="I1095" s="341" t="s">
        <v>11</v>
      </c>
      <c r="J1095" s="342">
        <v>1</v>
      </c>
      <c r="K1095" s="342" t="s">
        <v>25</v>
      </c>
      <c r="L1095" s="342">
        <v>0</v>
      </c>
    </row>
    <row r="1096" spans="1:12" x14ac:dyDescent="0.25">
      <c r="A1096" s="341" t="s">
        <v>3252</v>
      </c>
      <c r="B1096" s="341" t="s">
        <v>2723</v>
      </c>
      <c r="C1096" s="341" t="s">
        <v>11</v>
      </c>
      <c r="D1096" s="342">
        <v>1</v>
      </c>
      <c r="E1096" s="342">
        <v>0</v>
      </c>
      <c r="F1096" s="342" t="s">
        <v>9622</v>
      </c>
      <c r="G1096" s="341" t="s">
        <v>293</v>
      </c>
      <c r="H1096" s="341" t="s">
        <v>2723</v>
      </c>
      <c r="I1096" s="341" t="s">
        <v>11</v>
      </c>
      <c r="J1096" s="342">
        <v>1</v>
      </c>
      <c r="K1096" s="342" t="s">
        <v>25</v>
      </c>
      <c r="L1096" s="342">
        <v>0</v>
      </c>
    </row>
    <row r="1097" spans="1:12" x14ac:dyDescent="0.25">
      <c r="A1097" s="341" t="s">
        <v>3253</v>
      </c>
      <c r="B1097" s="341" t="s">
        <v>2724</v>
      </c>
      <c r="C1097" s="341" t="s">
        <v>11</v>
      </c>
      <c r="D1097" s="342">
        <v>1</v>
      </c>
      <c r="E1097" s="342">
        <v>0</v>
      </c>
      <c r="F1097" s="342" t="s">
        <v>9622</v>
      </c>
      <c r="G1097" s="341" t="s">
        <v>294</v>
      </c>
      <c r="H1097" s="341" t="s">
        <v>2724</v>
      </c>
      <c r="I1097" s="341" t="s">
        <v>11</v>
      </c>
      <c r="J1097" s="342">
        <v>1</v>
      </c>
      <c r="K1097" s="342" t="s">
        <v>25</v>
      </c>
      <c r="L1097" s="342">
        <v>0</v>
      </c>
    </row>
    <row r="1098" spans="1:12" x14ac:dyDescent="0.25">
      <c r="A1098" s="341" t="s">
        <v>3254</v>
      </c>
      <c r="B1098" s="341" t="s">
        <v>2725</v>
      </c>
      <c r="C1098" s="341" t="s">
        <v>16</v>
      </c>
      <c r="D1098" s="342">
        <v>1</v>
      </c>
      <c r="E1098" s="342">
        <v>0</v>
      </c>
      <c r="F1098" s="342" t="s">
        <v>9622</v>
      </c>
      <c r="G1098" s="341" t="s">
        <v>1982</v>
      </c>
      <c r="H1098" s="341" t="s">
        <v>2725</v>
      </c>
      <c r="I1098" s="341" t="s">
        <v>16</v>
      </c>
      <c r="J1098" s="342">
        <v>1</v>
      </c>
      <c r="K1098" s="342" t="s">
        <v>9623</v>
      </c>
      <c r="L1098" s="342">
        <v>0</v>
      </c>
    </row>
    <row r="1099" spans="1:12" x14ac:dyDescent="0.25">
      <c r="A1099" s="341" t="s">
        <v>3255</v>
      </c>
      <c r="B1099" s="341" t="s">
        <v>2726</v>
      </c>
      <c r="C1099" s="341" t="s">
        <v>16</v>
      </c>
      <c r="D1099" s="342">
        <v>1</v>
      </c>
      <c r="E1099" s="342">
        <v>0</v>
      </c>
      <c r="F1099" s="342" t="s">
        <v>9622</v>
      </c>
      <c r="G1099" s="341" t="s">
        <v>296</v>
      </c>
      <c r="H1099" s="341" t="s">
        <v>2726</v>
      </c>
      <c r="I1099" s="341" t="s">
        <v>16</v>
      </c>
      <c r="J1099" s="342">
        <v>1</v>
      </c>
      <c r="K1099" s="342" t="s">
        <v>9623</v>
      </c>
      <c r="L1099" s="342">
        <v>0</v>
      </c>
    </row>
    <row r="1100" spans="1:12" x14ac:dyDescent="0.25">
      <c r="A1100" s="341" t="s">
        <v>3257</v>
      </c>
      <c r="B1100" s="341" t="s">
        <v>2729</v>
      </c>
      <c r="C1100" s="341" t="s">
        <v>11</v>
      </c>
      <c r="D1100" s="342">
        <v>1</v>
      </c>
      <c r="E1100" s="342">
        <v>0</v>
      </c>
      <c r="F1100" s="342" t="s">
        <v>9622</v>
      </c>
      <c r="G1100" s="341" t="s">
        <v>298</v>
      </c>
      <c r="H1100" s="341" t="s">
        <v>2729</v>
      </c>
      <c r="I1100" s="341" t="s">
        <v>11</v>
      </c>
      <c r="J1100" s="342">
        <v>1</v>
      </c>
      <c r="K1100" s="342" t="s">
        <v>9623</v>
      </c>
      <c r="L1100" s="342">
        <v>0</v>
      </c>
    </row>
    <row r="1101" spans="1:12" x14ac:dyDescent="0.25">
      <c r="A1101" s="341" t="s">
        <v>3258</v>
      </c>
      <c r="B1101" s="341" t="s">
        <v>2730</v>
      </c>
      <c r="C1101" s="341" t="s">
        <v>11</v>
      </c>
      <c r="D1101" s="342">
        <v>1</v>
      </c>
      <c r="E1101" s="342">
        <v>0</v>
      </c>
      <c r="F1101" s="342" t="s">
        <v>9622</v>
      </c>
      <c r="G1101" s="341" t="s">
        <v>158</v>
      </c>
      <c r="H1101" s="341" t="s">
        <v>2730</v>
      </c>
      <c r="I1101" s="341" t="s">
        <v>11</v>
      </c>
      <c r="J1101" s="342">
        <v>1</v>
      </c>
      <c r="K1101" s="342" t="s">
        <v>9623</v>
      </c>
      <c r="L1101" s="342">
        <v>0</v>
      </c>
    </row>
    <row r="1102" spans="1:12" x14ac:dyDescent="0.25">
      <c r="A1102" s="341" t="s">
        <v>3259</v>
      </c>
      <c r="B1102" s="341" t="s">
        <v>2731</v>
      </c>
      <c r="C1102" s="341" t="s">
        <v>11</v>
      </c>
      <c r="D1102" s="342">
        <v>1</v>
      </c>
      <c r="E1102" s="342">
        <v>0</v>
      </c>
      <c r="F1102" s="342" t="s">
        <v>9622</v>
      </c>
      <c r="G1102" s="341" t="s">
        <v>299</v>
      </c>
      <c r="H1102" s="341" t="s">
        <v>2731</v>
      </c>
      <c r="I1102" s="341" t="s">
        <v>11</v>
      </c>
      <c r="J1102" s="342">
        <v>1</v>
      </c>
      <c r="K1102" s="342" t="s">
        <v>9623</v>
      </c>
      <c r="L1102" s="342">
        <v>0</v>
      </c>
    </row>
    <row r="1103" spans="1:12" x14ac:dyDescent="0.25">
      <c r="A1103" s="341" t="s">
        <v>3260</v>
      </c>
      <c r="B1103" s="341" t="s">
        <v>2732</v>
      </c>
      <c r="C1103" s="341" t="s">
        <v>11</v>
      </c>
      <c r="D1103" s="342">
        <v>1</v>
      </c>
      <c r="E1103" s="342">
        <v>0</v>
      </c>
      <c r="F1103" s="342" t="s">
        <v>9622</v>
      </c>
      <c r="G1103" s="341" t="s">
        <v>300</v>
      </c>
      <c r="H1103" s="341" t="s">
        <v>2732</v>
      </c>
      <c r="I1103" s="341" t="s">
        <v>11</v>
      </c>
      <c r="J1103" s="342">
        <v>1</v>
      </c>
      <c r="K1103" s="342" t="s">
        <v>9623</v>
      </c>
      <c r="L1103" s="342">
        <v>0</v>
      </c>
    </row>
    <row r="1104" spans="1:12" x14ac:dyDescent="0.25">
      <c r="A1104" s="341" t="s">
        <v>3261</v>
      </c>
      <c r="B1104" s="341" t="s">
        <v>2733</v>
      </c>
      <c r="C1104" s="341" t="s">
        <v>11</v>
      </c>
      <c r="D1104" s="342">
        <v>1</v>
      </c>
      <c r="E1104" s="342">
        <v>0</v>
      </c>
      <c r="F1104" s="342" t="s">
        <v>9622</v>
      </c>
      <c r="G1104" s="341" t="s">
        <v>301</v>
      </c>
      <c r="H1104" s="341" t="s">
        <v>2733</v>
      </c>
      <c r="I1104" s="341" t="s">
        <v>11</v>
      </c>
      <c r="J1104" s="342">
        <v>1</v>
      </c>
      <c r="K1104" s="342" t="s">
        <v>9623</v>
      </c>
      <c r="L1104" s="342">
        <v>0</v>
      </c>
    </row>
    <row r="1105" spans="1:12" x14ac:dyDescent="0.25">
      <c r="A1105" s="341" t="s">
        <v>3262</v>
      </c>
      <c r="B1105" s="341" t="s">
        <v>2734</v>
      </c>
      <c r="C1105" s="341" t="s">
        <v>11</v>
      </c>
      <c r="D1105" s="342">
        <v>1</v>
      </c>
      <c r="E1105" s="342">
        <v>0</v>
      </c>
      <c r="F1105" s="342" t="s">
        <v>9622</v>
      </c>
      <c r="G1105" s="341" t="s">
        <v>302</v>
      </c>
      <c r="H1105" s="341" t="s">
        <v>2734</v>
      </c>
      <c r="I1105" s="341" t="s">
        <v>11</v>
      </c>
      <c r="J1105" s="342">
        <v>1</v>
      </c>
      <c r="K1105" s="342" t="s">
        <v>9623</v>
      </c>
      <c r="L1105" s="342">
        <v>0</v>
      </c>
    </row>
    <row r="1106" spans="1:12" x14ac:dyDescent="0.25">
      <c r="A1106" s="341" t="s">
        <v>3263</v>
      </c>
      <c r="B1106" s="341" t="s">
        <v>2735</v>
      </c>
      <c r="C1106" s="341" t="s">
        <v>11</v>
      </c>
      <c r="D1106" s="342">
        <v>1</v>
      </c>
      <c r="E1106" s="342">
        <v>0</v>
      </c>
      <c r="F1106" s="342" t="s">
        <v>9622</v>
      </c>
      <c r="G1106" s="341" t="s">
        <v>303</v>
      </c>
      <c r="H1106" s="341" t="s">
        <v>2735</v>
      </c>
      <c r="I1106" s="341" t="s">
        <v>11</v>
      </c>
      <c r="J1106" s="342">
        <v>1</v>
      </c>
      <c r="K1106" s="342" t="s">
        <v>9623</v>
      </c>
      <c r="L1106" s="342">
        <v>0</v>
      </c>
    </row>
    <row r="1107" spans="1:12" x14ac:dyDescent="0.25">
      <c r="A1107" s="341" t="s">
        <v>3264</v>
      </c>
      <c r="B1107" s="341" t="s">
        <v>2736</v>
      </c>
      <c r="C1107" s="341" t="s">
        <v>11</v>
      </c>
      <c r="D1107" s="342">
        <v>1</v>
      </c>
      <c r="E1107" s="342">
        <v>0</v>
      </c>
      <c r="F1107" s="342" t="s">
        <v>9622</v>
      </c>
      <c r="G1107" s="341" t="s">
        <v>3265</v>
      </c>
      <c r="H1107" s="341" t="s">
        <v>2736</v>
      </c>
      <c r="I1107" s="341" t="s">
        <v>11</v>
      </c>
      <c r="J1107" s="342">
        <v>1</v>
      </c>
      <c r="K1107" s="342" t="s">
        <v>9623</v>
      </c>
      <c r="L1107" s="342">
        <v>0</v>
      </c>
    </row>
    <row r="1108" spans="1:12" x14ac:dyDescent="0.25">
      <c r="A1108" s="341" t="s">
        <v>3266</v>
      </c>
      <c r="B1108" s="341" t="s">
        <v>2737</v>
      </c>
      <c r="C1108" s="341" t="s">
        <v>11</v>
      </c>
      <c r="D1108" s="342">
        <v>1</v>
      </c>
      <c r="E1108" s="342">
        <v>0</v>
      </c>
      <c r="F1108" s="342" t="s">
        <v>9622</v>
      </c>
      <c r="G1108" s="341" t="s">
        <v>3267</v>
      </c>
      <c r="H1108" s="341" t="s">
        <v>2737</v>
      </c>
      <c r="I1108" s="341" t="s">
        <v>11</v>
      </c>
      <c r="J1108" s="342">
        <v>1</v>
      </c>
      <c r="K1108" s="342" t="s">
        <v>9623</v>
      </c>
      <c r="L1108" s="342">
        <v>0</v>
      </c>
    </row>
    <row r="1109" spans="1:12" x14ac:dyDescent="0.25">
      <c r="A1109" s="341" t="s">
        <v>3268</v>
      </c>
      <c r="B1109" s="341" t="s">
        <v>2738</v>
      </c>
      <c r="C1109" s="341" t="s">
        <v>11</v>
      </c>
      <c r="D1109" s="342">
        <v>1</v>
      </c>
      <c r="E1109" s="342">
        <v>0</v>
      </c>
      <c r="F1109" s="342" t="s">
        <v>9622</v>
      </c>
      <c r="G1109" s="341" t="s">
        <v>3269</v>
      </c>
      <c r="H1109" s="341" t="s">
        <v>2738</v>
      </c>
      <c r="I1109" s="341" t="s">
        <v>11</v>
      </c>
      <c r="J1109" s="342">
        <v>1</v>
      </c>
      <c r="K1109" s="342" t="s">
        <v>9623</v>
      </c>
      <c r="L1109" s="342">
        <v>0</v>
      </c>
    </row>
    <row r="1110" spans="1:12" x14ac:dyDescent="0.25">
      <c r="A1110" s="341" t="s">
        <v>3270</v>
      </c>
      <c r="B1110" s="341" t="s">
        <v>2739</v>
      </c>
      <c r="C1110" s="341" t="s">
        <v>11</v>
      </c>
      <c r="D1110" s="342">
        <v>1</v>
      </c>
      <c r="E1110" s="342">
        <v>0</v>
      </c>
      <c r="F1110" s="342" t="s">
        <v>9622</v>
      </c>
      <c r="G1110" s="341" t="s">
        <v>3271</v>
      </c>
      <c r="H1110" s="341" t="s">
        <v>2739</v>
      </c>
      <c r="I1110" s="341" t="s">
        <v>11</v>
      </c>
      <c r="J1110" s="342">
        <v>1</v>
      </c>
      <c r="K1110" s="342" t="s">
        <v>9623</v>
      </c>
      <c r="L1110" s="342">
        <v>0</v>
      </c>
    </row>
    <row r="1111" spans="1:12" x14ac:dyDescent="0.25">
      <c r="A1111" s="341" t="s">
        <v>3272</v>
      </c>
      <c r="B1111" s="341" t="s">
        <v>2740</v>
      </c>
      <c r="C1111" s="341" t="s">
        <v>11</v>
      </c>
      <c r="D1111" s="342">
        <v>1</v>
      </c>
      <c r="E1111" s="342">
        <v>0</v>
      </c>
      <c r="F1111" s="342" t="s">
        <v>9622</v>
      </c>
      <c r="G1111" s="341" t="s">
        <v>3273</v>
      </c>
      <c r="H1111" s="341" t="s">
        <v>2740</v>
      </c>
      <c r="I1111" s="341" t="s">
        <v>11</v>
      </c>
      <c r="J1111" s="342">
        <v>1</v>
      </c>
      <c r="K1111" s="342" t="s">
        <v>9623</v>
      </c>
      <c r="L1111" s="342">
        <v>0</v>
      </c>
    </row>
    <row r="1112" spans="1:12" x14ac:dyDescent="0.25">
      <c r="A1112" s="341" t="s">
        <v>3274</v>
      </c>
      <c r="B1112" s="341" t="s">
        <v>2741</v>
      </c>
      <c r="C1112" s="341" t="s">
        <v>11</v>
      </c>
      <c r="D1112" s="342">
        <v>1</v>
      </c>
      <c r="E1112" s="342">
        <v>0</v>
      </c>
      <c r="F1112" s="342" t="s">
        <v>9622</v>
      </c>
      <c r="G1112" s="341" t="s">
        <v>3275</v>
      </c>
      <c r="H1112" s="341" t="s">
        <v>2741</v>
      </c>
      <c r="I1112" s="341" t="s">
        <v>11</v>
      </c>
      <c r="J1112" s="342">
        <v>1</v>
      </c>
      <c r="K1112" s="342" t="s">
        <v>9623</v>
      </c>
      <c r="L1112" s="342">
        <v>0</v>
      </c>
    </row>
    <row r="1113" spans="1:12" x14ac:dyDescent="0.25">
      <c r="A1113" s="341" t="s">
        <v>3276</v>
      </c>
      <c r="B1113" s="341" t="s">
        <v>2742</v>
      </c>
      <c r="C1113" s="341" t="s">
        <v>11</v>
      </c>
      <c r="D1113" s="342">
        <v>1</v>
      </c>
      <c r="E1113" s="342">
        <v>0</v>
      </c>
      <c r="F1113" s="342" t="s">
        <v>9622</v>
      </c>
      <c r="G1113" s="341" t="s">
        <v>3277</v>
      </c>
      <c r="H1113" s="341" t="s">
        <v>2742</v>
      </c>
      <c r="I1113" s="341" t="s">
        <v>11</v>
      </c>
      <c r="J1113" s="342">
        <v>1</v>
      </c>
      <c r="K1113" s="342" t="s">
        <v>9623</v>
      </c>
      <c r="L1113" s="342">
        <v>0</v>
      </c>
    </row>
    <row r="1114" spans="1:12" x14ac:dyDescent="0.25">
      <c r="A1114" s="341" t="s">
        <v>3278</v>
      </c>
      <c r="B1114" s="341" t="s">
        <v>2743</v>
      </c>
      <c r="C1114" s="341" t="s">
        <v>11</v>
      </c>
      <c r="D1114" s="342">
        <v>1</v>
      </c>
      <c r="E1114" s="342">
        <v>0</v>
      </c>
      <c r="F1114" s="342" t="s">
        <v>9622</v>
      </c>
      <c r="G1114" s="341" t="s">
        <v>3279</v>
      </c>
      <c r="H1114" s="341" t="s">
        <v>2743</v>
      </c>
      <c r="I1114" s="341" t="s">
        <v>11</v>
      </c>
      <c r="J1114" s="342">
        <v>1</v>
      </c>
      <c r="K1114" s="342" t="s">
        <v>9623</v>
      </c>
      <c r="L1114" s="342">
        <v>0</v>
      </c>
    </row>
    <row r="1115" spans="1:12" x14ac:dyDescent="0.25">
      <c r="A1115" s="341" t="s">
        <v>3280</v>
      </c>
      <c r="B1115" s="341" t="s">
        <v>2744</v>
      </c>
      <c r="C1115" s="341" t="s">
        <v>11</v>
      </c>
      <c r="D1115" s="342">
        <v>1</v>
      </c>
      <c r="E1115" s="342">
        <v>0</v>
      </c>
      <c r="F1115" s="342" t="s">
        <v>9622</v>
      </c>
      <c r="G1115" s="341" t="s">
        <v>3281</v>
      </c>
      <c r="H1115" s="341" t="s">
        <v>2744</v>
      </c>
      <c r="I1115" s="341" t="s">
        <v>11</v>
      </c>
      <c r="J1115" s="342">
        <v>1</v>
      </c>
      <c r="K1115" s="342" t="s">
        <v>9623</v>
      </c>
      <c r="L1115" s="342">
        <v>0</v>
      </c>
    </row>
    <row r="1116" spans="1:12" x14ac:dyDescent="0.25">
      <c r="A1116" s="341" t="s">
        <v>3282</v>
      </c>
      <c r="B1116" s="341" t="s">
        <v>2745</v>
      </c>
      <c r="C1116" s="341" t="s">
        <v>11</v>
      </c>
      <c r="D1116" s="342">
        <v>1</v>
      </c>
      <c r="E1116" s="342">
        <v>0</v>
      </c>
      <c r="F1116" s="342" t="s">
        <v>9622</v>
      </c>
      <c r="G1116" s="341" t="s">
        <v>3283</v>
      </c>
      <c r="H1116" s="341" t="s">
        <v>2745</v>
      </c>
      <c r="I1116" s="341" t="s">
        <v>11</v>
      </c>
      <c r="J1116" s="342">
        <v>1</v>
      </c>
      <c r="K1116" s="342" t="s">
        <v>9623</v>
      </c>
      <c r="L1116" s="342">
        <v>0</v>
      </c>
    </row>
    <row r="1117" spans="1:12" x14ac:dyDescent="0.25">
      <c r="A1117" s="341" t="s">
        <v>3284</v>
      </c>
      <c r="B1117" s="341" t="s">
        <v>2746</v>
      </c>
      <c r="C1117" s="341" t="s">
        <v>11</v>
      </c>
      <c r="D1117" s="342">
        <v>1</v>
      </c>
      <c r="E1117" s="342">
        <v>0</v>
      </c>
      <c r="F1117" s="342" t="s">
        <v>9622</v>
      </c>
      <c r="G1117" s="341" t="s">
        <v>3285</v>
      </c>
      <c r="H1117" s="341" t="s">
        <v>2746</v>
      </c>
      <c r="I1117" s="341" t="s">
        <v>11</v>
      </c>
      <c r="J1117" s="342">
        <v>1</v>
      </c>
      <c r="K1117" s="342" t="s">
        <v>9623</v>
      </c>
      <c r="L1117" s="342">
        <v>0</v>
      </c>
    </row>
    <row r="1118" spans="1:12" x14ac:dyDescent="0.25">
      <c r="A1118" s="341" t="s">
        <v>3286</v>
      </c>
      <c r="B1118" s="341" t="s">
        <v>2747</v>
      </c>
      <c r="C1118" s="341" t="s">
        <v>11</v>
      </c>
      <c r="D1118" s="342">
        <v>1</v>
      </c>
      <c r="E1118" s="342">
        <v>0</v>
      </c>
      <c r="F1118" s="342" t="s">
        <v>9622</v>
      </c>
      <c r="G1118" s="341" t="s">
        <v>3287</v>
      </c>
      <c r="H1118" s="341" t="s">
        <v>2747</v>
      </c>
      <c r="I1118" s="341" t="s">
        <v>11</v>
      </c>
      <c r="J1118" s="342">
        <v>1</v>
      </c>
      <c r="K1118" s="342" t="s">
        <v>9623</v>
      </c>
      <c r="L1118" s="342">
        <v>0</v>
      </c>
    </row>
    <row r="1119" spans="1:12" x14ac:dyDescent="0.25">
      <c r="A1119" s="341" t="s">
        <v>3288</v>
      </c>
      <c r="B1119" s="341" t="s">
        <v>2748</v>
      </c>
      <c r="C1119" s="341" t="s">
        <v>11</v>
      </c>
      <c r="D1119" s="342">
        <v>1</v>
      </c>
      <c r="E1119" s="342">
        <v>0</v>
      </c>
      <c r="F1119" s="342" t="s">
        <v>9622</v>
      </c>
      <c r="G1119" s="341" t="s">
        <v>3289</v>
      </c>
      <c r="H1119" s="341" t="s">
        <v>2748</v>
      </c>
      <c r="I1119" s="341" t="s">
        <v>11</v>
      </c>
      <c r="J1119" s="342">
        <v>1</v>
      </c>
      <c r="K1119" s="342" t="s">
        <v>9623</v>
      </c>
      <c r="L1119" s="342">
        <v>0</v>
      </c>
    </row>
    <row r="1120" spans="1:12" x14ac:dyDescent="0.25">
      <c r="A1120" s="341" t="s">
        <v>3290</v>
      </c>
      <c r="B1120" s="341" t="s">
        <v>1117</v>
      </c>
      <c r="C1120" s="341" t="s">
        <v>11</v>
      </c>
      <c r="D1120" s="342">
        <v>1</v>
      </c>
      <c r="E1120" s="342">
        <v>0</v>
      </c>
      <c r="F1120" s="342" t="s">
        <v>9622</v>
      </c>
      <c r="G1120" s="341" t="s">
        <v>3291</v>
      </c>
      <c r="H1120" s="341" t="s">
        <v>1117</v>
      </c>
      <c r="I1120" s="341" t="s">
        <v>11</v>
      </c>
      <c r="J1120" s="342">
        <v>1</v>
      </c>
      <c r="K1120" s="342" t="s">
        <v>9623</v>
      </c>
      <c r="L1120" s="342">
        <v>0</v>
      </c>
    </row>
    <row r="1121" spans="1:12" x14ac:dyDescent="0.25">
      <c r="A1121" s="341" t="s">
        <v>3292</v>
      </c>
      <c r="B1121" s="341" t="s">
        <v>2749</v>
      </c>
      <c r="C1121" s="341" t="s">
        <v>11</v>
      </c>
      <c r="D1121" s="342">
        <v>1</v>
      </c>
      <c r="E1121" s="342">
        <v>0</v>
      </c>
      <c r="F1121" s="342" t="s">
        <v>9622</v>
      </c>
      <c r="G1121" s="341" t="s">
        <v>3293</v>
      </c>
      <c r="H1121" s="341" t="s">
        <v>2749</v>
      </c>
      <c r="I1121" s="341" t="s">
        <v>11</v>
      </c>
      <c r="J1121" s="342">
        <v>1</v>
      </c>
      <c r="K1121" s="342" t="s">
        <v>9623</v>
      </c>
      <c r="L1121" s="342">
        <v>0</v>
      </c>
    </row>
    <row r="1122" spans="1:12" x14ac:dyDescent="0.25">
      <c r="A1122" s="341" t="s">
        <v>3294</v>
      </c>
      <c r="B1122" s="341" t="s">
        <v>2750</v>
      </c>
      <c r="C1122" s="341" t="s">
        <v>11</v>
      </c>
      <c r="D1122" s="342">
        <v>1</v>
      </c>
      <c r="E1122" s="342">
        <v>0</v>
      </c>
      <c r="F1122" s="342" t="s">
        <v>9622</v>
      </c>
      <c r="G1122" s="341" t="s">
        <v>3295</v>
      </c>
      <c r="H1122" s="341" t="s">
        <v>2750</v>
      </c>
      <c r="I1122" s="341" t="s">
        <v>11</v>
      </c>
      <c r="J1122" s="342">
        <v>1</v>
      </c>
      <c r="K1122" s="342" t="s">
        <v>9623</v>
      </c>
      <c r="L1122" s="342">
        <v>0</v>
      </c>
    </row>
    <row r="1123" spans="1:12" x14ac:dyDescent="0.25">
      <c r="A1123" s="341" t="s">
        <v>3296</v>
      </c>
      <c r="B1123" s="341" t="s">
        <v>2751</v>
      </c>
      <c r="C1123" s="341" t="s">
        <v>11</v>
      </c>
      <c r="D1123" s="342">
        <v>1</v>
      </c>
      <c r="E1123" s="342">
        <v>0</v>
      </c>
      <c r="F1123" s="342" t="s">
        <v>9622</v>
      </c>
      <c r="G1123" s="341" t="s">
        <v>3297</v>
      </c>
      <c r="H1123" s="341" t="s">
        <v>2751</v>
      </c>
      <c r="I1123" s="341" t="s">
        <v>11</v>
      </c>
      <c r="J1123" s="342">
        <v>1</v>
      </c>
      <c r="K1123" s="342" t="s">
        <v>9623</v>
      </c>
      <c r="L1123" s="342">
        <v>0</v>
      </c>
    </row>
    <row r="1124" spans="1:12" x14ac:dyDescent="0.25">
      <c r="A1124" s="341" t="s">
        <v>3298</v>
      </c>
      <c r="B1124" s="341" t="s">
        <v>2752</v>
      </c>
      <c r="C1124" s="341" t="s">
        <v>11</v>
      </c>
      <c r="D1124" s="342">
        <v>1</v>
      </c>
      <c r="E1124" s="342">
        <v>0</v>
      </c>
      <c r="F1124" s="342" t="s">
        <v>9622</v>
      </c>
      <c r="G1124" s="341" t="s">
        <v>3299</v>
      </c>
      <c r="H1124" s="341" t="s">
        <v>2752</v>
      </c>
      <c r="I1124" s="341" t="s">
        <v>11</v>
      </c>
      <c r="J1124" s="342">
        <v>1</v>
      </c>
      <c r="K1124" s="342" t="s">
        <v>9623</v>
      </c>
      <c r="L1124" s="342">
        <v>0</v>
      </c>
    </row>
    <row r="1125" spans="1:12" x14ac:dyDescent="0.25">
      <c r="A1125" s="341" t="s">
        <v>3300</v>
      </c>
      <c r="B1125" s="341" t="s">
        <v>2753</v>
      </c>
      <c r="C1125" s="341" t="s">
        <v>11</v>
      </c>
      <c r="D1125" s="342">
        <v>1</v>
      </c>
      <c r="E1125" s="342">
        <v>0</v>
      </c>
      <c r="F1125" s="342" t="s">
        <v>9622</v>
      </c>
      <c r="G1125" s="341" t="s">
        <v>3301</v>
      </c>
      <c r="H1125" s="341" t="s">
        <v>2753</v>
      </c>
      <c r="I1125" s="341" t="s">
        <v>11</v>
      </c>
      <c r="J1125" s="342">
        <v>1</v>
      </c>
      <c r="K1125" s="342" t="s">
        <v>9623</v>
      </c>
      <c r="L1125" s="342">
        <v>0</v>
      </c>
    </row>
    <row r="1126" spans="1:12" x14ac:dyDescent="0.25">
      <c r="A1126" s="341" t="s">
        <v>3302</v>
      </c>
      <c r="B1126" s="341" t="s">
        <v>2754</v>
      </c>
      <c r="C1126" s="341" t="s">
        <v>11</v>
      </c>
      <c r="D1126" s="342">
        <v>1</v>
      </c>
      <c r="E1126" s="342">
        <v>0</v>
      </c>
      <c r="F1126" s="342" t="s">
        <v>9622</v>
      </c>
      <c r="G1126" s="341" t="s">
        <v>3303</v>
      </c>
      <c r="H1126" s="341" t="s">
        <v>2754</v>
      </c>
      <c r="I1126" s="341" t="s">
        <v>11</v>
      </c>
      <c r="J1126" s="342">
        <v>1</v>
      </c>
      <c r="K1126" s="342" t="s">
        <v>9623</v>
      </c>
      <c r="L1126" s="342">
        <v>0</v>
      </c>
    </row>
    <row r="1127" spans="1:12" x14ac:dyDescent="0.25">
      <c r="A1127" s="341" t="s">
        <v>3304</v>
      </c>
      <c r="B1127" s="341" t="s">
        <v>2755</v>
      </c>
      <c r="C1127" s="341" t="s">
        <v>11</v>
      </c>
      <c r="D1127" s="342">
        <v>1</v>
      </c>
      <c r="E1127" s="342">
        <v>0</v>
      </c>
      <c r="F1127" s="342" t="s">
        <v>9622</v>
      </c>
      <c r="G1127" s="341" t="s">
        <v>3305</v>
      </c>
      <c r="H1127" s="341" t="s">
        <v>2755</v>
      </c>
      <c r="I1127" s="341" t="s">
        <v>11</v>
      </c>
      <c r="J1127" s="342">
        <v>1</v>
      </c>
      <c r="K1127" s="342" t="s">
        <v>9623</v>
      </c>
      <c r="L1127" s="342">
        <v>0</v>
      </c>
    </row>
    <row r="1128" spans="1:12" x14ac:dyDescent="0.25">
      <c r="A1128" s="341" t="s">
        <v>3306</v>
      </c>
      <c r="B1128" s="341" t="s">
        <v>2756</v>
      </c>
      <c r="C1128" s="341" t="s">
        <v>11</v>
      </c>
      <c r="D1128" s="342">
        <v>1</v>
      </c>
      <c r="E1128" s="342">
        <v>0</v>
      </c>
      <c r="F1128" s="342" t="s">
        <v>9622</v>
      </c>
      <c r="G1128" s="341" t="s">
        <v>3307</v>
      </c>
      <c r="H1128" s="341" t="s">
        <v>2756</v>
      </c>
      <c r="I1128" s="341" t="s">
        <v>11</v>
      </c>
      <c r="J1128" s="342">
        <v>1</v>
      </c>
      <c r="K1128" s="342" t="s">
        <v>9623</v>
      </c>
      <c r="L1128" s="342">
        <v>0</v>
      </c>
    </row>
    <row r="1129" spans="1:12" x14ac:dyDescent="0.25">
      <c r="A1129" s="341" t="s">
        <v>3308</v>
      </c>
      <c r="B1129" s="341" t="s">
        <v>1069</v>
      </c>
      <c r="C1129" s="341" t="s">
        <v>11</v>
      </c>
      <c r="D1129" s="342">
        <v>1</v>
      </c>
      <c r="E1129" s="342">
        <v>0</v>
      </c>
      <c r="F1129" s="342" t="s">
        <v>9622</v>
      </c>
      <c r="G1129" s="341" t="s">
        <v>3309</v>
      </c>
      <c r="H1129" s="341" t="s">
        <v>1069</v>
      </c>
      <c r="I1129" s="341" t="s">
        <v>11</v>
      </c>
      <c r="J1129" s="342">
        <v>1</v>
      </c>
      <c r="K1129" s="342" t="s">
        <v>9623</v>
      </c>
      <c r="L1129" s="342">
        <v>0</v>
      </c>
    </row>
    <row r="1130" spans="1:12" x14ac:dyDescent="0.25">
      <c r="A1130" s="341" t="s">
        <v>3310</v>
      </c>
      <c r="B1130" s="341" t="s">
        <v>1070</v>
      </c>
      <c r="C1130" s="341" t="s">
        <v>11</v>
      </c>
      <c r="D1130" s="342">
        <v>1</v>
      </c>
      <c r="E1130" s="342">
        <v>0</v>
      </c>
      <c r="F1130" s="342" t="s">
        <v>9622</v>
      </c>
      <c r="G1130" s="341" t="s">
        <v>3311</v>
      </c>
      <c r="H1130" s="341" t="s">
        <v>1070</v>
      </c>
      <c r="I1130" s="341" t="s">
        <v>11</v>
      </c>
      <c r="J1130" s="342">
        <v>1</v>
      </c>
      <c r="K1130" s="342" t="s">
        <v>9623</v>
      </c>
      <c r="L1130" s="342">
        <v>0</v>
      </c>
    </row>
    <row r="1131" spans="1:12" x14ac:dyDescent="0.25">
      <c r="A1131" s="341" t="s">
        <v>3312</v>
      </c>
      <c r="B1131" s="341" t="s">
        <v>1071</v>
      </c>
      <c r="C1131" s="341" t="s">
        <v>11</v>
      </c>
      <c r="D1131" s="342">
        <v>1</v>
      </c>
      <c r="E1131" s="342">
        <v>0</v>
      </c>
      <c r="F1131" s="342" t="s">
        <v>9622</v>
      </c>
      <c r="G1131" s="341" t="s">
        <v>3313</v>
      </c>
      <c r="H1131" s="341" t="s">
        <v>1071</v>
      </c>
      <c r="I1131" s="341" t="s">
        <v>11</v>
      </c>
      <c r="J1131" s="342">
        <v>1</v>
      </c>
      <c r="K1131" s="342" t="s">
        <v>9623</v>
      </c>
      <c r="L1131" s="342">
        <v>0</v>
      </c>
    </row>
    <row r="1132" spans="1:12" x14ac:dyDescent="0.25">
      <c r="A1132" s="341" t="s">
        <v>3314</v>
      </c>
      <c r="B1132" s="341" t="s">
        <v>1072</v>
      </c>
      <c r="C1132" s="341" t="s">
        <v>11</v>
      </c>
      <c r="D1132" s="342">
        <v>1</v>
      </c>
      <c r="E1132" s="342">
        <v>0</v>
      </c>
      <c r="F1132" s="342" t="s">
        <v>9622</v>
      </c>
      <c r="G1132" s="341" t="s">
        <v>3315</v>
      </c>
      <c r="H1132" s="341" t="s">
        <v>1072</v>
      </c>
      <c r="I1132" s="341" t="s">
        <v>11</v>
      </c>
      <c r="J1132" s="342">
        <v>1</v>
      </c>
      <c r="K1132" s="342" t="s">
        <v>9623</v>
      </c>
      <c r="L1132" s="342">
        <v>0</v>
      </c>
    </row>
    <row r="1133" spans="1:12" x14ac:dyDescent="0.25">
      <c r="A1133" s="341" t="s">
        <v>3316</v>
      </c>
      <c r="B1133" s="341" t="s">
        <v>1073</v>
      </c>
      <c r="C1133" s="341" t="s">
        <v>11</v>
      </c>
      <c r="D1133" s="342">
        <v>1</v>
      </c>
      <c r="E1133" s="342">
        <v>0</v>
      </c>
      <c r="F1133" s="342" t="s">
        <v>9622</v>
      </c>
      <c r="G1133" s="341" t="s">
        <v>3317</v>
      </c>
      <c r="H1133" s="341" t="s">
        <v>1073</v>
      </c>
      <c r="I1133" s="341" t="s">
        <v>11</v>
      </c>
      <c r="J1133" s="342">
        <v>1</v>
      </c>
      <c r="K1133" s="342" t="s">
        <v>9623</v>
      </c>
      <c r="L1133" s="342">
        <v>0</v>
      </c>
    </row>
    <row r="1134" spans="1:12" x14ac:dyDescent="0.25">
      <c r="A1134" s="341" t="s">
        <v>3318</v>
      </c>
      <c r="B1134" s="341" t="s">
        <v>1074</v>
      </c>
      <c r="C1134" s="341" t="s">
        <v>11</v>
      </c>
      <c r="D1134" s="342">
        <v>1</v>
      </c>
      <c r="E1134" s="342">
        <v>0</v>
      </c>
      <c r="F1134" s="342" t="s">
        <v>9622</v>
      </c>
      <c r="G1134" s="341" t="s">
        <v>3319</v>
      </c>
      <c r="H1134" s="341" t="s">
        <v>1074</v>
      </c>
      <c r="I1134" s="341" t="s">
        <v>11</v>
      </c>
      <c r="J1134" s="342">
        <v>1</v>
      </c>
      <c r="K1134" s="342" t="s">
        <v>9623</v>
      </c>
      <c r="L1134" s="342">
        <v>0</v>
      </c>
    </row>
    <row r="1135" spans="1:12" x14ac:dyDescent="0.25">
      <c r="A1135" s="341" t="s">
        <v>3320</v>
      </c>
      <c r="B1135" s="341" t="s">
        <v>128</v>
      </c>
      <c r="C1135" s="341" t="s">
        <v>11</v>
      </c>
      <c r="D1135" s="342">
        <v>1</v>
      </c>
      <c r="E1135" s="342">
        <v>0</v>
      </c>
      <c r="F1135" s="342" t="s">
        <v>9622</v>
      </c>
      <c r="G1135" s="341" t="s">
        <v>3321</v>
      </c>
      <c r="H1135" s="341" t="s">
        <v>128</v>
      </c>
      <c r="I1135" s="341" t="s">
        <v>11</v>
      </c>
      <c r="J1135" s="342">
        <v>1</v>
      </c>
      <c r="K1135" s="342" t="s">
        <v>9623</v>
      </c>
      <c r="L1135" s="342">
        <v>0</v>
      </c>
    </row>
    <row r="1136" spans="1:12" x14ac:dyDescent="0.25">
      <c r="A1136" s="341" t="s">
        <v>3322</v>
      </c>
      <c r="B1136" s="341" t="s">
        <v>129</v>
      </c>
      <c r="C1136" s="341" t="s">
        <v>11</v>
      </c>
      <c r="D1136" s="342">
        <v>1</v>
      </c>
      <c r="E1136" s="342">
        <v>0</v>
      </c>
      <c r="F1136" s="342" t="s">
        <v>9622</v>
      </c>
      <c r="G1136" s="341" t="s">
        <v>3323</v>
      </c>
      <c r="H1136" s="341" t="s">
        <v>129</v>
      </c>
      <c r="I1136" s="341" t="s">
        <v>11</v>
      </c>
      <c r="J1136" s="342">
        <v>1</v>
      </c>
      <c r="K1136" s="342" t="s">
        <v>9623</v>
      </c>
      <c r="L1136" s="342">
        <v>0</v>
      </c>
    </row>
    <row r="1137" spans="1:12" x14ac:dyDescent="0.25">
      <c r="A1137" s="341" t="s">
        <v>3324</v>
      </c>
      <c r="B1137" s="341" t="s">
        <v>130</v>
      </c>
      <c r="C1137" s="341" t="s">
        <v>11</v>
      </c>
      <c r="D1137" s="342">
        <v>1</v>
      </c>
      <c r="E1137" s="342">
        <v>0</v>
      </c>
      <c r="F1137" s="342" t="s">
        <v>9622</v>
      </c>
      <c r="G1137" s="341" t="s">
        <v>1977</v>
      </c>
      <c r="H1137" s="341" t="s">
        <v>130</v>
      </c>
      <c r="I1137" s="341" t="s">
        <v>11</v>
      </c>
      <c r="J1137" s="342">
        <v>1</v>
      </c>
      <c r="K1137" s="342" t="s">
        <v>9623</v>
      </c>
      <c r="L1137" s="342">
        <v>0</v>
      </c>
    </row>
    <row r="1138" spans="1:12" x14ac:dyDescent="0.25">
      <c r="A1138" s="341" t="s">
        <v>3325</v>
      </c>
      <c r="B1138" s="341" t="s">
        <v>131</v>
      </c>
      <c r="C1138" s="341" t="s">
        <v>11</v>
      </c>
      <c r="D1138" s="342">
        <v>1</v>
      </c>
      <c r="E1138" s="342">
        <v>0</v>
      </c>
      <c r="F1138" s="342" t="s">
        <v>9622</v>
      </c>
      <c r="G1138" s="341" t="s">
        <v>1978</v>
      </c>
      <c r="H1138" s="341" t="s">
        <v>131</v>
      </c>
      <c r="I1138" s="341" t="s">
        <v>11</v>
      </c>
      <c r="J1138" s="342">
        <v>1</v>
      </c>
      <c r="K1138" s="342" t="s">
        <v>9623</v>
      </c>
      <c r="L1138" s="342">
        <v>0</v>
      </c>
    </row>
    <row r="1139" spans="1:12" x14ac:dyDescent="0.25">
      <c r="A1139" s="341" t="s">
        <v>3326</v>
      </c>
      <c r="B1139" s="341" t="s">
        <v>2757</v>
      </c>
      <c r="C1139" s="341" t="s">
        <v>11</v>
      </c>
      <c r="D1139" s="342">
        <v>1</v>
      </c>
      <c r="E1139" s="342">
        <v>0</v>
      </c>
      <c r="F1139" s="342" t="s">
        <v>9622</v>
      </c>
      <c r="G1139" s="341" t="s">
        <v>3327</v>
      </c>
      <c r="H1139" s="341" t="s">
        <v>2757</v>
      </c>
      <c r="I1139" s="341" t="s">
        <v>11</v>
      </c>
      <c r="J1139" s="342">
        <v>1</v>
      </c>
      <c r="K1139" s="342" t="s">
        <v>9623</v>
      </c>
      <c r="L1139" s="342">
        <v>0</v>
      </c>
    </row>
    <row r="1140" spans="1:12" x14ac:dyDescent="0.25">
      <c r="A1140" s="341" t="s">
        <v>3328</v>
      </c>
      <c r="B1140" s="341" t="s">
        <v>2758</v>
      </c>
      <c r="C1140" s="341" t="s">
        <v>25</v>
      </c>
      <c r="D1140" s="342">
        <v>1</v>
      </c>
      <c r="E1140" s="342">
        <v>0</v>
      </c>
      <c r="F1140" s="342" t="s">
        <v>9622</v>
      </c>
      <c r="G1140" s="341" t="s">
        <v>335</v>
      </c>
      <c r="H1140" s="341" t="s">
        <v>2758</v>
      </c>
      <c r="I1140" s="341" t="s">
        <v>25</v>
      </c>
      <c r="J1140" s="342">
        <v>1</v>
      </c>
      <c r="K1140" s="342" t="s">
        <v>9623</v>
      </c>
      <c r="L1140" s="342">
        <v>0</v>
      </c>
    </row>
    <row r="1141" spans="1:12" x14ac:dyDescent="0.25">
      <c r="A1141" s="341" t="s">
        <v>3329</v>
      </c>
      <c r="B1141" s="341" t="s">
        <v>10141</v>
      </c>
      <c r="C1141" s="341" t="s">
        <v>25</v>
      </c>
      <c r="D1141" s="342">
        <v>1</v>
      </c>
      <c r="E1141" s="342">
        <v>0</v>
      </c>
      <c r="F1141" s="342" t="s">
        <v>9622</v>
      </c>
      <c r="G1141" s="341" t="s">
        <v>336</v>
      </c>
      <c r="H1141" s="341" t="s">
        <v>10141</v>
      </c>
      <c r="I1141" s="341" t="s">
        <v>25</v>
      </c>
      <c r="J1141" s="342">
        <v>1</v>
      </c>
      <c r="K1141" s="342" t="s">
        <v>9623</v>
      </c>
      <c r="L1141" s="342">
        <v>0</v>
      </c>
    </row>
    <row r="1142" spans="1:12" x14ac:dyDescent="0.25">
      <c r="A1142" s="341" t="s">
        <v>3330</v>
      </c>
      <c r="B1142" s="341" t="s">
        <v>10142</v>
      </c>
      <c r="C1142" s="341" t="s">
        <v>25</v>
      </c>
      <c r="D1142" s="342">
        <v>1</v>
      </c>
      <c r="E1142" s="342">
        <v>0</v>
      </c>
      <c r="F1142" s="342" t="s">
        <v>9622</v>
      </c>
      <c r="G1142" s="341" t="s">
        <v>3331</v>
      </c>
      <c r="H1142" s="341" t="s">
        <v>10142</v>
      </c>
      <c r="I1142" s="341" t="s">
        <v>25</v>
      </c>
      <c r="J1142" s="342">
        <v>1</v>
      </c>
      <c r="K1142" s="342" t="s">
        <v>9623</v>
      </c>
      <c r="L1142" s="342">
        <v>0</v>
      </c>
    </row>
    <row r="1143" spans="1:12" x14ac:dyDescent="0.25">
      <c r="A1143" s="341" t="s">
        <v>3332</v>
      </c>
      <c r="B1143" s="341" t="s">
        <v>10143</v>
      </c>
      <c r="C1143" s="341" t="s">
        <v>25</v>
      </c>
      <c r="D1143" s="342">
        <v>1</v>
      </c>
      <c r="E1143" s="342">
        <v>0</v>
      </c>
      <c r="F1143" s="342" t="s">
        <v>9622</v>
      </c>
      <c r="G1143" s="341" t="s">
        <v>3333</v>
      </c>
      <c r="H1143" s="341" t="s">
        <v>10143</v>
      </c>
      <c r="I1143" s="341" t="s">
        <v>25</v>
      </c>
      <c r="J1143" s="342">
        <v>1</v>
      </c>
      <c r="K1143" s="342" t="s">
        <v>9623</v>
      </c>
      <c r="L1143" s="342">
        <v>0</v>
      </c>
    </row>
    <row r="1144" spans="1:12" x14ac:dyDescent="0.25">
      <c r="A1144" s="341" t="s">
        <v>3334</v>
      </c>
      <c r="B1144" s="341" t="s">
        <v>2762</v>
      </c>
      <c r="C1144" s="341" t="s">
        <v>11</v>
      </c>
      <c r="D1144" s="342">
        <v>1</v>
      </c>
      <c r="E1144" s="342">
        <v>0</v>
      </c>
      <c r="F1144" s="342" t="s">
        <v>9622</v>
      </c>
      <c r="G1144" s="341" t="s">
        <v>3335</v>
      </c>
      <c r="H1144" s="341" t="s">
        <v>2762</v>
      </c>
      <c r="I1144" s="341" t="s">
        <v>11</v>
      </c>
      <c r="J1144" s="342">
        <v>1</v>
      </c>
      <c r="K1144" s="342" t="s">
        <v>9623</v>
      </c>
      <c r="L1144" s="342">
        <v>0</v>
      </c>
    </row>
    <row r="1145" spans="1:12" x14ac:dyDescent="0.25">
      <c r="A1145" s="341" t="s">
        <v>3336</v>
      </c>
      <c r="B1145" s="341" t="s">
        <v>2763</v>
      </c>
      <c r="C1145" s="341" t="s">
        <v>11</v>
      </c>
      <c r="D1145" s="342">
        <v>1</v>
      </c>
      <c r="E1145" s="342">
        <v>0</v>
      </c>
      <c r="F1145" s="342" t="s">
        <v>9622</v>
      </c>
      <c r="G1145" s="341" t="s">
        <v>3337</v>
      </c>
      <c r="H1145" s="341" t="s">
        <v>2763</v>
      </c>
      <c r="I1145" s="341" t="s">
        <v>11</v>
      </c>
      <c r="J1145" s="342">
        <v>1</v>
      </c>
      <c r="K1145" s="342" t="s">
        <v>9623</v>
      </c>
      <c r="L1145" s="342">
        <v>0</v>
      </c>
    </row>
    <row r="1146" spans="1:12" x14ac:dyDescent="0.25">
      <c r="A1146" s="341" t="s">
        <v>3338</v>
      </c>
      <c r="B1146" s="341" t="s">
        <v>2765</v>
      </c>
      <c r="C1146" s="341" t="s">
        <v>11</v>
      </c>
      <c r="D1146" s="342">
        <v>1</v>
      </c>
      <c r="E1146" s="342">
        <v>0</v>
      </c>
      <c r="F1146" s="342" t="s">
        <v>9622</v>
      </c>
      <c r="G1146" s="341" t="s">
        <v>3339</v>
      </c>
      <c r="H1146" s="341" t="s">
        <v>2765</v>
      </c>
      <c r="I1146" s="341" t="s">
        <v>11</v>
      </c>
      <c r="J1146" s="342">
        <v>1</v>
      </c>
      <c r="K1146" s="342" t="s">
        <v>9623</v>
      </c>
      <c r="L1146" s="342">
        <v>0</v>
      </c>
    </row>
    <row r="1147" spans="1:12" x14ac:dyDescent="0.25">
      <c r="A1147" s="341" t="s">
        <v>3340</v>
      </c>
      <c r="B1147" s="341" t="s">
        <v>2766</v>
      </c>
      <c r="C1147" s="341" t="s">
        <v>11</v>
      </c>
      <c r="D1147" s="342">
        <v>1</v>
      </c>
      <c r="E1147" s="342">
        <v>0</v>
      </c>
      <c r="F1147" s="342" t="s">
        <v>9622</v>
      </c>
      <c r="G1147" s="341" t="s">
        <v>3341</v>
      </c>
      <c r="H1147" s="341" t="s">
        <v>2766</v>
      </c>
      <c r="I1147" s="341" t="s">
        <v>11</v>
      </c>
      <c r="J1147" s="342">
        <v>1</v>
      </c>
      <c r="K1147" s="342" t="s">
        <v>9623</v>
      </c>
      <c r="L1147" s="342">
        <v>0</v>
      </c>
    </row>
    <row r="1148" spans="1:12" x14ac:dyDescent="0.25">
      <c r="A1148" s="341" t="s">
        <v>3342</v>
      </c>
      <c r="B1148" s="341" t="s">
        <v>2767</v>
      </c>
      <c r="C1148" s="341" t="s">
        <v>11</v>
      </c>
      <c r="D1148" s="342">
        <v>1</v>
      </c>
      <c r="E1148" s="342">
        <v>0</v>
      </c>
      <c r="F1148" s="342" t="s">
        <v>9622</v>
      </c>
      <c r="G1148" s="341" t="s">
        <v>3343</v>
      </c>
      <c r="H1148" s="341" t="s">
        <v>2767</v>
      </c>
      <c r="I1148" s="341" t="s">
        <v>11</v>
      </c>
      <c r="J1148" s="342">
        <v>1</v>
      </c>
      <c r="K1148" s="342" t="s">
        <v>9623</v>
      </c>
      <c r="L1148" s="342">
        <v>0</v>
      </c>
    </row>
    <row r="1149" spans="1:12" x14ac:dyDescent="0.25">
      <c r="A1149" s="341" t="s">
        <v>3344</v>
      </c>
      <c r="B1149" s="341" t="s">
        <v>2768</v>
      </c>
      <c r="C1149" s="341" t="s">
        <v>11</v>
      </c>
      <c r="D1149" s="342">
        <v>1</v>
      </c>
      <c r="E1149" s="342">
        <v>0</v>
      </c>
      <c r="F1149" s="342" t="s">
        <v>9622</v>
      </c>
      <c r="G1149" s="341" t="s">
        <v>3345</v>
      </c>
      <c r="H1149" s="341" t="s">
        <v>2768</v>
      </c>
      <c r="I1149" s="341" t="s">
        <v>11</v>
      </c>
      <c r="J1149" s="342">
        <v>1</v>
      </c>
      <c r="K1149" s="342" t="s">
        <v>9623</v>
      </c>
      <c r="L1149" s="342">
        <v>0</v>
      </c>
    </row>
    <row r="1150" spans="1:12" x14ac:dyDescent="0.25">
      <c r="A1150" s="341" t="s">
        <v>3346</v>
      </c>
      <c r="B1150" s="341" t="s">
        <v>2769</v>
      </c>
      <c r="C1150" s="341" t="s">
        <v>11</v>
      </c>
      <c r="D1150" s="342">
        <v>1</v>
      </c>
      <c r="E1150" s="342">
        <v>0</v>
      </c>
      <c r="F1150" s="342" t="s">
        <v>9622</v>
      </c>
      <c r="G1150" s="341" t="s">
        <v>3347</v>
      </c>
      <c r="H1150" s="341" t="s">
        <v>2769</v>
      </c>
      <c r="I1150" s="341" t="s">
        <v>11</v>
      </c>
      <c r="J1150" s="342">
        <v>1</v>
      </c>
      <c r="K1150" s="342" t="s">
        <v>9623</v>
      </c>
      <c r="L1150" s="342">
        <v>0</v>
      </c>
    </row>
    <row r="1151" spans="1:12" x14ac:dyDescent="0.25">
      <c r="A1151" s="341" t="s">
        <v>3348</v>
      </c>
      <c r="B1151" s="341" t="s">
        <v>2770</v>
      </c>
      <c r="C1151" s="341" t="s">
        <v>11</v>
      </c>
      <c r="D1151" s="342">
        <v>1</v>
      </c>
      <c r="E1151" s="342">
        <v>0</v>
      </c>
      <c r="F1151" s="342" t="s">
        <v>9622</v>
      </c>
      <c r="G1151" s="341" t="s">
        <v>3349</v>
      </c>
      <c r="H1151" s="341" t="s">
        <v>2770</v>
      </c>
      <c r="I1151" s="341" t="s">
        <v>11</v>
      </c>
      <c r="J1151" s="342">
        <v>1</v>
      </c>
      <c r="K1151" s="342" t="s">
        <v>9623</v>
      </c>
      <c r="L1151" s="342">
        <v>0</v>
      </c>
    </row>
    <row r="1152" spans="1:12" x14ac:dyDescent="0.25">
      <c r="A1152" s="341" t="s">
        <v>3350</v>
      </c>
      <c r="B1152" s="341" t="s">
        <v>2771</v>
      </c>
      <c r="C1152" s="341" t="s">
        <v>11</v>
      </c>
      <c r="D1152" s="342">
        <v>1</v>
      </c>
      <c r="E1152" s="342">
        <v>0</v>
      </c>
      <c r="F1152" s="342" t="s">
        <v>9622</v>
      </c>
      <c r="G1152" s="341" t="s">
        <v>3351</v>
      </c>
      <c r="H1152" s="341" t="s">
        <v>2771</v>
      </c>
      <c r="I1152" s="341" t="s">
        <v>11</v>
      </c>
      <c r="J1152" s="342">
        <v>1</v>
      </c>
      <c r="K1152" s="342" t="s">
        <v>9623</v>
      </c>
      <c r="L1152" s="342">
        <v>0</v>
      </c>
    </row>
    <row r="1153" spans="1:12" x14ac:dyDescent="0.25">
      <c r="A1153" s="341" t="s">
        <v>3352</v>
      </c>
      <c r="B1153" s="341" t="s">
        <v>2772</v>
      </c>
      <c r="C1153" s="341" t="s">
        <v>11</v>
      </c>
      <c r="D1153" s="342">
        <v>1</v>
      </c>
      <c r="E1153" s="342">
        <v>0</v>
      </c>
      <c r="F1153" s="342" t="s">
        <v>9622</v>
      </c>
      <c r="G1153" s="341" t="s">
        <v>3353</v>
      </c>
      <c r="H1153" s="341" t="s">
        <v>2772</v>
      </c>
      <c r="I1153" s="341" t="s">
        <v>11</v>
      </c>
      <c r="J1153" s="342">
        <v>1</v>
      </c>
      <c r="K1153" s="342" t="s">
        <v>9623</v>
      </c>
      <c r="L1153" s="342">
        <v>0</v>
      </c>
    </row>
    <row r="1154" spans="1:12" x14ac:dyDescent="0.25">
      <c r="A1154" s="341" t="s">
        <v>3354</v>
      </c>
      <c r="B1154" s="341" t="s">
        <v>2773</v>
      </c>
      <c r="C1154" s="341" t="s">
        <v>11</v>
      </c>
      <c r="D1154" s="342">
        <v>1</v>
      </c>
      <c r="E1154" s="342">
        <v>0</v>
      </c>
      <c r="F1154" s="342" t="s">
        <v>9622</v>
      </c>
      <c r="G1154" s="341" t="s">
        <v>3355</v>
      </c>
      <c r="H1154" s="341" t="s">
        <v>2773</v>
      </c>
      <c r="I1154" s="341" t="s">
        <v>11</v>
      </c>
      <c r="J1154" s="342">
        <v>1</v>
      </c>
      <c r="K1154" s="342" t="s">
        <v>9623</v>
      </c>
      <c r="L1154" s="342">
        <v>0</v>
      </c>
    </row>
    <row r="1155" spans="1:12" x14ac:dyDescent="0.25">
      <c r="A1155" s="341" t="s">
        <v>3356</v>
      </c>
      <c r="B1155" s="341" t="s">
        <v>2774</v>
      </c>
      <c r="C1155" s="341" t="s">
        <v>11</v>
      </c>
      <c r="D1155" s="342">
        <v>1</v>
      </c>
      <c r="E1155" s="342">
        <v>0</v>
      </c>
      <c r="F1155" s="342" t="s">
        <v>9622</v>
      </c>
      <c r="G1155" s="341" t="s">
        <v>3357</v>
      </c>
      <c r="H1155" s="341" t="s">
        <v>2774</v>
      </c>
      <c r="I1155" s="341" t="s">
        <v>11</v>
      </c>
      <c r="J1155" s="342">
        <v>1</v>
      </c>
      <c r="K1155" s="342" t="s">
        <v>9623</v>
      </c>
      <c r="L1155" s="342">
        <v>0</v>
      </c>
    </row>
    <row r="1156" spans="1:12" x14ac:dyDescent="0.25">
      <c r="A1156" s="341" t="s">
        <v>3358</v>
      </c>
      <c r="B1156" s="341" t="s">
        <v>2775</v>
      </c>
      <c r="C1156" s="341" t="s">
        <v>11</v>
      </c>
      <c r="D1156" s="342">
        <v>1</v>
      </c>
      <c r="E1156" s="342">
        <v>0</v>
      </c>
      <c r="F1156" s="342" t="s">
        <v>9622</v>
      </c>
      <c r="G1156" s="341" t="s">
        <v>3359</v>
      </c>
      <c r="H1156" s="341" t="s">
        <v>2775</v>
      </c>
      <c r="I1156" s="341" t="s">
        <v>11</v>
      </c>
      <c r="J1156" s="342">
        <v>1</v>
      </c>
      <c r="K1156" s="342" t="s">
        <v>9623</v>
      </c>
      <c r="L1156" s="342">
        <v>0</v>
      </c>
    </row>
    <row r="1157" spans="1:12" x14ac:dyDescent="0.25">
      <c r="A1157" s="341" t="s">
        <v>3360</v>
      </c>
      <c r="B1157" s="341" t="s">
        <v>2776</v>
      </c>
      <c r="C1157" s="341" t="s">
        <v>11</v>
      </c>
      <c r="D1157" s="342">
        <v>1</v>
      </c>
      <c r="E1157" s="342">
        <v>0</v>
      </c>
      <c r="F1157" s="342" t="s">
        <v>9622</v>
      </c>
      <c r="G1157" s="341" t="s">
        <v>3361</v>
      </c>
      <c r="H1157" s="341" t="s">
        <v>2776</v>
      </c>
      <c r="I1157" s="341" t="s">
        <v>11</v>
      </c>
      <c r="J1157" s="342">
        <v>1</v>
      </c>
      <c r="K1157" s="342" t="s">
        <v>9623</v>
      </c>
      <c r="L1157" s="342">
        <v>0</v>
      </c>
    </row>
    <row r="1158" spans="1:12" x14ac:dyDescent="0.25">
      <c r="A1158" s="341" t="s">
        <v>3362</v>
      </c>
      <c r="B1158" s="341" t="s">
        <v>2777</v>
      </c>
      <c r="C1158" s="341" t="s">
        <v>11</v>
      </c>
      <c r="D1158" s="342">
        <v>1</v>
      </c>
      <c r="E1158" s="342">
        <v>0</v>
      </c>
      <c r="F1158" s="342" t="s">
        <v>9622</v>
      </c>
      <c r="G1158" s="341" t="s">
        <v>3363</v>
      </c>
      <c r="H1158" s="341" t="s">
        <v>2777</v>
      </c>
      <c r="I1158" s="341" t="s">
        <v>11</v>
      </c>
      <c r="J1158" s="342">
        <v>1</v>
      </c>
      <c r="K1158" s="342" t="s">
        <v>9623</v>
      </c>
      <c r="L1158" s="342">
        <v>0</v>
      </c>
    </row>
    <row r="1159" spans="1:12" x14ac:dyDescent="0.25">
      <c r="A1159" s="341" t="s">
        <v>3364</v>
      </c>
      <c r="B1159" s="341" t="s">
        <v>2778</v>
      </c>
      <c r="C1159" s="341" t="s">
        <v>11</v>
      </c>
      <c r="D1159" s="342">
        <v>1</v>
      </c>
      <c r="E1159" s="342">
        <v>0</v>
      </c>
      <c r="F1159" s="342" t="s">
        <v>9622</v>
      </c>
      <c r="G1159" s="341" t="s">
        <v>3365</v>
      </c>
      <c r="H1159" s="341" t="s">
        <v>2778</v>
      </c>
      <c r="I1159" s="341" t="s">
        <v>11</v>
      </c>
      <c r="J1159" s="342">
        <v>1</v>
      </c>
      <c r="K1159" s="342" t="s">
        <v>9623</v>
      </c>
      <c r="L1159" s="342">
        <v>0</v>
      </c>
    </row>
    <row r="1160" spans="1:12" x14ac:dyDescent="0.25">
      <c r="A1160" s="341" t="s">
        <v>3366</v>
      </c>
      <c r="B1160" s="341" t="s">
        <v>2779</v>
      </c>
      <c r="C1160" s="341" t="s">
        <v>11</v>
      </c>
      <c r="D1160" s="342">
        <v>1</v>
      </c>
      <c r="E1160" s="342">
        <v>0</v>
      </c>
      <c r="F1160" s="342" t="s">
        <v>9622</v>
      </c>
      <c r="G1160" s="341" t="s">
        <v>3367</v>
      </c>
      <c r="H1160" s="341" t="s">
        <v>2779</v>
      </c>
      <c r="I1160" s="341" t="s">
        <v>11</v>
      </c>
      <c r="J1160" s="342">
        <v>1</v>
      </c>
      <c r="K1160" s="342" t="s">
        <v>9623</v>
      </c>
      <c r="L1160" s="342">
        <v>0</v>
      </c>
    </row>
    <row r="1161" spans="1:12" x14ac:dyDescent="0.25">
      <c r="A1161" s="341" t="s">
        <v>3368</v>
      </c>
      <c r="B1161" s="341" t="s">
        <v>10144</v>
      </c>
      <c r="C1161" s="341" t="s">
        <v>11</v>
      </c>
      <c r="D1161" s="342">
        <v>1</v>
      </c>
      <c r="E1161" s="342">
        <v>0</v>
      </c>
      <c r="F1161" s="342" t="s">
        <v>9622</v>
      </c>
      <c r="G1161" s="341" t="s">
        <v>345</v>
      </c>
      <c r="H1161" s="341" t="s">
        <v>10144</v>
      </c>
      <c r="I1161" s="341" t="s">
        <v>11</v>
      </c>
      <c r="J1161" s="342">
        <v>1</v>
      </c>
      <c r="K1161" s="342" t="s">
        <v>9623</v>
      </c>
      <c r="L1161" s="342">
        <v>0</v>
      </c>
    </row>
    <row r="1162" spans="1:12" x14ac:dyDescent="0.25">
      <c r="A1162" s="341" t="s">
        <v>2420</v>
      </c>
      <c r="B1162" s="341" t="s">
        <v>2420</v>
      </c>
      <c r="C1162" s="341" t="s">
        <v>2420</v>
      </c>
      <c r="D1162" s="342">
        <v>0</v>
      </c>
      <c r="E1162" s="342" t="s">
        <v>2420</v>
      </c>
      <c r="F1162" s="342" t="s">
        <v>9624</v>
      </c>
      <c r="G1162" s="341" t="s">
        <v>297</v>
      </c>
      <c r="H1162" s="341" t="s">
        <v>9756</v>
      </c>
      <c r="I1162" s="341" t="s">
        <v>16</v>
      </c>
      <c r="J1162" s="342">
        <v>0.5</v>
      </c>
      <c r="K1162" s="342" t="s">
        <v>2420</v>
      </c>
      <c r="L1162" s="342">
        <v>0</v>
      </c>
    </row>
    <row r="1163" spans="1:12" x14ac:dyDescent="0.25">
      <c r="A1163" s="341" t="s">
        <v>3369</v>
      </c>
      <c r="B1163" s="341" t="s">
        <v>2792</v>
      </c>
      <c r="C1163" s="341" t="s">
        <v>16</v>
      </c>
      <c r="D1163" s="342">
        <v>1</v>
      </c>
      <c r="E1163" s="342">
        <v>0</v>
      </c>
      <c r="F1163" s="342" t="s">
        <v>9622</v>
      </c>
      <c r="G1163" s="341" t="s">
        <v>360</v>
      </c>
      <c r="H1163" s="341" t="s">
        <v>2792</v>
      </c>
      <c r="I1163" s="341" t="s">
        <v>16</v>
      </c>
      <c r="J1163" s="342">
        <v>1</v>
      </c>
      <c r="K1163" s="342" t="s">
        <v>9623</v>
      </c>
      <c r="L1163" s="342">
        <v>0</v>
      </c>
    </row>
    <row r="1164" spans="1:12" x14ac:dyDescent="0.25">
      <c r="A1164" s="341" t="s">
        <v>3370</v>
      </c>
      <c r="B1164" s="341" t="s">
        <v>10145</v>
      </c>
      <c r="C1164" s="341" t="s">
        <v>16</v>
      </c>
      <c r="D1164" s="342">
        <v>1</v>
      </c>
      <c r="E1164" s="342">
        <v>0</v>
      </c>
      <c r="F1164" s="342" t="s">
        <v>9622</v>
      </c>
      <c r="G1164" s="341" t="s">
        <v>3371</v>
      </c>
      <c r="H1164" s="341" t="s">
        <v>10145</v>
      </c>
      <c r="I1164" s="341" t="s">
        <v>16</v>
      </c>
      <c r="J1164" s="342">
        <v>1</v>
      </c>
      <c r="K1164" s="342" t="s">
        <v>9623</v>
      </c>
      <c r="L1164" s="342">
        <v>0</v>
      </c>
    </row>
    <row r="1165" spans="1:12" x14ac:dyDescent="0.25">
      <c r="A1165" s="341" t="s">
        <v>3372</v>
      </c>
      <c r="B1165" s="341" t="s">
        <v>2813</v>
      </c>
      <c r="C1165" s="341" t="s">
        <v>16</v>
      </c>
      <c r="D1165" s="342">
        <v>1</v>
      </c>
      <c r="E1165" s="342">
        <v>0</v>
      </c>
      <c r="F1165" s="342" t="s">
        <v>9622</v>
      </c>
      <c r="G1165" s="341" t="s">
        <v>3373</v>
      </c>
      <c r="H1165" s="341" t="s">
        <v>2813</v>
      </c>
      <c r="I1165" s="341" t="s">
        <v>16</v>
      </c>
      <c r="J1165" s="342">
        <v>1</v>
      </c>
      <c r="K1165" s="342" t="s">
        <v>9623</v>
      </c>
      <c r="L1165" s="342">
        <v>0</v>
      </c>
    </row>
    <row r="1166" spans="1:12" x14ac:dyDescent="0.25">
      <c r="A1166" s="341" t="s">
        <v>3374</v>
      </c>
      <c r="B1166" s="341" t="s">
        <v>2814</v>
      </c>
      <c r="C1166" s="341" t="s">
        <v>16</v>
      </c>
      <c r="D1166" s="342">
        <v>1</v>
      </c>
      <c r="E1166" s="342">
        <v>0</v>
      </c>
      <c r="F1166" s="342" t="s">
        <v>9622</v>
      </c>
      <c r="G1166" s="341" t="s">
        <v>2259</v>
      </c>
      <c r="H1166" s="341" t="s">
        <v>2814</v>
      </c>
      <c r="I1166" s="341" t="s">
        <v>16</v>
      </c>
      <c r="J1166" s="342">
        <v>1</v>
      </c>
      <c r="K1166" s="342" t="s">
        <v>9623</v>
      </c>
      <c r="L1166" s="342">
        <v>0</v>
      </c>
    </row>
    <row r="1167" spans="1:12" x14ac:dyDescent="0.25">
      <c r="A1167" s="341" t="s">
        <v>3376</v>
      </c>
      <c r="B1167" s="341" t="s">
        <v>2854</v>
      </c>
      <c r="C1167" s="341" t="s">
        <v>16</v>
      </c>
      <c r="D1167" s="342">
        <v>1</v>
      </c>
      <c r="E1167" s="342">
        <v>0</v>
      </c>
      <c r="F1167" s="342" t="s">
        <v>9622</v>
      </c>
      <c r="G1167" s="341" t="s">
        <v>2057</v>
      </c>
      <c r="H1167" s="341" t="s">
        <v>2854</v>
      </c>
      <c r="I1167" s="341" t="s">
        <v>16</v>
      </c>
      <c r="J1167" s="342">
        <v>1</v>
      </c>
      <c r="K1167" s="342" t="s">
        <v>9623</v>
      </c>
      <c r="L1167" s="342">
        <v>0</v>
      </c>
    </row>
    <row r="1168" spans="1:12" x14ac:dyDescent="0.25">
      <c r="A1168" s="341" t="s">
        <v>3377</v>
      </c>
      <c r="B1168" s="341" t="s">
        <v>2855</v>
      </c>
      <c r="C1168" s="341" t="s">
        <v>16</v>
      </c>
      <c r="D1168" s="342">
        <v>1</v>
      </c>
      <c r="E1168" s="342">
        <v>0</v>
      </c>
      <c r="F1168" s="342" t="s">
        <v>9622</v>
      </c>
      <c r="G1168" s="341" t="s">
        <v>3378</v>
      </c>
      <c r="H1168" s="341" t="s">
        <v>2855</v>
      </c>
      <c r="I1168" s="341" t="s">
        <v>16</v>
      </c>
      <c r="J1168" s="342">
        <v>1</v>
      </c>
      <c r="K1168" s="342" t="s">
        <v>9623</v>
      </c>
      <c r="L1168" s="342">
        <v>0</v>
      </c>
    </row>
    <row r="1169" spans="1:12" x14ac:dyDescent="0.25">
      <c r="A1169" s="341" t="s">
        <v>3379</v>
      </c>
      <c r="B1169" s="341" t="s">
        <v>2870</v>
      </c>
      <c r="C1169" s="341" t="s">
        <v>16</v>
      </c>
      <c r="D1169" s="342">
        <v>1</v>
      </c>
      <c r="E1169" s="342">
        <v>0</v>
      </c>
      <c r="F1169" s="342" t="s">
        <v>9622</v>
      </c>
      <c r="G1169" s="341" t="s">
        <v>170</v>
      </c>
      <c r="H1169" s="341" t="s">
        <v>2870</v>
      </c>
      <c r="I1169" s="341" t="s">
        <v>16</v>
      </c>
      <c r="J1169" s="342">
        <v>1</v>
      </c>
      <c r="K1169" s="342" t="s">
        <v>9623</v>
      </c>
      <c r="L1169" s="342">
        <v>0</v>
      </c>
    </row>
    <row r="1170" spans="1:12" x14ac:dyDescent="0.25">
      <c r="A1170" s="341" t="s">
        <v>3380</v>
      </c>
      <c r="B1170" s="341" t="s">
        <v>2871</v>
      </c>
      <c r="C1170" s="341" t="s">
        <v>25</v>
      </c>
      <c r="D1170" s="342">
        <v>1</v>
      </c>
      <c r="E1170" s="342">
        <v>0</v>
      </c>
      <c r="F1170" s="342" t="s">
        <v>9622</v>
      </c>
      <c r="G1170" s="341" t="s">
        <v>171</v>
      </c>
      <c r="H1170" s="341" t="s">
        <v>2871</v>
      </c>
      <c r="I1170" s="341" t="s">
        <v>25</v>
      </c>
      <c r="J1170" s="342">
        <v>1</v>
      </c>
      <c r="K1170" s="342" t="s">
        <v>9623</v>
      </c>
      <c r="L1170" s="342">
        <v>0</v>
      </c>
    </row>
    <row r="1171" spans="1:12" x14ac:dyDescent="0.25">
      <c r="A1171" s="341" t="s">
        <v>3381</v>
      </c>
      <c r="B1171" s="341" t="s">
        <v>2872</v>
      </c>
      <c r="C1171" s="341" t="s">
        <v>16</v>
      </c>
      <c r="D1171" s="342">
        <v>1</v>
      </c>
      <c r="E1171" s="342">
        <v>0</v>
      </c>
      <c r="F1171" s="342" t="s">
        <v>9622</v>
      </c>
      <c r="G1171" s="341" t="s">
        <v>1981</v>
      </c>
      <c r="H1171" s="341" t="s">
        <v>2872</v>
      </c>
      <c r="I1171" s="341" t="s">
        <v>16</v>
      </c>
      <c r="J1171" s="342">
        <v>1</v>
      </c>
      <c r="K1171" s="342" t="s">
        <v>9623</v>
      </c>
      <c r="L1171" s="342">
        <v>0</v>
      </c>
    </row>
    <row r="1172" spans="1:12" x14ac:dyDescent="0.25">
      <c r="A1172" s="341" t="s">
        <v>3382</v>
      </c>
      <c r="B1172" s="341" t="s">
        <v>2873</v>
      </c>
      <c r="C1172" s="341" t="s">
        <v>16</v>
      </c>
      <c r="D1172" s="342">
        <v>1</v>
      </c>
      <c r="E1172" s="342">
        <v>0</v>
      </c>
      <c r="F1172" s="342" t="s">
        <v>9622</v>
      </c>
      <c r="G1172" s="341" t="s">
        <v>3383</v>
      </c>
      <c r="H1172" s="341" t="s">
        <v>2873</v>
      </c>
      <c r="I1172" s="341" t="s">
        <v>16</v>
      </c>
      <c r="J1172" s="342">
        <v>1</v>
      </c>
      <c r="K1172" s="342" t="s">
        <v>9623</v>
      </c>
      <c r="L1172" s="342">
        <v>0</v>
      </c>
    </row>
    <row r="1173" spans="1:12" x14ac:dyDescent="0.25">
      <c r="A1173" s="341" t="s">
        <v>3384</v>
      </c>
      <c r="B1173" s="341" t="s">
        <v>2868</v>
      </c>
      <c r="C1173" s="341" t="s">
        <v>10111</v>
      </c>
      <c r="D1173" s="342">
        <v>1</v>
      </c>
      <c r="E1173" s="342">
        <v>0</v>
      </c>
      <c r="F1173" s="342" t="s">
        <v>2420</v>
      </c>
      <c r="G1173" s="341" t="s">
        <v>2420</v>
      </c>
      <c r="H1173" s="341" t="s">
        <v>2420</v>
      </c>
      <c r="I1173" s="341" t="s">
        <v>2420</v>
      </c>
      <c r="J1173" s="342">
        <v>0</v>
      </c>
      <c r="K1173" s="342" t="s">
        <v>2420</v>
      </c>
      <c r="L1173" s="342" t="s">
        <v>2420</v>
      </c>
    </row>
    <row r="1174" spans="1:12" x14ac:dyDescent="0.25">
      <c r="A1174" s="341" t="s">
        <v>3385</v>
      </c>
      <c r="B1174" s="341" t="s">
        <v>10146</v>
      </c>
      <c r="C1174" s="341" t="s">
        <v>2338</v>
      </c>
      <c r="D1174" s="342">
        <v>1</v>
      </c>
      <c r="E1174" s="342">
        <v>0</v>
      </c>
      <c r="F1174" s="342" t="s">
        <v>9622</v>
      </c>
      <c r="G1174" s="341" t="s">
        <v>488</v>
      </c>
      <c r="H1174" s="341" t="s">
        <v>10146</v>
      </c>
      <c r="I1174" s="341" t="s">
        <v>2338</v>
      </c>
      <c r="J1174" s="342">
        <v>1</v>
      </c>
      <c r="K1174" s="342" t="s">
        <v>25</v>
      </c>
      <c r="L1174" s="342">
        <v>0</v>
      </c>
    </row>
    <row r="1175" spans="1:12" x14ac:dyDescent="0.25">
      <c r="A1175" s="341" t="s">
        <v>3386</v>
      </c>
      <c r="B1175" s="341" t="s">
        <v>2885</v>
      </c>
      <c r="C1175" s="341" t="s">
        <v>2338</v>
      </c>
      <c r="D1175" s="342">
        <v>1</v>
      </c>
      <c r="E1175" s="342">
        <v>0</v>
      </c>
      <c r="F1175" s="342" t="s">
        <v>9622</v>
      </c>
      <c r="G1175" s="341" t="s">
        <v>207</v>
      </c>
      <c r="H1175" s="341" t="s">
        <v>2885</v>
      </c>
      <c r="I1175" s="341" t="s">
        <v>2338</v>
      </c>
      <c r="J1175" s="342">
        <v>1</v>
      </c>
      <c r="K1175" s="342" t="s">
        <v>9623</v>
      </c>
      <c r="L1175" s="342">
        <v>0</v>
      </c>
    </row>
    <row r="1176" spans="1:12" x14ac:dyDescent="0.25">
      <c r="A1176" s="341" t="s">
        <v>3387</v>
      </c>
      <c r="B1176" s="341" t="s">
        <v>10147</v>
      </c>
      <c r="C1176" s="341" t="s">
        <v>2338</v>
      </c>
      <c r="D1176" s="342">
        <v>1</v>
      </c>
      <c r="E1176" s="342">
        <v>0</v>
      </c>
      <c r="F1176" s="342" t="s">
        <v>9622</v>
      </c>
      <c r="G1176" s="341" t="s">
        <v>3388</v>
      </c>
      <c r="H1176" s="341" t="s">
        <v>10147</v>
      </c>
      <c r="I1176" s="341" t="s">
        <v>2338</v>
      </c>
      <c r="J1176" s="342">
        <v>1</v>
      </c>
      <c r="K1176" s="342" t="s">
        <v>9623</v>
      </c>
      <c r="L1176" s="342">
        <v>0</v>
      </c>
    </row>
    <row r="1177" spans="1:12" x14ac:dyDescent="0.25">
      <c r="A1177" s="341" t="s">
        <v>3389</v>
      </c>
      <c r="B1177" s="341" t="s">
        <v>10148</v>
      </c>
      <c r="C1177" s="341" t="s">
        <v>2338</v>
      </c>
      <c r="D1177" s="342">
        <v>1</v>
      </c>
      <c r="E1177" s="342">
        <v>0</v>
      </c>
      <c r="F1177" s="342" t="s">
        <v>9622</v>
      </c>
      <c r="G1177" s="341" t="s">
        <v>3390</v>
      </c>
      <c r="H1177" s="341" t="s">
        <v>10148</v>
      </c>
      <c r="I1177" s="341" t="s">
        <v>2338</v>
      </c>
      <c r="J1177" s="342">
        <v>1</v>
      </c>
      <c r="K1177" s="342" t="s">
        <v>9623</v>
      </c>
      <c r="L1177" s="342">
        <v>0</v>
      </c>
    </row>
    <row r="1178" spans="1:12" x14ac:dyDescent="0.25">
      <c r="A1178" s="341" t="s">
        <v>3391</v>
      </c>
      <c r="B1178" s="341" t="s">
        <v>10149</v>
      </c>
      <c r="C1178" s="341" t="s">
        <v>2338</v>
      </c>
      <c r="D1178" s="342">
        <v>1</v>
      </c>
      <c r="E1178" s="342">
        <v>0</v>
      </c>
      <c r="F1178" s="342" t="s">
        <v>9622</v>
      </c>
      <c r="G1178" s="341" t="s">
        <v>489</v>
      </c>
      <c r="H1178" s="341" t="s">
        <v>10149</v>
      </c>
      <c r="I1178" s="341" t="s">
        <v>2338</v>
      </c>
      <c r="J1178" s="342">
        <v>1</v>
      </c>
      <c r="K1178" s="342" t="s">
        <v>25</v>
      </c>
      <c r="L1178" s="342">
        <v>0</v>
      </c>
    </row>
    <row r="1179" spans="1:12" x14ac:dyDescent="0.25">
      <c r="A1179" s="341" t="s">
        <v>3392</v>
      </c>
      <c r="B1179" s="341" t="s">
        <v>10150</v>
      </c>
      <c r="C1179" s="341" t="s">
        <v>2338</v>
      </c>
      <c r="D1179" s="342">
        <v>1</v>
      </c>
      <c r="E1179" s="342">
        <v>0</v>
      </c>
      <c r="F1179" s="342" t="s">
        <v>9622</v>
      </c>
      <c r="G1179" s="341" t="s">
        <v>1540</v>
      </c>
      <c r="H1179" s="341" t="s">
        <v>10150</v>
      </c>
      <c r="I1179" s="341" t="s">
        <v>2338</v>
      </c>
      <c r="J1179" s="342">
        <v>1</v>
      </c>
      <c r="K1179" s="342" t="s">
        <v>25</v>
      </c>
      <c r="L1179" s="342">
        <v>0</v>
      </c>
    </row>
    <row r="1180" spans="1:12" x14ac:dyDescent="0.25">
      <c r="A1180" s="341" t="s">
        <v>3393</v>
      </c>
      <c r="B1180" s="341" t="s">
        <v>10151</v>
      </c>
      <c r="C1180" s="341" t="s">
        <v>2338</v>
      </c>
      <c r="D1180" s="342">
        <v>1</v>
      </c>
      <c r="E1180" s="342">
        <v>0</v>
      </c>
      <c r="F1180" s="342" t="s">
        <v>9622</v>
      </c>
      <c r="G1180" s="341" t="s">
        <v>2041</v>
      </c>
      <c r="H1180" s="341" t="s">
        <v>10151</v>
      </c>
      <c r="I1180" s="341" t="s">
        <v>2338</v>
      </c>
      <c r="J1180" s="342">
        <v>1</v>
      </c>
      <c r="K1180" s="342" t="s">
        <v>9623</v>
      </c>
      <c r="L1180" s="342">
        <v>0</v>
      </c>
    </row>
    <row r="1181" spans="1:12" x14ac:dyDescent="0.25">
      <c r="A1181" s="341" t="s">
        <v>3394</v>
      </c>
      <c r="B1181" s="341" t="s">
        <v>2894</v>
      </c>
      <c r="C1181" s="341" t="s">
        <v>2338</v>
      </c>
      <c r="D1181" s="342">
        <v>1</v>
      </c>
      <c r="E1181" s="342">
        <v>0</v>
      </c>
      <c r="F1181" s="342" t="s">
        <v>9622</v>
      </c>
      <c r="G1181" s="341" t="s">
        <v>490</v>
      </c>
      <c r="H1181" s="341" t="s">
        <v>2894</v>
      </c>
      <c r="I1181" s="341" t="s">
        <v>2338</v>
      </c>
      <c r="J1181" s="342">
        <v>1</v>
      </c>
      <c r="K1181" s="342" t="s">
        <v>9623</v>
      </c>
      <c r="L1181" s="342">
        <v>0</v>
      </c>
    </row>
    <row r="1182" spans="1:12" x14ac:dyDescent="0.25">
      <c r="A1182" s="341" t="s">
        <v>3395</v>
      </c>
      <c r="B1182" s="341" t="s">
        <v>2896</v>
      </c>
      <c r="C1182" s="341" t="s">
        <v>2338</v>
      </c>
      <c r="D1182" s="342">
        <v>1</v>
      </c>
      <c r="E1182" s="342">
        <v>0</v>
      </c>
      <c r="F1182" s="342" t="s">
        <v>9622</v>
      </c>
      <c r="G1182" s="341" t="s">
        <v>459</v>
      </c>
      <c r="H1182" s="341" t="s">
        <v>2896</v>
      </c>
      <c r="I1182" s="341" t="s">
        <v>2338</v>
      </c>
      <c r="J1182" s="342">
        <v>1</v>
      </c>
      <c r="K1182" s="342" t="s">
        <v>25</v>
      </c>
      <c r="L1182" s="342">
        <v>0</v>
      </c>
    </row>
    <row r="1183" spans="1:12" x14ac:dyDescent="0.25">
      <c r="A1183" s="341" t="s">
        <v>3396</v>
      </c>
      <c r="B1183" s="341" t="s">
        <v>2897</v>
      </c>
      <c r="C1183" s="341" t="s">
        <v>2338</v>
      </c>
      <c r="D1183" s="342">
        <v>1</v>
      </c>
      <c r="E1183" s="342">
        <v>0</v>
      </c>
      <c r="F1183" s="342" t="s">
        <v>9622</v>
      </c>
      <c r="G1183" s="341" t="s">
        <v>195</v>
      </c>
      <c r="H1183" s="341" t="s">
        <v>2897</v>
      </c>
      <c r="I1183" s="341" t="s">
        <v>2338</v>
      </c>
      <c r="J1183" s="342">
        <v>1</v>
      </c>
      <c r="K1183" s="342" t="s">
        <v>9623</v>
      </c>
      <c r="L1183" s="342">
        <v>0</v>
      </c>
    </row>
    <row r="1184" spans="1:12" x14ac:dyDescent="0.25">
      <c r="A1184" s="341" t="s">
        <v>3397</v>
      </c>
      <c r="B1184" s="341" t="s">
        <v>10152</v>
      </c>
      <c r="C1184" s="341" t="s">
        <v>2338</v>
      </c>
      <c r="D1184" s="342">
        <v>1</v>
      </c>
      <c r="E1184" s="342">
        <v>0</v>
      </c>
      <c r="F1184" s="342" t="s">
        <v>9622</v>
      </c>
      <c r="G1184" s="341" t="s">
        <v>210</v>
      </c>
      <c r="H1184" s="341" t="s">
        <v>10152</v>
      </c>
      <c r="I1184" s="341" t="s">
        <v>2338</v>
      </c>
      <c r="J1184" s="342">
        <v>1</v>
      </c>
      <c r="K1184" s="342" t="s">
        <v>9623</v>
      </c>
      <c r="L1184" s="342">
        <v>0</v>
      </c>
    </row>
    <row r="1185" spans="1:12" x14ac:dyDescent="0.25">
      <c r="A1185" s="341" t="s">
        <v>3398</v>
      </c>
      <c r="B1185" s="341" t="s">
        <v>10153</v>
      </c>
      <c r="C1185" s="341" t="s">
        <v>2338</v>
      </c>
      <c r="D1185" s="342">
        <v>1</v>
      </c>
      <c r="E1185" s="342">
        <v>0</v>
      </c>
      <c r="F1185" s="342" t="s">
        <v>9622</v>
      </c>
      <c r="G1185" s="341" t="s">
        <v>493</v>
      </c>
      <c r="H1185" s="341" t="s">
        <v>10153</v>
      </c>
      <c r="I1185" s="341" t="s">
        <v>2338</v>
      </c>
      <c r="J1185" s="342">
        <v>1</v>
      </c>
      <c r="K1185" s="342" t="s">
        <v>9623</v>
      </c>
      <c r="L1185" s="342">
        <v>0</v>
      </c>
    </row>
    <row r="1186" spans="1:12" x14ac:dyDescent="0.25">
      <c r="A1186" s="341" t="s">
        <v>3399</v>
      </c>
      <c r="B1186" s="341" t="s">
        <v>2902</v>
      </c>
      <c r="C1186" s="341" t="s">
        <v>2338</v>
      </c>
      <c r="D1186" s="342">
        <v>1</v>
      </c>
      <c r="E1186" s="342">
        <v>0</v>
      </c>
      <c r="F1186" s="342" t="s">
        <v>9622</v>
      </c>
      <c r="G1186" s="341" t="s">
        <v>494</v>
      </c>
      <c r="H1186" s="341" t="s">
        <v>2902</v>
      </c>
      <c r="I1186" s="341" t="s">
        <v>2338</v>
      </c>
      <c r="J1186" s="342">
        <v>1</v>
      </c>
      <c r="K1186" s="342" t="s">
        <v>9623</v>
      </c>
      <c r="L1186" s="342">
        <v>0</v>
      </c>
    </row>
    <row r="1187" spans="1:12" x14ac:dyDescent="0.25">
      <c r="A1187" s="341" t="s">
        <v>3400</v>
      </c>
      <c r="B1187" s="341" t="s">
        <v>10154</v>
      </c>
      <c r="C1187" s="341" t="s">
        <v>2338</v>
      </c>
      <c r="D1187" s="342">
        <v>1</v>
      </c>
      <c r="E1187" s="342">
        <v>0</v>
      </c>
      <c r="F1187" s="342" t="s">
        <v>9622</v>
      </c>
      <c r="G1187" s="341" t="s">
        <v>209</v>
      </c>
      <c r="H1187" s="341" t="s">
        <v>10154</v>
      </c>
      <c r="I1187" s="341" t="s">
        <v>2338</v>
      </c>
      <c r="J1187" s="342">
        <v>1</v>
      </c>
      <c r="K1187" s="342" t="s">
        <v>9623</v>
      </c>
      <c r="L1187" s="342">
        <v>0</v>
      </c>
    </row>
    <row r="1188" spans="1:12" x14ac:dyDescent="0.25">
      <c r="A1188" s="341" t="s">
        <v>3401</v>
      </c>
      <c r="B1188" s="341" t="s">
        <v>10155</v>
      </c>
      <c r="C1188" s="341" t="s">
        <v>2338</v>
      </c>
      <c r="D1188" s="342">
        <v>1</v>
      </c>
      <c r="E1188" s="342">
        <v>0</v>
      </c>
      <c r="F1188" s="342" t="s">
        <v>9622</v>
      </c>
      <c r="G1188" s="341" t="s">
        <v>491</v>
      </c>
      <c r="H1188" s="341" t="s">
        <v>10155</v>
      </c>
      <c r="I1188" s="341" t="s">
        <v>2338</v>
      </c>
      <c r="J1188" s="342">
        <v>1</v>
      </c>
      <c r="K1188" s="342" t="s">
        <v>9623</v>
      </c>
      <c r="L1188" s="342">
        <v>0</v>
      </c>
    </row>
    <row r="1189" spans="1:12" x14ac:dyDescent="0.25">
      <c r="A1189" s="341" t="s">
        <v>3402</v>
      </c>
      <c r="B1189" s="341" t="s">
        <v>10156</v>
      </c>
      <c r="C1189" s="341" t="s">
        <v>2338</v>
      </c>
      <c r="D1189" s="342">
        <v>1</v>
      </c>
      <c r="E1189" s="342">
        <v>0</v>
      </c>
      <c r="F1189" s="342" t="s">
        <v>9622</v>
      </c>
      <c r="G1189" s="341" t="s">
        <v>3403</v>
      </c>
      <c r="H1189" s="341" t="s">
        <v>10156</v>
      </c>
      <c r="I1189" s="341" t="s">
        <v>2338</v>
      </c>
      <c r="J1189" s="342">
        <v>1</v>
      </c>
      <c r="K1189" s="342" t="s">
        <v>9623</v>
      </c>
      <c r="L1189" s="342">
        <v>0</v>
      </c>
    </row>
    <row r="1190" spans="1:12" x14ac:dyDescent="0.25">
      <c r="A1190" s="341" t="s">
        <v>3404</v>
      </c>
      <c r="B1190" s="341" t="s">
        <v>2908</v>
      </c>
      <c r="C1190" s="341" t="s">
        <v>2338</v>
      </c>
      <c r="D1190" s="342">
        <v>1</v>
      </c>
      <c r="E1190" s="342">
        <v>0</v>
      </c>
      <c r="F1190" s="342" t="s">
        <v>9622</v>
      </c>
      <c r="G1190" s="341" t="s">
        <v>2068</v>
      </c>
      <c r="H1190" s="341" t="s">
        <v>2908</v>
      </c>
      <c r="I1190" s="341" t="s">
        <v>2338</v>
      </c>
      <c r="J1190" s="342">
        <v>1</v>
      </c>
      <c r="K1190" s="342" t="s">
        <v>9623</v>
      </c>
      <c r="L1190" s="342">
        <v>0</v>
      </c>
    </row>
    <row r="1191" spans="1:12" x14ac:dyDescent="0.25">
      <c r="A1191" s="341" t="s">
        <v>3405</v>
      </c>
      <c r="B1191" s="341" t="s">
        <v>2909</v>
      </c>
      <c r="C1191" s="341" t="s">
        <v>2338</v>
      </c>
      <c r="D1191" s="342">
        <v>1</v>
      </c>
      <c r="E1191" s="342">
        <v>0</v>
      </c>
      <c r="F1191" s="342" t="s">
        <v>9622</v>
      </c>
      <c r="G1191" s="341" t="s">
        <v>3406</v>
      </c>
      <c r="H1191" s="341" t="s">
        <v>2909</v>
      </c>
      <c r="I1191" s="341" t="s">
        <v>2338</v>
      </c>
      <c r="J1191" s="342">
        <v>1</v>
      </c>
      <c r="K1191" s="342" t="s">
        <v>9623</v>
      </c>
      <c r="L1191" s="342">
        <v>0</v>
      </c>
    </row>
    <row r="1192" spans="1:12" x14ac:dyDescent="0.25">
      <c r="A1192" s="341" t="s">
        <v>3407</v>
      </c>
      <c r="B1192" s="341" t="s">
        <v>10157</v>
      </c>
      <c r="C1192" s="341" t="s">
        <v>2338</v>
      </c>
      <c r="D1192" s="342">
        <v>1</v>
      </c>
      <c r="E1192" s="342">
        <v>0</v>
      </c>
      <c r="F1192" s="342" t="s">
        <v>9622</v>
      </c>
      <c r="G1192" s="341" t="s">
        <v>497</v>
      </c>
      <c r="H1192" s="341" t="s">
        <v>10157</v>
      </c>
      <c r="I1192" s="341" t="s">
        <v>2338</v>
      </c>
      <c r="J1192" s="342">
        <v>1</v>
      </c>
      <c r="K1192" s="342" t="s">
        <v>25</v>
      </c>
      <c r="L1192" s="342">
        <v>0</v>
      </c>
    </row>
    <row r="1193" spans="1:12" x14ac:dyDescent="0.25">
      <c r="A1193" s="341" t="s">
        <v>3408</v>
      </c>
      <c r="B1193" s="341" t="s">
        <v>10158</v>
      </c>
      <c r="C1193" s="341" t="s">
        <v>11</v>
      </c>
      <c r="D1193" s="342">
        <v>1</v>
      </c>
      <c r="E1193" s="342">
        <v>0</v>
      </c>
      <c r="F1193" s="342" t="s">
        <v>9622</v>
      </c>
      <c r="G1193" s="341" t="s">
        <v>3409</v>
      </c>
      <c r="H1193" s="341" t="s">
        <v>10158</v>
      </c>
      <c r="I1193" s="341" t="s">
        <v>11</v>
      </c>
      <c r="J1193" s="342">
        <v>1</v>
      </c>
      <c r="K1193" s="342" t="s">
        <v>9623</v>
      </c>
      <c r="L1193" s="342">
        <v>0</v>
      </c>
    </row>
    <row r="1194" spans="1:12" x14ac:dyDescent="0.25">
      <c r="A1194" s="341" t="s">
        <v>3410</v>
      </c>
      <c r="B1194" s="341" t="s">
        <v>2912</v>
      </c>
      <c r="C1194" s="341" t="s">
        <v>2338</v>
      </c>
      <c r="D1194" s="342">
        <v>1</v>
      </c>
      <c r="E1194" s="342">
        <v>0</v>
      </c>
      <c r="F1194" s="342" t="s">
        <v>9622</v>
      </c>
      <c r="G1194" s="341" t="s">
        <v>499</v>
      </c>
      <c r="H1194" s="341" t="s">
        <v>2912</v>
      </c>
      <c r="I1194" s="341" t="s">
        <v>2338</v>
      </c>
      <c r="J1194" s="342">
        <v>1</v>
      </c>
      <c r="K1194" s="342" t="s">
        <v>9623</v>
      </c>
      <c r="L1194" s="342">
        <v>0</v>
      </c>
    </row>
    <row r="1195" spans="1:12" x14ac:dyDescent="0.25">
      <c r="A1195" s="341" t="s">
        <v>3411</v>
      </c>
      <c r="B1195" s="341" t="s">
        <v>2913</v>
      </c>
      <c r="C1195" s="341" t="s">
        <v>2338</v>
      </c>
      <c r="D1195" s="342">
        <v>1</v>
      </c>
      <c r="E1195" s="342">
        <v>0</v>
      </c>
      <c r="F1195" s="342" t="s">
        <v>9622</v>
      </c>
      <c r="G1195" s="341" t="s">
        <v>500</v>
      </c>
      <c r="H1195" s="341" t="s">
        <v>2913</v>
      </c>
      <c r="I1195" s="341" t="s">
        <v>2338</v>
      </c>
      <c r="J1195" s="342">
        <v>1</v>
      </c>
      <c r="K1195" s="342" t="s">
        <v>9623</v>
      </c>
      <c r="L1195" s="342">
        <v>0</v>
      </c>
    </row>
    <row r="1196" spans="1:12" x14ac:dyDescent="0.25">
      <c r="A1196" s="341" t="s">
        <v>3412</v>
      </c>
      <c r="B1196" s="341" t="s">
        <v>2914</v>
      </c>
      <c r="C1196" s="341" t="s">
        <v>2338</v>
      </c>
      <c r="D1196" s="342">
        <v>1</v>
      </c>
      <c r="E1196" s="342">
        <v>0</v>
      </c>
      <c r="F1196" s="342" t="s">
        <v>9622</v>
      </c>
      <c r="G1196" s="341" t="s">
        <v>3413</v>
      </c>
      <c r="H1196" s="341" t="s">
        <v>2914</v>
      </c>
      <c r="I1196" s="341" t="s">
        <v>2338</v>
      </c>
      <c r="J1196" s="342">
        <v>1</v>
      </c>
      <c r="K1196" s="342" t="s">
        <v>9623</v>
      </c>
      <c r="L1196" s="342">
        <v>0</v>
      </c>
    </row>
    <row r="1197" spans="1:12" x14ac:dyDescent="0.25">
      <c r="A1197" s="341" t="s">
        <v>3414</v>
      </c>
      <c r="B1197" s="341" t="s">
        <v>2934</v>
      </c>
      <c r="C1197" s="341" t="s">
        <v>11</v>
      </c>
      <c r="D1197" s="342">
        <v>1</v>
      </c>
      <c r="E1197" s="342">
        <v>0</v>
      </c>
      <c r="F1197" s="342" t="s">
        <v>9622</v>
      </c>
      <c r="G1197" s="341" t="s">
        <v>212</v>
      </c>
      <c r="H1197" s="341" t="s">
        <v>2934</v>
      </c>
      <c r="I1197" s="341" t="s">
        <v>11</v>
      </c>
      <c r="J1197" s="342">
        <v>1</v>
      </c>
      <c r="K1197" s="342" t="s">
        <v>9623</v>
      </c>
      <c r="L1197" s="342">
        <v>0</v>
      </c>
    </row>
    <row r="1198" spans="1:12" x14ac:dyDescent="0.25">
      <c r="A1198" s="341" t="s">
        <v>3416</v>
      </c>
      <c r="B1198" s="341" t="s">
        <v>2961</v>
      </c>
      <c r="C1198" s="341" t="s">
        <v>11</v>
      </c>
      <c r="D1198" s="342">
        <v>1</v>
      </c>
      <c r="E1198" s="342">
        <v>0</v>
      </c>
      <c r="F1198" s="342" t="s">
        <v>9622</v>
      </c>
      <c r="G1198" s="341" t="s">
        <v>201</v>
      </c>
      <c r="H1198" s="341" t="s">
        <v>2961</v>
      </c>
      <c r="I1198" s="341" t="s">
        <v>11</v>
      </c>
      <c r="J1198" s="342">
        <v>1</v>
      </c>
      <c r="K1198" s="342" t="s">
        <v>25</v>
      </c>
      <c r="L1198" s="342">
        <v>0</v>
      </c>
    </row>
    <row r="1199" spans="1:12" x14ac:dyDescent="0.25">
      <c r="A1199" s="341" t="s">
        <v>3417</v>
      </c>
      <c r="B1199" s="341" t="s">
        <v>2962</v>
      </c>
      <c r="C1199" s="341" t="s">
        <v>11</v>
      </c>
      <c r="D1199" s="342">
        <v>1</v>
      </c>
      <c r="E1199" s="342">
        <v>0</v>
      </c>
      <c r="F1199" s="342" t="s">
        <v>9622</v>
      </c>
      <c r="G1199" s="341" t="s">
        <v>203</v>
      </c>
      <c r="H1199" s="341" t="s">
        <v>2962</v>
      </c>
      <c r="I1199" s="341" t="s">
        <v>11</v>
      </c>
      <c r="J1199" s="342">
        <v>1</v>
      </c>
      <c r="K1199" s="342" t="s">
        <v>9638</v>
      </c>
      <c r="L1199" s="342">
        <v>0</v>
      </c>
    </row>
    <row r="1200" spans="1:12" x14ac:dyDescent="0.25">
      <c r="A1200" s="341" t="s">
        <v>3418</v>
      </c>
      <c r="B1200" s="341" t="s">
        <v>2963</v>
      </c>
      <c r="C1200" s="341" t="s">
        <v>11</v>
      </c>
      <c r="D1200" s="342">
        <v>1</v>
      </c>
      <c r="E1200" s="342">
        <v>0</v>
      </c>
      <c r="F1200" s="342" t="s">
        <v>9622</v>
      </c>
      <c r="G1200" s="341" t="s">
        <v>479</v>
      </c>
      <c r="H1200" s="341" t="s">
        <v>2963</v>
      </c>
      <c r="I1200" s="341" t="s">
        <v>11</v>
      </c>
      <c r="J1200" s="342">
        <v>1</v>
      </c>
      <c r="K1200" s="342" t="s">
        <v>25</v>
      </c>
      <c r="L1200" s="342">
        <v>0</v>
      </c>
    </row>
    <row r="1201" spans="1:12" x14ac:dyDescent="0.25">
      <c r="A1201" s="341" t="s">
        <v>3419</v>
      </c>
      <c r="B1201" s="341" t="s">
        <v>2964</v>
      </c>
      <c r="C1201" s="341" t="s">
        <v>11</v>
      </c>
      <c r="D1201" s="342">
        <v>1</v>
      </c>
      <c r="E1201" s="342">
        <v>0</v>
      </c>
      <c r="F1201" s="342" t="s">
        <v>9622</v>
      </c>
      <c r="G1201" s="341" t="s">
        <v>480</v>
      </c>
      <c r="H1201" s="341" t="s">
        <v>2964</v>
      </c>
      <c r="I1201" s="341" t="s">
        <v>11</v>
      </c>
      <c r="J1201" s="342">
        <v>1</v>
      </c>
      <c r="K1201" s="342" t="s">
        <v>9638</v>
      </c>
      <c r="L1201" s="342">
        <v>0</v>
      </c>
    </row>
    <row r="1202" spans="1:12" x14ac:dyDescent="0.25">
      <c r="A1202" s="341" t="s">
        <v>3420</v>
      </c>
      <c r="B1202" s="341" t="s">
        <v>2965</v>
      </c>
      <c r="C1202" s="341" t="s">
        <v>11</v>
      </c>
      <c r="D1202" s="342">
        <v>1</v>
      </c>
      <c r="E1202" s="342">
        <v>0</v>
      </c>
      <c r="F1202" s="342" t="s">
        <v>9622</v>
      </c>
      <c r="G1202" s="341" t="s">
        <v>3421</v>
      </c>
      <c r="H1202" s="341" t="s">
        <v>2965</v>
      </c>
      <c r="I1202" s="341" t="s">
        <v>11</v>
      </c>
      <c r="J1202" s="342">
        <v>1</v>
      </c>
      <c r="K1202" s="342" t="s">
        <v>9638</v>
      </c>
      <c r="L1202" s="342">
        <v>0</v>
      </c>
    </row>
    <row r="1203" spans="1:12" x14ac:dyDescent="0.25">
      <c r="A1203" s="341" t="s">
        <v>3422</v>
      </c>
      <c r="B1203" s="341" t="s">
        <v>2966</v>
      </c>
      <c r="C1203" s="341" t="s">
        <v>11</v>
      </c>
      <c r="D1203" s="342">
        <v>1</v>
      </c>
      <c r="E1203" s="342">
        <v>0</v>
      </c>
      <c r="F1203" s="342" t="s">
        <v>9622</v>
      </c>
      <c r="G1203" s="341" t="s">
        <v>3423</v>
      </c>
      <c r="H1203" s="341" t="s">
        <v>2966</v>
      </c>
      <c r="I1203" s="341" t="s">
        <v>11</v>
      </c>
      <c r="J1203" s="342">
        <v>1</v>
      </c>
      <c r="K1203" s="342" t="s">
        <v>9638</v>
      </c>
      <c r="L1203" s="342">
        <v>0</v>
      </c>
    </row>
    <row r="1204" spans="1:12" x14ac:dyDescent="0.25">
      <c r="A1204" s="341" t="s">
        <v>3424</v>
      </c>
      <c r="B1204" s="341" t="s">
        <v>2967</v>
      </c>
      <c r="C1204" s="341" t="s">
        <v>11</v>
      </c>
      <c r="D1204" s="342">
        <v>1</v>
      </c>
      <c r="E1204" s="342">
        <v>0</v>
      </c>
      <c r="F1204" s="342" t="s">
        <v>9622</v>
      </c>
      <c r="G1204" s="341" t="s">
        <v>483</v>
      </c>
      <c r="H1204" s="341" t="s">
        <v>2967</v>
      </c>
      <c r="I1204" s="341" t="s">
        <v>11</v>
      </c>
      <c r="J1204" s="342">
        <v>1</v>
      </c>
      <c r="K1204" s="342" t="s">
        <v>9638</v>
      </c>
      <c r="L1204" s="342">
        <v>0</v>
      </c>
    </row>
    <row r="1205" spans="1:12" x14ac:dyDescent="0.25">
      <c r="A1205" s="341" t="s">
        <v>3425</v>
      </c>
      <c r="B1205" s="341" t="s">
        <v>2968</v>
      </c>
      <c r="C1205" s="341" t="s">
        <v>11</v>
      </c>
      <c r="D1205" s="342">
        <v>1</v>
      </c>
      <c r="E1205" s="342">
        <v>0</v>
      </c>
      <c r="F1205" s="342" t="s">
        <v>9622</v>
      </c>
      <c r="G1205" s="341" t="s">
        <v>484</v>
      </c>
      <c r="H1205" s="341" t="s">
        <v>2968</v>
      </c>
      <c r="I1205" s="341" t="s">
        <v>11</v>
      </c>
      <c r="J1205" s="342">
        <v>1</v>
      </c>
      <c r="K1205" s="342" t="s">
        <v>9638</v>
      </c>
      <c r="L1205" s="342">
        <v>0</v>
      </c>
    </row>
    <row r="1206" spans="1:12" x14ac:dyDescent="0.25">
      <c r="A1206" s="341" t="s">
        <v>3426</v>
      </c>
      <c r="B1206" s="341" t="s">
        <v>2969</v>
      </c>
      <c r="C1206" s="341" t="s">
        <v>11</v>
      </c>
      <c r="D1206" s="342">
        <v>1</v>
      </c>
      <c r="E1206" s="342">
        <v>0</v>
      </c>
      <c r="F1206" s="342" t="s">
        <v>9622</v>
      </c>
      <c r="G1206" s="341" t="s">
        <v>202</v>
      </c>
      <c r="H1206" s="341" t="s">
        <v>2969</v>
      </c>
      <c r="I1206" s="341" t="s">
        <v>11</v>
      </c>
      <c r="J1206" s="342">
        <v>1</v>
      </c>
      <c r="K1206" s="342" t="s">
        <v>9638</v>
      </c>
      <c r="L1206" s="342">
        <v>0</v>
      </c>
    </row>
    <row r="1207" spans="1:12" x14ac:dyDescent="0.25">
      <c r="A1207" s="341" t="s">
        <v>3427</v>
      </c>
      <c r="B1207" s="341" t="s">
        <v>2970</v>
      </c>
      <c r="C1207" s="341" t="s">
        <v>11</v>
      </c>
      <c r="D1207" s="342">
        <v>1</v>
      </c>
      <c r="E1207" s="342">
        <v>0</v>
      </c>
      <c r="F1207" s="342" t="s">
        <v>9622</v>
      </c>
      <c r="G1207" s="341" t="s">
        <v>485</v>
      </c>
      <c r="H1207" s="341" t="s">
        <v>2970</v>
      </c>
      <c r="I1207" s="341" t="s">
        <v>11</v>
      </c>
      <c r="J1207" s="342">
        <v>1</v>
      </c>
      <c r="K1207" s="342" t="s">
        <v>9638</v>
      </c>
      <c r="L1207" s="342">
        <v>0</v>
      </c>
    </row>
    <row r="1208" spans="1:12" x14ac:dyDescent="0.25">
      <c r="A1208" s="341" t="s">
        <v>3428</v>
      </c>
      <c r="B1208" s="341" t="s">
        <v>2971</v>
      </c>
      <c r="C1208" s="341" t="s">
        <v>11</v>
      </c>
      <c r="D1208" s="342">
        <v>1</v>
      </c>
      <c r="E1208" s="342">
        <v>0</v>
      </c>
      <c r="F1208" s="342" t="s">
        <v>9622</v>
      </c>
      <c r="G1208" s="341" t="s">
        <v>486</v>
      </c>
      <c r="H1208" s="341" t="s">
        <v>2971</v>
      </c>
      <c r="I1208" s="341" t="s">
        <v>11</v>
      </c>
      <c r="J1208" s="342">
        <v>1</v>
      </c>
      <c r="K1208" s="342" t="s">
        <v>9638</v>
      </c>
      <c r="L1208" s="342">
        <v>0</v>
      </c>
    </row>
    <row r="1209" spans="1:12" x14ac:dyDescent="0.25">
      <c r="A1209" s="341" t="s">
        <v>3429</v>
      </c>
      <c r="B1209" s="341" t="s">
        <v>2972</v>
      </c>
      <c r="C1209" s="341" t="s">
        <v>11</v>
      </c>
      <c r="D1209" s="342">
        <v>1</v>
      </c>
      <c r="E1209" s="342">
        <v>0</v>
      </c>
      <c r="F1209" s="342" t="s">
        <v>9622</v>
      </c>
      <c r="G1209" s="341" t="s">
        <v>205</v>
      </c>
      <c r="H1209" s="341" t="s">
        <v>2972</v>
      </c>
      <c r="I1209" s="341" t="s">
        <v>11</v>
      </c>
      <c r="J1209" s="342">
        <v>1</v>
      </c>
      <c r="K1209" s="342" t="s">
        <v>9638</v>
      </c>
      <c r="L1209" s="342">
        <v>0</v>
      </c>
    </row>
    <row r="1210" spans="1:12" x14ac:dyDescent="0.25">
      <c r="A1210" s="341" t="s">
        <v>3430</v>
      </c>
      <c r="B1210" s="341" t="s">
        <v>2973</v>
      </c>
      <c r="C1210" s="341" t="s">
        <v>11</v>
      </c>
      <c r="D1210" s="342">
        <v>1</v>
      </c>
      <c r="E1210" s="342">
        <v>0</v>
      </c>
      <c r="F1210" s="342" t="s">
        <v>9622</v>
      </c>
      <c r="G1210" s="341" t="s">
        <v>206</v>
      </c>
      <c r="H1210" s="341" t="s">
        <v>2973</v>
      </c>
      <c r="I1210" s="341" t="s">
        <v>11</v>
      </c>
      <c r="J1210" s="342">
        <v>1</v>
      </c>
      <c r="K1210" s="342" t="s">
        <v>9638</v>
      </c>
      <c r="L1210" s="342">
        <v>0</v>
      </c>
    </row>
    <row r="1211" spans="1:12" x14ac:dyDescent="0.25">
      <c r="A1211" s="341" t="s">
        <v>2697</v>
      </c>
      <c r="B1211" s="341" t="s">
        <v>7228</v>
      </c>
      <c r="C1211" s="341" t="s">
        <v>25</v>
      </c>
      <c r="D1211" s="342">
        <v>1</v>
      </c>
      <c r="E1211" s="342">
        <v>0</v>
      </c>
      <c r="F1211" s="342" t="s">
        <v>9624</v>
      </c>
      <c r="G1211" s="341" t="s">
        <v>9625</v>
      </c>
      <c r="H1211" s="341" t="s">
        <v>9756</v>
      </c>
      <c r="I1211" s="341" t="s">
        <v>16</v>
      </c>
      <c r="J1211" s="342">
        <v>0.5</v>
      </c>
      <c r="K1211" s="342" t="s">
        <v>2420</v>
      </c>
      <c r="L1211" s="342">
        <v>0</v>
      </c>
    </row>
    <row r="1212" spans="1:12" x14ac:dyDescent="0.25">
      <c r="A1212" s="341" t="s">
        <v>3431</v>
      </c>
      <c r="B1212" s="341" t="s">
        <v>10159</v>
      </c>
      <c r="C1212" s="341" t="s">
        <v>16</v>
      </c>
      <c r="D1212" s="342">
        <v>1</v>
      </c>
      <c r="E1212" s="342">
        <v>0</v>
      </c>
      <c r="F1212" s="342" t="s">
        <v>9622</v>
      </c>
      <c r="G1212" s="341" t="s">
        <v>515</v>
      </c>
      <c r="H1212" s="341" t="s">
        <v>10159</v>
      </c>
      <c r="I1212" s="341" t="s">
        <v>16</v>
      </c>
      <c r="J1212" s="342">
        <v>1</v>
      </c>
      <c r="K1212" s="342" t="s">
        <v>25</v>
      </c>
      <c r="L1212" s="342">
        <v>0</v>
      </c>
    </row>
    <row r="1213" spans="1:12" x14ac:dyDescent="0.25">
      <c r="A1213" s="341" t="s">
        <v>3432</v>
      </c>
      <c r="B1213" s="341" t="s">
        <v>10160</v>
      </c>
      <c r="C1213" s="341" t="s">
        <v>2338</v>
      </c>
      <c r="D1213" s="342">
        <v>1</v>
      </c>
      <c r="E1213" s="342">
        <v>0</v>
      </c>
      <c r="F1213" s="342" t="s">
        <v>9622</v>
      </c>
      <c r="G1213" s="341" t="s">
        <v>1992</v>
      </c>
      <c r="H1213" s="341" t="s">
        <v>10160</v>
      </c>
      <c r="I1213" s="341" t="s">
        <v>2338</v>
      </c>
      <c r="J1213" s="342">
        <v>0</v>
      </c>
      <c r="K1213" s="342" t="s">
        <v>9623</v>
      </c>
      <c r="L1213" s="342">
        <v>0</v>
      </c>
    </row>
    <row r="1214" spans="1:12" x14ac:dyDescent="0.25">
      <c r="A1214" s="341" t="s">
        <v>3433</v>
      </c>
      <c r="B1214" s="341" t="s">
        <v>2990</v>
      </c>
      <c r="C1214" s="341" t="s">
        <v>11</v>
      </c>
      <c r="D1214" s="342">
        <v>1</v>
      </c>
      <c r="E1214" s="342">
        <v>0</v>
      </c>
      <c r="F1214" s="342" t="s">
        <v>9622</v>
      </c>
      <c r="G1214" s="341" t="s">
        <v>504</v>
      </c>
      <c r="H1214" s="341" t="s">
        <v>2990</v>
      </c>
      <c r="I1214" s="341" t="s">
        <v>11</v>
      </c>
      <c r="J1214" s="342">
        <v>1</v>
      </c>
      <c r="K1214" s="342" t="s">
        <v>25</v>
      </c>
      <c r="L1214" s="342">
        <v>0</v>
      </c>
    </row>
    <row r="1215" spans="1:12" x14ac:dyDescent="0.25">
      <c r="A1215" s="341" t="s">
        <v>3434</v>
      </c>
      <c r="B1215" s="341" t="s">
        <v>2991</v>
      </c>
      <c r="C1215" s="341" t="s">
        <v>11</v>
      </c>
      <c r="D1215" s="342">
        <v>1</v>
      </c>
      <c r="E1215" s="342">
        <v>0</v>
      </c>
      <c r="F1215" s="342" t="s">
        <v>9622</v>
      </c>
      <c r="G1215" s="341" t="s">
        <v>2227</v>
      </c>
      <c r="H1215" s="341" t="s">
        <v>2991</v>
      </c>
      <c r="I1215" s="341" t="s">
        <v>11</v>
      </c>
      <c r="J1215" s="342">
        <v>1</v>
      </c>
      <c r="K1215" s="342" t="s">
        <v>9623</v>
      </c>
      <c r="L1215" s="342">
        <v>0</v>
      </c>
    </row>
    <row r="1216" spans="1:12" x14ac:dyDescent="0.25">
      <c r="A1216" s="341" t="s">
        <v>3435</v>
      </c>
      <c r="B1216" s="341" t="s">
        <v>2993</v>
      </c>
      <c r="C1216" s="341" t="s">
        <v>2338</v>
      </c>
      <c r="D1216" s="342">
        <v>1</v>
      </c>
      <c r="E1216" s="342">
        <v>0</v>
      </c>
      <c r="F1216" s="342" t="s">
        <v>9622</v>
      </c>
      <c r="G1216" s="341" t="s">
        <v>3436</v>
      </c>
      <c r="H1216" s="341" t="s">
        <v>2993</v>
      </c>
      <c r="I1216" s="341" t="s">
        <v>2338</v>
      </c>
      <c r="J1216" s="342">
        <v>0</v>
      </c>
      <c r="K1216" s="342" t="s">
        <v>9623</v>
      </c>
      <c r="L1216" s="342">
        <v>0</v>
      </c>
    </row>
    <row r="1217" spans="1:12" x14ac:dyDescent="0.25">
      <c r="A1217" s="341" t="s">
        <v>3437</v>
      </c>
      <c r="B1217" s="341" t="s">
        <v>2994</v>
      </c>
      <c r="C1217" s="341" t="s">
        <v>6602</v>
      </c>
      <c r="D1217" s="342">
        <v>1</v>
      </c>
      <c r="E1217" s="342">
        <v>0</v>
      </c>
      <c r="F1217" s="342" t="s">
        <v>9622</v>
      </c>
      <c r="G1217" s="341" t="s">
        <v>3438</v>
      </c>
      <c r="H1217" s="341" t="s">
        <v>2994</v>
      </c>
      <c r="I1217" s="341" t="s">
        <v>6602</v>
      </c>
      <c r="J1217" s="342">
        <v>0</v>
      </c>
      <c r="K1217" s="342" t="s">
        <v>9623</v>
      </c>
      <c r="L1217" s="342">
        <v>0</v>
      </c>
    </row>
    <row r="1218" spans="1:12" x14ac:dyDescent="0.25">
      <c r="A1218" s="341" t="s">
        <v>3439</v>
      </c>
      <c r="B1218" s="341" t="s">
        <v>2995</v>
      </c>
      <c r="C1218" s="341" t="s">
        <v>16</v>
      </c>
      <c r="D1218" s="342">
        <v>1</v>
      </c>
      <c r="E1218" s="342">
        <v>0</v>
      </c>
      <c r="F1218" s="342" t="s">
        <v>9622</v>
      </c>
      <c r="G1218" s="341" t="s">
        <v>214</v>
      </c>
      <c r="H1218" s="341" t="s">
        <v>2995</v>
      </c>
      <c r="I1218" s="341" t="s">
        <v>16</v>
      </c>
      <c r="J1218" s="342">
        <v>1</v>
      </c>
      <c r="K1218" s="342" t="s">
        <v>9623</v>
      </c>
      <c r="L1218" s="342">
        <v>0</v>
      </c>
    </row>
    <row r="1219" spans="1:12" x14ac:dyDescent="0.25">
      <c r="A1219" s="341" t="s">
        <v>3440</v>
      </c>
      <c r="B1219" s="341" t="s">
        <v>10161</v>
      </c>
      <c r="C1219" s="341" t="s">
        <v>16</v>
      </c>
      <c r="D1219" s="342">
        <v>1</v>
      </c>
      <c r="E1219" s="342">
        <v>0</v>
      </c>
      <c r="F1219" s="342" t="s">
        <v>9622</v>
      </c>
      <c r="G1219" s="341" t="s">
        <v>1991</v>
      </c>
      <c r="H1219" s="341" t="s">
        <v>10161</v>
      </c>
      <c r="I1219" s="341" t="s">
        <v>16</v>
      </c>
      <c r="J1219" s="342">
        <v>1</v>
      </c>
      <c r="K1219" s="342" t="s">
        <v>9623</v>
      </c>
      <c r="L1219" s="342">
        <v>0</v>
      </c>
    </row>
    <row r="1220" spans="1:12" x14ac:dyDescent="0.25">
      <c r="A1220" s="341" t="s">
        <v>3441</v>
      </c>
      <c r="B1220" s="341" t="s">
        <v>2999</v>
      </c>
      <c r="C1220" s="341" t="s">
        <v>16</v>
      </c>
      <c r="D1220" s="342">
        <v>1</v>
      </c>
      <c r="E1220" s="342">
        <v>0</v>
      </c>
      <c r="F1220" s="342" t="s">
        <v>9622</v>
      </c>
      <c r="G1220" s="341" t="s">
        <v>215</v>
      </c>
      <c r="H1220" s="341" t="s">
        <v>2999</v>
      </c>
      <c r="I1220" s="341" t="s">
        <v>16</v>
      </c>
      <c r="J1220" s="342">
        <v>1</v>
      </c>
      <c r="K1220" s="342" t="s">
        <v>9623</v>
      </c>
      <c r="L1220" s="342">
        <v>0</v>
      </c>
    </row>
    <row r="1221" spans="1:12" x14ac:dyDescent="0.25">
      <c r="A1221" s="341" t="s">
        <v>3442</v>
      </c>
      <c r="B1221" s="341" t="s">
        <v>3000</v>
      </c>
      <c r="C1221" s="341" t="s">
        <v>16</v>
      </c>
      <c r="D1221" s="342">
        <v>1</v>
      </c>
      <c r="E1221" s="342">
        <v>0</v>
      </c>
      <c r="F1221" s="342" t="s">
        <v>9622</v>
      </c>
      <c r="G1221" s="341" t="s">
        <v>518</v>
      </c>
      <c r="H1221" s="341" t="s">
        <v>3000</v>
      </c>
      <c r="I1221" s="341" t="s">
        <v>16</v>
      </c>
      <c r="J1221" s="342">
        <v>1</v>
      </c>
      <c r="K1221" s="342" t="s">
        <v>9623</v>
      </c>
      <c r="L1221" s="342">
        <v>0</v>
      </c>
    </row>
    <row r="1222" spans="1:12" x14ac:dyDescent="0.25">
      <c r="A1222" s="341" t="s">
        <v>2832</v>
      </c>
      <c r="B1222" s="341" t="s">
        <v>9970</v>
      </c>
      <c r="C1222" s="341" t="s">
        <v>25</v>
      </c>
      <c r="D1222" s="342">
        <v>1</v>
      </c>
      <c r="E1222" s="342">
        <v>0</v>
      </c>
      <c r="F1222" s="342" t="s">
        <v>9622</v>
      </c>
      <c r="G1222" s="341" t="s">
        <v>1234</v>
      </c>
      <c r="H1222" s="341" t="s">
        <v>6899</v>
      </c>
      <c r="I1222" s="341" t="s">
        <v>4230</v>
      </c>
      <c r="J1222" s="342">
        <v>1.25</v>
      </c>
      <c r="K1222" s="342" t="s">
        <v>4230</v>
      </c>
      <c r="L1222" s="342">
        <v>0</v>
      </c>
    </row>
    <row r="1223" spans="1:12" x14ac:dyDescent="0.25">
      <c r="A1223" s="341" t="s">
        <v>2420</v>
      </c>
      <c r="B1223" s="341" t="s">
        <v>2420</v>
      </c>
      <c r="C1223" s="341" t="s">
        <v>2420</v>
      </c>
      <c r="D1223" s="342">
        <v>0</v>
      </c>
      <c r="E1223" s="342" t="s">
        <v>2420</v>
      </c>
      <c r="F1223" s="342" t="s">
        <v>9622</v>
      </c>
      <c r="G1223" s="341" t="s">
        <v>1235</v>
      </c>
      <c r="H1223" s="341" t="s">
        <v>6900</v>
      </c>
      <c r="I1223" s="341" t="s">
        <v>4230</v>
      </c>
      <c r="J1223" s="342">
        <v>0.5</v>
      </c>
      <c r="K1223" s="342" t="s">
        <v>4230</v>
      </c>
      <c r="L1223" s="342">
        <v>0</v>
      </c>
    </row>
    <row r="1224" spans="1:12" x14ac:dyDescent="0.25">
      <c r="A1224" s="341" t="s">
        <v>2420</v>
      </c>
      <c r="B1224" s="341" t="s">
        <v>2420</v>
      </c>
      <c r="C1224" s="341" t="s">
        <v>2420</v>
      </c>
      <c r="D1224" s="342">
        <v>0</v>
      </c>
      <c r="E1224" s="342" t="s">
        <v>2420</v>
      </c>
      <c r="F1224" s="342" t="s">
        <v>9622</v>
      </c>
      <c r="G1224" s="341" t="s">
        <v>1378</v>
      </c>
      <c r="H1224" s="341" t="s">
        <v>7096</v>
      </c>
      <c r="I1224" s="341" t="s">
        <v>2557</v>
      </c>
      <c r="J1224" s="342">
        <v>1.05</v>
      </c>
      <c r="K1224" s="342" t="s">
        <v>25</v>
      </c>
      <c r="L1224" s="342">
        <v>0</v>
      </c>
    </row>
    <row r="1225" spans="1:12" x14ac:dyDescent="0.25">
      <c r="A1225" s="341" t="s">
        <v>2420</v>
      </c>
      <c r="B1225" s="341" t="s">
        <v>2420</v>
      </c>
      <c r="C1225" s="341" t="s">
        <v>2420</v>
      </c>
      <c r="D1225" s="342">
        <v>0</v>
      </c>
      <c r="E1225" s="342" t="s">
        <v>2420</v>
      </c>
      <c r="F1225" s="342" t="s">
        <v>9622</v>
      </c>
      <c r="G1225" s="341" t="s">
        <v>1613</v>
      </c>
      <c r="H1225" s="341" t="s">
        <v>7333</v>
      </c>
      <c r="I1225" s="341" t="s">
        <v>2557</v>
      </c>
      <c r="J1225" s="342">
        <v>0.105</v>
      </c>
      <c r="K1225" s="342" t="s">
        <v>25</v>
      </c>
      <c r="L1225" s="342">
        <v>0</v>
      </c>
    </row>
    <row r="1226" spans="1:12" x14ac:dyDescent="0.25">
      <c r="A1226" s="341" t="s">
        <v>2420</v>
      </c>
      <c r="B1226" s="341" t="s">
        <v>2420</v>
      </c>
      <c r="C1226" s="341" t="s">
        <v>2420</v>
      </c>
      <c r="D1226" s="342">
        <v>0</v>
      </c>
      <c r="E1226" s="342" t="s">
        <v>2420</v>
      </c>
      <c r="F1226" s="342" t="s">
        <v>9622</v>
      </c>
      <c r="G1226" s="341" t="s">
        <v>1732</v>
      </c>
      <c r="H1226" s="341" t="s">
        <v>7671</v>
      </c>
      <c r="I1226" s="341" t="s">
        <v>25</v>
      </c>
      <c r="J1226" s="342">
        <v>1.05</v>
      </c>
      <c r="K1226" s="342" t="s">
        <v>25</v>
      </c>
      <c r="L1226" s="342">
        <v>0</v>
      </c>
    </row>
    <row r="1227" spans="1:12" x14ac:dyDescent="0.25">
      <c r="A1227" s="341" t="s">
        <v>2420</v>
      </c>
      <c r="B1227" s="341" t="s">
        <v>2420</v>
      </c>
      <c r="C1227" s="341" t="s">
        <v>2420</v>
      </c>
      <c r="D1227" s="342">
        <v>0</v>
      </c>
      <c r="E1227" s="342" t="s">
        <v>2420</v>
      </c>
      <c r="F1227" s="342" t="s">
        <v>9622</v>
      </c>
      <c r="G1227" s="341" t="s">
        <v>1869</v>
      </c>
      <c r="H1227" s="341" t="s">
        <v>7996</v>
      </c>
      <c r="I1227" s="341" t="s">
        <v>25</v>
      </c>
      <c r="J1227" s="342">
        <v>1</v>
      </c>
      <c r="K1227" s="342" t="s">
        <v>9623</v>
      </c>
      <c r="L1227" s="342">
        <v>0</v>
      </c>
    </row>
    <row r="1228" spans="1:12" x14ac:dyDescent="0.25">
      <c r="A1228" s="341" t="s">
        <v>2420</v>
      </c>
      <c r="B1228" s="341" t="s">
        <v>2420</v>
      </c>
      <c r="C1228" s="341" t="s">
        <v>2420</v>
      </c>
      <c r="D1228" s="342">
        <v>0</v>
      </c>
      <c r="E1228" s="342" t="s">
        <v>2420</v>
      </c>
      <c r="F1228" s="342" t="s">
        <v>9622</v>
      </c>
      <c r="G1228" s="341" t="s">
        <v>2038</v>
      </c>
      <c r="H1228" s="341" t="s">
        <v>8372</v>
      </c>
      <c r="I1228" s="341" t="s">
        <v>16</v>
      </c>
      <c r="J1228" s="342">
        <v>0.5</v>
      </c>
      <c r="K1228" s="342" t="s">
        <v>9623</v>
      </c>
      <c r="L1228" s="342">
        <v>0</v>
      </c>
    </row>
    <row r="1229" spans="1:12" x14ac:dyDescent="0.25">
      <c r="A1229" s="341" t="s">
        <v>517</v>
      </c>
      <c r="B1229" s="341" t="s">
        <v>10162</v>
      </c>
      <c r="C1229" s="341" t="s">
        <v>16</v>
      </c>
      <c r="D1229" s="342">
        <v>1</v>
      </c>
      <c r="E1229" s="342">
        <v>0</v>
      </c>
      <c r="F1229" s="342" t="s">
        <v>9622</v>
      </c>
      <c r="G1229" s="341" t="s">
        <v>1902</v>
      </c>
      <c r="H1229" s="341" t="s">
        <v>10163</v>
      </c>
      <c r="I1229" s="341" t="s">
        <v>16</v>
      </c>
      <c r="J1229" s="342">
        <v>1</v>
      </c>
      <c r="K1229" s="342" t="s">
        <v>9623</v>
      </c>
      <c r="L1229" s="342">
        <v>0</v>
      </c>
    </row>
    <row r="1230" spans="1:12" x14ac:dyDescent="0.25">
      <c r="A1230" s="341" t="s">
        <v>2420</v>
      </c>
      <c r="B1230" s="341" t="s">
        <v>2420</v>
      </c>
      <c r="C1230" s="341" t="s">
        <v>2420</v>
      </c>
      <c r="D1230" s="342">
        <v>0</v>
      </c>
      <c r="E1230" s="342" t="s">
        <v>2420</v>
      </c>
      <c r="F1230" s="342" t="s">
        <v>9624</v>
      </c>
      <c r="G1230" s="341" t="s">
        <v>10164</v>
      </c>
      <c r="H1230" s="341" t="s">
        <v>10165</v>
      </c>
      <c r="I1230" s="341" t="s">
        <v>25</v>
      </c>
      <c r="J1230" s="342">
        <v>0.4</v>
      </c>
      <c r="K1230" s="342" t="s">
        <v>2420</v>
      </c>
      <c r="L1230" s="342">
        <v>0</v>
      </c>
    </row>
    <row r="1231" spans="1:12" x14ac:dyDescent="0.25">
      <c r="A1231" s="341" t="s">
        <v>10166</v>
      </c>
      <c r="B1231" s="341" t="s">
        <v>10167</v>
      </c>
      <c r="C1231" s="341" t="s">
        <v>52</v>
      </c>
      <c r="D1231" s="342">
        <v>1</v>
      </c>
      <c r="E1231" s="342">
        <v>0</v>
      </c>
      <c r="F1231" s="342" t="s">
        <v>9622</v>
      </c>
      <c r="G1231" s="341" t="s">
        <v>1210</v>
      </c>
      <c r="H1231" s="341" t="s">
        <v>6855</v>
      </c>
      <c r="I1231" s="341" t="s">
        <v>4230</v>
      </c>
      <c r="J1231" s="342">
        <v>3.5</v>
      </c>
      <c r="K1231" s="342" t="s">
        <v>4230</v>
      </c>
      <c r="L1231" s="342">
        <v>0</v>
      </c>
    </row>
    <row r="1232" spans="1:12" x14ac:dyDescent="0.25">
      <c r="A1232" s="341" t="s">
        <v>2420</v>
      </c>
      <c r="B1232" s="341" t="s">
        <v>2420</v>
      </c>
      <c r="C1232" s="341" t="s">
        <v>2420</v>
      </c>
      <c r="D1232" s="342">
        <v>0</v>
      </c>
      <c r="E1232" s="342" t="s">
        <v>2420</v>
      </c>
      <c r="F1232" s="342" t="s">
        <v>9622</v>
      </c>
      <c r="G1232" s="341" t="s">
        <v>1275</v>
      </c>
      <c r="H1232" s="341" t="s">
        <v>6938</v>
      </c>
      <c r="I1232" s="341" t="s">
        <v>52</v>
      </c>
      <c r="J1232" s="342">
        <v>1.1499999999999999</v>
      </c>
      <c r="K1232" s="342" t="s">
        <v>25</v>
      </c>
      <c r="L1232" s="342">
        <v>0</v>
      </c>
    </row>
    <row r="1233" spans="1:12" x14ac:dyDescent="0.25">
      <c r="A1233" s="341" t="s">
        <v>225</v>
      </c>
      <c r="B1233" s="341" t="s">
        <v>10168</v>
      </c>
      <c r="C1233" s="341" t="s">
        <v>16</v>
      </c>
      <c r="D1233" s="342">
        <v>1</v>
      </c>
      <c r="E1233" s="342">
        <v>0</v>
      </c>
      <c r="F1233" s="342" t="s">
        <v>9622</v>
      </c>
      <c r="G1233" s="341" t="s">
        <v>1193</v>
      </c>
      <c r="H1233" s="341" t="s">
        <v>9792</v>
      </c>
      <c r="I1233" s="341" t="s">
        <v>4230</v>
      </c>
      <c r="J1233" s="342">
        <v>0.1</v>
      </c>
      <c r="K1233" s="342" t="s">
        <v>4230</v>
      </c>
      <c r="L1233" s="342">
        <v>0</v>
      </c>
    </row>
    <row r="1234" spans="1:12" x14ac:dyDescent="0.25">
      <c r="A1234" s="341" t="s">
        <v>2420</v>
      </c>
      <c r="B1234" s="341" t="s">
        <v>2420</v>
      </c>
      <c r="C1234" s="341" t="s">
        <v>2420</v>
      </c>
      <c r="D1234" s="342">
        <v>0</v>
      </c>
      <c r="E1234" s="342" t="s">
        <v>2420</v>
      </c>
      <c r="F1234" s="342" t="s">
        <v>9622</v>
      </c>
      <c r="G1234" s="341" t="s">
        <v>1202</v>
      </c>
      <c r="H1234" s="341" t="s">
        <v>9793</v>
      </c>
      <c r="I1234" s="341" t="s">
        <v>4230</v>
      </c>
      <c r="J1234" s="342">
        <v>0.1</v>
      </c>
      <c r="K1234" s="342" t="s">
        <v>4230</v>
      </c>
      <c r="L1234" s="342">
        <v>0</v>
      </c>
    </row>
    <row r="1235" spans="1:12" x14ac:dyDescent="0.25">
      <c r="A1235" s="341" t="s">
        <v>2420</v>
      </c>
      <c r="B1235" s="341" t="s">
        <v>2420</v>
      </c>
      <c r="C1235" s="341" t="s">
        <v>2420</v>
      </c>
      <c r="D1235" s="342">
        <v>0</v>
      </c>
      <c r="E1235" s="342" t="s">
        <v>2420</v>
      </c>
      <c r="F1235" s="342" t="s">
        <v>9622</v>
      </c>
      <c r="G1235" s="341" t="s">
        <v>1272</v>
      </c>
      <c r="H1235" s="341" t="s">
        <v>9720</v>
      </c>
      <c r="I1235" s="341" t="s">
        <v>2557</v>
      </c>
      <c r="J1235" s="342">
        <v>0.02</v>
      </c>
      <c r="K1235" s="342" t="s">
        <v>25</v>
      </c>
      <c r="L1235" s="342">
        <v>0</v>
      </c>
    </row>
    <row r="1236" spans="1:12" x14ac:dyDescent="0.25">
      <c r="A1236" s="341" t="s">
        <v>2420</v>
      </c>
      <c r="B1236" s="341" t="s">
        <v>2420</v>
      </c>
      <c r="C1236" s="341" t="s">
        <v>2420</v>
      </c>
      <c r="D1236" s="342">
        <v>0</v>
      </c>
      <c r="E1236" s="342" t="s">
        <v>2420</v>
      </c>
      <c r="F1236" s="342" t="s">
        <v>9622</v>
      </c>
      <c r="G1236" s="341" t="s">
        <v>1359</v>
      </c>
      <c r="H1236" s="341" t="s">
        <v>7078</v>
      </c>
      <c r="I1236" s="341" t="s">
        <v>25</v>
      </c>
      <c r="J1236" s="342">
        <v>0.04</v>
      </c>
      <c r="K1236" s="342" t="s">
        <v>25</v>
      </c>
      <c r="L1236" s="342">
        <v>0</v>
      </c>
    </row>
    <row r="1237" spans="1:12" x14ac:dyDescent="0.25">
      <c r="A1237" s="341" t="s">
        <v>2420</v>
      </c>
      <c r="B1237" s="341" t="s">
        <v>2420</v>
      </c>
      <c r="C1237" s="341" t="s">
        <v>2420</v>
      </c>
      <c r="D1237" s="342">
        <v>0</v>
      </c>
      <c r="E1237" s="342" t="s">
        <v>2420</v>
      </c>
      <c r="F1237" s="342" t="s">
        <v>9622</v>
      </c>
      <c r="G1237" s="341" t="s">
        <v>1360</v>
      </c>
      <c r="H1237" s="341" t="s">
        <v>7079</v>
      </c>
      <c r="I1237" s="341" t="s">
        <v>2557</v>
      </c>
      <c r="J1237" s="342">
        <v>0.01</v>
      </c>
      <c r="K1237" s="342" t="s">
        <v>25</v>
      </c>
      <c r="L1237" s="342">
        <v>0</v>
      </c>
    </row>
    <row r="1238" spans="1:12" x14ac:dyDescent="0.25">
      <c r="A1238" s="341" t="s">
        <v>2420</v>
      </c>
      <c r="B1238" s="341" t="s">
        <v>2420</v>
      </c>
      <c r="C1238" s="341" t="s">
        <v>2420</v>
      </c>
      <c r="D1238" s="342">
        <v>0</v>
      </c>
      <c r="E1238" s="342" t="s">
        <v>2420</v>
      </c>
      <c r="F1238" s="342" t="s">
        <v>9622</v>
      </c>
      <c r="G1238" s="341" t="s">
        <v>1382</v>
      </c>
      <c r="H1238" s="341" t="s">
        <v>9786</v>
      </c>
      <c r="I1238" s="341" t="s">
        <v>16</v>
      </c>
      <c r="J1238" s="342">
        <v>0.09</v>
      </c>
      <c r="K1238" s="342" t="s">
        <v>25</v>
      </c>
      <c r="L1238" s="342">
        <v>0</v>
      </c>
    </row>
    <row r="1239" spans="1:12" x14ac:dyDescent="0.25">
      <c r="A1239" s="341" t="s">
        <v>2622</v>
      </c>
      <c r="B1239" s="341" t="s">
        <v>10169</v>
      </c>
      <c r="C1239" s="341" t="s">
        <v>16</v>
      </c>
      <c r="D1239" s="342">
        <v>1</v>
      </c>
      <c r="E1239" s="342">
        <v>0</v>
      </c>
      <c r="F1239" s="342" t="s">
        <v>9622</v>
      </c>
      <c r="G1239" s="341" t="s">
        <v>1210</v>
      </c>
      <c r="H1239" s="341" t="s">
        <v>6855</v>
      </c>
      <c r="I1239" s="341" t="s">
        <v>4230</v>
      </c>
      <c r="J1239" s="342">
        <v>0.4</v>
      </c>
      <c r="K1239" s="342" t="s">
        <v>4230</v>
      </c>
      <c r="L1239" s="342">
        <v>0</v>
      </c>
    </row>
    <row r="1240" spans="1:12" x14ac:dyDescent="0.25">
      <c r="A1240" s="341" t="s">
        <v>2420</v>
      </c>
      <c r="B1240" s="341" t="s">
        <v>2420</v>
      </c>
      <c r="C1240" s="341" t="s">
        <v>2420</v>
      </c>
      <c r="D1240" s="342">
        <v>0</v>
      </c>
      <c r="E1240" s="342" t="s">
        <v>2420</v>
      </c>
      <c r="F1240" s="342" t="s">
        <v>9622</v>
      </c>
      <c r="G1240" s="341" t="s">
        <v>4569</v>
      </c>
      <c r="H1240" s="341" t="s">
        <v>10170</v>
      </c>
      <c r="I1240" s="341" t="s">
        <v>6606</v>
      </c>
      <c r="J1240" s="342">
        <v>0.52500000000000002</v>
      </c>
      <c r="K1240" s="342" t="s">
        <v>25</v>
      </c>
      <c r="L1240" s="342">
        <v>0</v>
      </c>
    </row>
    <row r="1241" spans="1:12" x14ac:dyDescent="0.25">
      <c r="A1241" s="341" t="s">
        <v>10022</v>
      </c>
      <c r="B1241" s="341" t="s">
        <v>10023</v>
      </c>
      <c r="C1241" s="341" t="s">
        <v>16</v>
      </c>
      <c r="D1241" s="342">
        <v>1</v>
      </c>
      <c r="E1241" s="342">
        <v>0</v>
      </c>
      <c r="F1241" s="342" t="s">
        <v>9622</v>
      </c>
      <c r="G1241" s="341" t="s">
        <v>1204</v>
      </c>
      <c r="H1241" s="341" t="s">
        <v>6854</v>
      </c>
      <c r="I1241" s="341" t="s">
        <v>4230</v>
      </c>
      <c r="J1241" s="342">
        <v>0.25</v>
      </c>
      <c r="K1241" s="342" t="s">
        <v>4230</v>
      </c>
      <c r="L1241" s="342">
        <v>0</v>
      </c>
    </row>
    <row r="1242" spans="1:12" x14ac:dyDescent="0.25">
      <c r="A1242" s="341" t="s">
        <v>2420</v>
      </c>
      <c r="B1242" s="341" t="s">
        <v>2420</v>
      </c>
      <c r="C1242" s="341" t="s">
        <v>2420</v>
      </c>
      <c r="D1242" s="342">
        <v>0</v>
      </c>
      <c r="E1242" s="342" t="s">
        <v>2420</v>
      </c>
      <c r="F1242" s="342" t="s">
        <v>9622</v>
      </c>
      <c r="G1242" s="341" t="s">
        <v>1210</v>
      </c>
      <c r="H1242" s="341" t="s">
        <v>6855</v>
      </c>
      <c r="I1242" s="341" t="s">
        <v>4230</v>
      </c>
      <c r="J1242" s="342">
        <v>0.75</v>
      </c>
      <c r="K1242" s="342" t="s">
        <v>4230</v>
      </c>
      <c r="L1242" s="342">
        <v>0</v>
      </c>
    </row>
    <row r="1243" spans="1:12" x14ac:dyDescent="0.25">
      <c r="A1243" s="341" t="s">
        <v>2420</v>
      </c>
      <c r="B1243" s="341" t="s">
        <v>2420</v>
      </c>
      <c r="C1243" s="341" t="s">
        <v>2420</v>
      </c>
      <c r="D1243" s="342">
        <v>0</v>
      </c>
      <c r="E1243" s="342" t="s">
        <v>2420</v>
      </c>
      <c r="F1243" s="342" t="s">
        <v>9622</v>
      </c>
      <c r="G1243" s="341" t="s">
        <v>1275</v>
      </c>
      <c r="H1243" s="341" t="s">
        <v>6938</v>
      </c>
      <c r="I1243" s="341" t="s">
        <v>52</v>
      </c>
      <c r="J1243" s="342">
        <v>0.01</v>
      </c>
      <c r="K1243" s="342" t="s">
        <v>25</v>
      </c>
      <c r="L1243" s="342">
        <v>0</v>
      </c>
    </row>
    <row r="1244" spans="1:12" x14ac:dyDescent="0.25">
      <c r="A1244" s="341" t="s">
        <v>2420</v>
      </c>
      <c r="B1244" s="341" t="s">
        <v>2420</v>
      </c>
      <c r="C1244" s="341" t="s">
        <v>2420</v>
      </c>
      <c r="D1244" s="342">
        <v>0</v>
      </c>
      <c r="E1244" s="342" t="s">
        <v>2420</v>
      </c>
      <c r="F1244" s="342" t="s">
        <v>9622</v>
      </c>
      <c r="G1244" s="341" t="s">
        <v>1303</v>
      </c>
      <c r="H1244" s="341" t="s">
        <v>6980</v>
      </c>
      <c r="I1244" s="341" t="s">
        <v>2557</v>
      </c>
      <c r="J1244" s="342">
        <v>5</v>
      </c>
      <c r="K1244" s="342" t="s">
        <v>25</v>
      </c>
      <c r="L1244" s="342">
        <v>0</v>
      </c>
    </row>
    <row r="1245" spans="1:12" x14ac:dyDescent="0.25">
      <c r="A1245" s="341" t="s">
        <v>2420</v>
      </c>
      <c r="B1245" s="341" t="s">
        <v>2420</v>
      </c>
      <c r="C1245" s="341" t="s">
        <v>2420</v>
      </c>
      <c r="D1245" s="342">
        <v>0</v>
      </c>
      <c r="E1245" s="342" t="s">
        <v>2420</v>
      </c>
      <c r="F1245" s="342" t="s">
        <v>9622</v>
      </c>
      <c r="G1245" s="341" t="s">
        <v>10171</v>
      </c>
      <c r="H1245" s="341" t="s">
        <v>10172</v>
      </c>
      <c r="I1245" s="341" t="s">
        <v>11</v>
      </c>
      <c r="J1245" s="342">
        <v>3.3</v>
      </c>
      <c r="K1245" s="342" t="s">
        <v>25</v>
      </c>
      <c r="L1245" s="342">
        <v>0</v>
      </c>
    </row>
    <row r="1246" spans="1:12" x14ac:dyDescent="0.25">
      <c r="A1246" s="341" t="s">
        <v>2420</v>
      </c>
      <c r="B1246" s="341" t="s">
        <v>2420</v>
      </c>
      <c r="C1246" s="341" t="s">
        <v>2420</v>
      </c>
      <c r="D1246" s="342">
        <v>0</v>
      </c>
      <c r="E1246" s="342" t="s">
        <v>2420</v>
      </c>
      <c r="F1246" s="342" t="s">
        <v>9624</v>
      </c>
      <c r="G1246" s="341" t="s">
        <v>148</v>
      </c>
      <c r="H1246" s="341" t="s">
        <v>9748</v>
      </c>
      <c r="I1246" s="341" t="s">
        <v>2557</v>
      </c>
      <c r="J1246" s="342">
        <v>0.45</v>
      </c>
      <c r="K1246" s="342" t="s">
        <v>2420</v>
      </c>
      <c r="L1246" s="342">
        <v>0</v>
      </c>
    </row>
    <row r="1247" spans="1:12" x14ac:dyDescent="0.25">
      <c r="A1247" s="341" t="s">
        <v>10020</v>
      </c>
      <c r="B1247" s="341" t="s">
        <v>10021</v>
      </c>
      <c r="C1247" s="341" t="s">
        <v>16</v>
      </c>
      <c r="D1247" s="342">
        <v>1</v>
      </c>
      <c r="E1247" s="342">
        <v>0</v>
      </c>
      <c r="F1247" s="342" t="s">
        <v>9622</v>
      </c>
      <c r="G1247" s="341" t="s">
        <v>10173</v>
      </c>
      <c r="H1247" s="341" t="s">
        <v>10174</v>
      </c>
      <c r="I1247" s="341" t="s">
        <v>11</v>
      </c>
      <c r="J1247" s="342">
        <v>0.22</v>
      </c>
      <c r="K1247" s="342" t="s">
        <v>25</v>
      </c>
      <c r="L1247" s="342">
        <v>0</v>
      </c>
    </row>
    <row r="1248" spans="1:12" x14ac:dyDescent="0.25">
      <c r="A1248" s="341" t="s">
        <v>2420</v>
      </c>
      <c r="B1248" s="341" t="s">
        <v>2420</v>
      </c>
      <c r="C1248" s="341" t="s">
        <v>2420</v>
      </c>
      <c r="D1248" s="342">
        <v>0</v>
      </c>
      <c r="E1248" s="342" t="s">
        <v>2420</v>
      </c>
      <c r="F1248" s="342" t="s">
        <v>9622</v>
      </c>
      <c r="G1248" s="341" t="s">
        <v>1624</v>
      </c>
      <c r="H1248" s="341" t="s">
        <v>7344</v>
      </c>
      <c r="I1248" s="341" t="s">
        <v>11</v>
      </c>
      <c r="J1248" s="342">
        <v>0.27</v>
      </c>
      <c r="K1248" s="342" t="s">
        <v>25</v>
      </c>
      <c r="L1248" s="342">
        <v>0</v>
      </c>
    </row>
    <row r="1249" spans="1:12" x14ac:dyDescent="0.25">
      <c r="A1249" s="341" t="s">
        <v>2420</v>
      </c>
      <c r="B1249" s="341" t="s">
        <v>2420</v>
      </c>
      <c r="C1249" s="341" t="s">
        <v>2420</v>
      </c>
      <c r="D1249" s="342">
        <v>0</v>
      </c>
      <c r="E1249" s="342" t="s">
        <v>2420</v>
      </c>
      <c r="F1249" s="342" t="s">
        <v>9622</v>
      </c>
      <c r="G1249" s="341" t="s">
        <v>1625</v>
      </c>
      <c r="H1249" s="341" t="s">
        <v>7345</v>
      </c>
      <c r="I1249" s="341" t="s">
        <v>25</v>
      </c>
      <c r="J1249" s="342">
        <v>3.5</v>
      </c>
      <c r="K1249" s="342" t="s">
        <v>25</v>
      </c>
      <c r="L1249" s="342">
        <v>0</v>
      </c>
    </row>
    <row r="1250" spans="1:12" x14ac:dyDescent="0.25">
      <c r="A1250" s="341" t="s">
        <v>246</v>
      </c>
      <c r="B1250" s="341" t="s">
        <v>9771</v>
      </c>
      <c r="C1250" s="341" t="s">
        <v>52</v>
      </c>
      <c r="D1250" s="342">
        <v>1</v>
      </c>
      <c r="E1250" s="342">
        <v>0</v>
      </c>
      <c r="F1250" s="342" t="s">
        <v>9622</v>
      </c>
      <c r="G1250" s="341" t="s">
        <v>1459</v>
      </c>
      <c r="H1250" s="341" t="s">
        <v>10175</v>
      </c>
      <c r="I1250" s="341" t="s">
        <v>52</v>
      </c>
      <c r="J1250" s="342">
        <v>1.05</v>
      </c>
      <c r="K1250" s="342" t="s">
        <v>25</v>
      </c>
      <c r="L1250" s="342">
        <v>0</v>
      </c>
    </row>
    <row r="1251" spans="1:12" x14ac:dyDescent="0.25">
      <c r="A1251" s="341" t="s">
        <v>2420</v>
      </c>
      <c r="B1251" s="341" t="s">
        <v>2420</v>
      </c>
      <c r="C1251" s="341" t="s">
        <v>2420</v>
      </c>
      <c r="D1251" s="342">
        <v>0</v>
      </c>
      <c r="E1251" s="342" t="s">
        <v>2420</v>
      </c>
      <c r="F1251" s="342" t="s">
        <v>9624</v>
      </c>
      <c r="G1251" s="341" t="s">
        <v>9725</v>
      </c>
      <c r="H1251" s="341" t="s">
        <v>9726</v>
      </c>
      <c r="I1251" s="341" t="s">
        <v>52</v>
      </c>
      <c r="J1251" s="342">
        <v>1</v>
      </c>
      <c r="K1251" s="342" t="s">
        <v>2420</v>
      </c>
      <c r="L1251" s="342">
        <v>0</v>
      </c>
    </row>
    <row r="1252" spans="1:12" x14ac:dyDescent="0.25">
      <c r="A1252" s="341" t="s">
        <v>161</v>
      </c>
      <c r="B1252" s="341" t="s">
        <v>10064</v>
      </c>
      <c r="C1252" s="341" t="s">
        <v>11</v>
      </c>
      <c r="D1252" s="342">
        <v>1</v>
      </c>
      <c r="E1252" s="342">
        <v>0</v>
      </c>
      <c r="F1252" s="342" t="s">
        <v>9622</v>
      </c>
      <c r="G1252" s="341" t="s">
        <v>1524</v>
      </c>
      <c r="H1252" s="341" t="s">
        <v>10176</v>
      </c>
      <c r="I1252" s="341" t="s">
        <v>11</v>
      </c>
      <c r="J1252" s="342">
        <v>1</v>
      </c>
      <c r="K1252" s="342" t="s">
        <v>25</v>
      </c>
      <c r="L1252" s="342">
        <v>0</v>
      </c>
    </row>
    <row r="1253" spans="1:12" x14ac:dyDescent="0.25">
      <c r="A1253" s="341" t="s">
        <v>2420</v>
      </c>
      <c r="B1253" s="341" t="s">
        <v>2420</v>
      </c>
      <c r="C1253" s="341" t="s">
        <v>2420</v>
      </c>
      <c r="D1253" s="342">
        <v>0</v>
      </c>
      <c r="E1253" s="342" t="s">
        <v>2420</v>
      </c>
      <c r="F1253" s="342" t="s">
        <v>9624</v>
      </c>
      <c r="G1253" s="341" t="s">
        <v>297</v>
      </c>
      <c r="H1253" s="341" t="s">
        <v>9756</v>
      </c>
      <c r="I1253" s="341" t="s">
        <v>16</v>
      </c>
      <c r="J1253" s="342">
        <v>1.68</v>
      </c>
      <c r="K1253" s="342" t="s">
        <v>2420</v>
      </c>
      <c r="L1253" s="342">
        <v>0</v>
      </c>
    </row>
    <row r="1254" spans="1:12" x14ac:dyDescent="0.25">
      <c r="A1254" s="341" t="s">
        <v>160</v>
      </c>
      <c r="B1254" s="341" t="s">
        <v>10065</v>
      </c>
      <c r="C1254" s="341" t="s">
        <v>11</v>
      </c>
      <c r="D1254" s="342">
        <v>1</v>
      </c>
      <c r="E1254" s="342">
        <v>0</v>
      </c>
      <c r="F1254" s="342" t="s">
        <v>9622</v>
      </c>
      <c r="G1254" s="341" t="s">
        <v>1615</v>
      </c>
      <c r="H1254" s="341" t="s">
        <v>10177</v>
      </c>
      <c r="I1254" s="341" t="s">
        <v>11</v>
      </c>
      <c r="J1254" s="342">
        <v>1</v>
      </c>
      <c r="K1254" s="342" t="s">
        <v>25</v>
      </c>
      <c r="L1254" s="342">
        <v>0</v>
      </c>
    </row>
    <row r="1255" spans="1:12" x14ac:dyDescent="0.25">
      <c r="A1255" s="341" t="s">
        <v>2420</v>
      </c>
      <c r="B1255" s="341" t="s">
        <v>2420</v>
      </c>
      <c r="C1255" s="341" t="s">
        <v>2420</v>
      </c>
      <c r="D1255" s="342">
        <v>0</v>
      </c>
      <c r="E1255" s="342" t="s">
        <v>2420</v>
      </c>
      <c r="F1255" s="342" t="s">
        <v>9624</v>
      </c>
      <c r="G1255" s="341" t="s">
        <v>297</v>
      </c>
      <c r="H1255" s="341" t="s">
        <v>9756</v>
      </c>
      <c r="I1255" s="341" t="s">
        <v>16</v>
      </c>
      <c r="J1255" s="342">
        <v>1.47</v>
      </c>
      <c r="K1255" s="342" t="s">
        <v>2420</v>
      </c>
      <c r="L1255" s="342">
        <v>0</v>
      </c>
    </row>
    <row r="1256" spans="1:12" x14ac:dyDescent="0.25">
      <c r="A1256" s="341" t="s">
        <v>9985</v>
      </c>
      <c r="B1256" s="341" t="s">
        <v>9986</v>
      </c>
      <c r="C1256" s="341" t="s">
        <v>16</v>
      </c>
      <c r="D1256" s="342">
        <v>1</v>
      </c>
      <c r="E1256" s="342">
        <v>0</v>
      </c>
      <c r="F1256" s="342" t="s">
        <v>9622</v>
      </c>
      <c r="G1256" s="341" t="s">
        <v>1234</v>
      </c>
      <c r="H1256" s="341" t="s">
        <v>6899</v>
      </c>
      <c r="I1256" s="341" t="s">
        <v>4230</v>
      </c>
      <c r="J1256" s="342">
        <v>1.5</v>
      </c>
      <c r="K1256" s="342" t="s">
        <v>4230</v>
      </c>
      <c r="L1256" s="342">
        <v>0</v>
      </c>
    </row>
    <row r="1257" spans="1:12" x14ac:dyDescent="0.25">
      <c r="A1257" s="341" t="s">
        <v>2420</v>
      </c>
      <c r="B1257" s="341" t="s">
        <v>2420</v>
      </c>
      <c r="C1257" s="341" t="s">
        <v>2420</v>
      </c>
      <c r="D1257" s="342">
        <v>0</v>
      </c>
      <c r="E1257" s="342" t="s">
        <v>2420</v>
      </c>
      <c r="F1257" s="342" t="s">
        <v>9622</v>
      </c>
      <c r="G1257" s="341" t="s">
        <v>1235</v>
      </c>
      <c r="H1257" s="341" t="s">
        <v>6900</v>
      </c>
      <c r="I1257" s="341" t="s">
        <v>4230</v>
      </c>
      <c r="J1257" s="342">
        <v>2</v>
      </c>
      <c r="K1257" s="342" t="s">
        <v>4230</v>
      </c>
      <c r="L1257" s="342">
        <v>0</v>
      </c>
    </row>
    <row r="1258" spans="1:12" x14ac:dyDescent="0.25">
      <c r="A1258" s="341" t="s">
        <v>455</v>
      </c>
      <c r="B1258" s="341" t="s">
        <v>10178</v>
      </c>
      <c r="C1258" s="341" t="s">
        <v>16</v>
      </c>
      <c r="D1258" s="342">
        <v>1</v>
      </c>
      <c r="E1258" s="342">
        <v>0</v>
      </c>
      <c r="F1258" s="342" t="s">
        <v>9622</v>
      </c>
      <c r="G1258" s="341" t="s">
        <v>1241</v>
      </c>
      <c r="H1258" s="341" t="s">
        <v>6905</v>
      </c>
      <c r="I1258" s="341" t="s">
        <v>4230</v>
      </c>
      <c r="J1258" s="342">
        <v>0.5</v>
      </c>
      <c r="K1258" s="342" t="s">
        <v>4230</v>
      </c>
      <c r="L1258" s="342">
        <v>0</v>
      </c>
    </row>
    <row r="1259" spans="1:12" x14ac:dyDescent="0.25">
      <c r="A1259" s="341" t="s">
        <v>2420</v>
      </c>
      <c r="B1259" s="341" t="s">
        <v>2420</v>
      </c>
      <c r="C1259" s="341" t="s">
        <v>2420</v>
      </c>
      <c r="D1259" s="342">
        <v>0</v>
      </c>
      <c r="E1259" s="342" t="s">
        <v>2420</v>
      </c>
      <c r="F1259" s="342" t="s">
        <v>9622</v>
      </c>
      <c r="G1259" s="341" t="s">
        <v>1242</v>
      </c>
      <c r="H1259" s="341" t="s">
        <v>9833</v>
      </c>
      <c r="I1259" s="341" t="s">
        <v>4230</v>
      </c>
      <c r="J1259" s="342">
        <v>0.4</v>
      </c>
      <c r="K1259" s="342" t="s">
        <v>4230</v>
      </c>
      <c r="L1259" s="342">
        <v>0</v>
      </c>
    </row>
    <row r="1260" spans="1:12" x14ac:dyDescent="0.25">
      <c r="A1260" s="341" t="s">
        <v>2420</v>
      </c>
      <c r="B1260" s="341" t="s">
        <v>2420</v>
      </c>
      <c r="C1260" s="341" t="s">
        <v>2420</v>
      </c>
      <c r="D1260" s="342">
        <v>0</v>
      </c>
      <c r="E1260" s="342" t="s">
        <v>2420</v>
      </c>
      <c r="F1260" s="342" t="s">
        <v>9622</v>
      </c>
      <c r="G1260" s="341" t="s">
        <v>2042</v>
      </c>
      <c r="H1260" s="341" t="s">
        <v>10179</v>
      </c>
      <c r="I1260" s="341" t="s">
        <v>16</v>
      </c>
      <c r="J1260" s="342">
        <v>1</v>
      </c>
      <c r="K1260" s="342" t="s">
        <v>9623</v>
      </c>
      <c r="L1260" s="342">
        <v>0</v>
      </c>
    </row>
    <row r="1261" spans="1:12" x14ac:dyDescent="0.25">
      <c r="A1261" s="341" t="s">
        <v>213</v>
      </c>
      <c r="B1261" s="341" t="s">
        <v>10180</v>
      </c>
      <c r="C1261" s="341" t="s">
        <v>16</v>
      </c>
      <c r="D1261" s="342">
        <v>1</v>
      </c>
      <c r="E1261" s="342">
        <v>0</v>
      </c>
      <c r="F1261" s="342" t="s">
        <v>9624</v>
      </c>
      <c r="G1261" s="341" t="s">
        <v>10166</v>
      </c>
      <c r="H1261" s="341" t="s">
        <v>10167</v>
      </c>
      <c r="I1261" s="341" t="s">
        <v>52</v>
      </c>
      <c r="J1261" s="342">
        <v>0.15</v>
      </c>
      <c r="K1261" s="342" t="s">
        <v>2420</v>
      </c>
      <c r="L1261" s="342">
        <v>0</v>
      </c>
    </row>
    <row r="1262" spans="1:12" x14ac:dyDescent="0.25">
      <c r="A1262" s="341" t="s">
        <v>2420</v>
      </c>
      <c r="B1262" s="341" t="s">
        <v>2420</v>
      </c>
      <c r="C1262" s="341" t="s">
        <v>2420</v>
      </c>
      <c r="D1262" s="342">
        <v>0</v>
      </c>
      <c r="E1262" s="342" t="s">
        <v>2420</v>
      </c>
      <c r="F1262" s="342" t="s">
        <v>9624</v>
      </c>
      <c r="G1262" s="341" t="s">
        <v>9705</v>
      </c>
      <c r="H1262" s="341" t="s">
        <v>9706</v>
      </c>
      <c r="I1262" s="341" t="s">
        <v>16</v>
      </c>
      <c r="J1262" s="342">
        <v>2.5</v>
      </c>
      <c r="K1262" s="342" t="s">
        <v>2420</v>
      </c>
      <c r="L1262" s="342">
        <v>0</v>
      </c>
    </row>
    <row r="1263" spans="1:12" x14ac:dyDescent="0.25">
      <c r="A1263" s="341" t="s">
        <v>2420</v>
      </c>
      <c r="B1263" s="341" t="s">
        <v>2420</v>
      </c>
      <c r="C1263" s="341" t="s">
        <v>2420</v>
      </c>
      <c r="D1263" s="342">
        <v>0</v>
      </c>
      <c r="E1263" s="342" t="s">
        <v>2420</v>
      </c>
      <c r="F1263" s="342" t="s">
        <v>9624</v>
      </c>
      <c r="G1263" s="341" t="s">
        <v>9700</v>
      </c>
      <c r="H1263" s="341" t="s">
        <v>9701</v>
      </c>
      <c r="I1263" s="341" t="s">
        <v>52</v>
      </c>
      <c r="J1263" s="342">
        <v>0.1</v>
      </c>
      <c r="K1263" s="342" t="s">
        <v>2420</v>
      </c>
      <c r="L1263" s="342">
        <v>0</v>
      </c>
    </row>
    <row r="1264" spans="1:12" x14ac:dyDescent="0.25">
      <c r="A1264" s="341" t="s">
        <v>2420</v>
      </c>
      <c r="B1264" s="341" t="s">
        <v>2420</v>
      </c>
      <c r="C1264" s="341" t="s">
        <v>2420</v>
      </c>
      <c r="D1264" s="342">
        <v>0</v>
      </c>
      <c r="E1264" s="342" t="s">
        <v>2420</v>
      </c>
      <c r="F1264" s="342" t="s">
        <v>9624</v>
      </c>
      <c r="G1264" s="341" t="s">
        <v>9757</v>
      </c>
      <c r="H1264" s="341" t="s">
        <v>9758</v>
      </c>
      <c r="I1264" s="341" t="s">
        <v>16</v>
      </c>
      <c r="J1264" s="342">
        <v>0.25</v>
      </c>
      <c r="K1264" s="342" t="s">
        <v>2420</v>
      </c>
      <c r="L1264" s="342">
        <v>0</v>
      </c>
    </row>
    <row r="1265" spans="1:12" x14ac:dyDescent="0.25">
      <c r="A1265" s="341" t="s">
        <v>286</v>
      </c>
      <c r="B1265" s="341" t="s">
        <v>10181</v>
      </c>
      <c r="C1265" s="341" t="s">
        <v>11</v>
      </c>
      <c r="D1265" s="342">
        <v>1</v>
      </c>
      <c r="E1265" s="342">
        <v>0</v>
      </c>
      <c r="F1265" s="342" t="s">
        <v>9622</v>
      </c>
      <c r="G1265" s="341" t="s">
        <v>1323</v>
      </c>
      <c r="H1265" s="341" t="s">
        <v>10182</v>
      </c>
      <c r="I1265" s="341" t="s">
        <v>6607</v>
      </c>
      <c r="J1265" s="342">
        <v>1</v>
      </c>
      <c r="K1265" s="342" t="s">
        <v>25</v>
      </c>
      <c r="L1265" s="342">
        <v>0</v>
      </c>
    </row>
    <row r="1266" spans="1:12" x14ac:dyDescent="0.25">
      <c r="A1266" s="341" t="s">
        <v>2420</v>
      </c>
      <c r="B1266" s="341" t="s">
        <v>2420</v>
      </c>
      <c r="C1266" s="341" t="s">
        <v>2420</v>
      </c>
      <c r="D1266" s="342">
        <v>0</v>
      </c>
      <c r="E1266" s="342" t="s">
        <v>2420</v>
      </c>
      <c r="F1266" s="342" t="s">
        <v>9622</v>
      </c>
      <c r="G1266" s="341" t="s">
        <v>1753</v>
      </c>
      <c r="H1266" s="341" t="s">
        <v>10183</v>
      </c>
      <c r="I1266" s="341" t="s">
        <v>11</v>
      </c>
      <c r="J1266" s="342">
        <v>1</v>
      </c>
      <c r="K1266" s="342" t="s">
        <v>25</v>
      </c>
      <c r="L1266" s="342">
        <v>0</v>
      </c>
    </row>
    <row r="1267" spans="1:12" x14ac:dyDescent="0.25">
      <c r="A1267" s="341" t="s">
        <v>2420</v>
      </c>
      <c r="B1267" s="341" t="s">
        <v>2420</v>
      </c>
      <c r="C1267" s="341" t="s">
        <v>2420</v>
      </c>
      <c r="D1267" s="342">
        <v>0</v>
      </c>
      <c r="E1267" s="342" t="s">
        <v>2420</v>
      </c>
      <c r="F1267" s="342" t="s">
        <v>9624</v>
      </c>
      <c r="G1267" s="341" t="s">
        <v>9626</v>
      </c>
      <c r="H1267" s="341" t="s">
        <v>10184</v>
      </c>
      <c r="I1267" s="341" t="s">
        <v>11</v>
      </c>
      <c r="J1267" s="342">
        <v>1</v>
      </c>
      <c r="K1267" s="342" t="s">
        <v>2420</v>
      </c>
      <c r="L1267" s="342">
        <v>0</v>
      </c>
    </row>
    <row r="1268" spans="1:12" x14ac:dyDescent="0.25">
      <c r="A1268" s="341" t="s">
        <v>287</v>
      </c>
      <c r="B1268" s="341" t="s">
        <v>10185</v>
      </c>
      <c r="C1268" s="341" t="s">
        <v>11</v>
      </c>
      <c r="D1268" s="342">
        <v>1</v>
      </c>
      <c r="E1268" s="342">
        <v>0</v>
      </c>
      <c r="F1268" s="342" t="s">
        <v>9622</v>
      </c>
      <c r="G1268" s="341" t="s">
        <v>1609</v>
      </c>
      <c r="H1268" s="341" t="s">
        <v>10186</v>
      </c>
      <c r="I1268" s="341" t="s">
        <v>11</v>
      </c>
      <c r="J1268" s="342">
        <v>1</v>
      </c>
      <c r="K1268" s="342" t="s">
        <v>25</v>
      </c>
      <c r="L1268" s="342">
        <v>0</v>
      </c>
    </row>
    <row r="1269" spans="1:12" x14ac:dyDescent="0.25">
      <c r="A1269" s="341" t="s">
        <v>2420</v>
      </c>
      <c r="B1269" s="341" t="s">
        <v>2420</v>
      </c>
      <c r="C1269" s="341" t="s">
        <v>2420</v>
      </c>
      <c r="D1269" s="342">
        <v>0</v>
      </c>
      <c r="E1269" s="342" t="s">
        <v>2420</v>
      </c>
      <c r="F1269" s="342" t="s">
        <v>9622</v>
      </c>
      <c r="G1269" s="341" t="s">
        <v>1323</v>
      </c>
      <c r="H1269" s="341" t="s">
        <v>10182</v>
      </c>
      <c r="I1269" s="341" t="s">
        <v>6607</v>
      </c>
      <c r="J1269" s="342">
        <v>1</v>
      </c>
      <c r="K1269" s="342" t="s">
        <v>25</v>
      </c>
      <c r="L1269" s="342">
        <v>0</v>
      </c>
    </row>
    <row r="1270" spans="1:12" x14ac:dyDescent="0.25">
      <c r="A1270" s="341" t="s">
        <v>2420</v>
      </c>
      <c r="B1270" s="341" t="s">
        <v>2420</v>
      </c>
      <c r="C1270" s="341" t="s">
        <v>2420</v>
      </c>
      <c r="D1270" s="342">
        <v>0</v>
      </c>
      <c r="E1270" s="342" t="s">
        <v>2420</v>
      </c>
      <c r="F1270" s="342" t="s">
        <v>9624</v>
      </c>
      <c r="G1270" s="341" t="s">
        <v>9626</v>
      </c>
      <c r="H1270" s="341" t="s">
        <v>10184</v>
      </c>
      <c r="I1270" s="341" t="s">
        <v>11</v>
      </c>
      <c r="J1270" s="342">
        <v>1</v>
      </c>
      <c r="K1270" s="342" t="s">
        <v>2420</v>
      </c>
      <c r="L1270" s="342">
        <v>0</v>
      </c>
    </row>
    <row r="1271" spans="1:12" x14ac:dyDescent="0.25">
      <c r="A1271" s="341" t="s">
        <v>285</v>
      </c>
      <c r="B1271" s="341" t="s">
        <v>10187</v>
      </c>
      <c r="C1271" s="341" t="s">
        <v>11</v>
      </c>
      <c r="D1271" s="342">
        <v>1</v>
      </c>
      <c r="E1271" s="342">
        <v>0</v>
      </c>
      <c r="F1271" s="342" t="s">
        <v>9622</v>
      </c>
      <c r="G1271" s="341" t="s">
        <v>1323</v>
      </c>
      <c r="H1271" s="341" t="s">
        <v>10182</v>
      </c>
      <c r="I1271" s="341" t="s">
        <v>6607</v>
      </c>
      <c r="J1271" s="342">
        <v>1</v>
      </c>
      <c r="K1271" s="342" t="s">
        <v>25</v>
      </c>
      <c r="L1271" s="342">
        <v>0</v>
      </c>
    </row>
    <row r="1272" spans="1:12" x14ac:dyDescent="0.25">
      <c r="A1272" s="341" t="s">
        <v>2420</v>
      </c>
      <c r="B1272" s="341" t="s">
        <v>2420</v>
      </c>
      <c r="C1272" s="341" t="s">
        <v>2420</v>
      </c>
      <c r="D1272" s="342">
        <v>0</v>
      </c>
      <c r="E1272" s="342" t="s">
        <v>2420</v>
      </c>
      <c r="F1272" s="342" t="s">
        <v>9622</v>
      </c>
      <c r="G1272" s="341" t="s">
        <v>1752</v>
      </c>
      <c r="H1272" s="341" t="s">
        <v>10188</v>
      </c>
      <c r="I1272" s="341" t="s">
        <v>11</v>
      </c>
      <c r="J1272" s="342">
        <v>1</v>
      </c>
      <c r="K1272" s="342" t="s">
        <v>25</v>
      </c>
      <c r="L1272" s="342">
        <v>0</v>
      </c>
    </row>
    <row r="1273" spans="1:12" x14ac:dyDescent="0.25">
      <c r="A1273" s="341" t="s">
        <v>2420</v>
      </c>
      <c r="B1273" s="341" t="s">
        <v>2420</v>
      </c>
      <c r="C1273" s="341" t="s">
        <v>2420</v>
      </c>
      <c r="D1273" s="342">
        <v>0</v>
      </c>
      <c r="E1273" s="342" t="s">
        <v>2420</v>
      </c>
      <c r="F1273" s="342" t="s">
        <v>9624</v>
      </c>
      <c r="G1273" s="341" t="s">
        <v>9626</v>
      </c>
      <c r="H1273" s="341" t="s">
        <v>10184</v>
      </c>
      <c r="I1273" s="341" t="s">
        <v>11</v>
      </c>
      <c r="J1273" s="342">
        <v>1</v>
      </c>
      <c r="K1273" s="342" t="s">
        <v>2420</v>
      </c>
      <c r="L1273" s="342">
        <v>0</v>
      </c>
    </row>
    <row r="1274" spans="1:12" x14ac:dyDescent="0.25">
      <c r="A1274" s="341" t="s">
        <v>288</v>
      </c>
      <c r="B1274" s="341" t="s">
        <v>10189</v>
      </c>
      <c r="C1274" s="341" t="s">
        <v>11</v>
      </c>
      <c r="D1274" s="342">
        <v>1</v>
      </c>
      <c r="E1274" s="342">
        <v>0</v>
      </c>
      <c r="F1274" s="342" t="s">
        <v>9622</v>
      </c>
      <c r="G1274" s="341" t="s">
        <v>1675</v>
      </c>
      <c r="H1274" s="341" t="s">
        <v>10190</v>
      </c>
      <c r="I1274" s="341" t="s">
        <v>11</v>
      </c>
      <c r="J1274" s="342">
        <v>1</v>
      </c>
      <c r="K1274" s="342" t="s">
        <v>25</v>
      </c>
      <c r="L1274" s="342">
        <v>0</v>
      </c>
    </row>
    <row r="1275" spans="1:12" x14ac:dyDescent="0.25">
      <c r="A1275" s="341" t="s">
        <v>2420</v>
      </c>
      <c r="B1275" s="341" t="s">
        <v>2420</v>
      </c>
      <c r="C1275" s="341" t="s">
        <v>2420</v>
      </c>
      <c r="D1275" s="342">
        <v>0</v>
      </c>
      <c r="E1275" s="342" t="s">
        <v>2420</v>
      </c>
      <c r="F1275" s="342" t="s">
        <v>9622</v>
      </c>
      <c r="G1275" s="341" t="s">
        <v>1735</v>
      </c>
      <c r="H1275" s="341" t="s">
        <v>10191</v>
      </c>
      <c r="I1275" s="341" t="s">
        <v>11</v>
      </c>
      <c r="J1275" s="342">
        <v>1</v>
      </c>
      <c r="K1275" s="342" t="s">
        <v>25</v>
      </c>
      <c r="L1275" s="342">
        <v>0</v>
      </c>
    </row>
    <row r="1276" spans="1:12" x14ac:dyDescent="0.25">
      <c r="A1276" s="341" t="s">
        <v>2420</v>
      </c>
      <c r="B1276" s="341" t="s">
        <v>2420</v>
      </c>
      <c r="C1276" s="341" t="s">
        <v>2420</v>
      </c>
      <c r="D1276" s="342">
        <v>0</v>
      </c>
      <c r="E1276" s="342" t="s">
        <v>2420</v>
      </c>
      <c r="F1276" s="342" t="s">
        <v>9624</v>
      </c>
      <c r="G1276" s="341" t="s">
        <v>10192</v>
      </c>
      <c r="H1276" s="341" t="s">
        <v>10193</v>
      </c>
      <c r="I1276" s="341" t="s">
        <v>11</v>
      </c>
      <c r="J1276" s="342">
        <v>1</v>
      </c>
      <c r="K1276" s="342" t="s">
        <v>2420</v>
      </c>
      <c r="L1276" s="342">
        <v>0</v>
      </c>
    </row>
    <row r="1277" spans="1:12" x14ac:dyDescent="0.25">
      <c r="A1277" s="341" t="s">
        <v>289</v>
      </c>
      <c r="B1277" s="341" t="s">
        <v>10194</v>
      </c>
      <c r="C1277" s="341" t="s">
        <v>11</v>
      </c>
      <c r="D1277" s="342">
        <v>1</v>
      </c>
      <c r="E1277" s="342">
        <v>0</v>
      </c>
      <c r="F1277" s="342" t="s">
        <v>9622</v>
      </c>
      <c r="G1277" s="341" t="s">
        <v>1590</v>
      </c>
      <c r="H1277" s="341" t="s">
        <v>10195</v>
      </c>
      <c r="I1277" s="341" t="s">
        <v>11</v>
      </c>
      <c r="J1277" s="342">
        <v>1</v>
      </c>
      <c r="K1277" s="342" t="s">
        <v>25</v>
      </c>
      <c r="L1277" s="342">
        <v>0</v>
      </c>
    </row>
    <row r="1278" spans="1:12" x14ac:dyDescent="0.25">
      <c r="A1278" s="341" t="s">
        <v>2420</v>
      </c>
      <c r="B1278" s="341" t="s">
        <v>2420</v>
      </c>
      <c r="C1278" s="341" t="s">
        <v>2420</v>
      </c>
      <c r="D1278" s="342">
        <v>0</v>
      </c>
      <c r="E1278" s="342" t="s">
        <v>2420</v>
      </c>
      <c r="F1278" s="342" t="s">
        <v>9622</v>
      </c>
      <c r="G1278" s="341" t="s">
        <v>1675</v>
      </c>
      <c r="H1278" s="341" t="s">
        <v>10190</v>
      </c>
      <c r="I1278" s="341" t="s">
        <v>11</v>
      </c>
      <c r="J1278" s="342">
        <v>1</v>
      </c>
      <c r="K1278" s="342" t="s">
        <v>25</v>
      </c>
      <c r="L1278" s="342">
        <v>0</v>
      </c>
    </row>
    <row r="1279" spans="1:12" x14ac:dyDescent="0.25">
      <c r="A1279" s="341" t="s">
        <v>2420</v>
      </c>
      <c r="B1279" s="341" t="s">
        <v>2420</v>
      </c>
      <c r="C1279" s="341" t="s">
        <v>2420</v>
      </c>
      <c r="D1279" s="342">
        <v>0</v>
      </c>
      <c r="E1279" s="342" t="s">
        <v>2420</v>
      </c>
      <c r="F1279" s="342" t="s">
        <v>9624</v>
      </c>
      <c r="G1279" s="341" t="s">
        <v>10192</v>
      </c>
      <c r="H1279" s="341" t="s">
        <v>10193</v>
      </c>
      <c r="I1279" s="341" t="s">
        <v>11</v>
      </c>
      <c r="J1279" s="342">
        <v>1</v>
      </c>
      <c r="K1279" s="342" t="s">
        <v>2420</v>
      </c>
      <c r="L1279" s="342">
        <v>0</v>
      </c>
    </row>
    <row r="1280" spans="1:12" x14ac:dyDescent="0.25">
      <c r="A1280" s="341" t="s">
        <v>290</v>
      </c>
      <c r="B1280" s="341" t="s">
        <v>10196</v>
      </c>
      <c r="C1280" s="341" t="s">
        <v>11</v>
      </c>
      <c r="D1280" s="342">
        <v>1</v>
      </c>
      <c r="E1280" s="342">
        <v>0</v>
      </c>
      <c r="F1280" s="342" t="s">
        <v>9622</v>
      </c>
      <c r="G1280" s="341" t="s">
        <v>1591</v>
      </c>
      <c r="H1280" s="341" t="s">
        <v>10197</v>
      </c>
      <c r="I1280" s="341" t="s">
        <v>11</v>
      </c>
      <c r="J1280" s="342">
        <v>1</v>
      </c>
      <c r="K1280" s="342" t="s">
        <v>25</v>
      </c>
      <c r="L1280" s="342">
        <v>0</v>
      </c>
    </row>
    <row r="1281" spans="1:12" x14ac:dyDescent="0.25">
      <c r="A1281" s="341" t="s">
        <v>2420</v>
      </c>
      <c r="B1281" s="341" t="s">
        <v>2420</v>
      </c>
      <c r="C1281" s="341" t="s">
        <v>2420</v>
      </c>
      <c r="D1281" s="342">
        <v>0</v>
      </c>
      <c r="E1281" s="342" t="s">
        <v>2420</v>
      </c>
      <c r="F1281" s="342" t="s">
        <v>9622</v>
      </c>
      <c r="G1281" s="341" t="s">
        <v>1675</v>
      </c>
      <c r="H1281" s="341" t="s">
        <v>10190</v>
      </c>
      <c r="I1281" s="341" t="s">
        <v>11</v>
      </c>
      <c r="J1281" s="342">
        <v>1</v>
      </c>
      <c r="K1281" s="342" t="s">
        <v>25</v>
      </c>
      <c r="L1281" s="342">
        <v>0</v>
      </c>
    </row>
    <row r="1282" spans="1:12" x14ac:dyDescent="0.25">
      <c r="A1282" s="341" t="s">
        <v>2420</v>
      </c>
      <c r="B1282" s="341" t="s">
        <v>2420</v>
      </c>
      <c r="C1282" s="341" t="s">
        <v>2420</v>
      </c>
      <c r="D1282" s="342">
        <v>0</v>
      </c>
      <c r="E1282" s="342" t="s">
        <v>2420</v>
      </c>
      <c r="F1282" s="342" t="s">
        <v>9624</v>
      </c>
      <c r="G1282" s="341" t="s">
        <v>10192</v>
      </c>
      <c r="H1282" s="341" t="s">
        <v>10193</v>
      </c>
      <c r="I1282" s="341" t="s">
        <v>11</v>
      </c>
      <c r="J1282" s="342">
        <v>1</v>
      </c>
      <c r="K1282" s="342" t="s">
        <v>2420</v>
      </c>
      <c r="L1282" s="342">
        <v>0</v>
      </c>
    </row>
    <row r="1283" spans="1:12" x14ac:dyDescent="0.25">
      <c r="A1283" s="341" t="s">
        <v>349</v>
      </c>
      <c r="B1283" s="341" t="s">
        <v>9903</v>
      </c>
      <c r="C1283" s="341" t="s">
        <v>16</v>
      </c>
      <c r="D1283" s="342">
        <v>1</v>
      </c>
      <c r="E1283" s="342">
        <v>0</v>
      </c>
      <c r="F1283" s="342" t="s">
        <v>9622</v>
      </c>
      <c r="G1283" s="341" t="s">
        <v>1234</v>
      </c>
      <c r="H1283" s="341" t="s">
        <v>6899</v>
      </c>
      <c r="I1283" s="341" t="s">
        <v>4230</v>
      </c>
      <c r="J1283" s="342">
        <v>0.26</v>
      </c>
      <c r="K1283" s="342" t="s">
        <v>4230</v>
      </c>
      <c r="L1283" s="342">
        <v>0</v>
      </c>
    </row>
    <row r="1284" spans="1:12" x14ac:dyDescent="0.25">
      <c r="A1284" s="341" t="s">
        <v>2420</v>
      </c>
      <c r="B1284" s="341" t="s">
        <v>2420</v>
      </c>
      <c r="C1284" s="341" t="s">
        <v>2420</v>
      </c>
      <c r="D1284" s="342">
        <v>0</v>
      </c>
      <c r="E1284" s="342" t="s">
        <v>2420</v>
      </c>
      <c r="F1284" s="342" t="s">
        <v>9622</v>
      </c>
      <c r="G1284" s="341" t="s">
        <v>1235</v>
      </c>
      <c r="H1284" s="341" t="s">
        <v>6900</v>
      </c>
      <c r="I1284" s="341" t="s">
        <v>4230</v>
      </c>
      <c r="J1284" s="342">
        <v>0.26</v>
      </c>
      <c r="K1284" s="342" t="s">
        <v>4230</v>
      </c>
      <c r="L1284" s="342">
        <v>0</v>
      </c>
    </row>
    <row r="1285" spans="1:12" x14ac:dyDescent="0.25">
      <c r="A1285" s="341" t="s">
        <v>2420</v>
      </c>
      <c r="B1285" s="341" t="s">
        <v>2420</v>
      </c>
      <c r="C1285" s="341" t="s">
        <v>2420</v>
      </c>
      <c r="D1285" s="342">
        <v>0</v>
      </c>
      <c r="E1285" s="342" t="s">
        <v>2420</v>
      </c>
      <c r="F1285" s="342" t="s">
        <v>9622</v>
      </c>
      <c r="G1285" s="341" t="s">
        <v>1333</v>
      </c>
      <c r="H1285" s="341" t="s">
        <v>7023</v>
      </c>
      <c r="I1285" s="341" t="s">
        <v>2557</v>
      </c>
      <c r="J1285" s="342">
        <v>4.4000000000000004</v>
      </c>
      <c r="K1285" s="342" t="s">
        <v>25</v>
      </c>
      <c r="L1285" s="342">
        <v>0</v>
      </c>
    </row>
    <row r="1286" spans="1:12" x14ac:dyDescent="0.25">
      <c r="A1286" s="341" t="s">
        <v>2420</v>
      </c>
      <c r="B1286" s="341" t="s">
        <v>2420</v>
      </c>
      <c r="C1286" s="341" t="s">
        <v>2420</v>
      </c>
      <c r="D1286" s="342">
        <v>0</v>
      </c>
      <c r="E1286" s="342" t="s">
        <v>2420</v>
      </c>
      <c r="F1286" s="342" t="s">
        <v>9622</v>
      </c>
      <c r="G1286" s="341" t="s">
        <v>1622</v>
      </c>
      <c r="H1286" s="341" t="s">
        <v>7342</v>
      </c>
      <c r="I1286" s="341" t="s">
        <v>6606</v>
      </c>
      <c r="J1286" s="342">
        <v>0.3</v>
      </c>
      <c r="K1286" s="342" t="s">
        <v>25</v>
      </c>
      <c r="L1286" s="342">
        <v>0</v>
      </c>
    </row>
    <row r="1287" spans="1:12" x14ac:dyDescent="0.25">
      <c r="A1287" s="341" t="s">
        <v>2420</v>
      </c>
      <c r="B1287" s="341" t="s">
        <v>2420</v>
      </c>
      <c r="C1287" s="341" t="s">
        <v>2420</v>
      </c>
      <c r="D1287" s="342">
        <v>0</v>
      </c>
      <c r="E1287" s="342" t="s">
        <v>2420</v>
      </c>
      <c r="F1287" s="342" t="s">
        <v>9622</v>
      </c>
      <c r="G1287" s="341" t="s">
        <v>1855</v>
      </c>
      <c r="H1287" s="341" t="s">
        <v>7982</v>
      </c>
      <c r="I1287" s="341" t="s">
        <v>16</v>
      </c>
      <c r="J1287" s="342">
        <v>1</v>
      </c>
      <c r="K1287" s="342" t="s">
        <v>9623</v>
      </c>
      <c r="L1287" s="342">
        <v>0</v>
      </c>
    </row>
    <row r="1288" spans="1:12" x14ac:dyDescent="0.25">
      <c r="A1288" s="341" t="s">
        <v>462</v>
      </c>
      <c r="B1288" s="341" t="s">
        <v>10198</v>
      </c>
      <c r="C1288" s="341" t="s">
        <v>11</v>
      </c>
      <c r="D1288" s="342">
        <v>1</v>
      </c>
      <c r="E1288" s="342">
        <v>0</v>
      </c>
      <c r="F1288" s="342" t="s">
        <v>9622</v>
      </c>
      <c r="G1288" s="341" t="s">
        <v>1290</v>
      </c>
      <c r="H1288" s="341" t="s">
        <v>6955</v>
      </c>
      <c r="I1288" s="341" t="s">
        <v>11</v>
      </c>
      <c r="J1288" s="342">
        <v>1</v>
      </c>
      <c r="K1288" s="342" t="s">
        <v>25</v>
      </c>
      <c r="L1288" s="342">
        <v>0</v>
      </c>
    </row>
    <row r="1289" spans="1:12" x14ac:dyDescent="0.25">
      <c r="A1289" s="341" t="s">
        <v>2420</v>
      </c>
      <c r="B1289" s="341" t="s">
        <v>2420</v>
      </c>
      <c r="C1289" s="341" t="s">
        <v>2420</v>
      </c>
      <c r="D1289" s="342">
        <v>0</v>
      </c>
      <c r="E1289" s="342" t="s">
        <v>2420</v>
      </c>
      <c r="F1289" s="342" t="s">
        <v>9622</v>
      </c>
      <c r="G1289" s="341" t="s">
        <v>1298</v>
      </c>
      <c r="H1289" s="341" t="s">
        <v>9847</v>
      </c>
      <c r="I1289" s="341" t="s">
        <v>11</v>
      </c>
      <c r="J1289" s="342">
        <v>1</v>
      </c>
      <c r="K1289" s="342" t="s">
        <v>25</v>
      </c>
      <c r="L1289" s="342">
        <v>0</v>
      </c>
    </row>
    <row r="1290" spans="1:12" x14ac:dyDescent="0.25">
      <c r="A1290" s="341" t="s">
        <v>2420</v>
      </c>
      <c r="B1290" s="341" t="s">
        <v>2420</v>
      </c>
      <c r="C1290" s="341" t="s">
        <v>2420</v>
      </c>
      <c r="D1290" s="342">
        <v>0</v>
      </c>
      <c r="E1290" s="342" t="s">
        <v>2420</v>
      </c>
      <c r="F1290" s="342" t="s">
        <v>9622</v>
      </c>
      <c r="G1290" s="341" t="s">
        <v>1420</v>
      </c>
      <c r="H1290" s="341" t="s">
        <v>7141</v>
      </c>
      <c r="I1290" s="341" t="s">
        <v>11</v>
      </c>
      <c r="J1290" s="342">
        <v>1</v>
      </c>
      <c r="K1290" s="342" t="s">
        <v>25</v>
      </c>
      <c r="L1290" s="342">
        <v>0</v>
      </c>
    </row>
    <row r="1291" spans="1:12" x14ac:dyDescent="0.25">
      <c r="A1291" s="341" t="s">
        <v>2420</v>
      </c>
      <c r="B1291" s="341" t="s">
        <v>2420</v>
      </c>
      <c r="C1291" s="341" t="s">
        <v>2420</v>
      </c>
      <c r="D1291" s="342">
        <v>0</v>
      </c>
      <c r="E1291" s="342" t="s">
        <v>2420</v>
      </c>
      <c r="F1291" s="342" t="s">
        <v>9622</v>
      </c>
      <c r="G1291" s="341" t="s">
        <v>1594</v>
      </c>
      <c r="H1291" s="341" t="s">
        <v>7315</v>
      </c>
      <c r="I1291" s="341" t="s">
        <v>6609</v>
      </c>
      <c r="J1291" s="342">
        <v>1</v>
      </c>
      <c r="K1291" s="342" t="s">
        <v>25</v>
      </c>
      <c r="L1291" s="342">
        <v>0</v>
      </c>
    </row>
    <row r="1292" spans="1:12" x14ac:dyDescent="0.25">
      <c r="A1292" s="341" t="s">
        <v>2420</v>
      </c>
      <c r="B1292" s="341" t="s">
        <v>2420</v>
      </c>
      <c r="C1292" s="341" t="s">
        <v>2420</v>
      </c>
      <c r="D1292" s="342">
        <v>0</v>
      </c>
      <c r="E1292" s="342" t="s">
        <v>2420</v>
      </c>
      <c r="F1292" s="342" t="s">
        <v>9622</v>
      </c>
      <c r="G1292" s="341" t="s">
        <v>1761</v>
      </c>
      <c r="H1292" s="341" t="s">
        <v>10199</v>
      </c>
      <c r="I1292" s="341" t="s">
        <v>11</v>
      </c>
      <c r="J1292" s="342">
        <v>1</v>
      </c>
      <c r="K1292" s="342" t="s">
        <v>9638</v>
      </c>
      <c r="L1292" s="342">
        <v>0</v>
      </c>
    </row>
    <row r="1293" spans="1:12" x14ac:dyDescent="0.25">
      <c r="A1293" s="341" t="s">
        <v>2420</v>
      </c>
      <c r="B1293" s="341" t="s">
        <v>2420</v>
      </c>
      <c r="C1293" s="341" t="s">
        <v>2420</v>
      </c>
      <c r="D1293" s="342">
        <v>0</v>
      </c>
      <c r="E1293" s="342" t="s">
        <v>2420</v>
      </c>
      <c r="F1293" s="342" t="s">
        <v>9622</v>
      </c>
      <c r="G1293" s="341" t="s">
        <v>1784</v>
      </c>
      <c r="H1293" s="341" t="s">
        <v>7821</v>
      </c>
      <c r="I1293" s="341" t="s">
        <v>11</v>
      </c>
      <c r="J1293" s="342">
        <v>1</v>
      </c>
      <c r="K1293" s="342" t="s">
        <v>9638</v>
      </c>
      <c r="L1293" s="342">
        <v>0</v>
      </c>
    </row>
    <row r="1294" spans="1:12" x14ac:dyDescent="0.25">
      <c r="A1294" s="341" t="s">
        <v>451</v>
      </c>
      <c r="B1294" s="341" t="s">
        <v>10200</v>
      </c>
      <c r="C1294" s="341" t="s">
        <v>16</v>
      </c>
      <c r="D1294" s="342">
        <v>1</v>
      </c>
      <c r="E1294" s="342">
        <v>0</v>
      </c>
      <c r="F1294" s="342" t="s">
        <v>9622</v>
      </c>
      <c r="G1294" s="341" t="s">
        <v>1241</v>
      </c>
      <c r="H1294" s="341" t="s">
        <v>6905</v>
      </c>
      <c r="I1294" s="341" t="s">
        <v>4230</v>
      </c>
      <c r="J1294" s="342">
        <v>0.5</v>
      </c>
      <c r="K1294" s="342" t="s">
        <v>4230</v>
      </c>
      <c r="L1294" s="342">
        <v>0</v>
      </c>
    </row>
    <row r="1295" spans="1:12" x14ac:dyDescent="0.25">
      <c r="A1295" s="341" t="s">
        <v>2420</v>
      </c>
      <c r="B1295" s="341" t="s">
        <v>2420</v>
      </c>
      <c r="C1295" s="341" t="s">
        <v>2420</v>
      </c>
      <c r="D1295" s="342">
        <v>0</v>
      </c>
      <c r="E1295" s="342" t="s">
        <v>2420</v>
      </c>
      <c r="F1295" s="342" t="s">
        <v>9622</v>
      </c>
      <c r="G1295" s="341" t="s">
        <v>1242</v>
      </c>
      <c r="H1295" s="341" t="s">
        <v>9833</v>
      </c>
      <c r="I1295" s="341" t="s">
        <v>4230</v>
      </c>
      <c r="J1295" s="342">
        <v>0.4</v>
      </c>
      <c r="K1295" s="342" t="s">
        <v>4230</v>
      </c>
      <c r="L1295" s="342">
        <v>0</v>
      </c>
    </row>
    <row r="1296" spans="1:12" x14ac:dyDescent="0.25">
      <c r="A1296" s="341" t="s">
        <v>2420</v>
      </c>
      <c r="B1296" s="341" t="s">
        <v>2420</v>
      </c>
      <c r="C1296" s="341" t="s">
        <v>2420</v>
      </c>
      <c r="D1296" s="342">
        <v>0</v>
      </c>
      <c r="E1296" s="342" t="s">
        <v>2420</v>
      </c>
      <c r="F1296" s="342" t="s">
        <v>9622</v>
      </c>
      <c r="G1296" s="341" t="s">
        <v>2089</v>
      </c>
      <c r="H1296" s="341" t="s">
        <v>10201</v>
      </c>
      <c r="I1296" s="341" t="s">
        <v>16</v>
      </c>
      <c r="J1296" s="342">
        <v>1</v>
      </c>
      <c r="K1296" s="342" t="s">
        <v>9623</v>
      </c>
      <c r="L1296" s="342">
        <v>0</v>
      </c>
    </row>
    <row r="1297" spans="1:12" x14ac:dyDescent="0.25">
      <c r="A1297" s="341" t="s">
        <v>10164</v>
      </c>
      <c r="B1297" s="341" t="s">
        <v>10165</v>
      </c>
      <c r="C1297" s="341" t="s">
        <v>25</v>
      </c>
      <c r="D1297" s="342">
        <v>1</v>
      </c>
      <c r="E1297" s="342">
        <v>0</v>
      </c>
      <c r="F1297" s="342" t="s">
        <v>9624</v>
      </c>
      <c r="G1297" s="341" t="s">
        <v>235</v>
      </c>
      <c r="H1297" s="341" t="s">
        <v>9727</v>
      </c>
      <c r="I1297" s="341" t="s">
        <v>52</v>
      </c>
      <c r="J1297" s="342">
        <v>0.08</v>
      </c>
      <c r="K1297" s="342" t="s">
        <v>2420</v>
      </c>
      <c r="L1297" s="342">
        <v>0</v>
      </c>
    </row>
    <row r="1298" spans="1:12" x14ac:dyDescent="0.25">
      <c r="A1298" s="341" t="s">
        <v>2420</v>
      </c>
      <c r="B1298" s="341" t="s">
        <v>2420</v>
      </c>
      <c r="C1298" s="341" t="s">
        <v>2420</v>
      </c>
      <c r="D1298" s="342">
        <v>0</v>
      </c>
      <c r="E1298" s="342" t="s">
        <v>2420</v>
      </c>
      <c r="F1298" s="342" t="s">
        <v>9624</v>
      </c>
      <c r="G1298" s="341" t="s">
        <v>146</v>
      </c>
      <c r="H1298" s="341" t="s">
        <v>9724</v>
      </c>
      <c r="I1298" s="341" t="s">
        <v>52</v>
      </c>
      <c r="J1298" s="342">
        <v>0.02</v>
      </c>
      <c r="K1298" s="342" t="s">
        <v>2420</v>
      </c>
      <c r="L1298" s="342">
        <v>0</v>
      </c>
    </row>
    <row r="1299" spans="1:12" x14ac:dyDescent="0.25">
      <c r="A1299" s="341" t="s">
        <v>2420</v>
      </c>
      <c r="B1299" s="341" t="s">
        <v>2420</v>
      </c>
      <c r="C1299" s="341" t="s">
        <v>2420</v>
      </c>
      <c r="D1299" s="342">
        <v>0</v>
      </c>
      <c r="E1299" s="342" t="s">
        <v>2420</v>
      </c>
      <c r="F1299" s="342" t="s">
        <v>9624</v>
      </c>
      <c r="G1299" s="341" t="s">
        <v>9717</v>
      </c>
      <c r="H1299" s="341" t="s">
        <v>9718</v>
      </c>
      <c r="I1299" s="341" t="s">
        <v>2557</v>
      </c>
      <c r="J1299" s="342">
        <v>4.8</v>
      </c>
      <c r="K1299" s="342" t="s">
        <v>2420</v>
      </c>
      <c r="L1299" s="342">
        <v>0</v>
      </c>
    </row>
    <row r="1300" spans="1:12" x14ac:dyDescent="0.25">
      <c r="A1300" s="341" t="s">
        <v>2420</v>
      </c>
      <c r="B1300" s="341" t="s">
        <v>2420</v>
      </c>
      <c r="C1300" s="341" t="s">
        <v>2420</v>
      </c>
      <c r="D1300" s="342">
        <v>0</v>
      </c>
      <c r="E1300" s="342" t="s">
        <v>2420</v>
      </c>
      <c r="F1300" s="342" t="s">
        <v>9624</v>
      </c>
      <c r="G1300" s="341" t="s">
        <v>145</v>
      </c>
      <c r="H1300" s="341" t="s">
        <v>9716</v>
      </c>
      <c r="I1300" s="341" t="s">
        <v>16</v>
      </c>
      <c r="J1300" s="342">
        <v>0.3</v>
      </c>
      <c r="K1300" s="342" t="s">
        <v>2420</v>
      </c>
      <c r="L1300" s="342">
        <v>0</v>
      </c>
    </row>
    <row r="1301" spans="1:12" x14ac:dyDescent="0.25">
      <c r="A1301" s="341" t="s">
        <v>2420</v>
      </c>
      <c r="B1301" s="341" t="s">
        <v>2420</v>
      </c>
      <c r="C1301" s="341" t="s">
        <v>2420</v>
      </c>
      <c r="D1301" s="342">
        <v>0</v>
      </c>
      <c r="E1301" s="342" t="s">
        <v>2420</v>
      </c>
      <c r="F1301" s="342" t="s">
        <v>9624</v>
      </c>
      <c r="G1301" s="341" t="s">
        <v>216</v>
      </c>
      <c r="H1301" s="341" t="s">
        <v>9703</v>
      </c>
      <c r="I1301" s="341" t="s">
        <v>52</v>
      </c>
      <c r="J1301" s="342">
        <v>0.18</v>
      </c>
      <c r="K1301" s="342" t="s">
        <v>2420</v>
      </c>
      <c r="L1301" s="342">
        <v>0</v>
      </c>
    </row>
    <row r="1302" spans="1:12" x14ac:dyDescent="0.25">
      <c r="A1302" s="341" t="s">
        <v>2420</v>
      </c>
      <c r="B1302" s="341" t="s">
        <v>2420</v>
      </c>
      <c r="C1302" s="341" t="s">
        <v>2420</v>
      </c>
      <c r="D1302" s="342">
        <v>0</v>
      </c>
      <c r="E1302" s="342" t="s">
        <v>2420</v>
      </c>
      <c r="F1302" s="342" t="s">
        <v>9624</v>
      </c>
      <c r="G1302" s="341" t="s">
        <v>144</v>
      </c>
      <c r="H1302" s="341" t="s">
        <v>9702</v>
      </c>
      <c r="I1302" s="341" t="s">
        <v>52</v>
      </c>
      <c r="J1302" s="342">
        <v>0.28000000000000003</v>
      </c>
      <c r="K1302" s="342" t="s">
        <v>2420</v>
      </c>
      <c r="L1302" s="342">
        <v>0</v>
      </c>
    </row>
    <row r="1303" spans="1:12" x14ac:dyDescent="0.25">
      <c r="A1303" s="341" t="s">
        <v>2420</v>
      </c>
      <c r="B1303" s="341" t="s">
        <v>2420</v>
      </c>
      <c r="C1303" s="341" t="s">
        <v>2420</v>
      </c>
      <c r="D1303" s="342">
        <v>0</v>
      </c>
      <c r="E1303" s="342" t="s">
        <v>2420</v>
      </c>
      <c r="F1303" s="342" t="s">
        <v>9624</v>
      </c>
      <c r="G1303" s="341" t="s">
        <v>10202</v>
      </c>
      <c r="H1303" s="341" t="s">
        <v>10203</v>
      </c>
      <c r="I1303" s="341" t="s">
        <v>16</v>
      </c>
      <c r="J1303" s="342">
        <v>0.8</v>
      </c>
      <c r="K1303" s="342" t="s">
        <v>2420</v>
      </c>
      <c r="L1303" s="342">
        <v>0</v>
      </c>
    </row>
    <row r="1304" spans="1:12" x14ac:dyDescent="0.25">
      <c r="A1304" s="341" t="s">
        <v>2420</v>
      </c>
      <c r="B1304" s="341" t="s">
        <v>2420</v>
      </c>
      <c r="C1304" s="341" t="s">
        <v>2420</v>
      </c>
      <c r="D1304" s="342">
        <v>0</v>
      </c>
      <c r="E1304" s="342" t="s">
        <v>2420</v>
      </c>
      <c r="F1304" s="342" t="s">
        <v>9624</v>
      </c>
      <c r="G1304" s="341" t="s">
        <v>236</v>
      </c>
      <c r="H1304" s="341" t="s">
        <v>9841</v>
      </c>
      <c r="I1304" s="341" t="s">
        <v>52</v>
      </c>
      <c r="J1304" s="342">
        <v>0.13</v>
      </c>
      <c r="K1304" s="342" t="s">
        <v>2420</v>
      </c>
      <c r="L1304" s="342">
        <v>0</v>
      </c>
    </row>
    <row r="1305" spans="1:12" x14ac:dyDescent="0.25">
      <c r="A1305" s="341" t="s">
        <v>456</v>
      </c>
      <c r="B1305" s="341" t="s">
        <v>10204</v>
      </c>
      <c r="C1305" s="341" t="s">
        <v>25</v>
      </c>
      <c r="D1305" s="342">
        <v>1</v>
      </c>
      <c r="E1305" s="342">
        <v>0</v>
      </c>
      <c r="F1305" s="342" t="s">
        <v>9622</v>
      </c>
      <c r="G1305" s="341" t="s">
        <v>1241</v>
      </c>
      <c r="H1305" s="341" t="s">
        <v>6905</v>
      </c>
      <c r="I1305" s="341" t="s">
        <v>4230</v>
      </c>
      <c r="J1305" s="342">
        <v>0.4</v>
      </c>
      <c r="K1305" s="342" t="s">
        <v>4230</v>
      </c>
      <c r="L1305" s="342">
        <v>0</v>
      </c>
    </row>
    <row r="1306" spans="1:12" x14ac:dyDescent="0.25">
      <c r="A1306" s="341" t="s">
        <v>2420</v>
      </c>
      <c r="B1306" s="341" t="s">
        <v>2420</v>
      </c>
      <c r="C1306" s="341" t="s">
        <v>2420</v>
      </c>
      <c r="D1306" s="342">
        <v>0</v>
      </c>
      <c r="E1306" s="342" t="s">
        <v>2420</v>
      </c>
      <c r="F1306" s="342" t="s">
        <v>9622</v>
      </c>
      <c r="G1306" s="341" t="s">
        <v>1242</v>
      </c>
      <c r="H1306" s="341" t="s">
        <v>9833</v>
      </c>
      <c r="I1306" s="341" t="s">
        <v>4230</v>
      </c>
      <c r="J1306" s="342">
        <v>0.4</v>
      </c>
      <c r="K1306" s="342" t="s">
        <v>4230</v>
      </c>
      <c r="L1306" s="342">
        <v>0</v>
      </c>
    </row>
    <row r="1307" spans="1:12" x14ac:dyDescent="0.25">
      <c r="A1307" s="341" t="s">
        <v>2420</v>
      </c>
      <c r="B1307" s="341" t="s">
        <v>2420</v>
      </c>
      <c r="C1307" s="341" t="s">
        <v>2420</v>
      </c>
      <c r="D1307" s="342">
        <v>0</v>
      </c>
      <c r="E1307" s="342" t="s">
        <v>2420</v>
      </c>
      <c r="F1307" s="342" t="s">
        <v>9622</v>
      </c>
      <c r="G1307" s="341" t="s">
        <v>2004</v>
      </c>
      <c r="H1307" s="341" t="s">
        <v>10205</v>
      </c>
      <c r="I1307" s="341" t="s">
        <v>25</v>
      </c>
      <c r="J1307" s="342">
        <v>1</v>
      </c>
      <c r="K1307" s="342" t="s">
        <v>9623</v>
      </c>
      <c r="L1307" s="342">
        <v>0</v>
      </c>
    </row>
    <row r="1308" spans="1:12" x14ac:dyDescent="0.25">
      <c r="A1308" s="341" t="s">
        <v>458</v>
      </c>
      <c r="B1308" s="341" t="s">
        <v>10206</v>
      </c>
      <c r="C1308" s="341" t="s">
        <v>16</v>
      </c>
      <c r="D1308" s="342">
        <v>1</v>
      </c>
      <c r="E1308" s="342">
        <v>0</v>
      </c>
      <c r="F1308" s="342" t="s">
        <v>9622</v>
      </c>
      <c r="G1308" s="341" t="s">
        <v>1241</v>
      </c>
      <c r="H1308" s="341" t="s">
        <v>6905</v>
      </c>
      <c r="I1308" s="341" t="s">
        <v>4230</v>
      </c>
      <c r="J1308" s="342">
        <v>0.5</v>
      </c>
      <c r="K1308" s="342" t="s">
        <v>4230</v>
      </c>
      <c r="L1308" s="342">
        <v>0</v>
      </c>
    </row>
    <row r="1309" spans="1:12" x14ac:dyDescent="0.25">
      <c r="A1309" s="341" t="s">
        <v>2420</v>
      </c>
      <c r="B1309" s="341" t="s">
        <v>2420</v>
      </c>
      <c r="C1309" s="341" t="s">
        <v>2420</v>
      </c>
      <c r="D1309" s="342">
        <v>0</v>
      </c>
      <c r="E1309" s="342" t="s">
        <v>2420</v>
      </c>
      <c r="F1309" s="342" t="s">
        <v>9622</v>
      </c>
      <c r="G1309" s="341" t="s">
        <v>1242</v>
      </c>
      <c r="H1309" s="341" t="s">
        <v>9833</v>
      </c>
      <c r="I1309" s="341" t="s">
        <v>4230</v>
      </c>
      <c r="J1309" s="342">
        <v>0.4</v>
      </c>
      <c r="K1309" s="342" t="s">
        <v>4230</v>
      </c>
      <c r="L1309" s="342">
        <v>0</v>
      </c>
    </row>
    <row r="1310" spans="1:12" x14ac:dyDescent="0.25">
      <c r="A1310" s="341" t="s">
        <v>2420</v>
      </c>
      <c r="B1310" s="341" t="s">
        <v>2420</v>
      </c>
      <c r="C1310" s="341" t="s">
        <v>2420</v>
      </c>
      <c r="D1310" s="342">
        <v>0</v>
      </c>
      <c r="E1310" s="342" t="s">
        <v>2420</v>
      </c>
      <c r="F1310" s="342" t="s">
        <v>9622</v>
      </c>
      <c r="G1310" s="341" t="s">
        <v>1881</v>
      </c>
      <c r="H1310" s="341" t="s">
        <v>10207</v>
      </c>
      <c r="I1310" s="341" t="s">
        <v>16</v>
      </c>
      <c r="J1310" s="342">
        <v>1</v>
      </c>
      <c r="K1310" s="342" t="s">
        <v>9623</v>
      </c>
      <c r="L1310" s="342">
        <v>0</v>
      </c>
    </row>
    <row r="1311" spans="1:12" x14ac:dyDescent="0.25">
      <c r="A1311" s="341" t="s">
        <v>172</v>
      </c>
      <c r="B1311" s="341" t="s">
        <v>10208</v>
      </c>
      <c r="C1311" s="341" t="s">
        <v>16</v>
      </c>
      <c r="D1311" s="342">
        <v>1</v>
      </c>
      <c r="E1311" s="342">
        <v>0</v>
      </c>
      <c r="F1311" s="342" t="s">
        <v>9622</v>
      </c>
      <c r="G1311" s="341" t="s">
        <v>1210</v>
      </c>
      <c r="H1311" s="341" t="s">
        <v>6855</v>
      </c>
      <c r="I1311" s="341" t="s">
        <v>4230</v>
      </c>
      <c r="J1311" s="342">
        <v>0.5</v>
      </c>
      <c r="K1311" s="342" t="s">
        <v>4230</v>
      </c>
      <c r="L1311" s="342">
        <v>0</v>
      </c>
    </row>
    <row r="1312" spans="1:12" x14ac:dyDescent="0.25">
      <c r="A1312" s="341" t="s">
        <v>2420</v>
      </c>
      <c r="B1312" s="341" t="s">
        <v>2420</v>
      </c>
      <c r="C1312" s="341" t="s">
        <v>2420</v>
      </c>
      <c r="D1312" s="342">
        <v>0</v>
      </c>
      <c r="E1312" s="342" t="s">
        <v>2420</v>
      </c>
      <c r="F1312" s="342" t="s">
        <v>9622</v>
      </c>
      <c r="G1312" s="341" t="s">
        <v>1238</v>
      </c>
      <c r="H1312" s="341" t="s">
        <v>6903</v>
      </c>
      <c r="I1312" s="341" t="s">
        <v>4230</v>
      </c>
      <c r="J1312" s="342">
        <v>0.154</v>
      </c>
      <c r="K1312" s="342" t="s">
        <v>4230</v>
      </c>
      <c r="L1312" s="342">
        <v>0</v>
      </c>
    </row>
    <row r="1313" spans="1:12" x14ac:dyDescent="0.25">
      <c r="A1313" s="341" t="s">
        <v>2420</v>
      </c>
      <c r="B1313" s="341" t="s">
        <v>2420</v>
      </c>
      <c r="C1313" s="341" t="s">
        <v>2420</v>
      </c>
      <c r="D1313" s="342">
        <v>0</v>
      </c>
      <c r="E1313" s="342" t="s">
        <v>2420</v>
      </c>
      <c r="F1313" s="342" t="s">
        <v>9622</v>
      </c>
      <c r="G1313" s="341" t="s">
        <v>1239</v>
      </c>
      <c r="H1313" s="341" t="s">
        <v>9768</v>
      </c>
      <c r="I1313" s="341" t="s">
        <v>4230</v>
      </c>
      <c r="J1313" s="342">
        <v>0.154</v>
      </c>
      <c r="K1313" s="342" t="s">
        <v>4230</v>
      </c>
      <c r="L1313" s="342">
        <v>0</v>
      </c>
    </row>
    <row r="1314" spans="1:12" x14ac:dyDescent="0.25">
      <c r="A1314" s="341" t="s">
        <v>2420</v>
      </c>
      <c r="B1314" s="341" t="s">
        <v>2420</v>
      </c>
      <c r="C1314" s="341" t="s">
        <v>2420</v>
      </c>
      <c r="D1314" s="342">
        <v>0</v>
      </c>
      <c r="E1314" s="342" t="s">
        <v>2420</v>
      </c>
      <c r="F1314" s="342" t="s">
        <v>9622</v>
      </c>
      <c r="G1314" s="341" t="s">
        <v>1295</v>
      </c>
      <c r="H1314" s="341" t="s">
        <v>6966</v>
      </c>
      <c r="I1314" s="341" t="s">
        <v>52</v>
      </c>
      <c r="J1314" s="342">
        <v>0.105</v>
      </c>
      <c r="K1314" s="342" t="s">
        <v>25</v>
      </c>
      <c r="L1314" s="342">
        <v>0</v>
      </c>
    </row>
    <row r="1315" spans="1:12" x14ac:dyDescent="0.25">
      <c r="A1315" s="341" t="s">
        <v>2420</v>
      </c>
      <c r="B1315" s="341" t="s">
        <v>2420</v>
      </c>
      <c r="C1315" s="341" t="s">
        <v>2420</v>
      </c>
      <c r="D1315" s="342">
        <v>0</v>
      </c>
      <c r="E1315" s="342" t="s">
        <v>2420</v>
      </c>
      <c r="F1315" s="342" t="s">
        <v>9622</v>
      </c>
      <c r="G1315" s="341" t="s">
        <v>1416</v>
      </c>
      <c r="H1315" s="341" t="s">
        <v>9769</v>
      </c>
      <c r="I1315" s="341" t="s">
        <v>2557</v>
      </c>
      <c r="J1315" s="342">
        <v>2.31</v>
      </c>
      <c r="K1315" s="342" t="s">
        <v>25</v>
      </c>
      <c r="L1315" s="342">
        <v>0</v>
      </c>
    </row>
    <row r="1316" spans="1:12" x14ac:dyDescent="0.25">
      <c r="A1316" s="341" t="s">
        <v>2420</v>
      </c>
      <c r="B1316" s="341" t="s">
        <v>2420</v>
      </c>
      <c r="C1316" s="341" t="s">
        <v>2420</v>
      </c>
      <c r="D1316" s="342">
        <v>0</v>
      </c>
      <c r="E1316" s="342" t="s">
        <v>2420</v>
      </c>
      <c r="F1316" s="342" t="s">
        <v>9622</v>
      </c>
      <c r="G1316" s="341" t="s">
        <v>1527</v>
      </c>
      <c r="H1316" s="341" t="s">
        <v>9770</v>
      </c>
      <c r="I1316" s="341" t="s">
        <v>16</v>
      </c>
      <c r="J1316" s="342">
        <v>1.1000000000000001</v>
      </c>
      <c r="K1316" s="342" t="s">
        <v>25</v>
      </c>
      <c r="L1316" s="342">
        <v>0</v>
      </c>
    </row>
    <row r="1317" spans="1:12" x14ac:dyDescent="0.25">
      <c r="A1317" s="341" t="s">
        <v>2420</v>
      </c>
      <c r="B1317" s="341" t="s">
        <v>2420</v>
      </c>
      <c r="C1317" s="341" t="s">
        <v>2420</v>
      </c>
      <c r="D1317" s="342">
        <v>0</v>
      </c>
      <c r="E1317" s="342" t="s">
        <v>2420</v>
      </c>
      <c r="F1317" s="342" t="s">
        <v>9622</v>
      </c>
      <c r="G1317" s="341" t="s">
        <v>1853</v>
      </c>
      <c r="H1317" s="341" t="s">
        <v>7980</v>
      </c>
      <c r="I1317" s="341" t="s">
        <v>2557</v>
      </c>
      <c r="J1317" s="342">
        <v>2.2000000000000002</v>
      </c>
      <c r="K1317" s="342" t="s">
        <v>9623</v>
      </c>
      <c r="L1317" s="342">
        <v>0</v>
      </c>
    </row>
    <row r="1318" spans="1:12" x14ac:dyDescent="0.25">
      <c r="A1318" s="341" t="s">
        <v>2420</v>
      </c>
      <c r="B1318" s="341" t="s">
        <v>2420</v>
      </c>
      <c r="C1318" s="341" t="s">
        <v>2420</v>
      </c>
      <c r="D1318" s="342">
        <v>0</v>
      </c>
      <c r="E1318" s="342" t="s">
        <v>2420</v>
      </c>
      <c r="F1318" s="342" t="s">
        <v>9622</v>
      </c>
      <c r="G1318" s="341" t="s">
        <v>656</v>
      </c>
      <c r="H1318" s="341" t="s">
        <v>10140</v>
      </c>
      <c r="I1318" s="341" t="s">
        <v>16</v>
      </c>
      <c r="J1318" s="342">
        <v>1</v>
      </c>
      <c r="K1318" s="342" t="s">
        <v>9623</v>
      </c>
      <c r="L1318" s="342">
        <v>0</v>
      </c>
    </row>
    <row r="1319" spans="1:12" x14ac:dyDescent="0.25">
      <c r="A1319" s="341" t="s">
        <v>2420</v>
      </c>
      <c r="B1319" s="341" t="s">
        <v>2420</v>
      </c>
      <c r="C1319" s="341" t="s">
        <v>2420</v>
      </c>
      <c r="D1319" s="342">
        <v>0</v>
      </c>
      <c r="E1319" s="342" t="s">
        <v>2420</v>
      </c>
      <c r="F1319" s="342" t="s">
        <v>9624</v>
      </c>
      <c r="G1319" s="341" t="s">
        <v>246</v>
      </c>
      <c r="H1319" s="341" t="s">
        <v>9771</v>
      </c>
      <c r="I1319" s="341" t="s">
        <v>52</v>
      </c>
      <c r="J1319" s="342">
        <v>0.1</v>
      </c>
      <c r="K1319" s="342" t="s">
        <v>2420</v>
      </c>
      <c r="L1319" s="342">
        <v>0</v>
      </c>
    </row>
    <row r="1320" spans="1:12" x14ac:dyDescent="0.25">
      <c r="A1320" s="341" t="s">
        <v>642</v>
      </c>
      <c r="B1320" s="341" t="s">
        <v>10209</v>
      </c>
      <c r="C1320" s="341" t="s">
        <v>16</v>
      </c>
      <c r="D1320" s="342">
        <v>1</v>
      </c>
      <c r="E1320" s="342">
        <v>0</v>
      </c>
      <c r="F1320" s="342" t="s">
        <v>9622</v>
      </c>
      <c r="G1320" s="341" t="s">
        <v>1236</v>
      </c>
      <c r="H1320" s="341" t="s">
        <v>6901</v>
      </c>
      <c r="I1320" s="341" t="s">
        <v>4230</v>
      </c>
      <c r="J1320" s="342">
        <v>1.6</v>
      </c>
      <c r="K1320" s="342" t="s">
        <v>4230</v>
      </c>
      <c r="L1320" s="342">
        <v>0</v>
      </c>
    </row>
    <row r="1321" spans="1:12" x14ac:dyDescent="0.25">
      <c r="A1321" s="341" t="s">
        <v>2420</v>
      </c>
      <c r="B1321" s="341" t="s">
        <v>2420</v>
      </c>
      <c r="C1321" s="341" t="s">
        <v>2420</v>
      </c>
      <c r="D1321" s="342">
        <v>0</v>
      </c>
      <c r="E1321" s="342" t="s">
        <v>2420</v>
      </c>
      <c r="F1321" s="342" t="s">
        <v>9622</v>
      </c>
      <c r="G1321" s="341" t="s">
        <v>1237</v>
      </c>
      <c r="H1321" s="341" t="s">
        <v>9781</v>
      </c>
      <c r="I1321" s="341" t="s">
        <v>4230</v>
      </c>
      <c r="J1321" s="342">
        <v>1.5</v>
      </c>
      <c r="K1321" s="342" t="s">
        <v>4230</v>
      </c>
      <c r="L1321" s="342">
        <v>0</v>
      </c>
    </row>
    <row r="1322" spans="1:12" x14ac:dyDescent="0.25">
      <c r="A1322" s="341" t="s">
        <v>2420</v>
      </c>
      <c r="B1322" s="341" t="s">
        <v>2420</v>
      </c>
      <c r="C1322" s="341" t="s">
        <v>2420</v>
      </c>
      <c r="D1322" s="342">
        <v>0</v>
      </c>
      <c r="E1322" s="342" t="s">
        <v>2420</v>
      </c>
      <c r="F1322" s="342" t="s">
        <v>9622</v>
      </c>
      <c r="G1322" s="341" t="s">
        <v>1925</v>
      </c>
      <c r="H1322" s="341" t="s">
        <v>8056</v>
      </c>
      <c r="I1322" s="341" t="s">
        <v>11</v>
      </c>
      <c r="J1322" s="342">
        <v>1.724</v>
      </c>
      <c r="K1322" s="342" t="s">
        <v>9623</v>
      </c>
      <c r="L1322" s="342">
        <v>0</v>
      </c>
    </row>
    <row r="1323" spans="1:12" x14ac:dyDescent="0.25">
      <c r="A1323" s="341" t="s">
        <v>2420</v>
      </c>
      <c r="B1323" s="341" t="s">
        <v>2420</v>
      </c>
      <c r="C1323" s="341" t="s">
        <v>2420</v>
      </c>
      <c r="D1323" s="342">
        <v>0</v>
      </c>
      <c r="E1323" s="342" t="s">
        <v>2420</v>
      </c>
      <c r="F1323" s="342" t="s">
        <v>9622</v>
      </c>
      <c r="G1323" s="341" t="s">
        <v>2025</v>
      </c>
      <c r="H1323" s="341" t="s">
        <v>10210</v>
      </c>
      <c r="I1323" s="341" t="s">
        <v>16</v>
      </c>
      <c r="J1323" s="342">
        <v>1</v>
      </c>
      <c r="K1323" s="342" t="s">
        <v>9623</v>
      </c>
      <c r="L1323" s="342">
        <v>0</v>
      </c>
    </row>
    <row r="1324" spans="1:12" x14ac:dyDescent="0.25">
      <c r="A1324" s="341" t="s">
        <v>273</v>
      </c>
      <c r="B1324" s="341" t="s">
        <v>10211</v>
      </c>
      <c r="C1324" s="341" t="s">
        <v>16</v>
      </c>
      <c r="D1324" s="342">
        <v>1</v>
      </c>
      <c r="E1324" s="342">
        <v>0</v>
      </c>
      <c r="F1324" s="342" t="s">
        <v>9624</v>
      </c>
      <c r="G1324" s="341" t="s">
        <v>271</v>
      </c>
      <c r="H1324" s="341" t="s">
        <v>9945</v>
      </c>
      <c r="I1324" s="341" t="s">
        <v>16</v>
      </c>
      <c r="J1324" s="342">
        <v>1</v>
      </c>
      <c r="K1324" s="342" t="s">
        <v>2420</v>
      </c>
      <c r="L1324" s="342">
        <v>0</v>
      </c>
    </row>
    <row r="1325" spans="1:12" x14ac:dyDescent="0.25">
      <c r="A1325" s="341" t="s">
        <v>2420</v>
      </c>
      <c r="B1325" s="341" t="s">
        <v>2420</v>
      </c>
      <c r="C1325" s="341" t="s">
        <v>2420</v>
      </c>
      <c r="D1325" s="342">
        <v>0</v>
      </c>
      <c r="E1325" s="342" t="s">
        <v>2420</v>
      </c>
      <c r="F1325" s="342" t="s">
        <v>9624</v>
      </c>
      <c r="G1325" s="341" t="s">
        <v>9939</v>
      </c>
      <c r="H1325" s="341" t="s">
        <v>9940</v>
      </c>
      <c r="I1325" s="341" t="s">
        <v>52</v>
      </c>
      <c r="J1325" s="342">
        <v>5.3999999999999999E-2</v>
      </c>
      <c r="K1325" s="342" t="s">
        <v>2420</v>
      </c>
      <c r="L1325" s="342">
        <v>0</v>
      </c>
    </row>
    <row r="1326" spans="1:12" x14ac:dyDescent="0.25">
      <c r="A1326" s="341" t="s">
        <v>10055</v>
      </c>
      <c r="B1326" s="341" t="s">
        <v>10056</v>
      </c>
      <c r="C1326" s="341" t="s">
        <v>2338</v>
      </c>
      <c r="D1326" s="342">
        <v>1</v>
      </c>
      <c r="E1326" s="342">
        <v>0</v>
      </c>
      <c r="F1326" s="342" t="s">
        <v>9624</v>
      </c>
      <c r="G1326" s="341" t="s">
        <v>235</v>
      </c>
      <c r="H1326" s="341" t="s">
        <v>9727</v>
      </c>
      <c r="I1326" s="341" t="s">
        <v>52</v>
      </c>
      <c r="J1326" s="342">
        <v>0</v>
      </c>
      <c r="K1326" s="342" t="s">
        <v>2420</v>
      </c>
      <c r="L1326" s="342">
        <v>0</v>
      </c>
    </row>
    <row r="1327" spans="1:12" x14ac:dyDescent="0.25">
      <c r="A1327" s="341" t="s">
        <v>2420</v>
      </c>
      <c r="B1327" s="341" t="s">
        <v>2420</v>
      </c>
      <c r="C1327" s="341" t="s">
        <v>2420</v>
      </c>
      <c r="D1327" s="342">
        <v>0</v>
      </c>
      <c r="E1327" s="342" t="s">
        <v>2420</v>
      </c>
      <c r="F1327" s="342" t="s">
        <v>9624</v>
      </c>
      <c r="G1327" s="341" t="s">
        <v>216</v>
      </c>
      <c r="H1327" s="341" t="s">
        <v>9703</v>
      </c>
      <c r="I1327" s="341" t="s">
        <v>52</v>
      </c>
      <c r="J1327" s="342">
        <v>0</v>
      </c>
      <c r="K1327" s="342" t="s">
        <v>2420</v>
      </c>
      <c r="L1327" s="342">
        <v>0</v>
      </c>
    </row>
    <row r="1328" spans="1:12" x14ac:dyDescent="0.25">
      <c r="A1328" s="341" t="s">
        <v>2420</v>
      </c>
      <c r="B1328" s="341" t="s">
        <v>2420</v>
      </c>
      <c r="C1328" s="341" t="s">
        <v>2420</v>
      </c>
      <c r="D1328" s="342">
        <v>0</v>
      </c>
      <c r="E1328" s="342" t="s">
        <v>2420</v>
      </c>
      <c r="F1328" s="342" t="s">
        <v>9624</v>
      </c>
      <c r="G1328" s="341" t="s">
        <v>144</v>
      </c>
      <c r="H1328" s="341" t="s">
        <v>9702</v>
      </c>
      <c r="I1328" s="341" t="s">
        <v>52</v>
      </c>
      <c r="J1328" s="342">
        <v>0</v>
      </c>
      <c r="K1328" s="342" t="s">
        <v>2420</v>
      </c>
      <c r="L1328" s="342">
        <v>0</v>
      </c>
    </row>
    <row r="1329" spans="1:12" x14ac:dyDescent="0.25">
      <c r="A1329" s="341" t="s">
        <v>2420</v>
      </c>
      <c r="B1329" s="341" t="s">
        <v>2420</v>
      </c>
      <c r="C1329" s="341" t="s">
        <v>2420</v>
      </c>
      <c r="D1329" s="342">
        <v>0</v>
      </c>
      <c r="E1329" s="342" t="s">
        <v>2420</v>
      </c>
      <c r="F1329" s="342" t="s">
        <v>9624</v>
      </c>
      <c r="G1329" s="341" t="s">
        <v>147</v>
      </c>
      <c r="H1329" s="341" t="s">
        <v>9932</v>
      </c>
      <c r="I1329" s="341" t="s">
        <v>16</v>
      </c>
      <c r="J1329" s="342">
        <v>0</v>
      </c>
      <c r="K1329" s="342" t="s">
        <v>2420</v>
      </c>
      <c r="L1329" s="342">
        <v>0</v>
      </c>
    </row>
    <row r="1330" spans="1:12" x14ac:dyDescent="0.25">
      <c r="A1330" s="341" t="s">
        <v>2420</v>
      </c>
      <c r="B1330" s="341" t="s">
        <v>2420</v>
      </c>
      <c r="C1330" s="341" t="s">
        <v>2420</v>
      </c>
      <c r="D1330" s="342">
        <v>0</v>
      </c>
      <c r="E1330" s="342" t="s">
        <v>2420</v>
      </c>
      <c r="F1330" s="342" t="s">
        <v>9624</v>
      </c>
      <c r="G1330" s="341" t="s">
        <v>148</v>
      </c>
      <c r="H1330" s="341" t="s">
        <v>9748</v>
      </c>
      <c r="I1330" s="341" t="s">
        <v>2557</v>
      </c>
      <c r="J1330" s="342">
        <v>0</v>
      </c>
      <c r="K1330" s="342" t="s">
        <v>2420</v>
      </c>
      <c r="L1330" s="342">
        <v>0</v>
      </c>
    </row>
    <row r="1331" spans="1:12" x14ac:dyDescent="0.25">
      <c r="A1331" s="341" t="s">
        <v>2420</v>
      </c>
      <c r="B1331" s="341" t="s">
        <v>2420</v>
      </c>
      <c r="C1331" s="341" t="s">
        <v>2420</v>
      </c>
      <c r="D1331" s="342">
        <v>0</v>
      </c>
      <c r="E1331" s="342" t="s">
        <v>2420</v>
      </c>
      <c r="F1331" s="342" t="s">
        <v>9624</v>
      </c>
      <c r="G1331" s="341" t="s">
        <v>236</v>
      </c>
      <c r="H1331" s="341" t="s">
        <v>9841</v>
      </c>
      <c r="I1331" s="341" t="s">
        <v>52</v>
      </c>
      <c r="J1331" s="342">
        <v>0</v>
      </c>
      <c r="K1331" s="342" t="s">
        <v>2420</v>
      </c>
      <c r="L1331" s="342">
        <v>0</v>
      </c>
    </row>
    <row r="1332" spans="1:12" x14ac:dyDescent="0.25">
      <c r="A1332" s="341" t="s">
        <v>644</v>
      </c>
      <c r="B1332" s="341" t="s">
        <v>10212</v>
      </c>
      <c r="C1332" s="341" t="s">
        <v>2557</v>
      </c>
      <c r="D1332" s="342">
        <v>1</v>
      </c>
      <c r="E1332" s="342">
        <v>0</v>
      </c>
      <c r="F1332" s="342" t="s">
        <v>9622</v>
      </c>
      <c r="G1332" s="341" t="s">
        <v>1194</v>
      </c>
      <c r="H1332" s="341" t="s">
        <v>9719</v>
      </c>
      <c r="I1332" s="341" t="s">
        <v>4230</v>
      </c>
      <c r="J1332" s="342">
        <v>0.11</v>
      </c>
      <c r="K1332" s="342" t="s">
        <v>4230</v>
      </c>
      <c r="L1332" s="342">
        <v>0</v>
      </c>
    </row>
    <row r="1333" spans="1:12" x14ac:dyDescent="0.25">
      <c r="A1333" s="341" t="s">
        <v>2420</v>
      </c>
      <c r="B1333" s="341" t="s">
        <v>2420</v>
      </c>
      <c r="C1333" s="341" t="s">
        <v>2420</v>
      </c>
      <c r="D1333" s="342">
        <v>0</v>
      </c>
      <c r="E1333" s="342" t="s">
        <v>2420</v>
      </c>
      <c r="F1333" s="342" t="s">
        <v>9622</v>
      </c>
      <c r="G1333" s="341" t="s">
        <v>1196</v>
      </c>
      <c r="H1333" s="341" t="s">
        <v>6831</v>
      </c>
      <c r="I1333" s="341" t="s">
        <v>4230</v>
      </c>
      <c r="J1333" s="342">
        <v>0.04</v>
      </c>
      <c r="K1333" s="342" t="s">
        <v>4230</v>
      </c>
      <c r="L1333" s="342">
        <v>0</v>
      </c>
    </row>
    <row r="1334" spans="1:12" x14ac:dyDescent="0.25">
      <c r="A1334" s="341" t="s">
        <v>2420</v>
      </c>
      <c r="B1334" s="341" t="s">
        <v>2420</v>
      </c>
      <c r="C1334" s="341" t="s">
        <v>2420</v>
      </c>
      <c r="D1334" s="342">
        <v>0</v>
      </c>
      <c r="E1334" s="342" t="s">
        <v>2420</v>
      </c>
      <c r="F1334" s="342" t="s">
        <v>9622</v>
      </c>
      <c r="G1334" s="341" t="s">
        <v>1335</v>
      </c>
      <c r="H1334" s="341" t="s">
        <v>10213</v>
      </c>
      <c r="I1334" s="341" t="s">
        <v>2557</v>
      </c>
      <c r="J1334" s="342">
        <v>1.05</v>
      </c>
      <c r="K1334" s="342" t="s">
        <v>25</v>
      </c>
      <c r="L1334" s="342">
        <v>0</v>
      </c>
    </row>
    <row r="1335" spans="1:12" x14ac:dyDescent="0.25">
      <c r="A1335" s="341" t="s">
        <v>2420</v>
      </c>
      <c r="B1335" s="341" t="s">
        <v>2420</v>
      </c>
      <c r="C1335" s="341" t="s">
        <v>2420</v>
      </c>
      <c r="D1335" s="342">
        <v>0</v>
      </c>
      <c r="E1335" s="342" t="s">
        <v>2420</v>
      </c>
      <c r="F1335" s="342" t="s">
        <v>9622</v>
      </c>
      <c r="G1335" s="341" t="s">
        <v>1980</v>
      </c>
      <c r="H1335" s="341" t="s">
        <v>10214</v>
      </c>
      <c r="I1335" s="341" t="s">
        <v>2557</v>
      </c>
      <c r="J1335" s="342">
        <v>1</v>
      </c>
      <c r="K1335" s="342" t="s">
        <v>9623</v>
      </c>
      <c r="L1335" s="342">
        <v>0</v>
      </c>
    </row>
    <row r="1336" spans="1:12" x14ac:dyDescent="0.25">
      <c r="A1336" s="341" t="s">
        <v>154</v>
      </c>
      <c r="B1336" s="341" t="s">
        <v>10215</v>
      </c>
      <c r="C1336" s="341" t="s">
        <v>25</v>
      </c>
      <c r="D1336" s="342">
        <v>1</v>
      </c>
      <c r="E1336" s="342">
        <v>0</v>
      </c>
      <c r="F1336" s="342" t="s">
        <v>9622</v>
      </c>
      <c r="G1336" s="341" t="s">
        <v>1234</v>
      </c>
      <c r="H1336" s="341" t="s">
        <v>6899</v>
      </c>
      <c r="I1336" s="341" t="s">
        <v>4230</v>
      </c>
      <c r="J1336" s="342">
        <v>0.3</v>
      </c>
      <c r="K1336" s="342" t="s">
        <v>4230</v>
      </c>
      <c r="L1336" s="342">
        <v>0</v>
      </c>
    </row>
    <row r="1337" spans="1:12" x14ac:dyDescent="0.25">
      <c r="A1337" s="341" t="s">
        <v>2420</v>
      </c>
      <c r="B1337" s="341" t="s">
        <v>2420</v>
      </c>
      <c r="C1337" s="341" t="s">
        <v>2420</v>
      </c>
      <c r="D1337" s="342">
        <v>0</v>
      </c>
      <c r="E1337" s="342" t="s">
        <v>2420</v>
      </c>
      <c r="F1337" s="342" t="s">
        <v>9622</v>
      </c>
      <c r="G1337" s="341" t="s">
        <v>1235</v>
      </c>
      <c r="H1337" s="341" t="s">
        <v>6900</v>
      </c>
      <c r="I1337" s="341" t="s">
        <v>4230</v>
      </c>
      <c r="J1337" s="342">
        <v>0.3</v>
      </c>
      <c r="K1337" s="342" t="s">
        <v>4230</v>
      </c>
      <c r="L1337" s="342">
        <v>0</v>
      </c>
    </row>
    <row r="1338" spans="1:12" x14ac:dyDescent="0.25">
      <c r="A1338" s="341" t="s">
        <v>2420</v>
      </c>
      <c r="B1338" s="341" t="s">
        <v>2420</v>
      </c>
      <c r="C1338" s="341" t="s">
        <v>2420</v>
      </c>
      <c r="D1338" s="342">
        <v>0</v>
      </c>
      <c r="E1338" s="342" t="s">
        <v>2420</v>
      </c>
      <c r="F1338" s="342" t="s">
        <v>9622</v>
      </c>
      <c r="G1338" s="341" t="s">
        <v>1279</v>
      </c>
      <c r="H1338" s="341" t="s">
        <v>4362</v>
      </c>
      <c r="I1338" s="341" t="s">
        <v>2557</v>
      </c>
      <c r="J1338" s="342">
        <v>2E-3</v>
      </c>
      <c r="K1338" s="342" t="s">
        <v>25</v>
      </c>
      <c r="L1338" s="342">
        <v>0</v>
      </c>
    </row>
    <row r="1339" spans="1:12" x14ac:dyDescent="0.25">
      <c r="A1339" s="341" t="s">
        <v>2420</v>
      </c>
      <c r="B1339" s="341" t="s">
        <v>2420</v>
      </c>
      <c r="C1339" s="341" t="s">
        <v>2420</v>
      </c>
      <c r="D1339" s="342">
        <v>0</v>
      </c>
      <c r="E1339" s="342" t="s">
        <v>2420</v>
      </c>
      <c r="F1339" s="342" t="s">
        <v>9622</v>
      </c>
      <c r="G1339" s="341" t="s">
        <v>2001</v>
      </c>
      <c r="H1339" s="341" t="s">
        <v>8297</v>
      </c>
      <c r="I1339" s="341" t="s">
        <v>25</v>
      </c>
      <c r="J1339" s="342">
        <v>1</v>
      </c>
      <c r="K1339" s="342" t="s">
        <v>9623</v>
      </c>
      <c r="L1339" s="342">
        <v>0</v>
      </c>
    </row>
    <row r="1340" spans="1:12" x14ac:dyDescent="0.25">
      <c r="A1340" s="341" t="s">
        <v>2420</v>
      </c>
      <c r="B1340" s="341" t="s">
        <v>2420</v>
      </c>
      <c r="C1340" s="341" t="s">
        <v>2420</v>
      </c>
      <c r="D1340" s="342">
        <v>0</v>
      </c>
      <c r="E1340" s="342" t="s">
        <v>2420</v>
      </c>
      <c r="F1340" s="342" t="s">
        <v>9624</v>
      </c>
      <c r="G1340" s="341" t="s">
        <v>9642</v>
      </c>
      <c r="H1340" s="341" t="s">
        <v>9742</v>
      </c>
      <c r="I1340" s="341" t="s">
        <v>52</v>
      </c>
      <c r="J1340" s="342">
        <v>1E-3</v>
      </c>
      <c r="K1340" s="342" t="s">
        <v>2420</v>
      </c>
      <c r="L1340" s="342">
        <v>0</v>
      </c>
    </row>
    <row r="1341" spans="1:12" x14ac:dyDescent="0.25">
      <c r="A1341" s="341" t="s">
        <v>9626</v>
      </c>
      <c r="B1341" s="341" t="s">
        <v>10184</v>
      </c>
      <c r="C1341" s="341" t="s">
        <v>11</v>
      </c>
      <c r="D1341" s="342">
        <v>1</v>
      </c>
      <c r="E1341" s="342">
        <v>0</v>
      </c>
      <c r="F1341" s="342" t="s">
        <v>9622</v>
      </c>
      <c r="G1341" s="341" t="s">
        <v>1237</v>
      </c>
      <c r="H1341" s="341" t="s">
        <v>9781</v>
      </c>
      <c r="I1341" s="341" t="s">
        <v>4230</v>
      </c>
      <c r="J1341" s="342">
        <v>1.47</v>
      </c>
      <c r="K1341" s="342" t="s">
        <v>4230</v>
      </c>
      <c r="L1341" s="342">
        <v>0</v>
      </c>
    </row>
    <row r="1342" spans="1:12" x14ac:dyDescent="0.25">
      <c r="A1342" s="341" t="s">
        <v>2420</v>
      </c>
      <c r="B1342" s="341" t="s">
        <v>2420</v>
      </c>
      <c r="C1342" s="341" t="s">
        <v>2420</v>
      </c>
      <c r="D1342" s="342">
        <v>0</v>
      </c>
      <c r="E1342" s="342" t="s">
        <v>2420</v>
      </c>
      <c r="F1342" s="342" t="s">
        <v>9622</v>
      </c>
      <c r="G1342" s="341" t="s">
        <v>2173</v>
      </c>
      <c r="H1342" s="341" t="s">
        <v>10216</v>
      </c>
      <c r="I1342" s="341" t="s">
        <v>11</v>
      </c>
      <c r="J1342" s="342">
        <v>1</v>
      </c>
      <c r="K1342" s="342" t="s">
        <v>9623</v>
      </c>
      <c r="L1342" s="342">
        <v>0</v>
      </c>
    </row>
    <row r="1343" spans="1:12" x14ac:dyDescent="0.25">
      <c r="A1343" s="341" t="s">
        <v>2420</v>
      </c>
      <c r="B1343" s="341" t="s">
        <v>2420</v>
      </c>
      <c r="C1343" s="341" t="s">
        <v>2420</v>
      </c>
      <c r="D1343" s="342">
        <v>0</v>
      </c>
      <c r="E1343" s="342" t="s">
        <v>2420</v>
      </c>
      <c r="F1343" s="342" t="s">
        <v>9622</v>
      </c>
      <c r="G1343" s="341" t="s">
        <v>1236</v>
      </c>
      <c r="H1343" s="341" t="s">
        <v>6901</v>
      </c>
      <c r="I1343" s="341" t="s">
        <v>4230</v>
      </c>
      <c r="J1343" s="342">
        <v>1.47</v>
      </c>
      <c r="K1343" s="342" t="s">
        <v>4230</v>
      </c>
      <c r="L1343" s="342">
        <v>0</v>
      </c>
    </row>
    <row r="1344" spans="1:12" x14ac:dyDescent="0.25">
      <c r="A1344" s="341" t="s">
        <v>10192</v>
      </c>
      <c r="B1344" s="341" t="s">
        <v>10193</v>
      </c>
      <c r="C1344" s="341" t="s">
        <v>11</v>
      </c>
      <c r="D1344" s="342">
        <v>1</v>
      </c>
      <c r="E1344" s="342">
        <v>0</v>
      </c>
      <c r="F1344" s="342" t="s">
        <v>9622</v>
      </c>
      <c r="G1344" s="341" t="s">
        <v>1236</v>
      </c>
      <c r="H1344" s="341" t="s">
        <v>6901</v>
      </c>
      <c r="I1344" s="341" t="s">
        <v>4230</v>
      </c>
      <c r="J1344" s="342">
        <v>1.47</v>
      </c>
      <c r="K1344" s="342" t="s">
        <v>4230</v>
      </c>
      <c r="L1344" s="342">
        <v>0</v>
      </c>
    </row>
    <row r="1345" spans="1:12" x14ac:dyDescent="0.25">
      <c r="A1345" s="341" t="s">
        <v>2420</v>
      </c>
      <c r="B1345" s="341" t="s">
        <v>2420</v>
      </c>
      <c r="C1345" s="341" t="s">
        <v>2420</v>
      </c>
      <c r="D1345" s="342">
        <v>0</v>
      </c>
      <c r="E1345" s="342" t="s">
        <v>2420</v>
      </c>
      <c r="F1345" s="342" t="s">
        <v>9622</v>
      </c>
      <c r="G1345" s="341" t="s">
        <v>1237</v>
      </c>
      <c r="H1345" s="341" t="s">
        <v>9781</v>
      </c>
      <c r="I1345" s="341" t="s">
        <v>4230</v>
      </c>
      <c r="J1345" s="342">
        <v>1.47</v>
      </c>
      <c r="K1345" s="342" t="s">
        <v>4230</v>
      </c>
      <c r="L1345" s="342">
        <v>0</v>
      </c>
    </row>
    <row r="1346" spans="1:12" x14ac:dyDescent="0.25">
      <c r="A1346" s="341" t="s">
        <v>2420</v>
      </c>
      <c r="B1346" s="341" t="s">
        <v>2420</v>
      </c>
      <c r="C1346" s="341" t="s">
        <v>2420</v>
      </c>
      <c r="D1346" s="342">
        <v>0</v>
      </c>
      <c r="E1346" s="342" t="s">
        <v>2420</v>
      </c>
      <c r="F1346" s="342" t="s">
        <v>9622</v>
      </c>
      <c r="G1346" s="341" t="s">
        <v>2172</v>
      </c>
      <c r="H1346" s="341" t="s">
        <v>10217</v>
      </c>
      <c r="I1346" s="341" t="s">
        <v>11</v>
      </c>
      <c r="J1346" s="342">
        <v>1</v>
      </c>
      <c r="K1346" s="342" t="s">
        <v>9623</v>
      </c>
      <c r="L1346" s="342">
        <v>0</v>
      </c>
    </row>
    <row r="1347" spans="1:12" x14ac:dyDescent="0.25">
      <c r="A1347" s="341" t="s">
        <v>2461</v>
      </c>
      <c r="B1347" s="341" t="s">
        <v>10218</v>
      </c>
      <c r="C1347" s="341" t="s">
        <v>2338</v>
      </c>
      <c r="D1347" s="342">
        <v>1</v>
      </c>
      <c r="E1347" s="342">
        <v>0</v>
      </c>
      <c r="F1347" s="342" t="s">
        <v>9622</v>
      </c>
      <c r="G1347" s="341" t="s">
        <v>1153</v>
      </c>
      <c r="H1347" s="341" t="s">
        <v>6790</v>
      </c>
      <c r="I1347" s="341" t="s">
        <v>2338</v>
      </c>
      <c r="J1347" s="342">
        <v>1</v>
      </c>
      <c r="K1347" s="342" t="s">
        <v>9842</v>
      </c>
      <c r="L1347" s="342">
        <v>0</v>
      </c>
    </row>
    <row r="1348" spans="1:12" x14ac:dyDescent="0.25">
      <c r="A1348" s="341" t="s">
        <v>2420</v>
      </c>
      <c r="B1348" s="341" t="s">
        <v>2420</v>
      </c>
      <c r="C1348" s="341" t="s">
        <v>2420</v>
      </c>
      <c r="D1348" s="342">
        <v>0</v>
      </c>
      <c r="E1348" s="342" t="s">
        <v>2420</v>
      </c>
      <c r="F1348" s="342" t="s">
        <v>9622</v>
      </c>
      <c r="G1348" s="341" t="s">
        <v>5355</v>
      </c>
      <c r="H1348" s="341" t="s">
        <v>8210</v>
      </c>
      <c r="I1348" s="341" t="s">
        <v>2338</v>
      </c>
      <c r="J1348" s="342">
        <v>0</v>
      </c>
      <c r="K1348" s="342" t="s">
        <v>9623</v>
      </c>
      <c r="L1348" s="342">
        <v>0</v>
      </c>
    </row>
    <row r="1349" spans="1:12" x14ac:dyDescent="0.25">
      <c r="A1349" s="341" t="s">
        <v>2420</v>
      </c>
      <c r="B1349" s="341" t="s">
        <v>2420</v>
      </c>
      <c r="C1349" s="341" t="s">
        <v>2420</v>
      </c>
      <c r="D1349" s="342">
        <v>0</v>
      </c>
      <c r="E1349" s="342" t="s">
        <v>2420</v>
      </c>
      <c r="F1349" s="342" t="s">
        <v>9622</v>
      </c>
      <c r="G1349" s="341" t="s">
        <v>5356</v>
      </c>
      <c r="H1349" s="341" t="s">
        <v>10047</v>
      </c>
      <c r="I1349" s="341" t="s">
        <v>2338</v>
      </c>
      <c r="J1349" s="342">
        <v>0</v>
      </c>
      <c r="K1349" s="342" t="s">
        <v>9623</v>
      </c>
      <c r="L1349" s="342">
        <v>0</v>
      </c>
    </row>
    <row r="1350" spans="1:12" x14ac:dyDescent="0.25">
      <c r="A1350" s="341" t="s">
        <v>2420</v>
      </c>
      <c r="B1350" s="341" t="s">
        <v>2420</v>
      </c>
      <c r="C1350" s="341" t="s">
        <v>2420</v>
      </c>
      <c r="D1350" s="342">
        <v>0</v>
      </c>
      <c r="E1350" s="342" t="s">
        <v>2420</v>
      </c>
      <c r="F1350" s="342" t="s">
        <v>9622</v>
      </c>
      <c r="G1350" s="341" t="s">
        <v>5359</v>
      </c>
      <c r="H1350" s="341" t="s">
        <v>8214</v>
      </c>
      <c r="I1350" s="341" t="s">
        <v>2338</v>
      </c>
      <c r="J1350" s="342">
        <v>0</v>
      </c>
      <c r="K1350" s="342" t="s">
        <v>9623</v>
      </c>
      <c r="L1350" s="342">
        <v>0</v>
      </c>
    </row>
    <row r="1351" spans="1:12" x14ac:dyDescent="0.25">
      <c r="A1351" s="341" t="s">
        <v>194</v>
      </c>
      <c r="B1351" s="341" t="s">
        <v>10219</v>
      </c>
      <c r="C1351" s="341" t="s">
        <v>11</v>
      </c>
      <c r="D1351" s="342">
        <v>1</v>
      </c>
      <c r="E1351" s="342">
        <v>0</v>
      </c>
      <c r="F1351" s="342" t="s">
        <v>9622</v>
      </c>
      <c r="G1351" s="341" t="s">
        <v>1241</v>
      </c>
      <c r="H1351" s="341" t="s">
        <v>6905</v>
      </c>
      <c r="I1351" s="341" t="s">
        <v>4230</v>
      </c>
      <c r="J1351" s="342">
        <v>15</v>
      </c>
      <c r="K1351" s="342" t="s">
        <v>4230</v>
      </c>
      <c r="L1351" s="342">
        <v>0</v>
      </c>
    </row>
    <row r="1352" spans="1:12" x14ac:dyDescent="0.25">
      <c r="A1352" s="341" t="s">
        <v>2420</v>
      </c>
      <c r="B1352" s="341" t="s">
        <v>2420</v>
      </c>
      <c r="C1352" s="341" t="s">
        <v>2420</v>
      </c>
      <c r="D1352" s="342">
        <v>0</v>
      </c>
      <c r="E1352" s="342" t="s">
        <v>2420</v>
      </c>
      <c r="F1352" s="342" t="s">
        <v>9622</v>
      </c>
      <c r="G1352" s="341" t="s">
        <v>1242</v>
      </c>
      <c r="H1352" s="341" t="s">
        <v>9833</v>
      </c>
      <c r="I1352" s="341" t="s">
        <v>4230</v>
      </c>
      <c r="J1352" s="342">
        <v>7.5</v>
      </c>
      <c r="K1352" s="342" t="s">
        <v>4230</v>
      </c>
      <c r="L1352" s="342">
        <v>0</v>
      </c>
    </row>
    <row r="1353" spans="1:12" x14ac:dyDescent="0.25">
      <c r="A1353" s="341" t="s">
        <v>2420</v>
      </c>
      <c r="B1353" s="341" t="s">
        <v>2420</v>
      </c>
      <c r="C1353" s="341" t="s">
        <v>2420</v>
      </c>
      <c r="D1353" s="342">
        <v>0</v>
      </c>
      <c r="E1353" s="342" t="s">
        <v>2420</v>
      </c>
      <c r="F1353" s="342" t="s">
        <v>9622</v>
      </c>
      <c r="G1353" s="341" t="s">
        <v>2033</v>
      </c>
      <c r="H1353" s="341" t="s">
        <v>10220</v>
      </c>
      <c r="I1353" s="341" t="s">
        <v>11</v>
      </c>
      <c r="J1353" s="342">
        <v>1</v>
      </c>
      <c r="K1353" s="342" t="s">
        <v>9623</v>
      </c>
      <c r="L1353" s="342">
        <v>0</v>
      </c>
    </row>
    <row r="1354" spans="1:12" x14ac:dyDescent="0.25">
      <c r="A1354" s="341" t="s">
        <v>514</v>
      </c>
      <c r="B1354" s="341" t="s">
        <v>10221</v>
      </c>
      <c r="C1354" s="341" t="s">
        <v>16</v>
      </c>
      <c r="D1354" s="342">
        <v>1</v>
      </c>
      <c r="E1354" s="342">
        <v>0</v>
      </c>
      <c r="F1354" s="342" t="s">
        <v>9622</v>
      </c>
      <c r="G1354" s="341" t="s">
        <v>1275</v>
      </c>
      <c r="H1354" s="341" t="s">
        <v>6938</v>
      </c>
      <c r="I1354" s="341" t="s">
        <v>52</v>
      </c>
      <c r="J1354" s="342">
        <v>0.08</v>
      </c>
      <c r="K1354" s="342" t="s">
        <v>25</v>
      </c>
      <c r="L1354" s="342">
        <v>0</v>
      </c>
    </row>
    <row r="1355" spans="1:12" x14ac:dyDescent="0.25">
      <c r="A1355" s="341" t="s">
        <v>2420</v>
      </c>
      <c r="B1355" s="341" t="s">
        <v>2420</v>
      </c>
      <c r="C1355" s="341" t="s">
        <v>2420</v>
      </c>
      <c r="D1355" s="342">
        <v>0</v>
      </c>
      <c r="E1355" s="342" t="s">
        <v>2420</v>
      </c>
      <c r="F1355" s="342" t="s">
        <v>9622</v>
      </c>
      <c r="G1355" s="341" t="s">
        <v>9774</v>
      </c>
      <c r="H1355" s="341" t="s">
        <v>9775</v>
      </c>
      <c r="I1355" s="341" t="s">
        <v>52</v>
      </c>
      <c r="J1355" s="342">
        <v>0.15</v>
      </c>
      <c r="K1355" s="342" t="s">
        <v>25</v>
      </c>
      <c r="L1355" s="342">
        <v>0</v>
      </c>
    </row>
    <row r="1356" spans="1:12" x14ac:dyDescent="0.25">
      <c r="A1356" s="341" t="s">
        <v>2420</v>
      </c>
      <c r="B1356" s="341" t="s">
        <v>2420</v>
      </c>
      <c r="C1356" s="341" t="s">
        <v>2420</v>
      </c>
      <c r="D1356" s="342">
        <v>0</v>
      </c>
      <c r="E1356" s="342" t="s">
        <v>2420</v>
      </c>
      <c r="F1356" s="342" t="s">
        <v>9622</v>
      </c>
      <c r="G1356" s="341" t="s">
        <v>10222</v>
      </c>
      <c r="H1356" s="341" t="s">
        <v>10223</v>
      </c>
      <c r="I1356" s="341" t="s">
        <v>52</v>
      </c>
      <c r="J1356" s="342">
        <v>0.15</v>
      </c>
      <c r="K1356" s="342" t="s">
        <v>25</v>
      </c>
      <c r="L1356" s="342">
        <v>0</v>
      </c>
    </row>
    <row r="1357" spans="1:12" x14ac:dyDescent="0.25">
      <c r="A1357" s="341" t="s">
        <v>2420</v>
      </c>
      <c r="B1357" s="341" t="s">
        <v>2420</v>
      </c>
      <c r="C1357" s="341" t="s">
        <v>2420</v>
      </c>
      <c r="D1357" s="342">
        <v>0</v>
      </c>
      <c r="E1357" s="342" t="s">
        <v>2420</v>
      </c>
      <c r="F1357" s="342" t="s">
        <v>9622</v>
      </c>
      <c r="G1357" s="341" t="s">
        <v>1957</v>
      </c>
      <c r="H1357" s="341" t="s">
        <v>8096</v>
      </c>
      <c r="I1357" s="341" t="s">
        <v>16</v>
      </c>
      <c r="J1357" s="342">
        <v>1</v>
      </c>
      <c r="K1357" s="342" t="s">
        <v>9623</v>
      </c>
      <c r="L1357" s="342">
        <v>0</v>
      </c>
    </row>
    <row r="1358" spans="1:12" x14ac:dyDescent="0.25">
      <c r="A1358" s="341" t="s">
        <v>2420</v>
      </c>
      <c r="B1358" s="341" t="s">
        <v>2420</v>
      </c>
      <c r="C1358" s="341" t="s">
        <v>2420</v>
      </c>
      <c r="D1358" s="342">
        <v>0</v>
      </c>
      <c r="E1358" s="342" t="s">
        <v>2420</v>
      </c>
      <c r="F1358" s="342" t="s">
        <v>9622</v>
      </c>
      <c r="G1358" s="341" t="s">
        <v>10224</v>
      </c>
      <c r="H1358" s="341" t="s">
        <v>10225</v>
      </c>
      <c r="I1358" s="341" t="s">
        <v>52</v>
      </c>
      <c r="J1358" s="342">
        <v>0.15</v>
      </c>
      <c r="K1358" s="342" t="s">
        <v>9623</v>
      </c>
      <c r="L1358" s="342">
        <v>0</v>
      </c>
    </row>
    <row r="1359" spans="1:12" x14ac:dyDescent="0.25">
      <c r="A1359" s="341" t="s">
        <v>454</v>
      </c>
      <c r="B1359" s="341" t="s">
        <v>10226</v>
      </c>
      <c r="C1359" s="341" t="s">
        <v>11</v>
      </c>
      <c r="D1359" s="342">
        <v>1</v>
      </c>
      <c r="E1359" s="342">
        <v>0</v>
      </c>
      <c r="F1359" s="342" t="s">
        <v>9622</v>
      </c>
      <c r="G1359" s="341" t="s">
        <v>1241</v>
      </c>
      <c r="H1359" s="341" t="s">
        <v>6905</v>
      </c>
      <c r="I1359" s="341" t="s">
        <v>4230</v>
      </c>
      <c r="J1359" s="342">
        <v>1</v>
      </c>
      <c r="K1359" s="342" t="s">
        <v>4230</v>
      </c>
      <c r="L1359" s="342">
        <v>0</v>
      </c>
    </row>
    <row r="1360" spans="1:12" x14ac:dyDescent="0.25">
      <c r="A1360" s="341" t="s">
        <v>2420</v>
      </c>
      <c r="B1360" s="341" t="s">
        <v>2420</v>
      </c>
      <c r="C1360" s="341" t="s">
        <v>2420</v>
      </c>
      <c r="D1360" s="342">
        <v>0</v>
      </c>
      <c r="E1360" s="342" t="s">
        <v>2420</v>
      </c>
      <c r="F1360" s="342" t="s">
        <v>9622</v>
      </c>
      <c r="G1360" s="341" t="s">
        <v>1242</v>
      </c>
      <c r="H1360" s="341" t="s">
        <v>9833</v>
      </c>
      <c r="I1360" s="341" t="s">
        <v>4230</v>
      </c>
      <c r="J1360" s="342">
        <v>0.5</v>
      </c>
      <c r="K1360" s="342" t="s">
        <v>4230</v>
      </c>
      <c r="L1360" s="342">
        <v>0</v>
      </c>
    </row>
    <row r="1361" spans="1:12" x14ac:dyDescent="0.25">
      <c r="A1361" s="341" t="s">
        <v>2420</v>
      </c>
      <c r="B1361" s="341" t="s">
        <v>2420</v>
      </c>
      <c r="C1361" s="341" t="s">
        <v>2420</v>
      </c>
      <c r="D1361" s="342">
        <v>0</v>
      </c>
      <c r="E1361" s="342" t="s">
        <v>2420</v>
      </c>
      <c r="F1361" s="342" t="s">
        <v>9622</v>
      </c>
      <c r="G1361" s="341" t="s">
        <v>2026</v>
      </c>
      <c r="H1361" s="341" t="s">
        <v>8324</v>
      </c>
      <c r="I1361" s="341" t="s">
        <v>11</v>
      </c>
      <c r="J1361" s="342">
        <v>1</v>
      </c>
      <c r="K1361" s="342" t="s">
        <v>9623</v>
      </c>
      <c r="L1361" s="342">
        <v>0</v>
      </c>
    </row>
    <row r="1362" spans="1:12" x14ac:dyDescent="0.25">
      <c r="A1362" s="341" t="s">
        <v>452</v>
      </c>
      <c r="B1362" s="341" t="s">
        <v>10227</v>
      </c>
      <c r="C1362" s="341" t="s">
        <v>16</v>
      </c>
      <c r="D1362" s="342">
        <v>1</v>
      </c>
      <c r="E1362" s="342">
        <v>0</v>
      </c>
      <c r="F1362" s="342" t="s">
        <v>9622</v>
      </c>
      <c r="G1362" s="341" t="s">
        <v>1241</v>
      </c>
      <c r="H1362" s="341" t="s">
        <v>6905</v>
      </c>
      <c r="I1362" s="341" t="s">
        <v>4230</v>
      </c>
      <c r="J1362" s="342">
        <v>0.5</v>
      </c>
      <c r="K1362" s="342" t="s">
        <v>4230</v>
      </c>
      <c r="L1362" s="342">
        <v>0</v>
      </c>
    </row>
    <row r="1363" spans="1:12" x14ac:dyDescent="0.25">
      <c r="A1363" s="341" t="s">
        <v>2420</v>
      </c>
      <c r="B1363" s="341" t="s">
        <v>2420</v>
      </c>
      <c r="C1363" s="341" t="s">
        <v>2420</v>
      </c>
      <c r="D1363" s="342">
        <v>0</v>
      </c>
      <c r="E1363" s="342" t="s">
        <v>2420</v>
      </c>
      <c r="F1363" s="342" t="s">
        <v>9622</v>
      </c>
      <c r="G1363" s="341" t="s">
        <v>1242</v>
      </c>
      <c r="H1363" s="341" t="s">
        <v>9833</v>
      </c>
      <c r="I1363" s="341" t="s">
        <v>4230</v>
      </c>
      <c r="J1363" s="342">
        <v>0.4</v>
      </c>
      <c r="K1363" s="342" t="s">
        <v>4230</v>
      </c>
      <c r="L1363" s="342">
        <v>0</v>
      </c>
    </row>
    <row r="1364" spans="1:12" x14ac:dyDescent="0.25">
      <c r="A1364" s="341" t="s">
        <v>2420</v>
      </c>
      <c r="B1364" s="341" t="s">
        <v>2420</v>
      </c>
      <c r="C1364" s="341" t="s">
        <v>2420</v>
      </c>
      <c r="D1364" s="342">
        <v>0</v>
      </c>
      <c r="E1364" s="342" t="s">
        <v>2420</v>
      </c>
      <c r="F1364" s="342" t="s">
        <v>9622</v>
      </c>
      <c r="G1364" s="341" t="s">
        <v>2082</v>
      </c>
      <c r="H1364" s="341" t="s">
        <v>8622</v>
      </c>
      <c r="I1364" s="341" t="s">
        <v>16</v>
      </c>
      <c r="J1364" s="342">
        <v>1</v>
      </c>
      <c r="K1364" s="342" t="s">
        <v>9623</v>
      </c>
      <c r="L1364" s="342">
        <v>0</v>
      </c>
    </row>
    <row r="1365" spans="1:12" x14ac:dyDescent="0.25">
      <c r="A1365" s="341" t="s">
        <v>2674</v>
      </c>
      <c r="B1365" s="341" t="s">
        <v>10228</v>
      </c>
      <c r="C1365" s="341" t="s">
        <v>16</v>
      </c>
      <c r="D1365" s="342">
        <v>1</v>
      </c>
      <c r="E1365" s="342">
        <v>0</v>
      </c>
      <c r="F1365" s="342" t="s">
        <v>9622</v>
      </c>
      <c r="G1365" s="341" t="s">
        <v>1648</v>
      </c>
      <c r="H1365" s="341" t="s">
        <v>9751</v>
      </c>
      <c r="I1365" s="341" t="s">
        <v>2557</v>
      </c>
      <c r="J1365" s="342">
        <v>40</v>
      </c>
      <c r="K1365" s="342" t="s">
        <v>25</v>
      </c>
      <c r="L1365" s="342">
        <v>0</v>
      </c>
    </row>
    <row r="1366" spans="1:12" x14ac:dyDescent="0.25">
      <c r="A1366" s="341" t="s">
        <v>2420</v>
      </c>
      <c r="B1366" s="341" t="s">
        <v>2420</v>
      </c>
      <c r="C1366" s="341" t="s">
        <v>2420</v>
      </c>
      <c r="D1366" s="342">
        <v>0</v>
      </c>
      <c r="E1366" s="342" t="s">
        <v>2420</v>
      </c>
      <c r="F1366" s="342" t="s">
        <v>9624</v>
      </c>
      <c r="G1366" s="341" t="s">
        <v>9712</v>
      </c>
      <c r="H1366" s="341" t="s">
        <v>9713</v>
      </c>
      <c r="I1366" s="341" t="s">
        <v>52</v>
      </c>
      <c r="J1366" s="342">
        <v>0.02</v>
      </c>
      <c r="K1366" s="342" t="s">
        <v>2420</v>
      </c>
      <c r="L1366" s="342">
        <v>0</v>
      </c>
    </row>
    <row r="1367" spans="1:12" x14ac:dyDescent="0.25">
      <c r="A1367" s="341" t="s">
        <v>184</v>
      </c>
      <c r="B1367" s="341" t="s">
        <v>2845</v>
      </c>
      <c r="C1367" s="341" t="s">
        <v>16</v>
      </c>
      <c r="D1367" s="342">
        <v>1</v>
      </c>
      <c r="E1367" s="342">
        <v>0</v>
      </c>
      <c r="F1367" s="342" t="s">
        <v>9622</v>
      </c>
      <c r="G1367" s="341" t="s">
        <v>1545</v>
      </c>
      <c r="H1367" s="341" t="s">
        <v>7278</v>
      </c>
      <c r="I1367" s="341" t="s">
        <v>11</v>
      </c>
      <c r="J1367" s="342">
        <v>1.36</v>
      </c>
      <c r="K1367" s="342" t="s">
        <v>25</v>
      </c>
      <c r="L1367" s="342">
        <v>0</v>
      </c>
    </row>
    <row r="1368" spans="1:12" x14ac:dyDescent="0.25">
      <c r="A1368" s="341" t="s">
        <v>2420</v>
      </c>
      <c r="B1368" s="341" t="s">
        <v>2420</v>
      </c>
      <c r="C1368" s="341" t="s">
        <v>2420</v>
      </c>
      <c r="D1368" s="342">
        <v>0</v>
      </c>
      <c r="E1368" s="342" t="s">
        <v>2420</v>
      </c>
      <c r="F1368" s="342" t="s">
        <v>9622</v>
      </c>
      <c r="G1368" s="341" t="s">
        <v>1546</v>
      </c>
      <c r="H1368" s="341" t="s">
        <v>7279</v>
      </c>
      <c r="I1368" s="341" t="s">
        <v>11</v>
      </c>
      <c r="J1368" s="342">
        <v>1.36</v>
      </c>
      <c r="K1368" s="342" t="s">
        <v>25</v>
      </c>
      <c r="L1368" s="342">
        <v>0</v>
      </c>
    </row>
    <row r="1369" spans="1:12" x14ac:dyDescent="0.25">
      <c r="A1369" s="341" t="s">
        <v>2420</v>
      </c>
      <c r="B1369" s="341" t="s">
        <v>2420</v>
      </c>
      <c r="C1369" s="341" t="s">
        <v>2420</v>
      </c>
      <c r="D1369" s="342">
        <v>0</v>
      </c>
      <c r="E1369" s="342" t="s">
        <v>2420</v>
      </c>
      <c r="F1369" s="342" t="s">
        <v>9622</v>
      </c>
      <c r="G1369" s="341" t="s">
        <v>1560</v>
      </c>
      <c r="H1369" s="341" t="s">
        <v>10229</v>
      </c>
      <c r="I1369" s="341" t="s">
        <v>16</v>
      </c>
      <c r="J1369" s="342">
        <v>1.05</v>
      </c>
      <c r="K1369" s="342" t="s">
        <v>25</v>
      </c>
      <c r="L1369" s="342">
        <v>0</v>
      </c>
    </row>
    <row r="1370" spans="1:12" x14ac:dyDescent="0.25">
      <c r="A1370" s="341" t="s">
        <v>2420</v>
      </c>
      <c r="B1370" s="341" t="s">
        <v>2420</v>
      </c>
      <c r="C1370" s="341" t="s">
        <v>2420</v>
      </c>
      <c r="D1370" s="342">
        <v>0</v>
      </c>
      <c r="E1370" s="342" t="s">
        <v>2420</v>
      </c>
      <c r="F1370" s="342" t="s">
        <v>9622</v>
      </c>
      <c r="G1370" s="341" t="s">
        <v>1635</v>
      </c>
      <c r="H1370" s="341" t="s">
        <v>7351</v>
      </c>
      <c r="I1370" s="341" t="s">
        <v>11</v>
      </c>
      <c r="J1370" s="342">
        <v>2.94</v>
      </c>
      <c r="K1370" s="342" t="s">
        <v>25</v>
      </c>
      <c r="L1370" s="342">
        <v>0</v>
      </c>
    </row>
    <row r="1371" spans="1:12" x14ac:dyDescent="0.25">
      <c r="A1371" s="341" t="s">
        <v>2420</v>
      </c>
      <c r="B1371" s="341" t="s">
        <v>2420</v>
      </c>
      <c r="C1371" s="341" t="s">
        <v>2420</v>
      </c>
      <c r="D1371" s="342">
        <v>0</v>
      </c>
      <c r="E1371" s="342" t="s">
        <v>2420</v>
      </c>
      <c r="F1371" s="342" t="s">
        <v>9622</v>
      </c>
      <c r="G1371" s="341" t="s">
        <v>1204</v>
      </c>
      <c r="H1371" s="341" t="s">
        <v>6854</v>
      </c>
      <c r="I1371" s="341" t="s">
        <v>4230</v>
      </c>
      <c r="J1371" s="342">
        <v>1.5</v>
      </c>
      <c r="K1371" s="342" t="s">
        <v>4230</v>
      </c>
      <c r="L1371" s="342">
        <v>0</v>
      </c>
    </row>
    <row r="1372" spans="1:12" x14ac:dyDescent="0.25">
      <c r="A1372" s="341" t="s">
        <v>2420</v>
      </c>
      <c r="B1372" s="341" t="s">
        <v>2420</v>
      </c>
      <c r="C1372" s="341" t="s">
        <v>2420</v>
      </c>
      <c r="D1372" s="342">
        <v>0</v>
      </c>
      <c r="E1372" s="342" t="s">
        <v>2420</v>
      </c>
      <c r="F1372" s="342" t="s">
        <v>9622</v>
      </c>
      <c r="G1372" s="341" t="s">
        <v>1210</v>
      </c>
      <c r="H1372" s="341" t="s">
        <v>6855</v>
      </c>
      <c r="I1372" s="341" t="s">
        <v>4230</v>
      </c>
      <c r="J1372" s="342">
        <v>1.5</v>
      </c>
      <c r="K1372" s="342" t="s">
        <v>4230</v>
      </c>
      <c r="L1372" s="342">
        <v>0</v>
      </c>
    </row>
    <row r="1373" spans="1:12" x14ac:dyDescent="0.25">
      <c r="A1373" s="341" t="s">
        <v>2420</v>
      </c>
      <c r="B1373" s="341" t="s">
        <v>2420</v>
      </c>
      <c r="C1373" s="341" t="s">
        <v>2420</v>
      </c>
      <c r="D1373" s="342">
        <v>0</v>
      </c>
      <c r="E1373" s="342" t="s">
        <v>2420</v>
      </c>
      <c r="F1373" s="342" t="s">
        <v>9622</v>
      </c>
      <c r="G1373" s="341" t="s">
        <v>1543</v>
      </c>
      <c r="H1373" s="341" t="s">
        <v>7276</v>
      </c>
      <c r="I1373" s="341" t="s">
        <v>11</v>
      </c>
      <c r="J1373" s="342">
        <v>0.68</v>
      </c>
      <c r="K1373" s="342" t="s">
        <v>25</v>
      </c>
      <c r="L1373" s="342">
        <v>0</v>
      </c>
    </row>
    <row r="1374" spans="1:12" x14ac:dyDescent="0.25">
      <c r="A1374" s="341" t="s">
        <v>2420</v>
      </c>
      <c r="B1374" s="341" t="s">
        <v>2420</v>
      </c>
      <c r="C1374" s="341" t="s">
        <v>2420</v>
      </c>
      <c r="D1374" s="342">
        <v>0</v>
      </c>
      <c r="E1374" s="342" t="s">
        <v>2420</v>
      </c>
      <c r="F1374" s="342" t="s">
        <v>9624</v>
      </c>
      <c r="G1374" s="341" t="s">
        <v>9740</v>
      </c>
      <c r="H1374" s="341" t="s">
        <v>9741</v>
      </c>
      <c r="I1374" s="341" t="s">
        <v>52</v>
      </c>
      <c r="J1374" s="342">
        <v>3.5000000000000003E-2</v>
      </c>
      <c r="K1374" s="342" t="s">
        <v>2420</v>
      </c>
      <c r="L1374" s="342">
        <v>0</v>
      </c>
    </row>
    <row r="1375" spans="1:12" x14ac:dyDescent="0.25">
      <c r="A1375" s="341" t="s">
        <v>9939</v>
      </c>
      <c r="B1375" s="341" t="s">
        <v>9940</v>
      </c>
      <c r="C1375" s="341" t="s">
        <v>52</v>
      </c>
      <c r="D1375" s="342">
        <v>1</v>
      </c>
      <c r="E1375" s="342">
        <v>0</v>
      </c>
      <c r="F1375" s="342" t="s">
        <v>9622</v>
      </c>
      <c r="G1375" s="341" t="s">
        <v>1193</v>
      </c>
      <c r="H1375" s="341" t="s">
        <v>9792</v>
      </c>
      <c r="I1375" s="341" t="s">
        <v>4230</v>
      </c>
      <c r="J1375" s="342">
        <v>7.5</v>
      </c>
      <c r="K1375" s="342" t="s">
        <v>4230</v>
      </c>
      <c r="L1375" s="342">
        <v>0</v>
      </c>
    </row>
    <row r="1376" spans="1:12" x14ac:dyDescent="0.25">
      <c r="A1376" s="341" t="s">
        <v>2420</v>
      </c>
      <c r="B1376" s="341" t="s">
        <v>2420</v>
      </c>
      <c r="C1376" s="341" t="s">
        <v>2420</v>
      </c>
      <c r="D1376" s="342">
        <v>0</v>
      </c>
      <c r="E1376" s="342" t="s">
        <v>2420</v>
      </c>
      <c r="F1376" s="342" t="s">
        <v>9622</v>
      </c>
      <c r="G1376" s="341" t="s">
        <v>1202</v>
      </c>
      <c r="H1376" s="341" t="s">
        <v>9793</v>
      </c>
      <c r="I1376" s="341" t="s">
        <v>4230</v>
      </c>
      <c r="J1376" s="342">
        <v>7.5</v>
      </c>
      <c r="K1376" s="342" t="s">
        <v>4230</v>
      </c>
      <c r="L1376" s="342">
        <v>0</v>
      </c>
    </row>
    <row r="1377" spans="1:12" x14ac:dyDescent="0.25">
      <c r="A1377" s="341" t="s">
        <v>2420</v>
      </c>
      <c r="B1377" s="341" t="s">
        <v>2420</v>
      </c>
      <c r="C1377" s="341" t="s">
        <v>2420</v>
      </c>
      <c r="D1377" s="342">
        <v>0</v>
      </c>
      <c r="E1377" s="342" t="s">
        <v>2420</v>
      </c>
      <c r="F1377" s="342" t="s">
        <v>9622</v>
      </c>
      <c r="G1377" s="341" t="s">
        <v>1204</v>
      </c>
      <c r="H1377" s="341" t="s">
        <v>6854</v>
      </c>
      <c r="I1377" s="341" t="s">
        <v>4230</v>
      </c>
      <c r="J1377" s="342">
        <v>2</v>
      </c>
      <c r="K1377" s="342" t="s">
        <v>4230</v>
      </c>
      <c r="L1377" s="342">
        <v>0</v>
      </c>
    </row>
    <row r="1378" spans="1:12" x14ac:dyDescent="0.25">
      <c r="A1378" s="341" t="s">
        <v>2420</v>
      </c>
      <c r="B1378" s="341" t="s">
        <v>2420</v>
      </c>
      <c r="C1378" s="341" t="s">
        <v>2420</v>
      </c>
      <c r="D1378" s="342">
        <v>0</v>
      </c>
      <c r="E1378" s="342" t="s">
        <v>2420</v>
      </c>
      <c r="F1378" s="342" t="s">
        <v>9622</v>
      </c>
      <c r="G1378" s="341" t="s">
        <v>1210</v>
      </c>
      <c r="H1378" s="341" t="s">
        <v>6855</v>
      </c>
      <c r="I1378" s="341" t="s">
        <v>4230</v>
      </c>
      <c r="J1378" s="342">
        <v>12</v>
      </c>
      <c r="K1378" s="342" t="s">
        <v>4230</v>
      </c>
      <c r="L1378" s="342">
        <v>0</v>
      </c>
    </row>
    <row r="1379" spans="1:12" x14ac:dyDescent="0.25">
      <c r="A1379" s="341" t="s">
        <v>2420</v>
      </c>
      <c r="B1379" s="341" t="s">
        <v>2420</v>
      </c>
      <c r="C1379" s="341" t="s">
        <v>2420</v>
      </c>
      <c r="D1379" s="342">
        <v>0</v>
      </c>
      <c r="E1379" s="342" t="s">
        <v>2420</v>
      </c>
      <c r="F1379" s="342" t="s">
        <v>9622</v>
      </c>
      <c r="G1379" s="341" t="s">
        <v>1272</v>
      </c>
      <c r="H1379" s="341" t="s">
        <v>9720</v>
      </c>
      <c r="I1379" s="341" t="s">
        <v>2557</v>
      </c>
      <c r="J1379" s="342">
        <v>1.2</v>
      </c>
      <c r="K1379" s="342" t="s">
        <v>25</v>
      </c>
      <c r="L1379" s="342">
        <v>0</v>
      </c>
    </row>
    <row r="1380" spans="1:12" x14ac:dyDescent="0.25">
      <c r="A1380" s="341" t="s">
        <v>2420</v>
      </c>
      <c r="B1380" s="341" t="s">
        <v>2420</v>
      </c>
      <c r="C1380" s="341" t="s">
        <v>2420</v>
      </c>
      <c r="D1380" s="342">
        <v>0</v>
      </c>
      <c r="E1380" s="342" t="s">
        <v>2420</v>
      </c>
      <c r="F1380" s="342" t="s">
        <v>9622</v>
      </c>
      <c r="G1380" s="341" t="s">
        <v>1275</v>
      </c>
      <c r="H1380" s="341" t="s">
        <v>6938</v>
      </c>
      <c r="I1380" s="341" t="s">
        <v>52</v>
      </c>
      <c r="J1380" s="342">
        <v>0.93259999999999998</v>
      </c>
      <c r="K1380" s="342" t="s">
        <v>25</v>
      </c>
      <c r="L1380" s="342">
        <v>0</v>
      </c>
    </row>
    <row r="1381" spans="1:12" x14ac:dyDescent="0.25">
      <c r="A1381" s="341" t="s">
        <v>2420</v>
      </c>
      <c r="B1381" s="341" t="s">
        <v>2420</v>
      </c>
      <c r="C1381" s="341" t="s">
        <v>2420</v>
      </c>
      <c r="D1381" s="342">
        <v>0</v>
      </c>
      <c r="E1381" s="342" t="s">
        <v>2420</v>
      </c>
      <c r="F1381" s="342" t="s">
        <v>9622</v>
      </c>
      <c r="G1381" s="341" t="s">
        <v>1295</v>
      </c>
      <c r="H1381" s="341" t="s">
        <v>6966</v>
      </c>
      <c r="I1381" s="341" t="s">
        <v>52</v>
      </c>
      <c r="J1381" s="342">
        <v>0.83599999999999997</v>
      </c>
      <c r="K1381" s="342" t="s">
        <v>25</v>
      </c>
      <c r="L1381" s="342">
        <v>0</v>
      </c>
    </row>
    <row r="1382" spans="1:12" x14ac:dyDescent="0.25">
      <c r="A1382" s="341" t="s">
        <v>2420</v>
      </c>
      <c r="B1382" s="341" t="s">
        <v>2420</v>
      </c>
      <c r="C1382" s="341" t="s">
        <v>2420</v>
      </c>
      <c r="D1382" s="342">
        <v>0</v>
      </c>
      <c r="E1382" s="342" t="s">
        <v>2420</v>
      </c>
      <c r="F1382" s="342" t="s">
        <v>9622</v>
      </c>
      <c r="G1382" s="341" t="s">
        <v>1303</v>
      </c>
      <c r="H1382" s="341" t="s">
        <v>6980</v>
      </c>
      <c r="I1382" s="341" t="s">
        <v>2557</v>
      </c>
      <c r="J1382" s="342">
        <v>268</v>
      </c>
      <c r="K1382" s="342" t="s">
        <v>25</v>
      </c>
      <c r="L1382" s="342">
        <v>0</v>
      </c>
    </row>
    <row r="1383" spans="1:12" x14ac:dyDescent="0.25">
      <c r="A1383" s="341" t="s">
        <v>2420</v>
      </c>
      <c r="B1383" s="341" t="s">
        <v>2420</v>
      </c>
      <c r="C1383" s="341" t="s">
        <v>2420</v>
      </c>
      <c r="D1383" s="342">
        <v>0</v>
      </c>
      <c r="E1383" s="342" t="s">
        <v>2420</v>
      </c>
      <c r="F1383" s="342" t="s">
        <v>9622</v>
      </c>
      <c r="G1383" s="341" t="s">
        <v>1359</v>
      </c>
      <c r="H1383" s="341" t="s">
        <v>7078</v>
      </c>
      <c r="I1383" s="341" t="s">
        <v>25</v>
      </c>
      <c r="J1383" s="342">
        <v>0.6</v>
      </c>
      <c r="K1383" s="342" t="s">
        <v>25</v>
      </c>
      <c r="L1383" s="342">
        <v>0</v>
      </c>
    </row>
    <row r="1384" spans="1:12" x14ac:dyDescent="0.25">
      <c r="A1384" s="341" t="s">
        <v>2420</v>
      </c>
      <c r="B1384" s="341" t="s">
        <v>2420</v>
      </c>
      <c r="C1384" s="341" t="s">
        <v>2420</v>
      </c>
      <c r="D1384" s="342">
        <v>0</v>
      </c>
      <c r="E1384" s="342" t="s">
        <v>2420</v>
      </c>
      <c r="F1384" s="342" t="s">
        <v>9622</v>
      </c>
      <c r="G1384" s="341" t="s">
        <v>1360</v>
      </c>
      <c r="H1384" s="341" t="s">
        <v>7079</v>
      </c>
      <c r="I1384" s="341" t="s">
        <v>2557</v>
      </c>
      <c r="J1384" s="342">
        <v>2</v>
      </c>
      <c r="K1384" s="342" t="s">
        <v>25</v>
      </c>
      <c r="L1384" s="342">
        <v>0</v>
      </c>
    </row>
    <row r="1385" spans="1:12" x14ac:dyDescent="0.25">
      <c r="A1385" s="341" t="s">
        <v>2420</v>
      </c>
      <c r="B1385" s="341" t="s">
        <v>2420</v>
      </c>
      <c r="C1385" s="341" t="s">
        <v>2420</v>
      </c>
      <c r="D1385" s="342">
        <v>0</v>
      </c>
      <c r="E1385" s="342" t="s">
        <v>2420</v>
      </c>
      <c r="F1385" s="342" t="s">
        <v>9622</v>
      </c>
      <c r="G1385" s="341" t="s">
        <v>1382</v>
      </c>
      <c r="H1385" s="341" t="s">
        <v>9786</v>
      </c>
      <c r="I1385" s="341" t="s">
        <v>16</v>
      </c>
      <c r="J1385" s="342">
        <v>5</v>
      </c>
      <c r="K1385" s="342" t="s">
        <v>25</v>
      </c>
      <c r="L1385" s="342">
        <v>0</v>
      </c>
    </row>
    <row r="1386" spans="1:12" x14ac:dyDescent="0.25">
      <c r="A1386" s="341" t="s">
        <v>2420</v>
      </c>
      <c r="B1386" s="341" t="s">
        <v>2420</v>
      </c>
      <c r="C1386" s="341" t="s">
        <v>2420</v>
      </c>
      <c r="D1386" s="342">
        <v>0</v>
      </c>
      <c r="E1386" s="342" t="s">
        <v>2420</v>
      </c>
      <c r="F1386" s="342" t="s">
        <v>9624</v>
      </c>
      <c r="G1386" s="341" t="s">
        <v>148</v>
      </c>
      <c r="H1386" s="341" t="s">
        <v>9748</v>
      </c>
      <c r="I1386" s="341" t="s">
        <v>2557</v>
      </c>
      <c r="J1386" s="342">
        <v>60</v>
      </c>
      <c r="K1386" s="342" t="s">
        <v>2420</v>
      </c>
      <c r="L1386" s="342">
        <v>0</v>
      </c>
    </row>
    <row r="1387" spans="1:12" x14ac:dyDescent="0.25">
      <c r="A1387" s="341" t="s">
        <v>460</v>
      </c>
      <c r="B1387" s="341" t="s">
        <v>10230</v>
      </c>
      <c r="C1387" s="341" t="s">
        <v>11</v>
      </c>
      <c r="D1387" s="342">
        <v>1</v>
      </c>
      <c r="E1387" s="342">
        <v>0</v>
      </c>
      <c r="F1387" s="342" t="s">
        <v>9622</v>
      </c>
      <c r="G1387" s="341" t="s">
        <v>1298</v>
      </c>
      <c r="H1387" s="341" t="s">
        <v>9847</v>
      </c>
      <c r="I1387" s="341" t="s">
        <v>11</v>
      </c>
      <c r="J1387" s="342">
        <v>1</v>
      </c>
      <c r="K1387" s="342" t="s">
        <v>25</v>
      </c>
      <c r="L1387" s="342">
        <v>0</v>
      </c>
    </row>
    <row r="1388" spans="1:12" x14ac:dyDescent="0.25">
      <c r="A1388" s="341" t="s">
        <v>2420</v>
      </c>
      <c r="B1388" s="341" t="s">
        <v>2420</v>
      </c>
      <c r="C1388" s="341" t="s">
        <v>2420</v>
      </c>
      <c r="D1388" s="342">
        <v>0</v>
      </c>
      <c r="E1388" s="342" t="s">
        <v>2420</v>
      </c>
      <c r="F1388" s="342" t="s">
        <v>9622</v>
      </c>
      <c r="G1388" s="341" t="s">
        <v>1322</v>
      </c>
      <c r="H1388" s="341" t="s">
        <v>7014</v>
      </c>
      <c r="I1388" s="341" t="s">
        <v>25</v>
      </c>
      <c r="J1388" s="342">
        <v>0.56000000000000005</v>
      </c>
      <c r="K1388" s="342" t="s">
        <v>25</v>
      </c>
      <c r="L1388" s="342">
        <v>0</v>
      </c>
    </row>
    <row r="1389" spans="1:12" x14ac:dyDescent="0.25">
      <c r="A1389" s="341" t="s">
        <v>2420</v>
      </c>
      <c r="B1389" s="341" t="s">
        <v>2420</v>
      </c>
      <c r="C1389" s="341" t="s">
        <v>2420</v>
      </c>
      <c r="D1389" s="342">
        <v>0</v>
      </c>
      <c r="E1389" s="342" t="s">
        <v>2420</v>
      </c>
      <c r="F1389" s="342" t="s">
        <v>9622</v>
      </c>
      <c r="G1389" s="341" t="s">
        <v>1337</v>
      </c>
      <c r="H1389" s="341" t="s">
        <v>7056</v>
      </c>
      <c r="I1389" s="341" t="s">
        <v>11</v>
      </c>
      <c r="J1389" s="342">
        <v>1</v>
      </c>
      <c r="K1389" s="342" t="s">
        <v>25</v>
      </c>
      <c r="L1389" s="342">
        <v>0</v>
      </c>
    </row>
    <row r="1390" spans="1:12" x14ac:dyDescent="0.25">
      <c r="A1390" s="341" t="s">
        <v>2420</v>
      </c>
      <c r="B1390" s="341" t="s">
        <v>2420</v>
      </c>
      <c r="C1390" s="341" t="s">
        <v>2420</v>
      </c>
      <c r="D1390" s="342">
        <v>0</v>
      </c>
      <c r="E1390" s="342" t="s">
        <v>2420</v>
      </c>
      <c r="F1390" s="342" t="s">
        <v>9622</v>
      </c>
      <c r="G1390" s="341" t="s">
        <v>1594</v>
      </c>
      <c r="H1390" s="341" t="s">
        <v>7315</v>
      </c>
      <c r="I1390" s="341" t="s">
        <v>6609</v>
      </c>
      <c r="J1390" s="342">
        <v>1</v>
      </c>
      <c r="K1390" s="342" t="s">
        <v>25</v>
      </c>
      <c r="L1390" s="342">
        <v>0</v>
      </c>
    </row>
    <row r="1391" spans="1:12" x14ac:dyDescent="0.25">
      <c r="A1391" s="341" t="s">
        <v>2420</v>
      </c>
      <c r="B1391" s="341" t="s">
        <v>2420</v>
      </c>
      <c r="C1391" s="341" t="s">
        <v>2420</v>
      </c>
      <c r="D1391" s="342">
        <v>0</v>
      </c>
      <c r="E1391" s="342" t="s">
        <v>2420</v>
      </c>
      <c r="F1391" s="342" t="s">
        <v>9622</v>
      </c>
      <c r="G1391" s="341" t="s">
        <v>1760</v>
      </c>
      <c r="H1391" s="341" t="s">
        <v>10230</v>
      </c>
      <c r="I1391" s="341" t="s">
        <v>11</v>
      </c>
      <c r="J1391" s="342">
        <v>1</v>
      </c>
      <c r="K1391" s="342" t="s">
        <v>9638</v>
      </c>
      <c r="L1391" s="342">
        <v>0</v>
      </c>
    </row>
    <row r="1392" spans="1:12" x14ac:dyDescent="0.25">
      <c r="A1392" s="341" t="s">
        <v>2420</v>
      </c>
      <c r="B1392" s="341" t="s">
        <v>2420</v>
      </c>
      <c r="C1392" s="341" t="s">
        <v>2420</v>
      </c>
      <c r="D1392" s="342">
        <v>0</v>
      </c>
      <c r="E1392" s="342" t="s">
        <v>2420</v>
      </c>
      <c r="F1392" s="342" t="s">
        <v>9622</v>
      </c>
      <c r="G1392" s="341" t="s">
        <v>1784</v>
      </c>
      <c r="H1392" s="341" t="s">
        <v>7821</v>
      </c>
      <c r="I1392" s="341" t="s">
        <v>11</v>
      </c>
      <c r="J1392" s="342">
        <v>1</v>
      </c>
      <c r="K1392" s="342" t="s">
        <v>9638</v>
      </c>
      <c r="L1392" s="342">
        <v>0</v>
      </c>
    </row>
    <row r="1393" spans="1:12" x14ac:dyDescent="0.25">
      <c r="A1393" s="341" t="s">
        <v>461</v>
      </c>
      <c r="B1393" s="341" t="s">
        <v>10231</v>
      </c>
      <c r="C1393" s="341" t="s">
        <v>11</v>
      </c>
      <c r="D1393" s="342">
        <v>1</v>
      </c>
      <c r="E1393" s="342">
        <v>0</v>
      </c>
      <c r="F1393" s="342" t="s">
        <v>9622</v>
      </c>
      <c r="G1393" s="341" t="s">
        <v>1297</v>
      </c>
      <c r="H1393" s="341" t="s">
        <v>10231</v>
      </c>
      <c r="I1393" s="341" t="s">
        <v>11</v>
      </c>
      <c r="J1393" s="342">
        <v>1</v>
      </c>
      <c r="K1393" s="342" t="s">
        <v>25</v>
      </c>
      <c r="L1393" s="342">
        <v>0</v>
      </c>
    </row>
    <row r="1394" spans="1:12" x14ac:dyDescent="0.25">
      <c r="A1394" s="341" t="s">
        <v>2420</v>
      </c>
      <c r="B1394" s="341" t="s">
        <v>2420</v>
      </c>
      <c r="C1394" s="341" t="s">
        <v>2420</v>
      </c>
      <c r="D1394" s="342">
        <v>0</v>
      </c>
      <c r="E1394" s="342" t="s">
        <v>2420</v>
      </c>
      <c r="F1394" s="342" t="s">
        <v>9622</v>
      </c>
      <c r="G1394" s="341" t="s">
        <v>1298</v>
      </c>
      <c r="H1394" s="341" t="s">
        <v>9847</v>
      </c>
      <c r="I1394" s="341" t="s">
        <v>11</v>
      </c>
      <c r="J1394" s="342">
        <v>1</v>
      </c>
      <c r="K1394" s="342" t="s">
        <v>25</v>
      </c>
      <c r="L1394" s="342">
        <v>0</v>
      </c>
    </row>
    <row r="1395" spans="1:12" x14ac:dyDescent="0.25">
      <c r="A1395" s="341" t="s">
        <v>2420</v>
      </c>
      <c r="B1395" s="341" t="s">
        <v>2420</v>
      </c>
      <c r="C1395" s="341" t="s">
        <v>2420</v>
      </c>
      <c r="D1395" s="342">
        <v>0</v>
      </c>
      <c r="E1395" s="342" t="s">
        <v>2420</v>
      </c>
      <c r="F1395" s="342" t="s">
        <v>9622</v>
      </c>
      <c r="G1395" s="341" t="s">
        <v>1322</v>
      </c>
      <c r="H1395" s="341" t="s">
        <v>7014</v>
      </c>
      <c r="I1395" s="341" t="s">
        <v>25</v>
      </c>
      <c r="J1395" s="342">
        <v>0.56000000000000005</v>
      </c>
      <c r="K1395" s="342" t="s">
        <v>25</v>
      </c>
      <c r="L1395" s="342">
        <v>0</v>
      </c>
    </row>
    <row r="1396" spans="1:12" x14ac:dyDescent="0.25">
      <c r="A1396" s="341" t="s">
        <v>2420</v>
      </c>
      <c r="B1396" s="341" t="s">
        <v>2420</v>
      </c>
      <c r="C1396" s="341" t="s">
        <v>2420</v>
      </c>
      <c r="D1396" s="342">
        <v>0</v>
      </c>
      <c r="E1396" s="342" t="s">
        <v>2420</v>
      </c>
      <c r="F1396" s="342" t="s">
        <v>9622</v>
      </c>
      <c r="G1396" s="341" t="s">
        <v>1337</v>
      </c>
      <c r="H1396" s="341" t="s">
        <v>7056</v>
      </c>
      <c r="I1396" s="341" t="s">
        <v>11</v>
      </c>
      <c r="J1396" s="342">
        <v>1</v>
      </c>
      <c r="K1396" s="342" t="s">
        <v>25</v>
      </c>
      <c r="L1396" s="342">
        <v>0</v>
      </c>
    </row>
    <row r="1397" spans="1:12" x14ac:dyDescent="0.25">
      <c r="A1397" s="341" t="s">
        <v>2420</v>
      </c>
      <c r="B1397" s="341" t="s">
        <v>2420</v>
      </c>
      <c r="C1397" s="341" t="s">
        <v>2420</v>
      </c>
      <c r="D1397" s="342">
        <v>0</v>
      </c>
      <c r="E1397" s="342" t="s">
        <v>2420</v>
      </c>
      <c r="F1397" s="342" t="s">
        <v>9622</v>
      </c>
      <c r="G1397" s="341" t="s">
        <v>1594</v>
      </c>
      <c r="H1397" s="341" t="s">
        <v>7315</v>
      </c>
      <c r="I1397" s="341" t="s">
        <v>6609</v>
      </c>
      <c r="J1397" s="342">
        <v>1</v>
      </c>
      <c r="K1397" s="342" t="s">
        <v>25</v>
      </c>
      <c r="L1397" s="342">
        <v>0</v>
      </c>
    </row>
    <row r="1398" spans="1:12" x14ac:dyDescent="0.25">
      <c r="A1398" s="341" t="s">
        <v>2420</v>
      </c>
      <c r="B1398" s="341" t="s">
        <v>2420</v>
      </c>
      <c r="C1398" s="341" t="s">
        <v>2420</v>
      </c>
      <c r="D1398" s="342">
        <v>0</v>
      </c>
      <c r="E1398" s="342" t="s">
        <v>2420</v>
      </c>
      <c r="F1398" s="342" t="s">
        <v>9622</v>
      </c>
      <c r="G1398" s="341" t="s">
        <v>1784</v>
      </c>
      <c r="H1398" s="341" t="s">
        <v>7821</v>
      </c>
      <c r="I1398" s="341" t="s">
        <v>11</v>
      </c>
      <c r="J1398" s="342">
        <v>1</v>
      </c>
      <c r="K1398" s="342" t="s">
        <v>9638</v>
      </c>
      <c r="L1398" s="342">
        <v>0</v>
      </c>
    </row>
    <row r="1399" spans="1:12" x14ac:dyDescent="0.25">
      <c r="A1399" s="341" t="s">
        <v>463</v>
      </c>
      <c r="B1399" s="341" t="s">
        <v>10232</v>
      </c>
      <c r="C1399" s="341" t="s">
        <v>11</v>
      </c>
      <c r="D1399" s="342">
        <v>1</v>
      </c>
      <c r="E1399" s="342">
        <v>0</v>
      </c>
      <c r="F1399" s="342" t="s">
        <v>9622</v>
      </c>
      <c r="G1399" s="341" t="s">
        <v>1290</v>
      </c>
      <c r="H1399" s="341" t="s">
        <v>6955</v>
      </c>
      <c r="I1399" s="341" t="s">
        <v>11</v>
      </c>
      <c r="J1399" s="342">
        <v>1</v>
      </c>
      <c r="K1399" s="342" t="s">
        <v>25</v>
      </c>
      <c r="L1399" s="342">
        <v>0</v>
      </c>
    </row>
    <row r="1400" spans="1:12" x14ac:dyDescent="0.25">
      <c r="A1400" s="341" t="s">
        <v>2420</v>
      </c>
      <c r="B1400" s="341" t="s">
        <v>2420</v>
      </c>
      <c r="C1400" s="341" t="s">
        <v>2420</v>
      </c>
      <c r="D1400" s="342">
        <v>0</v>
      </c>
      <c r="E1400" s="342" t="s">
        <v>2420</v>
      </c>
      <c r="F1400" s="342" t="s">
        <v>9622</v>
      </c>
      <c r="G1400" s="341" t="s">
        <v>1298</v>
      </c>
      <c r="H1400" s="341" t="s">
        <v>9847</v>
      </c>
      <c r="I1400" s="341" t="s">
        <v>11</v>
      </c>
      <c r="J1400" s="342">
        <v>1</v>
      </c>
      <c r="K1400" s="342" t="s">
        <v>25</v>
      </c>
      <c r="L1400" s="342">
        <v>0</v>
      </c>
    </row>
    <row r="1401" spans="1:12" x14ac:dyDescent="0.25">
      <c r="A1401" s="341" t="s">
        <v>2420</v>
      </c>
      <c r="B1401" s="341" t="s">
        <v>2420</v>
      </c>
      <c r="C1401" s="341" t="s">
        <v>2420</v>
      </c>
      <c r="D1401" s="342">
        <v>0</v>
      </c>
      <c r="E1401" s="342" t="s">
        <v>2420</v>
      </c>
      <c r="F1401" s="342" t="s">
        <v>9622</v>
      </c>
      <c r="G1401" s="341" t="s">
        <v>1420</v>
      </c>
      <c r="H1401" s="341" t="s">
        <v>7141</v>
      </c>
      <c r="I1401" s="341" t="s">
        <v>11</v>
      </c>
      <c r="J1401" s="342">
        <v>1</v>
      </c>
      <c r="K1401" s="342" t="s">
        <v>25</v>
      </c>
      <c r="L1401" s="342">
        <v>0</v>
      </c>
    </row>
    <row r="1402" spans="1:12" x14ac:dyDescent="0.25">
      <c r="A1402" s="341" t="s">
        <v>2420</v>
      </c>
      <c r="B1402" s="341" t="s">
        <v>2420</v>
      </c>
      <c r="C1402" s="341" t="s">
        <v>2420</v>
      </c>
      <c r="D1402" s="342">
        <v>0</v>
      </c>
      <c r="E1402" s="342" t="s">
        <v>2420</v>
      </c>
      <c r="F1402" s="342" t="s">
        <v>9622</v>
      </c>
      <c r="G1402" s="341" t="s">
        <v>1594</v>
      </c>
      <c r="H1402" s="341" t="s">
        <v>7315</v>
      </c>
      <c r="I1402" s="341" t="s">
        <v>6609</v>
      </c>
      <c r="J1402" s="342">
        <v>1</v>
      </c>
      <c r="K1402" s="342" t="s">
        <v>25</v>
      </c>
      <c r="L1402" s="342">
        <v>0</v>
      </c>
    </row>
    <row r="1403" spans="1:12" x14ac:dyDescent="0.25">
      <c r="A1403" s="341" t="s">
        <v>2420</v>
      </c>
      <c r="B1403" s="341" t="s">
        <v>2420</v>
      </c>
      <c r="C1403" s="341" t="s">
        <v>2420</v>
      </c>
      <c r="D1403" s="342">
        <v>0</v>
      </c>
      <c r="E1403" s="342" t="s">
        <v>2420</v>
      </c>
      <c r="F1403" s="342" t="s">
        <v>9622</v>
      </c>
      <c r="G1403" s="341" t="s">
        <v>1784</v>
      </c>
      <c r="H1403" s="341" t="s">
        <v>7821</v>
      </c>
      <c r="I1403" s="341" t="s">
        <v>11</v>
      </c>
      <c r="J1403" s="342">
        <v>1</v>
      </c>
      <c r="K1403" s="342" t="s">
        <v>9638</v>
      </c>
      <c r="L1403" s="342">
        <v>0</v>
      </c>
    </row>
    <row r="1404" spans="1:12" x14ac:dyDescent="0.25">
      <c r="A1404" s="341" t="s">
        <v>2420</v>
      </c>
      <c r="B1404" s="341" t="s">
        <v>2420</v>
      </c>
      <c r="C1404" s="341" t="s">
        <v>2420</v>
      </c>
      <c r="D1404" s="342">
        <v>0</v>
      </c>
      <c r="E1404" s="342" t="s">
        <v>2420</v>
      </c>
      <c r="F1404" s="342" t="s">
        <v>9622</v>
      </c>
      <c r="G1404" s="341" t="s">
        <v>1800</v>
      </c>
      <c r="H1404" s="341" t="s">
        <v>10233</v>
      </c>
      <c r="I1404" s="341" t="s">
        <v>11</v>
      </c>
      <c r="J1404" s="342">
        <v>1</v>
      </c>
      <c r="K1404" s="342" t="s">
        <v>9638</v>
      </c>
      <c r="L1404" s="342">
        <v>0</v>
      </c>
    </row>
    <row r="1405" spans="1:12" x14ac:dyDescent="0.25">
      <c r="A1405" s="341" t="s">
        <v>2420</v>
      </c>
      <c r="B1405" s="341" t="s">
        <v>2420</v>
      </c>
      <c r="C1405" s="341" t="s">
        <v>2420</v>
      </c>
      <c r="D1405" s="342">
        <v>0</v>
      </c>
      <c r="E1405" s="342" t="s">
        <v>2420</v>
      </c>
      <c r="F1405" s="342" t="s">
        <v>9622</v>
      </c>
      <c r="G1405" s="341" t="s">
        <v>1821</v>
      </c>
      <c r="H1405" s="341" t="s">
        <v>10232</v>
      </c>
      <c r="I1405" s="341" t="s">
        <v>11</v>
      </c>
      <c r="J1405" s="342">
        <v>1</v>
      </c>
      <c r="K1405" s="342" t="s">
        <v>9638</v>
      </c>
      <c r="L1405" s="342">
        <v>0</v>
      </c>
    </row>
    <row r="1406" spans="1:12" x14ac:dyDescent="0.25">
      <c r="A1406" s="341" t="s">
        <v>464</v>
      </c>
      <c r="B1406" s="341" t="s">
        <v>10234</v>
      </c>
      <c r="C1406" s="341" t="s">
        <v>11</v>
      </c>
      <c r="D1406" s="342">
        <v>1</v>
      </c>
      <c r="E1406" s="342">
        <v>0</v>
      </c>
      <c r="F1406" s="342" t="s">
        <v>9622</v>
      </c>
      <c r="G1406" s="341" t="s">
        <v>1290</v>
      </c>
      <c r="H1406" s="341" t="s">
        <v>6955</v>
      </c>
      <c r="I1406" s="341" t="s">
        <v>11</v>
      </c>
      <c r="J1406" s="342">
        <v>1</v>
      </c>
      <c r="K1406" s="342" t="s">
        <v>25</v>
      </c>
      <c r="L1406" s="342">
        <v>0</v>
      </c>
    </row>
    <row r="1407" spans="1:12" x14ac:dyDescent="0.25">
      <c r="A1407" s="341" t="s">
        <v>2420</v>
      </c>
      <c r="B1407" s="341" t="s">
        <v>2420</v>
      </c>
      <c r="C1407" s="341" t="s">
        <v>2420</v>
      </c>
      <c r="D1407" s="342">
        <v>0</v>
      </c>
      <c r="E1407" s="342" t="s">
        <v>2420</v>
      </c>
      <c r="F1407" s="342" t="s">
        <v>9622</v>
      </c>
      <c r="G1407" s="341" t="s">
        <v>1298</v>
      </c>
      <c r="H1407" s="341" t="s">
        <v>9847</v>
      </c>
      <c r="I1407" s="341" t="s">
        <v>11</v>
      </c>
      <c r="J1407" s="342">
        <v>1</v>
      </c>
      <c r="K1407" s="342" t="s">
        <v>25</v>
      </c>
      <c r="L1407" s="342">
        <v>0</v>
      </c>
    </row>
    <row r="1408" spans="1:12" x14ac:dyDescent="0.25">
      <c r="A1408" s="341" t="s">
        <v>2420</v>
      </c>
      <c r="B1408" s="341" t="s">
        <v>2420</v>
      </c>
      <c r="C1408" s="341" t="s">
        <v>2420</v>
      </c>
      <c r="D1408" s="342">
        <v>0</v>
      </c>
      <c r="E1408" s="342" t="s">
        <v>2420</v>
      </c>
      <c r="F1408" s="342" t="s">
        <v>9622</v>
      </c>
      <c r="G1408" s="341" t="s">
        <v>1420</v>
      </c>
      <c r="H1408" s="341" t="s">
        <v>7141</v>
      </c>
      <c r="I1408" s="341" t="s">
        <v>11</v>
      </c>
      <c r="J1408" s="342">
        <v>1</v>
      </c>
      <c r="K1408" s="342" t="s">
        <v>25</v>
      </c>
      <c r="L1408" s="342">
        <v>0</v>
      </c>
    </row>
    <row r="1409" spans="1:12" x14ac:dyDescent="0.25">
      <c r="A1409" s="341" t="s">
        <v>2420</v>
      </c>
      <c r="B1409" s="341" t="s">
        <v>2420</v>
      </c>
      <c r="C1409" s="341" t="s">
        <v>2420</v>
      </c>
      <c r="D1409" s="342">
        <v>0</v>
      </c>
      <c r="E1409" s="342" t="s">
        <v>2420</v>
      </c>
      <c r="F1409" s="342" t="s">
        <v>9622</v>
      </c>
      <c r="G1409" s="341" t="s">
        <v>1594</v>
      </c>
      <c r="H1409" s="341" t="s">
        <v>7315</v>
      </c>
      <c r="I1409" s="341" t="s">
        <v>6609</v>
      </c>
      <c r="J1409" s="342">
        <v>1</v>
      </c>
      <c r="K1409" s="342" t="s">
        <v>25</v>
      </c>
      <c r="L1409" s="342">
        <v>0</v>
      </c>
    </row>
    <row r="1410" spans="1:12" x14ac:dyDescent="0.25">
      <c r="A1410" s="341" t="s">
        <v>2420</v>
      </c>
      <c r="B1410" s="341" t="s">
        <v>2420</v>
      </c>
      <c r="C1410" s="341" t="s">
        <v>2420</v>
      </c>
      <c r="D1410" s="342">
        <v>0</v>
      </c>
      <c r="E1410" s="342" t="s">
        <v>2420</v>
      </c>
      <c r="F1410" s="342" t="s">
        <v>9622</v>
      </c>
      <c r="G1410" s="341" t="s">
        <v>1784</v>
      </c>
      <c r="H1410" s="341" t="s">
        <v>7821</v>
      </c>
      <c r="I1410" s="341" t="s">
        <v>11</v>
      </c>
      <c r="J1410" s="342">
        <v>1</v>
      </c>
      <c r="K1410" s="342" t="s">
        <v>9638</v>
      </c>
      <c r="L1410" s="342">
        <v>0</v>
      </c>
    </row>
    <row r="1411" spans="1:12" x14ac:dyDescent="0.25">
      <c r="A1411" s="341" t="s">
        <v>2420</v>
      </c>
      <c r="B1411" s="341" t="s">
        <v>2420</v>
      </c>
      <c r="C1411" s="341" t="s">
        <v>2420</v>
      </c>
      <c r="D1411" s="342">
        <v>0</v>
      </c>
      <c r="E1411" s="342" t="s">
        <v>2420</v>
      </c>
      <c r="F1411" s="342" t="s">
        <v>9622</v>
      </c>
      <c r="G1411" s="341" t="s">
        <v>1801</v>
      </c>
      <c r="H1411" s="341" t="s">
        <v>7851</v>
      </c>
      <c r="I1411" s="341" t="s">
        <v>11</v>
      </c>
      <c r="J1411" s="342">
        <v>1</v>
      </c>
      <c r="K1411" s="342" t="s">
        <v>9638</v>
      </c>
      <c r="L1411" s="342">
        <v>0</v>
      </c>
    </row>
    <row r="1412" spans="1:12" x14ac:dyDescent="0.25">
      <c r="A1412" s="341" t="s">
        <v>2420</v>
      </c>
      <c r="B1412" s="341" t="s">
        <v>2420</v>
      </c>
      <c r="C1412" s="341" t="s">
        <v>2420</v>
      </c>
      <c r="D1412" s="342">
        <v>0</v>
      </c>
      <c r="E1412" s="342" t="s">
        <v>2420</v>
      </c>
      <c r="F1412" s="342" t="s">
        <v>9622</v>
      </c>
      <c r="G1412" s="341" t="s">
        <v>1822</v>
      </c>
      <c r="H1412" s="341" t="s">
        <v>10234</v>
      </c>
      <c r="I1412" s="341" t="s">
        <v>11</v>
      </c>
      <c r="J1412" s="342">
        <v>1</v>
      </c>
      <c r="K1412" s="342" t="s">
        <v>9638</v>
      </c>
      <c r="L1412" s="342">
        <v>0</v>
      </c>
    </row>
    <row r="1413" spans="1:12" x14ac:dyDescent="0.25">
      <c r="A1413" s="341" t="s">
        <v>465</v>
      </c>
      <c r="B1413" s="341" t="s">
        <v>10235</v>
      </c>
      <c r="C1413" s="341" t="s">
        <v>11</v>
      </c>
      <c r="D1413" s="342">
        <v>1</v>
      </c>
      <c r="E1413" s="342">
        <v>0</v>
      </c>
      <c r="F1413" s="342" t="s">
        <v>9622</v>
      </c>
      <c r="G1413" s="341" t="s">
        <v>1290</v>
      </c>
      <c r="H1413" s="341" t="s">
        <v>6955</v>
      </c>
      <c r="I1413" s="341" t="s">
        <v>11</v>
      </c>
      <c r="J1413" s="342">
        <v>1</v>
      </c>
      <c r="K1413" s="342" t="s">
        <v>25</v>
      </c>
      <c r="L1413" s="342">
        <v>0</v>
      </c>
    </row>
    <row r="1414" spans="1:12" x14ac:dyDescent="0.25">
      <c r="A1414" s="341" t="s">
        <v>2420</v>
      </c>
      <c r="B1414" s="341" t="s">
        <v>2420</v>
      </c>
      <c r="C1414" s="341" t="s">
        <v>2420</v>
      </c>
      <c r="D1414" s="342">
        <v>0</v>
      </c>
      <c r="E1414" s="342" t="s">
        <v>2420</v>
      </c>
      <c r="F1414" s="342" t="s">
        <v>9622</v>
      </c>
      <c r="G1414" s="341" t="s">
        <v>1298</v>
      </c>
      <c r="H1414" s="341" t="s">
        <v>9847</v>
      </c>
      <c r="I1414" s="341" t="s">
        <v>11</v>
      </c>
      <c r="J1414" s="342">
        <v>1</v>
      </c>
      <c r="K1414" s="342" t="s">
        <v>25</v>
      </c>
      <c r="L1414" s="342">
        <v>0</v>
      </c>
    </row>
    <row r="1415" spans="1:12" x14ac:dyDescent="0.25">
      <c r="A1415" s="341" t="s">
        <v>2420</v>
      </c>
      <c r="B1415" s="341" t="s">
        <v>2420</v>
      </c>
      <c r="C1415" s="341" t="s">
        <v>2420</v>
      </c>
      <c r="D1415" s="342">
        <v>0</v>
      </c>
      <c r="E1415" s="342" t="s">
        <v>2420</v>
      </c>
      <c r="F1415" s="342" t="s">
        <v>9622</v>
      </c>
      <c r="G1415" s="341" t="s">
        <v>1312</v>
      </c>
      <c r="H1415" s="341" t="s">
        <v>10236</v>
      </c>
      <c r="I1415" s="341" t="s">
        <v>11</v>
      </c>
      <c r="J1415" s="342">
        <v>1</v>
      </c>
      <c r="K1415" s="342" t="s">
        <v>25</v>
      </c>
      <c r="L1415" s="342">
        <v>0</v>
      </c>
    </row>
    <row r="1416" spans="1:12" x14ac:dyDescent="0.25">
      <c r="A1416" s="341" t="s">
        <v>2420</v>
      </c>
      <c r="B1416" s="341" t="s">
        <v>2420</v>
      </c>
      <c r="C1416" s="341" t="s">
        <v>2420</v>
      </c>
      <c r="D1416" s="342">
        <v>0</v>
      </c>
      <c r="E1416" s="342" t="s">
        <v>2420</v>
      </c>
      <c r="F1416" s="342" t="s">
        <v>9622</v>
      </c>
      <c r="G1416" s="341" t="s">
        <v>1420</v>
      </c>
      <c r="H1416" s="341" t="s">
        <v>7141</v>
      </c>
      <c r="I1416" s="341" t="s">
        <v>11</v>
      </c>
      <c r="J1416" s="342">
        <v>1</v>
      </c>
      <c r="K1416" s="342" t="s">
        <v>25</v>
      </c>
      <c r="L1416" s="342">
        <v>0</v>
      </c>
    </row>
    <row r="1417" spans="1:12" x14ac:dyDescent="0.25">
      <c r="A1417" s="341" t="s">
        <v>2420</v>
      </c>
      <c r="B1417" s="341" t="s">
        <v>2420</v>
      </c>
      <c r="C1417" s="341" t="s">
        <v>2420</v>
      </c>
      <c r="D1417" s="342">
        <v>0</v>
      </c>
      <c r="E1417" s="342" t="s">
        <v>2420</v>
      </c>
      <c r="F1417" s="342" t="s">
        <v>9622</v>
      </c>
      <c r="G1417" s="341" t="s">
        <v>1500</v>
      </c>
      <c r="H1417" s="341" t="s">
        <v>4507</v>
      </c>
      <c r="I1417" s="341" t="s">
        <v>11</v>
      </c>
      <c r="J1417" s="342">
        <v>1</v>
      </c>
      <c r="K1417" s="342" t="s">
        <v>25</v>
      </c>
      <c r="L1417" s="342">
        <v>0</v>
      </c>
    </row>
    <row r="1418" spans="1:12" x14ac:dyDescent="0.25">
      <c r="A1418" s="341" t="s">
        <v>2420</v>
      </c>
      <c r="B1418" s="341" t="s">
        <v>2420</v>
      </c>
      <c r="C1418" s="341" t="s">
        <v>2420</v>
      </c>
      <c r="D1418" s="342">
        <v>0</v>
      </c>
      <c r="E1418" s="342" t="s">
        <v>2420</v>
      </c>
      <c r="F1418" s="342" t="s">
        <v>9622</v>
      </c>
      <c r="G1418" s="341" t="s">
        <v>1784</v>
      </c>
      <c r="H1418" s="341" t="s">
        <v>7821</v>
      </c>
      <c r="I1418" s="341" t="s">
        <v>11</v>
      </c>
      <c r="J1418" s="342">
        <v>1</v>
      </c>
      <c r="K1418" s="342" t="s">
        <v>9638</v>
      </c>
      <c r="L1418" s="342">
        <v>0</v>
      </c>
    </row>
    <row r="1419" spans="1:12" x14ac:dyDescent="0.25">
      <c r="A1419" s="341" t="s">
        <v>2420</v>
      </c>
      <c r="B1419" s="341" t="s">
        <v>2420</v>
      </c>
      <c r="C1419" s="341" t="s">
        <v>2420</v>
      </c>
      <c r="D1419" s="342">
        <v>0</v>
      </c>
      <c r="E1419" s="342" t="s">
        <v>2420</v>
      </c>
      <c r="F1419" s="342" t="s">
        <v>9622</v>
      </c>
      <c r="G1419" s="341" t="s">
        <v>1815</v>
      </c>
      <c r="H1419" s="341" t="s">
        <v>10237</v>
      </c>
      <c r="I1419" s="341" t="s">
        <v>11</v>
      </c>
      <c r="J1419" s="342">
        <v>1</v>
      </c>
      <c r="K1419" s="342" t="s">
        <v>9638</v>
      </c>
      <c r="L1419" s="342">
        <v>0</v>
      </c>
    </row>
    <row r="1420" spans="1:12" x14ac:dyDescent="0.25">
      <c r="A1420" s="341" t="s">
        <v>466</v>
      </c>
      <c r="B1420" s="341" t="s">
        <v>10238</v>
      </c>
      <c r="C1420" s="341" t="s">
        <v>11</v>
      </c>
      <c r="D1420" s="342">
        <v>1</v>
      </c>
      <c r="E1420" s="342">
        <v>0</v>
      </c>
      <c r="F1420" s="342" t="s">
        <v>9622</v>
      </c>
      <c r="G1420" s="341" t="s">
        <v>1290</v>
      </c>
      <c r="H1420" s="341" t="s">
        <v>6955</v>
      </c>
      <c r="I1420" s="341" t="s">
        <v>11</v>
      </c>
      <c r="J1420" s="342">
        <v>1</v>
      </c>
      <c r="K1420" s="342" t="s">
        <v>25</v>
      </c>
      <c r="L1420" s="342">
        <v>0</v>
      </c>
    </row>
    <row r="1421" spans="1:12" x14ac:dyDescent="0.25">
      <c r="A1421" s="341" t="s">
        <v>2420</v>
      </c>
      <c r="B1421" s="341" t="s">
        <v>2420</v>
      </c>
      <c r="C1421" s="341" t="s">
        <v>2420</v>
      </c>
      <c r="D1421" s="342">
        <v>0</v>
      </c>
      <c r="E1421" s="342" t="s">
        <v>2420</v>
      </c>
      <c r="F1421" s="342" t="s">
        <v>9622</v>
      </c>
      <c r="G1421" s="341" t="s">
        <v>1298</v>
      </c>
      <c r="H1421" s="341" t="s">
        <v>9847</v>
      </c>
      <c r="I1421" s="341" t="s">
        <v>11</v>
      </c>
      <c r="J1421" s="342">
        <v>1</v>
      </c>
      <c r="K1421" s="342" t="s">
        <v>25</v>
      </c>
      <c r="L1421" s="342">
        <v>0</v>
      </c>
    </row>
    <row r="1422" spans="1:12" x14ac:dyDescent="0.25">
      <c r="A1422" s="341" t="s">
        <v>2420</v>
      </c>
      <c r="B1422" s="341" t="s">
        <v>2420</v>
      </c>
      <c r="C1422" s="341" t="s">
        <v>2420</v>
      </c>
      <c r="D1422" s="342">
        <v>0</v>
      </c>
      <c r="E1422" s="342" t="s">
        <v>2420</v>
      </c>
      <c r="F1422" s="342" t="s">
        <v>9622</v>
      </c>
      <c r="G1422" s="341" t="s">
        <v>1312</v>
      </c>
      <c r="H1422" s="341" t="s">
        <v>10236</v>
      </c>
      <c r="I1422" s="341" t="s">
        <v>11</v>
      </c>
      <c r="J1422" s="342">
        <v>1</v>
      </c>
      <c r="K1422" s="342" t="s">
        <v>25</v>
      </c>
      <c r="L1422" s="342">
        <v>0</v>
      </c>
    </row>
    <row r="1423" spans="1:12" x14ac:dyDescent="0.25">
      <c r="A1423" s="341" t="s">
        <v>2420</v>
      </c>
      <c r="B1423" s="341" t="s">
        <v>2420</v>
      </c>
      <c r="C1423" s="341" t="s">
        <v>2420</v>
      </c>
      <c r="D1423" s="342">
        <v>0</v>
      </c>
      <c r="E1423" s="342" t="s">
        <v>2420</v>
      </c>
      <c r="F1423" s="342" t="s">
        <v>9622</v>
      </c>
      <c r="G1423" s="341" t="s">
        <v>1420</v>
      </c>
      <c r="H1423" s="341" t="s">
        <v>7141</v>
      </c>
      <c r="I1423" s="341" t="s">
        <v>11</v>
      </c>
      <c r="J1423" s="342">
        <v>1</v>
      </c>
      <c r="K1423" s="342" t="s">
        <v>25</v>
      </c>
      <c r="L1423" s="342">
        <v>0</v>
      </c>
    </row>
    <row r="1424" spans="1:12" x14ac:dyDescent="0.25">
      <c r="A1424" s="341" t="s">
        <v>2420</v>
      </c>
      <c r="B1424" s="341" t="s">
        <v>2420</v>
      </c>
      <c r="C1424" s="341" t="s">
        <v>2420</v>
      </c>
      <c r="D1424" s="342">
        <v>0</v>
      </c>
      <c r="E1424" s="342" t="s">
        <v>2420</v>
      </c>
      <c r="F1424" s="342" t="s">
        <v>9622</v>
      </c>
      <c r="G1424" s="341" t="s">
        <v>1500</v>
      </c>
      <c r="H1424" s="341" t="s">
        <v>4507</v>
      </c>
      <c r="I1424" s="341" t="s">
        <v>11</v>
      </c>
      <c r="J1424" s="342">
        <v>1</v>
      </c>
      <c r="K1424" s="342" t="s">
        <v>25</v>
      </c>
      <c r="L1424" s="342">
        <v>0</v>
      </c>
    </row>
    <row r="1425" spans="1:12" x14ac:dyDescent="0.25">
      <c r="A1425" s="341" t="s">
        <v>2420</v>
      </c>
      <c r="B1425" s="341" t="s">
        <v>2420</v>
      </c>
      <c r="C1425" s="341" t="s">
        <v>2420</v>
      </c>
      <c r="D1425" s="342">
        <v>0</v>
      </c>
      <c r="E1425" s="342" t="s">
        <v>2420</v>
      </c>
      <c r="F1425" s="342" t="s">
        <v>9622</v>
      </c>
      <c r="G1425" s="341" t="s">
        <v>1784</v>
      </c>
      <c r="H1425" s="341" t="s">
        <v>7821</v>
      </c>
      <c r="I1425" s="341" t="s">
        <v>11</v>
      </c>
      <c r="J1425" s="342">
        <v>1</v>
      </c>
      <c r="K1425" s="342" t="s">
        <v>9638</v>
      </c>
      <c r="L1425" s="342">
        <v>0</v>
      </c>
    </row>
    <row r="1426" spans="1:12" x14ac:dyDescent="0.25">
      <c r="A1426" s="341" t="s">
        <v>2420</v>
      </c>
      <c r="B1426" s="341" t="s">
        <v>2420</v>
      </c>
      <c r="C1426" s="341" t="s">
        <v>2420</v>
      </c>
      <c r="D1426" s="342">
        <v>0</v>
      </c>
      <c r="E1426" s="342" t="s">
        <v>2420</v>
      </c>
      <c r="F1426" s="342" t="s">
        <v>9622</v>
      </c>
      <c r="G1426" s="341" t="s">
        <v>1816</v>
      </c>
      <c r="H1426" s="341" t="s">
        <v>10239</v>
      </c>
      <c r="I1426" s="341" t="s">
        <v>11</v>
      </c>
      <c r="J1426" s="342">
        <v>1</v>
      </c>
      <c r="K1426" s="342" t="s">
        <v>9638</v>
      </c>
      <c r="L1426" s="342">
        <v>0</v>
      </c>
    </row>
    <row r="1427" spans="1:12" x14ac:dyDescent="0.25">
      <c r="A1427" s="341" t="s">
        <v>220</v>
      </c>
      <c r="B1427" s="341" t="s">
        <v>2946</v>
      </c>
      <c r="C1427" s="341" t="s">
        <v>11</v>
      </c>
      <c r="D1427" s="342">
        <v>1</v>
      </c>
      <c r="E1427" s="342">
        <v>0</v>
      </c>
      <c r="F1427" s="342" t="s">
        <v>9622</v>
      </c>
      <c r="G1427" s="341" t="s">
        <v>1322</v>
      </c>
      <c r="H1427" s="341" t="s">
        <v>7014</v>
      </c>
      <c r="I1427" s="341" t="s">
        <v>25</v>
      </c>
      <c r="J1427" s="342">
        <v>1.1200000000000001</v>
      </c>
      <c r="K1427" s="342" t="s">
        <v>25</v>
      </c>
      <c r="L1427" s="342">
        <v>0</v>
      </c>
    </row>
    <row r="1428" spans="1:12" x14ac:dyDescent="0.25">
      <c r="A1428" s="341" t="s">
        <v>2420</v>
      </c>
      <c r="B1428" s="341" t="s">
        <v>2420</v>
      </c>
      <c r="C1428" s="341" t="s">
        <v>2420</v>
      </c>
      <c r="D1428" s="342">
        <v>0</v>
      </c>
      <c r="E1428" s="342" t="s">
        <v>2420</v>
      </c>
      <c r="F1428" s="342" t="s">
        <v>9622</v>
      </c>
      <c r="G1428" s="341" t="s">
        <v>1337</v>
      </c>
      <c r="H1428" s="341" t="s">
        <v>7056</v>
      </c>
      <c r="I1428" s="341" t="s">
        <v>11</v>
      </c>
      <c r="J1428" s="342">
        <v>1</v>
      </c>
      <c r="K1428" s="342" t="s">
        <v>25</v>
      </c>
      <c r="L1428" s="342">
        <v>0</v>
      </c>
    </row>
    <row r="1429" spans="1:12" x14ac:dyDescent="0.25">
      <c r="A1429" s="341" t="s">
        <v>2420</v>
      </c>
      <c r="B1429" s="341" t="s">
        <v>2420</v>
      </c>
      <c r="C1429" s="341" t="s">
        <v>2420</v>
      </c>
      <c r="D1429" s="342">
        <v>0</v>
      </c>
      <c r="E1429" s="342" t="s">
        <v>2420</v>
      </c>
      <c r="F1429" s="342" t="s">
        <v>9622</v>
      </c>
      <c r="G1429" s="341" t="s">
        <v>1409</v>
      </c>
      <c r="H1429" s="341" t="s">
        <v>7129</v>
      </c>
      <c r="I1429" s="341" t="s">
        <v>11</v>
      </c>
      <c r="J1429" s="342">
        <v>1</v>
      </c>
      <c r="K1429" s="342" t="s">
        <v>25</v>
      </c>
      <c r="L1429" s="342">
        <v>0</v>
      </c>
    </row>
    <row r="1430" spans="1:12" x14ac:dyDescent="0.25">
      <c r="A1430" s="341" t="s">
        <v>2420</v>
      </c>
      <c r="B1430" s="341" t="s">
        <v>2420</v>
      </c>
      <c r="C1430" s="341" t="s">
        <v>2420</v>
      </c>
      <c r="D1430" s="342">
        <v>0</v>
      </c>
      <c r="E1430" s="342" t="s">
        <v>2420</v>
      </c>
      <c r="F1430" s="342" t="s">
        <v>9622</v>
      </c>
      <c r="G1430" s="341" t="s">
        <v>1429</v>
      </c>
      <c r="H1430" s="341" t="s">
        <v>7150</v>
      </c>
      <c r="I1430" s="341" t="s">
        <v>11</v>
      </c>
      <c r="J1430" s="342">
        <v>1</v>
      </c>
      <c r="K1430" s="342" t="s">
        <v>25</v>
      </c>
      <c r="L1430" s="342">
        <v>0</v>
      </c>
    </row>
    <row r="1431" spans="1:12" x14ac:dyDescent="0.25">
      <c r="A1431" s="341" t="s">
        <v>2420</v>
      </c>
      <c r="B1431" s="341" t="s">
        <v>2420</v>
      </c>
      <c r="C1431" s="341" t="s">
        <v>2420</v>
      </c>
      <c r="D1431" s="342">
        <v>0</v>
      </c>
      <c r="E1431" s="342" t="s">
        <v>2420</v>
      </c>
      <c r="F1431" s="342" t="s">
        <v>9622</v>
      </c>
      <c r="G1431" s="341" t="s">
        <v>1794</v>
      </c>
      <c r="H1431" s="341" t="s">
        <v>2946</v>
      </c>
      <c r="I1431" s="341" t="s">
        <v>11</v>
      </c>
      <c r="J1431" s="342">
        <v>1</v>
      </c>
      <c r="K1431" s="342" t="s">
        <v>9638</v>
      </c>
      <c r="L1431" s="342">
        <v>0</v>
      </c>
    </row>
    <row r="1432" spans="1:12" x14ac:dyDescent="0.25">
      <c r="A1432" s="341" t="s">
        <v>469</v>
      </c>
      <c r="B1432" s="341" t="s">
        <v>2947</v>
      </c>
      <c r="C1432" s="341" t="s">
        <v>11</v>
      </c>
      <c r="D1432" s="342">
        <v>1</v>
      </c>
      <c r="E1432" s="342">
        <v>0</v>
      </c>
      <c r="F1432" s="342" t="s">
        <v>9622</v>
      </c>
      <c r="G1432" s="341" t="s">
        <v>1322</v>
      </c>
      <c r="H1432" s="341" t="s">
        <v>7014</v>
      </c>
      <c r="I1432" s="341" t="s">
        <v>25</v>
      </c>
      <c r="J1432" s="342">
        <v>1.1200000000000001</v>
      </c>
      <c r="K1432" s="342" t="s">
        <v>25</v>
      </c>
      <c r="L1432" s="342">
        <v>0</v>
      </c>
    </row>
    <row r="1433" spans="1:12" x14ac:dyDescent="0.25">
      <c r="A1433" s="341" t="s">
        <v>2420</v>
      </c>
      <c r="B1433" s="341" t="s">
        <v>2420</v>
      </c>
      <c r="C1433" s="341" t="s">
        <v>2420</v>
      </c>
      <c r="D1433" s="342">
        <v>0</v>
      </c>
      <c r="E1433" s="342" t="s">
        <v>2420</v>
      </c>
      <c r="F1433" s="342" t="s">
        <v>9622</v>
      </c>
      <c r="G1433" s="341" t="s">
        <v>1337</v>
      </c>
      <c r="H1433" s="341" t="s">
        <v>7056</v>
      </c>
      <c r="I1433" s="341" t="s">
        <v>11</v>
      </c>
      <c r="J1433" s="342">
        <v>1</v>
      </c>
      <c r="K1433" s="342" t="s">
        <v>25</v>
      </c>
      <c r="L1433" s="342">
        <v>0</v>
      </c>
    </row>
    <row r="1434" spans="1:12" x14ac:dyDescent="0.25">
      <c r="A1434" s="341" t="s">
        <v>2420</v>
      </c>
      <c r="B1434" s="341" t="s">
        <v>2420</v>
      </c>
      <c r="C1434" s="341" t="s">
        <v>2420</v>
      </c>
      <c r="D1434" s="342">
        <v>0</v>
      </c>
      <c r="E1434" s="342" t="s">
        <v>2420</v>
      </c>
      <c r="F1434" s="342" t="s">
        <v>9622</v>
      </c>
      <c r="G1434" s="341" t="s">
        <v>1409</v>
      </c>
      <c r="H1434" s="341" t="s">
        <v>7129</v>
      </c>
      <c r="I1434" s="341" t="s">
        <v>11</v>
      </c>
      <c r="J1434" s="342">
        <v>1</v>
      </c>
      <c r="K1434" s="342" t="s">
        <v>25</v>
      </c>
      <c r="L1434" s="342">
        <v>0</v>
      </c>
    </row>
    <row r="1435" spans="1:12" x14ac:dyDescent="0.25">
      <c r="A1435" s="341" t="s">
        <v>2420</v>
      </c>
      <c r="B1435" s="341" t="s">
        <v>2420</v>
      </c>
      <c r="C1435" s="341" t="s">
        <v>2420</v>
      </c>
      <c r="D1435" s="342">
        <v>0</v>
      </c>
      <c r="E1435" s="342" t="s">
        <v>2420</v>
      </c>
      <c r="F1435" s="342" t="s">
        <v>9622</v>
      </c>
      <c r="G1435" s="341" t="s">
        <v>1429</v>
      </c>
      <c r="H1435" s="341" t="s">
        <v>7150</v>
      </c>
      <c r="I1435" s="341" t="s">
        <v>11</v>
      </c>
      <c r="J1435" s="342">
        <v>1</v>
      </c>
      <c r="K1435" s="342" t="s">
        <v>25</v>
      </c>
      <c r="L1435" s="342">
        <v>0</v>
      </c>
    </row>
    <row r="1436" spans="1:12" x14ac:dyDescent="0.25">
      <c r="A1436" s="341" t="s">
        <v>2420</v>
      </c>
      <c r="B1436" s="341" t="s">
        <v>2420</v>
      </c>
      <c r="C1436" s="341" t="s">
        <v>2420</v>
      </c>
      <c r="D1436" s="342">
        <v>0</v>
      </c>
      <c r="E1436" s="342" t="s">
        <v>2420</v>
      </c>
      <c r="F1436" s="342" t="s">
        <v>9622</v>
      </c>
      <c r="G1436" s="341" t="s">
        <v>1532</v>
      </c>
      <c r="H1436" s="341" t="s">
        <v>2947</v>
      </c>
      <c r="I1436" s="341" t="s">
        <v>11</v>
      </c>
      <c r="J1436" s="342">
        <v>1</v>
      </c>
      <c r="K1436" s="342" t="s">
        <v>25</v>
      </c>
      <c r="L1436" s="342">
        <v>0</v>
      </c>
    </row>
    <row r="1437" spans="1:12" x14ac:dyDescent="0.25">
      <c r="A1437" s="341" t="s">
        <v>470</v>
      </c>
      <c r="B1437" s="341" t="s">
        <v>2948</v>
      </c>
      <c r="C1437" s="341" t="s">
        <v>11</v>
      </c>
      <c r="D1437" s="342">
        <v>1</v>
      </c>
      <c r="E1437" s="342">
        <v>0</v>
      </c>
      <c r="F1437" s="342" t="s">
        <v>9622</v>
      </c>
      <c r="G1437" s="341" t="s">
        <v>1322</v>
      </c>
      <c r="H1437" s="341" t="s">
        <v>7014</v>
      </c>
      <c r="I1437" s="341" t="s">
        <v>25</v>
      </c>
      <c r="J1437" s="342">
        <v>1.1200000000000001</v>
      </c>
      <c r="K1437" s="342" t="s">
        <v>25</v>
      </c>
      <c r="L1437" s="342">
        <v>0</v>
      </c>
    </row>
    <row r="1438" spans="1:12" x14ac:dyDescent="0.25">
      <c r="A1438" s="341" t="s">
        <v>2420</v>
      </c>
      <c r="B1438" s="341" t="s">
        <v>2420</v>
      </c>
      <c r="C1438" s="341" t="s">
        <v>2420</v>
      </c>
      <c r="D1438" s="342">
        <v>0</v>
      </c>
      <c r="E1438" s="342" t="s">
        <v>2420</v>
      </c>
      <c r="F1438" s="342" t="s">
        <v>9622</v>
      </c>
      <c r="G1438" s="341" t="s">
        <v>1337</v>
      </c>
      <c r="H1438" s="341" t="s">
        <v>7056</v>
      </c>
      <c r="I1438" s="341" t="s">
        <v>11</v>
      </c>
      <c r="J1438" s="342">
        <v>1</v>
      </c>
      <c r="K1438" s="342" t="s">
        <v>25</v>
      </c>
      <c r="L1438" s="342">
        <v>0</v>
      </c>
    </row>
    <row r="1439" spans="1:12" x14ac:dyDescent="0.25">
      <c r="A1439" s="341" t="s">
        <v>2420</v>
      </c>
      <c r="B1439" s="341" t="s">
        <v>2420</v>
      </c>
      <c r="C1439" s="341" t="s">
        <v>2420</v>
      </c>
      <c r="D1439" s="342">
        <v>0</v>
      </c>
      <c r="E1439" s="342" t="s">
        <v>2420</v>
      </c>
      <c r="F1439" s="342" t="s">
        <v>9622</v>
      </c>
      <c r="G1439" s="341" t="s">
        <v>1409</v>
      </c>
      <c r="H1439" s="341" t="s">
        <v>7129</v>
      </c>
      <c r="I1439" s="341" t="s">
        <v>11</v>
      </c>
      <c r="J1439" s="342">
        <v>1</v>
      </c>
      <c r="K1439" s="342" t="s">
        <v>25</v>
      </c>
      <c r="L1439" s="342">
        <v>0</v>
      </c>
    </row>
    <row r="1440" spans="1:12" x14ac:dyDescent="0.25">
      <c r="A1440" s="341" t="s">
        <v>2420</v>
      </c>
      <c r="B1440" s="341" t="s">
        <v>2420</v>
      </c>
      <c r="C1440" s="341" t="s">
        <v>2420</v>
      </c>
      <c r="D1440" s="342">
        <v>0</v>
      </c>
      <c r="E1440" s="342" t="s">
        <v>2420</v>
      </c>
      <c r="F1440" s="342" t="s">
        <v>9622</v>
      </c>
      <c r="G1440" s="341" t="s">
        <v>1429</v>
      </c>
      <c r="H1440" s="341" t="s">
        <v>7150</v>
      </c>
      <c r="I1440" s="341" t="s">
        <v>11</v>
      </c>
      <c r="J1440" s="342">
        <v>1</v>
      </c>
      <c r="K1440" s="342" t="s">
        <v>25</v>
      </c>
      <c r="L1440" s="342">
        <v>0</v>
      </c>
    </row>
    <row r="1441" spans="1:12" x14ac:dyDescent="0.25">
      <c r="A1441" s="341" t="s">
        <v>2420</v>
      </c>
      <c r="B1441" s="341" t="s">
        <v>2420</v>
      </c>
      <c r="C1441" s="341" t="s">
        <v>2420</v>
      </c>
      <c r="D1441" s="342">
        <v>0</v>
      </c>
      <c r="E1441" s="342" t="s">
        <v>2420</v>
      </c>
      <c r="F1441" s="342" t="s">
        <v>9622</v>
      </c>
      <c r="G1441" s="341" t="s">
        <v>1823</v>
      </c>
      <c r="H1441" s="341" t="s">
        <v>2948</v>
      </c>
      <c r="I1441" s="341" t="s">
        <v>11</v>
      </c>
      <c r="J1441" s="342">
        <v>1</v>
      </c>
      <c r="K1441" s="342" t="s">
        <v>9638</v>
      </c>
      <c r="L1441" s="342">
        <v>0</v>
      </c>
    </row>
    <row r="1442" spans="1:12" x14ac:dyDescent="0.25">
      <c r="A1442" s="341" t="s">
        <v>471</v>
      </c>
      <c r="B1442" s="341" t="s">
        <v>10240</v>
      </c>
      <c r="C1442" s="341" t="s">
        <v>11</v>
      </c>
      <c r="D1442" s="342">
        <v>1</v>
      </c>
      <c r="E1442" s="342">
        <v>0</v>
      </c>
      <c r="F1442" s="342" t="s">
        <v>9622</v>
      </c>
      <c r="G1442" s="341" t="s">
        <v>1322</v>
      </c>
      <c r="H1442" s="341" t="s">
        <v>7014</v>
      </c>
      <c r="I1442" s="341" t="s">
        <v>25</v>
      </c>
      <c r="J1442" s="342">
        <v>1.1200000000000001</v>
      </c>
      <c r="K1442" s="342" t="s">
        <v>25</v>
      </c>
      <c r="L1442" s="342">
        <v>0</v>
      </c>
    </row>
    <row r="1443" spans="1:12" x14ac:dyDescent="0.25">
      <c r="A1443" s="341" t="s">
        <v>2420</v>
      </c>
      <c r="B1443" s="341" t="s">
        <v>2420</v>
      </c>
      <c r="C1443" s="341" t="s">
        <v>2420</v>
      </c>
      <c r="D1443" s="342">
        <v>0</v>
      </c>
      <c r="E1443" s="342" t="s">
        <v>2420</v>
      </c>
      <c r="F1443" s="342" t="s">
        <v>9622</v>
      </c>
      <c r="G1443" s="341" t="s">
        <v>1337</v>
      </c>
      <c r="H1443" s="341" t="s">
        <v>7056</v>
      </c>
      <c r="I1443" s="341" t="s">
        <v>11</v>
      </c>
      <c r="J1443" s="342">
        <v>1</v>
      </c>
      <c r="K1443" s="342" t="s">
        <v>25</v>
      </c>
      <c r="L1443" s="342">
        <v>0</v>
      </c>
    </row>
    <row r="1444" spans="1:12" x14ac:dyDescent="0.25">
      <c r="A1444" s="341" t="s">
        <v>2420</v>
      </c>
      <c r="B1444" s="341" t="s">
        <v>2420</v>
      </c>
      <c r="C1444" s="341" t="s">
        <v>2420</v>
      </c>
      <c r="D1444" s="342">
        <v>0</v>
      </c>
      <c r="E1444" s="342" t="s">
        <v>2420</v>
      </c>
      <c r="F1444" s="342" t="s">
        <v>9622</v>
      </c>
      <c r="G1444" s="341" t="s">
        <v>1408</v>
      </c>
      <c r="H1444" s="341" t="s">
        <v>9854</v>
      </c>
      <c r="I1444" s="341" t="s">
        <v>11</v>
      </c>
      <c r="J1444" s="342">
        <v>1</v>
      </c>
      <c r="K1444" s="342" t="s">
        <v>25</v>
      </c>
      <c r="L1444" s="342">
        <v>0</v>
      </c>
    </row>
    <row r="1445" spans="1:12" x14ac:dyDescent="0.25">
      <c r="A1445" s="341" t="s">
        <v>2420</v>
      </c>
      <c r="B1445" s="341" t="s">
        <v>2420</v>
      </c>
      <c r="C1445" s="341" t="s">
        <v>2420</v>
      </c>
      <c r="D1445" s="342">
        <v>0</v>
      </c>
      <c r="E1445" s="342" t="s">
        <v>2420</v>
      </c>
      <c r="F1445" s="342" t="s">
        <v>9622</v>
      </c>
      <c r="G1445" s="341" t="s">
        <v>1427</v>
      </c>
      <c r="H1445" s="341" t="s">
        <v>9855</v>
      </c>
      <c r="I1445" s="341" t="s">
        <v>11</v>
      </c>
      <c r="J1445" s="342">
        <v>1</v>
      </c>
      <c r="K1445" s="342" t="s">
        <v>25</v>
      </c>
      <c r="L1445" s="342">
        <v>0</v>
      </c>
    </row>
    <row r="1446" spans="1:12" x14ac:dyDescent="0.25">
      <c r="A1446" s="341" t="s">
        <v>2420</v>
      </c>
      <c r="B1446" s="341" t="s">
        <v>2420</v>
      </c>
      <c r="C1446" s="341" t="s">
        <v>2420</v>
      </c>
      <c r="D1446" s="342">
        <v>0</v>
      </c>
      <c r="E1446" s="342" t="s">
        <v>2420</v>
      </c>
      <c r="F1446" s="342" t="s">
        <v>9622</v>
      </c>
      <c r="G1446" s="341" t="s">
        <v>1773</v>
      </c>
      <c r="H1446" s="341" t="s">
        <v>7811</v>
      </c>
      <c r="I1446" s="341" t="s">
        <v>11</v>
      </c>
      <c r="J1446" s="342">
        <v>1</v>
      </c>
      <c r="K1446" s="342" t="s">
        <v>9638</v>
      </c>
      <c r="L1446" s="342">
        <v>0</v>
      </c>
    </row>
    <row r="1447" spans="1:12" x14ac:dyDescent="0.25">
      <c r="A1447" s="341" t="s">
        <v>196</v>
      </c>
      <c r="B1447" s="341" t="s">
        <v>10241</v>
      </c>
      <c r="C1447" s="341" t="s">
        <v>11</v>
      </c>
      <c r="D1447" s="342">
        <v>1</v>
      </c>
      <c r="E1447" s="342">
        <v>0</v>
      </c>
      <c r="F1447" s="342" t="s">
        <v>9622</v>
      </c>
      <c r="G1447" s="341" t="s">
        <v>1322</v>
      </c>
      <c r="H1447" s="341" t="s">
        <v>7014</v>
      </c>
      <c r="I1447" s="341" t="s">
        <v>25</v>
      </c>
      <c r="J1447" s="342">
        <v>1.1200000000000001</v>
      </c>
      <c r="K1447" s="342" t="s">
        <v>25</v>
      </c>
      <c r="L1447" s="342">
        <v>0</v>
      </c>
    </row>
    <row r="1448" spans="1:12" x14ac:dyDescent="0.25">
      <c r="A1448" s="341" t="s">
        <v>2420</v>
      </c>
      <c r="B1448" s="341" t="s">
        <v>2420</v>
      </c>
      <c r="C1448" s="341" t="s">
        <v>2420</v>
      </c>
      <c r="D1448" s="342">
        <v>0</v>
      </c>
      <c r="E1448" s="342" t="s">
        <v>2420</v>
      </c>
      <c r="F1448" s="342" t="s">
        <v>9622</v>
      </c>
      <c r="G1448" s="341" t="s">
        <v>1337</v>
      </c>
      <c r="H1448" s="341" t="s">
        <v>7056</v>
      </c>
      <c r="I1448" s="341" t="s">
        <v>11</v>
      </c>
      <c r="J1448" s="342">
        <v>1</v>
      </c>
      <c r="K1448" s="342" t="s">
        <v>25</v>
      </c>
      <c r="L1448" s="342">
        <v>0</v>
      </c>
    </row>
    <row r="1449" spans="1:12" x14ac:dyDescent="0.25">
      <c r="A1449" s="341" t="s">
        <v>2420</v>
      </c>
      <c r="B1449" s="341" t="s">
        <v>2420</v>
      </c>
      <c r="C1449" s="341" t="s">
        <v>2420</v>
      </c>
      <c r="D1449" s="342">
        <v>0</v>
      </c>
      <c r="E1449" s="342" t="s">
        <v>2420</v>
      </c>
      <c r="F1449" s="342" t="s">
        <v>9622</v>
      </c>
      <c r="G1449" s="341" t="s">
        <v>1408</v>
      </c>
      <c r="H1449" s="341" t="s">
        <v>9854</v>
      </c>
      <c r="I1449" s="341" t="s">
        <v>11</v>
      </c>
      <c r="J1449" s="342">
        <v>1</v>
      </c>
      <c r="K1449" s="342" t="s">
        <v>25</v>
      </c>
      <c r="L1449" s="342">
        <v>0</v>
      </c>
    </row>
    <row r="1450" spans="1:12" x14ac:dyDescent="0.25">
      <c r="A1450" s="341" t="s">
        <v>2420</v>
      </c>
      <c r="B1450" s="341" t="s">
        <v>2420</v>
      </c>
      <c r="C1450" s="341" t="s">
        <v>2420</v>
      </c>
      <c r="D1450" s="342">
        <v>0</v>
      </c>
      <c r="E1450" s="342" t="s">
        <v>2420</v>
      </c>
      <c r="F1450" s="342" t="s">
        <v>9622</v>
      </c>
      <c r="G1450" s="341" t="s">
        <v>1427</v>
      </c>
      <c r="H1450" s="341" t="s">
        <v>9855</v>
      </c>
      <c r="I1450" s="341" t="s">
        <v>11</v>
      </c>
      <c r="J1450" s="342">
        <v>1</v>
      </c>
      <c r="K1450" s="342" t="s">
        <v>25</v>
      </c>
      <c r="L1450" s="342">
        <v>0</v>
      </c>
    </row>
    <row r="1451" spans="1:12" x14ac:dyDescent="0.25">
      <c r="A1451" s="341" t="s">
        <v>2420</v>
      </c>
      <c r="B1451" s="341" t="s">
        <v>2420</v>
      </c>
      <c r="C1451" s="341" t="s">
        <v>2420</v>
      </c>
      <c r="D1451" s="342">
        <v>0</v>
      </c>
      <c r="E1451" s="342" t="s">
        <v>2420</v>
      </c>
      <c r="F1451" s="342" t="s">
        <v>9622</v>
      </c>
      <c r="G1451" s="341" t="s">
        <v>3415</v>
      </c>
      <c r="H1451" s="341" t="s">
        <v>10242</v>
      </c>
      <c r="I1451" s="341" t="s">
        <v>11</v>
      </c>
      <c r="J1451" s="342">
        <v>1</v>
      </c>
      <c r="K1451" s="342" t="s">
        <v>9638</v>
      </c>
      <c r="L1451" s="342">
        <v>0</v>
      </c>
    </row>
    <row r="1452" spans="1:12" x14ac:dyDescent="0.25">
      <c r="A1452" s="341" t="s">
        <v>472</v>
      </c>
      <c r="B1452" s="341" t="s">
        <v>10243</v>
      </c>
      <c r="C1452" s="341" t="s">
        <v>11</v>
      </c>
      <c r="D1452" s="342">
        <v>1</v>
      </c>
      <c r="E1452" s="342">
        <v>0</v>
      </c>
      <c r="F1452" s="342" t="s">
        <v>9622</v>
      </c>
      <c r="G1452" s="341" t="s">
        <v>1322</v>
      </c>
      <c r="H1452" s="341" t="s">
        <v>7014</v>
      </c>
      <c r="I1452" s="341" t="s">
        <v>25</v>
      </c>
      <c r="J1452" s="342">
        <v>1.1200000000000001</v>
      </c>
      <c r="K1452" s="342" t="s">
        <v>25</v>
      </c>
      <c r="L1452" s="342">
        <v>0</v>
      </c>
    </row>
    <row r="1453" spans="1:12" x14ac:dyDescent="0.25">
      <c r="A1453" s="341" t="s">
        <v>2420</v>
      </c>
      <c r="B1453" s="341" t="s">
        <v>2420</v>
      </c>
      <c r="C1453" s="341" t="s">
        <v>2420</v>
      </c>
      <c r="D1453" s="342">
        <v>0</v>
      </c>
      <c r="E1453" s="342" t="s">
        <v>2420</v>
      </c>
      <c r="F1453" s="342" t="s">
        <v>9622</v>
      </c>
      <c r="G1453" s="341" t="s">
        <v>1337</v>
      </c>
      <c r="H1453" s="341" t="s">
        <v>7056</v>
      </c>
      <c r="I1453" s="341" t="s">
        <v>11</v>
      </c>
      <c r="J1453" s="342">
        <v>1</v>
      </c>
      <c r="K1453" s="342" t="s">
        <v>25</v>
      </c>
      <c r="L1453" s="342">
        <v>0</v>
      </c>
    </row>
    <row r="1454" spans="1:12" x14ac:dyDescent="0.25">
      <c r="A1454" s="341" t="s">
        <v>2420</v>
      </c>
      <c r="B1454" s="341" t="s">
        <v>2420</v>
      </c>
      <c r="C1454" s="341" t="s">
        <v>2420</v>
      </c>
      <c r="D1454" s="342">
        <v>0</v>
      </c>
      <c r="E1454" s="342" t="s">
        <v>2420</v>
      </c>
      <c r="F1454" s="342" t="s">
        <v>9622</v>
      </c>
      <c r="G1454" s="341" t="s">
        <v>1408</v>
      </c>
      <c r="H1454" s="341" t="s">
        <v>9854</v>
      </c>
      <c r="I1454" s="341" t="s">
        <v>11</v>
      </c>
      <c r="J1454" s="342">
        <v>1</v>
      </c>
      <c r="K1454" s="342" t="s">
        <v>25</v>
      </c>
      <c r="L1454" s="342">
        <v>0</v>
      </c>
    </row>
    <row r="1455" spans="1:12" x14ac:dyDescent="0.25">
      <c r="A1455" s="341" t="s">
        <v>2420</v>
      </c>
      <c r="B1455" s="341" t="s">
        <v>2420</v>
      </c>
      <c r="C1455" s="341" t="s">
        <v>2420</v>
      </c>
      <c r="D1455" s="342">
        <v>0</v>
      </c>
      <c r="E1455" s="342" t="s">
        <v>2420</v>
      </c>
      <c r="F1455" s="342" t="s">
        <v>9622</v>
      </c>
      <c r="G1455" s="341" t="s">
        <v>1427</v>
      </c>
      <c r="H1455" s="341" t="s">
        <v>9855</v>
      </c>
      <c r="I1455" s="341" t="s">
        <v>11</v>
      </c>
      <c r="J1455" s="342">
        <v>1</v>
      </c>
      <c r="K1455" s="342" t="s">
        <v>25</v>
      </c>
      <c r="L1455" s="342">
        <v>0</v>
      </c>
    </row>
    <row r="1456" spans="1:12" x14ac:dyDescent="0.25">
      <c r="A1456" s="341" t="s">
        <v>2420</v>
      </c>
      <c r="B1456" s="341" t="s">
        <v>2420</v>
      </c>
      <c r="C1456" s="341" t="s">
        <v>2420</v>
      </c>
      <c r="D1456" s="342">
        <v>0</v>
      </c>
      <c r="E1456" s="342" t="s">
        <v>2420</v>
      </c>
      <c r="F1456" s="342" t="s">
        <v>9622</v>
      </c>
      <c r="G1456" s="341" t="s">
        <v>1782</v>
      </c>
      <c r="H1456" s="341" t="s">
        <v>10244</v>
      </c>
      <c r="I1456" s="341" t="s">
        <v>11</v>
      </c>
      <c r="J1456" s="342">
        <v>1</v>
      </c>
      <c r="K1456" s="342" t="s">
        <v>9638</v>
      </c>
      <c r="L1456" s="342">
        <v>0</v>
      </c>
    </row>
    <row r="1457" spans="1:12" x14ac:dyDescent="0.25">
      <c r="A1457" s="341" t="s">
        <v>474</v>
      </c>
      <c r="B1457" s="341" t="s">
        <v>10245</v>
      </c>
      <c r="C1457" s="341" t="s">
        <v>11</v>
      </c>
      <c r="D1457" s="342">
        <v>1</v>
      </c>
      <c r="E1457" s="342">
        <v>0</v>
      </c>
      <c r="F1457" s="342" t="s">
        <v>9622</v>
      </c>
      <c r="G1457" s="341" t="s">
        <v>1322</v>
      </c>
      <c r="H1457" s="341" t="s">
        <v>7014</v>
      </c>
      <c r="I1457" s="341" t="s">
        <v>25</v>
      </c>
      <c r="J1457" s="342">
        <v>1.1200000000000001</v>
      </c>
      <c r="K1457" s="342" t="s">
        <v>25</v>
      </c>
      <c r="L1457" s="342">
        <v>0</v>
      </c>
    </row>
    <row r="1458" spans="1:12" x14ac:dyDescent="0.25">
      <c r="A1458" s="341" t="s">
        <v>2420</v>
      </c>
      <c r="B1458" s="341" t="s">
        <v>2420</v>
      </c>
      <c r="C1458" s="341" t="s">
        <v>2420</v>
      </c>
      <c r="D1458" s="342">
        <v>0</v>
      </c>
      <c r="E1458" s="342" t="s">
        <v>2420</v>
      </c>
      <c r="F1458" s="342" t="s">
        <v>9622</v>
      </c>
      <c r="G1458" s="341" t="s">
        <v>1337</v>
      </c>
      <c r="H1458" s="341" t="s">
        <v>7056</v>
      </c>
      <c r="I1458" s="341" t="s">
        <v>11</v>
      </c>
      <c r="J1458" s="342">
        <v>1</v>
      </c>
      <c r="K1458" s="342" t="s">
        <v>25</v>
      </c>
      <c r="L1458" s="342">
        <v>0</v>
      </c>
    </row>
    <row r="1459" spans="1:12" x14ac:dyDescent="0.25">
      <c r="A1459" s="341" t="s">
        <v>2420</v>
      </c>
      <c r="B1459" s="341" t="s">
        <v>2420</v>
      </c>
      <c r="C1459" s="341" t="s">
        <v>2420</v>
      </c>
      <c r="D1459" s="342">
        <v>0</v>
      </c>
      <c r="E1459" s="342" t="s">
        <v>2420</v>
      </c>
      <c r="F1459" s="342" t="s">
        <v>9622</v>
      </c>
      <c r="G1459" s="341" t="s">
        <v>1408</v>
      </c>
      <c r="H1459" s="341" t="s">
        <v>9854</v>
      </c>
      <c r="I1459" s="341" t="s">
        <v>11</v>
      </c>
      <c r="J1459" s="342">
        <v>1</v>
      </c>
      <c r="K1459" s="342" t="s">
        <v>25</v>
      </c>
      <c r="L1459" s="342">
        <v>0</v>
      </c>
    </row>
    <row r="1460" spans="1:12" x14ac:dyDescent="0.25">
      <c r="A1460" s="341" t="s">
        <v>2420</v>
      </c>
      <c r="B1460" s="341" t="s">
        <v>2420</v>
      </c>
      <c r="C1460" s="341" t="s">
        <v>2420</v>
      </c>
      <c r="D1460" s="342">
        <v>0</v>
      </c>
      <c r="E1460" s="342" t="s">
        <v>2420</v>
      </c>
      <c r="F1460" s="342" t="s">
        <v>9622</v>
      </c>
      <c r="G1460" s="341" t="s">
        <v>1427</v>
      </c>
      <c r="H1460" s="341" t="s">
        <v>9855</v>
      </c>
      <c r="I1460" s="341" t="s">
        <v>11</v>
      </c>
      <c r="J1460" s="342">
        <v>1</v>
      </c>
      <c r="K1460" s="342" t="s">
        <v>25</v>
      </c>
      <c r="L1460" s="342">
        <v>0</v>
      </c>
    </row>
    <row r="1461" spans="1:12" x14ac:dyDescent="0.25">
      <c r="A1461" s="341" t="s">
        <v>2420</v>
      </c>
      <c r="B1461" s="341" t="s">
        <v>2420</v>
      </c>
      <c r="C1461" s="341" t="s">
        <v>2420</v>
      </c>
      <c r="D1461" s="342">
        <v>0</v>
      </c>
      <c r="E1461" s="342" t="s">
        <v>2420</v>
      </c>
      <c r="F1461" s="342" t="s">
        <v>9622</v>
      </c>
      <c r="G1461" s="341" t="s">
        <v>1811</v>
      </c>
      <c r="H1461" s="341" t="s">
        <v>10245</v>
      </c>
      <c r="I1461" s="341" t="s">
        <v>11</v>
      </c>
      <c r="J1461" s="342">
        <v>1</v>
      </c>
      <c r="K1461" s="342" t="s">
        <v>9638</v>
      </c>
      <c r="L1461" s="342">
        <v>0</v>
      </c>
    </row>
    <row r="1462" spans="1:12" x14ac:dyDescent="0.25">
      <c r="A1462" s="341" t="s">
        <v>475</v>
      </c>
      <c r="B1462" s="341" t="s">
        <v>10246</v>
      </c>
      <c r="C1462" s="341" t="s">
        <v>11</v>
      </c>
      <c r="D1462" s="342">
        <v>1</v>
      </c>
      <c r="E1462" s="342">
        <v>0</v>
      </c>
      <c r="F1462" s="342" t="s">
        <v>9622</v>
      </c>
      <c r="G1462" s="341" t="s">
        <v>1322</v>
      </c>
      <c r="H1462" s="341" t="s">
        <v>7014</v>
      </c>
      <c r="I1462" s="341" t="s">
        <v>25</v>
      </c>
      <c r="J1462" s="342">
        <v>1.1200000000000001</v>
      </c>
      <c r="K1462" s="342" t="s">
        <v>25</v>
      </c>
      <c r="L1462" s="342">
        <v>0</v>
      </c>
    </row>
    <row r="1463" spans="1:12" x14ac:dyDescent="0.25">
      <c r="A1463" s="341" t="s">
        <v>2420</v>
      </c>
      <c r="B1463" s="341" t="s">
        <v>2420</v>
      </c>
      <c r="C1463" s="341" t="s">
        <v>2420</v>
      </c>
      <c r="D1463" s="342">
        <v>0</v>
      </c>
      <c r="E1463" s="342" t="s">
        <v>2420</v>
      </c>
      <c r="F1463" s="342" t="s">
        <v>9622</v>
      </c>
      <c r="G1463" s="341" t="s">
        <v>1337</v>
      </c>
      <c r="H1463" s="341" t="s">
        <v>7056</v>
      </c>
      <c r="I1463" s="341" t="s">
        <v>11</v>
      </c>
      <c r="J1463" s="342">
        <v>1</v>
      </c>
      <c r="K1463" s="342" t="s">
        <v>25</v>
      </c>
      <c r="L1463" s="342">
        <v>0</v>
      </c>
    </row>
    <row r="1464" spans="1:12" x14ac:dyDescent="0.25">
      <c r="A1464" s="341" t="s">
        <v>2420</v>
      </c>
      <c r="B1464" s="341" t="s">
        <v>2420</v>
      </c>
      <c r="C1464" s="341" t="s">
        <v>2420</v>
      </c>
      <c r="D1464" s="342">
        <v>0</v>
      </c>
      <c r="E1464" s="342" t="s">
        <v>2420</v>
      </c>
      <c r="F1464" s="342" t="s">
        <v>9622</v>
      </c>
      <c r="G1464" s="341" t="s">
        <v>1408</v>
      </c>
      <c r="H1464" s="341" t="s">
        <v>9854</v>
      </c>
      <c r="I1464" s="341" t="s">
        <v>11</v>
      </c>
      <c r="J1464" s="342">
        <v>1</v>
      </c>
      <c r="K1464" s="342" t="s">
        <v>25</v>
      </c>
      <c r="L1464" s="342">
        <v>0</v>
      </c>
    </row>
    <row r="1465" spans="1:12" x14ac:dyDescent="0.25">
      <c r="A1465" s="341" t="s">
        <v>2420</v>
      </c>
      <c r="B1465" s="341" t="s">
        <v>2420</v>
      </c>
      <c r="C1465" s="341" t="s">
        <v>2420</v>
      </c>
      <c r="D1465" s="342">
        <v>0</v>
      </c>
      <c r="E1465" s="342" t="s">
        <v>2420</v>
      </c>
      <c r="F1465" s="342" t="s">
        <v>9622</v>
      </c>
      <c r="G1465" s="341" t="s">
        <v>1427</v>
      </c>
      <c r="H1465" s="341" t="s">
        <v>9855</v>
      </c>
      <c r="I1465" s="341" t="s">
        <v>11</v>
      </c>
      <c r="J1465" s="342">
        <v>1</v>
      </c>
      <c r="K1465" s="342" t="s">
        <v>25</v>
      </c>
      <c r="L1465" s="342">
        <v>0</v>
      </c>
    </row>
    <row r="1466" spans="1:12" x14ac:dyDescent="0.25">
      <c r="A1466" s="341" t="s">
        <v>2420</v>
      </c>
      <c r="B1466" s="341" t="s">
        <v>2420</v>
      </c>
      <c r="C1466" s="341" t="s">
        <v>2420</v>
      </c>
      <c r="D1466" s="342">
        <v>0</v>
      </c>
      <c r="E1466" s="342" t="s">
        <v>2420</v>
      </c>
      <c r="F1466" s="342" t="s">
        <v>9622</v>
      </c>
      <c r="G1466" s="341" t="s">
        <v>1824</v>
      </c>
      <c r="H1466" s="341" t="s">
        <v>10246</v>
      </c>
      <c r="I1466" s="341" t="s">
        <v>11</v>
      </c>
      <c r="J1466" s="342">
        <v>1</v>
      </c>
      <c r="K1466" s="342" t="s">
        <v>9638</v>
      </c>
      <c r="L1466" s="342">
        <v>0</v>
      </c>
    </row>
    <row r="1467" spans="1:12" x14ac:dyDescent="0.25">
      <c r="A1467" s="341" t="s">
        <v>476</v>
      </c>
      <c r="B1467" s="341" t="s">
        <v>10247</v>
      </c>
      <c r="C1467" s="341" t="s">
        <v>11</v>
      </c>
      <c r="D1467" s="342">
        <v>1</v>
      </c>
      <c r="E1467" s="342">
        <v>0</v>
      </c>
      <c r="F1467" s="342" t="s">
        <v>9622</v>
      </c>
      <c r="G1467" s="341" t="s">
        <v>1322</v>
      </c>
      <c r="H1467" s="341" t="s">
        <v>7014</v>
      </c>
      <c r="I1467" s="341" t="s">
        <v>25</v>
      </c>
      <c r="J1467" s="342">
        <v>1.1200000000000001</v>
      </c>
      <c r="K1467" s="342" t="s">
        <v>25</v>
      </c>
      <c r="L1467" s="342">
        <v>0</v>
      </c>
    </row>
    <row r="1468" spans="1:12" x14ac:dyDescent="0.25">
      <c r="A1468" s="341" t="s">
        <v>2420</v>
      </c>
      <c r="B1468" s="341" t="s">
        <v>2420</v>
      </c>
      <c r="C1468" s="341" t="s">
        <v>2420</v>
      </c>
      <c r="D1468" s="342">
        <v>0</v>
      </c>
      <c r="E1468" s="342" t="s">
        <v>2420</v>
      </c>
      <c r="F1468" s="342" t="s">
        <v>9622</v>
      </c>
      <c r="G1468" s="341" t="s">
        <v>1337</v>
      </c>
      <c r="H1468" s="341" t="s">
        <v>7056</v>
      </c>
      <c r="I1468" s="341" t="s">
        <v>11</v>
      </c>
      <c r="J1468" s="342">
        <v>1</v>
      </c>
      <c r="K1468" s="342" t="s">
        <v>25</v>
      </c>
      <c r="L1468" s="342">
        <v>0</v>
      </c>
    </row>
    <row r="1469" spans="1:12" x14ac:dyDescent="0.25">
      <c r="A1469" s="341" t="s">
        <v>2420</v>
      </c>
      <c r="B1469" s="341" t="s">
        <v>2420</v>
      </c>
      <c r="C1469" s="341" t="s">
        <v>2420</v>
      </c>
      <c r="D1469" s="342">
        <v>0</v>
      </c>
      <c r="E1469" s="342" t="s">
        <v>2420</v>
      </c>
      <c r="F1469" s="342" t="s">
        <v>9622</v>
      </c>
      <c r="G1469" s="341" t="s">
        <v>1411</v>
      </c>
      <c r="H1469" s="341" t="s">
        <v>10248</v>
      </c>
      <c r="I1469" s="341" t="s">
        <v>11</v>
      </c>
      <c r="J1469" s="342">
        <v>1</v>
      </c>
      <c r="K1469" s="342" t="s">
        <v>25</v>
      </c>
      <c r="L1469" s="342">
        <v>0</v>
      </c>
    </row>
    <row r="1470" spans="1:12" x14ac:dyDescent="0.25">
      <c r="A1470" s="341" t="s">
        <v>2420</v>
      </c>
      <c r="B1470" s="341" t="s">
        <v>2420</v>
      </c>
      <c r="C1470" s="341" t="s">
        <v>2420</v>
      </c>
      <c r="D1470" s="342">
        <v>0</v>
      </c>
      <c r="E1470" s="342" t="s">
        <v>2420</v>
      </c>
      <c r="F1470" s="342" t="s">
        <v>9622</v>
      </c>
      <c r="G1470" s="341" t="s">
        <v>1431</v>
      </c>
      <c r="H1470" s="341" t="s">
        <v>10249</v>
      </c>
      <c r="I1470" s="341" t="s">
        <v>11</v>
      </c>
      <c r="J1470" s="342">
        <v>1</v>
      </c>
      <c r="K1470" s="342" t="s">
        <v>25</v>
      </c>
      <c r="L1470" s="342">
        <v>0</v>
      </c>
    </row>
    <row r="1471" spans="1:12" x14ac:dyDescent="0.25">
      <c r="A1471" s="341" t="s">
        <v>2420</v>
      </c>
      <c r="B1471" s="341" t="s">
        <v>2420</v>
      </c>
      <c r="C1471" s="341" t="s">
        <v>2420</v>
      </c>
      <c r="D1471" s="342">
        <v>0</v>
      </c>
      <c r="E1471" s="342" t="s">
        <v>2420</v>
      </c>
      <c r="F1471" s="342" t="s">
        <v>9622</v>
      </c>
      <c r="G1471" s="341" t="s">
        <v>1594</v>
      </c>
      <c r="H1471" s="341" t="s">
        <v>7315</v>
      </c>
      <c r="I1471" s="341" t="s">
        <v>6609</v>
      </c>
      <c r="J1471" s="342">
        <v>1</v>
      </c>
      <c r="K1471" s="342" t="s">
        <v>25</v>
      </c>
      <c r="L1471" s="342">
        <v>0</v>
      </c>
    </row>
    <row r="1472" spans="1:12" x14ac:dyDescent="0.25">
      <c r="A1472" s="341" t="s">
        <v>2420</v>
      </c>
      <c r="B1472" s="341" t="s">
        <v>2420</v>
      </c>
      <c r="C1472" s="341" t="s">
        <v>2420</v>
      </c>
      <c r="D1472" s="342">
        <v>0</v>
      </c>
      <c r="E1472" s="342" t="s">
        <v>2420</v>
      </c>
      <c r="F1472" s="342" t="s">
        <v>9622</v>
      </c>
      <c r="G1472" s="341" t="s">
        <v>1792</v>
      </c>
      <c r="H1472" s="341" t="s">
        <v>10250</v>
      </c>
      <c r="I1472" s="341" t="s">
        <v>11</v>
      </c>
      <c r="J1472" s="342">
        <v>1</v>
      </c>
      <c r="K1472" s="342" t="s">
        <v>9638</v>
      </c>
      <c r="L1472" s="342">
        <v>0</v>
      </c>
    </row>
    <row r="1473" spans="1:12" x14ac:dyDescent="0.25">
      <c r="A1473" s="341" t="s">
        <v>197</v>
      </c>
      <c r="B1473" s="341" t="s">
        <v>10251</v>
      </c>
      <c r="C1473" s="341" t="s">
        <v>11</v>
      </c>
      <c r="D1473" s="342">
        <v>1</v>
      </c>
      <c r="E1473" s="342">
        <v>0</v>
      </c>
      <c r="F1473" s="342" t="s">
        <v>9622</v>
      </c>
      <c r="G1473" s="341" t="s">
        <v>1322</v>
      </c>
      <c r="H1473" s="341" t="s">
        <v>7014</v>
      </c>
      <c r="I1473" s="341" t="s">
        <v>25</v>
      </c>
      <c r="J1473" s="342">
        <v>1.1200000000000001</v>
      </c>
      <c r="K1473" s="342" t="s">
        <v>25</v>
      </c>
      <c r="L1473" s="342">
        <v>0</v>
      </c>
    </row>
    <row r="1474" spans="1:12" x14ac:dyDescent="0.25">
      <c r="A1474" s="341" t="s">
        <v>2420</v>
      </c>
      <c r="B1474" s="341" t="s">
        <v>2420</v>
      </c>
      <c r="C1474" s="341" t="s">
        <v>2420</v>
      </c>
      <c r="D1474" s="342">
        <v>0</v>
      </c>
      <c r="E1474" s="342" t="s">
        <v>2420</v>
      </c>
      <c r="F1474" s="342" t="s">
        <v>9622</v>
      </c>
      <c r="G1474" s="341" t="s">
        <v>1337</v>
      </c>
      <c r="H1474" s="341" t="s">
        <v>7056</v>
      </c>
      <c r="I1474" s="341" t="s">
        <v>11</v>
      </c>
      <c r="J1474" s="342">
        <v>1</v>
      </c>
      <c r="K1474" s="342" t="s">
        <v>25</v>
      </c>
      <c r="L1474" s="342">
        <v>0</v>
      </c>
    </row>
    <row r="1475" spans="1:12" x14ac:dyDescent="0.25">
      <c r="A1475" s="341" t="s">
        <v>2420</v>
      </c>
      <c r="B1475" s="341" t="s">
        <v>2420</v>
      </c>
      <c r="C1475" s="341" t="s">
        <v>2420</v>
      </c>
      <c r="D1475" s="342">
        <v>0</v>
      </c>
      <c r="E1475" s="342" t="s">
        <v>2420</v>
      </c>
      <c r="F1475" s="342" t="s">
        <v>9622</v>
      </c>
      <c r="G1475" s="341" t="s">
        <v>1338</v>
      </c>
      <c r="H1475" s="341" t="s">
        <v>10251</v>
      </c>
      <c r="I1475" s="341" t="s">
        <v>11</v>
      </c>
      <c r="J1475" s="342">
        <v>1</v>
      </c>
      <c r="K1475" s="342" t="s">
        <v>25</v>
      </c>
      <c r="L1475" s="342">
        <v>0</v>
      </c>
    </row>
    <row r="1476" spans="1:12" x14ac:dyDescent="0.25">
      <c r="A1476" s="341" t="s">
        <v>2420</v>
      </c>
      <c r="B1476" s="341" t="s">
        <v>2420</v>
      </c>
      <c r="C1476" s="341" t="s">
        <v>2420</v>
      </c>
      <c r="D1476" s="342">
        <v>0</v>
      </c>
      <c r="E1476" s="342" t="s">
        <v>2420</v>
      </c>
      <c r="F1476" s="342" t="s">
        <v>9622</v>
      </c>
      <c r="G1476" s="341" t="s">
        <v>1411</v>
      </c>
      <c r="H1476" s="341" t="s">
        <v>10248</v>
      </c>
      <c r="I1476" s="341" t="s">
        <v>11</v>
      </c>
      <c r="J1476" s="342">
        <v>1</v>
      </c>
      <c r="K1476" s="342" t="s">
        <v>25</v>
      </c>
      <c r="L1476" s="342">
        <v>0</v>
      </c>
    </row>
    <row r="1477" spans="1:12" x14ac:dyDescent="0.25">
      <c r="A1477" s="341" t="s">
        <v>2420</v>
      </c>
      <c r="B1477" s="341" t="s">
        <v>2420</v>
      </c>
      <c r="C1477" s="341" t="s">
        <v>2420</v>
      </c>
      <c r="D1477" s="342">
        <v>0</v>
      </c>
      <c r="E1477" s="342" t="s">
        <v>2420</v>
      </c>
      <c r="F1477" s="342" t="s">
        <v>9622</v>
      </c>
      <c r="G1477" s="341" t="s">
        <v>1431</v>
      </c>
      <c r="H1477" s="341" t="s">
        <v>10249</v>
      </c>
      <c r="I1477" s="341" t="s">
        <v>11</v>
      </c>
      <c r="J1477" s="342">
        <v>1</v>
      </c>
      <c r="K1477" s="342" t="s">
        <v>25</v>
      </c>
      <c r="L1477" s="342">
        <v>0</v>
      </c>
    </row>
    <row r="1478" spans="1:12" x14ac:dyDescent="0.25">
      <c r="A1478" s="341" t="s">
        <v>2420</v>
      </c>
      <c r="B1478" s="341" t="s">
        <v>2420</v>
      </c>
      <c r="C1478" s="341" t="s">
        <v>2420</v>
      </c>
      <c r="D1478" s="342">
        <v>0</v>
      </c>
      <c r="E1478" s="342" t="s">
        <v>2420</v>
      </c>
      <c r="F1478" s="342" t="s">
        <v>9622</v>
      </c>
      <c r="G1478" s="341" t="s">
        <v>1594</v>
      </c>
      <c r="H1478" s="341" t="s">
        <v>7315</v>
      </c>
      <c r="I1478" s="341" t="s">
        <v>6609</v>
      </c>
      <c r="J1478" s="342">
        <v>1</v>
      </c>
      <c r="K1478" s="342" t="s">
        <v>25</v>
      </c>
      <c r="L1478" s="342">
        <v>0</v>
      </c>
    </row>
    <row r="1479" spans="1:12" x14ac:dyDescent="0.25">
      <c r="A1479" s="341" t="s">
        <v>198</v>
      </c>
      <c r="B1479" s="341" t="s">
        <v>10252</v>
      </c>
      <c r="C1479" s="341" t="s">
        <v>11</v>
      </c>
      <c r="D1479" s="342">
        <v>1</v>
      </c>
      <c r="E1479" s="342">
        <v>0</v>
      </c>
      <c r="F1479" s="342" t="s">
        <v>9622</v>
      </c>
      <c r="G1479" s="341" t="s">
        <v>1322</v>
      </c>
      <c r="H1479" s="341" t="s">
        <v>7014</v>
      </c>
      <c r="I1479" s="341" t="s">
        <v>25</v>
      </c>
      <c r="J1479" s="342">
        <v>1.1200000000000001</v>
      </c>
      <c r="K1479" s="342" t="s">
        <v>25</v>
      </c>
      <c r="L1479" s="342">
        <v>0</v>
      </c>
    </row>
    <row r="1480" spans="1:12" x14ac:dyDescent="0.25">
      <c r="A1480" s="341" t="s">
        <v>2420</v>
      </c>
      <c r="B1480" s="341" t="s">
        <v>2420</v>
      </c>
      <c r="C1480" s="341" t="s">
        <v>2420</v>
      </c>
      <c r="D1480" s="342">
        <v>0</v>
      </c>
      <c r="E1480" s="342" t="s">
        <v>2420</v>
      </c>
      <c r="F1480" s="342" t="s">
        <v>9622</v>
      </c>
      <c r="G1480" s="341" t="s">
        <v>1337</v>
      </c>
      <c r="H1480" s="341" t="s">
        <v>7056</v>
      </c>
      <c r="I1480" s="341" t="s">
        <v>11</v>
      </c>
      <c r="J1480" s="342">
        <v>1</v>
      </c>
      <c r="K1480" s="342" t="s">
        <v>25</v>
      </c>
      <c r="L1480" s="342">
        <v>0</v>
      </c>
    </row>
    <row r="1481" spans="1:12" x14ac:dyDescent="0.25">
      <c r="A1481" s="341" t="s">
        <v>2420</v>
      </c>
      <c r="B1481" s="341" t="s">
        <v>2420</v>
      </c>
      <c r="C1481" s="341" t="s">
        <v>2420</v>
      </c>
      <c r="D1481" s="342">
        <v>0</v>
      </c>
      <c r="E1481" s="342" t="s">
        <v>2420</v>
      </c>
      <c r="F1481" s="342" t="s">
        <v>9622</v>
      </c>
      <c r="G1481" s="341" t="s">
        <v>1411</v>
      </c>
      <c r="H1481" s="341" t="s">
        <v>10248</v>
      </c>
      <c r="I1481" s="341" t="s">
        <v>11</v>
      </c>
      <c r="J1481" s="342">
        <v>1</v>
      </c>
      <c r="K1481" s="342" t="s">
        <v>25</v>
      </c>
      <c r="L1481" s="342">
        <v>0</v>
      </c>
    </row>
    <row r="1482" spans="1:12" x14ac:dyDescent="0.25">
      <c r="A1482" s="341" t="s">
        <v>2420</v>
      </c>
      <c r="B1482" s="341" t="s">
        <v>2420</v>
      </c>
      <c r="C1482" s="341" t="s">
        <v>2420</v>
      </c>
      <c r="D1482" s="342">
        <v>0</v>
      </c>
      <c r="E1482" s="342" t="s">
        <v>2420</v>
      </c>
      <c r="F1482" s="342" t="s">
        <v>9622</v>
      </c>
      <c r="G1482" s="341" t="s">
        <v>1431</v>
      </c>
      <c r="H1482" s="341" t="s">
        <v>10249</v>
      </c>
      <c r="I1482" s="341" t="s">
        <v>11</v>
      </c>
      <c r="J1482" s="342">
        <v>1</v>
      </c>
      <c r="K1482" s="342" t="s">
        <v>25</v>
      </c>
      <c r="L1482" s="342">
        <v>0</v>
      </c>
    </row>
    <row r="1483" spans="1:12" x14ac:dyDescent="0.25">
      <c r="A1483" s="341" t="s">
        <v>2420</v>
      </c>
      <c r="B1483" s="341" t="s">
        <v>2420</v>
      </c>
      <c r="C1483" s="341" t="s">
        <v>2420</v>
      </c>
      <c r="D1483" s="342">
        <v>0</v>
      </c>
      <c r="E1483" s="342" t="s">
        <v>2420</v>
      </c>
      <c r="F1483" s="342" t="s">
        <v>9622</v>
      </c>
      <c r="G1483" s="341" t="s">
        <v>1594</v>
      </c>
      <c r="H1483" s="341" t="s">
        <v>7315</v>
      </c>
      <c r="I1483" s="341" t="s">
        <v>6609</v>
      </c>
      <c r="J1483" s="342">
        <v>1</v>
      </c>
      <c r="K1483" s="342" t="s">
        <v>25</v>
      </c>
      <c r="L1483" s="342">
        <v>0</v>
      </c>
    </row>
    <row r="1484" spans="1:12" x14ac:dyDescent="0.25">
      <c r="A1484" s="341" t="s">
        <v>2420</v>
      </c>
      <c r="B1484" s="341" t="s">
        <v>2420</v>
      </c>
      <c r="C1484" s="341" t="s">
        <v>2420</v>
      </c>
      <c r="D1484" s="342">
        <v>0</v>
      </c>
      <c r="E1484" s="342" t="s">
        <v>2420</v>
      </c>
      <c r="F1484" s="342" t="s">
        <v>9622</v>
      </c>
      <c r="G1484" s="341" t="s">
        <v>1791</v>
      </c>
      <c r="H1484" s="341" t="s">
        <v>10252</v>
      </c>
      <c r="I1484" s="341" t="s">
        <v>11</v>
      </c>
      <c r="J1484" s="342">
        <v>1</v>
      </c>
      <c r="K1484" s="342" t="s">
        <v>9638</v>
      </c>
      <c r="L1484" s="342">
        <v>0</v>
      </c>
    </row>
    <row r="1485" spans="1:12" x14ac:dyDescent="0.25">
      <c r="A1485" s="341" t="s">
        <v>199</v>
      </c>
      <c r="B1485" s="341" t="s">
        <v>10253</v>
      </c>
      <c r="C1485" s="341" t="s">
        <v>11</v>
      </c>
      <c r="D1485" s="342">
        <v>1</v>
      </c>
      <c r="E1485" s="342">
        <v>0</v>
      </c>
      <c r="F1485" s="342" t="s">
        <v>9622</v>
      </c>
      <c r="G1485" s="341" t="s">
        <v>1314</v>
      </c>
      <c r="H1485" s="341" t="s">
        <v>6993</v>
      </c>
      <c r="I1485" s="341" t="s">
        <v>11</v>
      </c>
      <c r="J1485" s="342">
        <v>1</v>
      </c>
      <c r="K1485" s="342" t="s">
        <v>25</v>
      </c>
      <c r="L1485" s="342">
        <v>0</v>
      </c>
    </row>
    <row r="1486" spans="1:12" x14ac:dyDescent="0.25">
      <c r="A1486" s="341" t="s">
        <v>2420</v>
      </c>
      <c r="B1486" s="341" t="s">
        <v>2420</v>
      </c>
      <c r="C1486" s="341" t="s">
        <v>2420</v>
      </c>
      <c r="D1486" s="342">
        <v>0</v>
      </c>
      <c r="E1486" s="342" t="s">
        <v>2420</v>
      </c>
      <c r="F1486" s="342" t="s">
        <v>9622</v>
      </c>
      <c r="G1486" s="341" t="s">
        <v>1322</v>
      </c>
      <c r="H1486" s="341" t="s">
        <v>7014</v>
      </c>
      <c r="I1486" s="341" t="s">
        <v>25</v>
      </c>
      <c r="J1486" s="342">
        <v>0.75</v>
      </c>
      <c r="K1486" s="342" t="s">
        <v>25</v>
      </c>
      <c r="L1486" s="342">
        <v>0</v>
      </c>
    </row>
    <row r="1487" spans="1:12" x14ac:dyDescent="0.25">
      <c r="A1487" s="341" t="s">
        <v>2420</v>
      </c>
      <c r="B1487" s="341" t="s">
        <v>2420</v>
      </c>
      <c r="C1487" s="341" t="s">
        <v>2420</v>
      </c>
      <c r="D1487" s="342">
        <v>0</v>
      </c>
      <c r="E1487" s="342" t="s">
        <v>2420</v>
      </c>
      <c r="F1487" s="342" t="s">
        <v>9622</v>
      </c>
      <c r="G1487" s="341" t="s">
        <v>1410</v>
      </c>
      <c r="H1487" s="341" t="s">
        <v>7130</v>
      </c>
      <c r="I1487" s="341" t="s">
        <v>11</v>
      </c>
      <c r="J1487" s="342">
        <v>1</v>
      </c>
      <c r="K1487" s="342" t="s">
        <v>25</v>
      </c>
      <c r="L1487" s="342">
        <v>0</v>
      </c>
    </row>
    <row r="1488" spans="1:12" x14ac:dyDescent="0.25">
      <c r="A1488" s="341" t="s">
        <v>2420</v>
      </c>
      <c r="B1488" s="341" t="s">
        <v>2420</v>
      </c>
      <c r="C1488" s="341" t="s">
        <v>2420</v>
      </c>
      <c r="D1488" s="342">
        <v>0</v>
      </c>
      <c r="E1488" s="342" t="s">
        <v>2420</v>
      </c>
      <c r="F1488" s="342" t="s">
        <v>9622</v>
      </c>
      <c r="G1488" s="341" t="s">
        <v>1430</v>
      </c>
      <c r="H1488" s="341" t="s">
        <v>7151</v>
      </c>
      <c r="I1488" s="341" t="s">
        <v>11</v>
      </c>
      <c r="J1488" s="342">
        <v>1</v>
      </c>
      <c r="K1488" s="342" t="s">
        <v>25</v>
      </c>
      <c r="L1488" s="342">
        <v>0</v>
      </c>
    </row>
    <row r="1489" spans="1:12" x14ac:dyDescent="0.25">
      <c r="A1489" s="341" t="s">
        <v>2420</v>
      </c>
      <c r="B1489" s="341" t="s">
        <v>2420</v>
      </c>
      <c r="C1489" s="341" t="s">
        <v>2420</v>
      </c>
      <c r="D1489" s="342">
        <v>0</v>
      </c>
      <c r="E1489" s="342" t="s">
        <v>2420</v>
      </c>
      <c r="F1489" s="342" t="s">
        <v>9622</v>
      </c>
      <c r="G1489" s="341" t="s">
        <v>1798</v>
      </c>
      <c r="H1489" s="341" t="s">
        <v>10253</v>
      </c>
      <c r="I1489" s="341" t="s">
        <v>11</v>
      </c>
      <c r="J1489" s="342">
        <v>1</v>
      </c>
      <c r="K1489" s="342" t="s">
        <v>9638</v>
      </c>
      <c r="L1489" s="342">
        <v>0</v>
      </c>
    </row>
    <row r="1490" spans="1:12" x14ac:dyDescent="0.25">
      <c r="A1490" s="341" t="s">
        <v>477</v>
      </c>
      <c r="B1490" s="341" t="s">
        <v>10254</v>
      </c>
      <c r="C1490" s="341" t="s">
        <v>11</v>
      </c>
      <c r="D1490" s="342">
        <v>1</v>
      </c>
      <c r="E1490" s="342">
        <v>0</v>
      </c>
      <c r="F1490" s="342" t="s">
        <v>9622</v>
      </c>
      <c r="G1490" s="341" t="s">
        <v>1314</v>
      </c>
      <c r="H1490" s="341" t="s">
        <v>6993</v>
      </c>
      <c r="I1490" s="341" t="s">
        <v>11</v>
      </c>
      <c r="J1490" s="342">
        <v>1</v>
      </c>
      <c r="K1490" s="342" t="s">
        <v>25</v>
      </c>
      <c r="L1490" s="342">
        <v>0</v>
      </c>
    </row>
    <row r="1491" spans="1:12" x14ac:dyDescent="0.25">
      <c r="A1491" s="341" t="s">
        <v>2420</v>
      </c>
      <c r="B1491" s="341" t="s">
        <v>2420</v>
      </c>
      <c r="C1491" s="341" t="s">
        <v>2420</v>
      </c>
      <c r="D1491" s="342">
        <v>0</v>
      </c>
      <c r="E1491" s="342" t="s">
        <v>2420</v>
      </c>
      <c r="F1491" s="342" t="s">
        <v>9622</v>
      </c>
      <c r="G1491" s="341" t="s">
        <v>1322</v>
      </c>
      <c r="H1491" s="341" t="s">
        <v>7014</v>
      </c>
      <c r="I1491" s="341" t="s">
        <v>25</v>
      </c>
      <c r="J1491" s="342">
        <v>0.75</v>
      </c>
      <c r="K1491" s="342" t="s">
        <v>25</v>
      </c>
      <c r="L1491" s="342">
        <v>0</v>
      </c>
    </row>
    <row r="1492" spans="1:12" x14ac:dyDescent="0.25">
      <c r="A1492" s="341" t="s">
        <v>2420</v>
      </c>
      <c r="B1492" s="341" t="s">
        <v>2420</v>
      </c>
      <c r="C1492" s="341" t="s">
        <v>2420</v>
      </c>
      <c r="D1492" s="342">
        <v>0</v>
      </c>
      <c r="E1492" s="342" t="s">
        <v>2420</v>
      </c>
      <c r="F1492" s="342" t="s">
        <v>9622</v>
      </c>
      <c r="G1492" s="341" t="s">
        <v>1410</v>
      </c>
      <c r="H1492" s="341" t="s">
        <v>7130</v>
      </c>
      <c r="I1492" s="341" t="s">
        <v>11</v>
      </c>
      <c r="J1492" s="342">
        <v>1</v>
      </c>
      <c r="K1492" s="342" t="s">
        <v>25</v>
      </c>
      <c r="L1492" s="342">
        <v>0</v>
      </c>
    </row>
    <row r="1493" spans="1:12" x14ac:dyDescent="0.25">
      <c r="A1493" s="341" t="s">
        <v>2420</v>
      </c>
      <c r="B1493" s="341" t="s">
        <v>2420</v>
      </c>
      <c r="C1493" s="341" t="s">
        <v>2420</v>
      </c>
      <c r="D1493" s="342">
        <v>0</v>
      </c>
      <c r="E1493" s="342" t="s">
        <v>2420</v>
      </c>
      <c r="F1493" s="342" t="s">
        <v>9622</v>
      </c>
      <c r="G1493" s="341" t="s">
        <v>1430</v>
      </c>
      <c r="H1493" s="341" t="s">
        <v>7151</v>
      </c>
      <c r="I1493" s="341" t="s">
        <v>11</v>
      </c>
      <c r="J1493" s="342">
        <v>1</v>
      </c>
      <c r="K1493" s="342" t="s">
        <v>25</v>
      </c>
      <c r="L1493" s="342">
        <v>0</v>
      </c>
    </row>
    <row r="1494" spans="1:12" x14ac:dyDescent="0.25">
      <c r="A1494" s="341" t="s">
        <v>2420</v>
      </c>
      <c r="B1494" s="341" t="s">
        <v>2420</v>
      </c>
      <c r="C1494" s="341" t="s">
        <v>2420</v>
      </c>
      <c r="D1494" s="342">
        <v>0</v>
      </c>
      <c r="E1494" s="342" t="s">
        <v>2420</v>
      </c>
      <c r="F1494" s="342" t="s">
        <v>9622</v>
      </c>
      <c r="G1494" s="341" t="s">
        <v>1825</v>
      </c>
      <c r="H1494" s="341" t="s">
        <v>10255</v>
      </c>
      <c r="I1494" s="341" t="s">
        <v>11</v>
      </c>
      <c r="J1494" s="342">
        <v>1</v>
      </c>
      <c r="K1494" s="342" t="s">
        <v>9638</v>
      </c>
      <c r="L1494" s="342">
        <v>0</v>
      </c>
    </row>
    <row r="1495" spans="1:12" x14ac:dyDescent="0.25">
      <c r="A1495" s="341" t="s">
        <v>478</v>
      </c>
      <c r="B1495" s="341" t="s">
        <v>10256</v>
      </c>
      <c r="C1495" s="341" t="s">
        <v>11</v>
      </c>
      <c r="D1495" s="342">
        <v>1</v>
      </c>
      <c r="E1495" s="342">
        <v>0</v>
      </c>
      <c r="F1495" s="342" t="s">
        <v>9622</v>
      </c>
      <c r="G1495" s="341" t="s">
        <v>1314</v>
      </c>
      <c r="H1495" s="341" t="s">
        <v>6993</v>
      </c>
      <c r="I1495" s="341" t="s">
        <v>11</v>
      </c>
      <c r="J1495" s="342">
        <v>1</v>
      </c>
      <c r="K1495" s="342" t="s">
        <v>25</v>
      </c>
      <c r="L1495" s="342">
        <v>0</v>
      </c>
    </row>
    <row r="1496" spans="1:12" x14ac:dyDescent="0.25">
      <c r="A1496" s="341" t="s">
        <v>2420</v>
      </c>
      <c r="B1496" s="341" t="s">
        <v>2420</v>
      </c>
      <c r="C1496" s="341" t="s">
        <v>2420</v>
      </c>
      <c r="D1496" s="342">
        <v>0</v>
      </c>
      <c r="E1496" s="342" t="s">
        <v>2420</v>
      </c>
      <c r="F1496" s="342" t="s">
        <v>9622</v>
      </c>
      <c r="G1496" s="341" t="s">
        <v>1322</v>
      </c>
      <c r="H1496" s="341" t="s">
        <v>7014</v>
      </c>
      <c r="I1496" s="341" t="s">
        <v>25</v>
      </c>
      <c r="J1496" s="342">
        <v>0.75</v>
      </c>
      <c r="K1496" s="342" t="s">
        <v>25</v>
      </c>
      <c r="L1496" s="342">
        <v>0</v>
      </c>
    </row>
    <row r="1497" spans="1:12" x14ac:dyDescent="0.25">
      <c r="A1497" s="341" t="s">
        <v>2420</v>
      </c>
      <c r="B1497" s="341" t="s">
        <v>2420</v>
      </c>
      <c r="C1497" s="341" t="s">
        <v>2420</v>
      </c>
      <c r="D1497" s="342">
        <v>0</v>
      </c>
      <c r="E1497" s="342" t="s">
        <v>2420</v>
      </c>
      <c r="F1497" s="342" t="s">
        <v>9622</v>
      </c>
      <c r="G1497" s="341" t="s">
        <v>1410</v>
      </c>
      <c r="H1497" s="341" t="s">
        <v>7130</v>
      </c>
      <c r="I1497" s="341" t="s">
        <v>11</v>
      </c>
      <c r="J1497" s="342">
        <v>1</v>
      </c>
      <c r="K1497" s="342" t="s">
        <v>25</v>
      </c>
      <c r="L1497" s="342">
        <v>0</v>
      </c>
    </row>
    <row r="1498" spans="1:12" x14ac:dyDescent="0.25">
      <c r="A1498" s="341" t="s">
        <v>2420</v>
      </c>
      <c r="B1498" s="341" t="s">
        <v>2420</v>
      </c>
      <c r="C1498" s="341" t="s">
        <v>2420</v>
      </c>
      <c r="D1498" s="342">
        <v>0</v>
      </c>
      <c r="E1498" s="342" t="s">
        <v>2420</v>
      </c>
      <c r="F1498" s="342" t="s">
        <v>9622</v>
      </c>
      <c r="G1498" s="341" t="s">
        <v>1430</v>
      </c>
      <c r="H1498" s="341" t="s">
        <v>7151</v>
      </c>
      <c r="I1498" s="341" t="s">
        <v>11</v>
      </c>
      <c r="J1498" s="342">
        <v>1</v>
      </c>
      <c r="K1498" s="342" t="s">
        <v>25</v>
      </c>
      <c r="L1498" s="342">
        <v>0</v>
      </c>
    </row>
    <row r="1499" spans="1:12" x14ac:dyDescent="0.25">
      <c r="A1499" s="341" t="s">
        <v>2420</v>
      </c>
      <c r="B1499" s="341" t="s">
        <v>2420</v>
      </c>
      <c r="C1499" s="341" t="s">
        <v>2420</v>
      </c>
      <c r="D1499" s="342">
        <v>0</v>
      </c>
      <c r="E1499" s="342" t="s">
        <v>2420</v>
      </c>
      <c r="F1499" s="342" t="s">
        <v>9622</v>
      </c>
      <c r="G1499" s="341" t="s">
        <v>1825</v>
      </c>
      <c r="H1499" s="341" t="s">
        <v>10255</v>
      </c>
      <c r="I1499" s="341" t="s">
        <v>11</v>
      </c>
      <c r="J1499" s="342">
        <v>1</v>
      </c>
      <c r="K1499" s="342" t="s">
        <v>9638</v>
      </c>
      <c r="L1499" s="342">
        <v>0</v>
      </c>
    </row>
    <row r="1500" spans="1:12" x14ac:dyDescent="0.25">
      <c r="A1500" s="341" t="s">
        <v>9746</v>
      </c>
      <c r="B1500" s="341" t="s">
        <v>9747</v>
      </c>
      <c r="C1500" s="341" t="s">
        <v>52</v>
      </c>
      <c r="D1500" s="342">
        <v>1</v>
      </c>
      <c r="E1500" s="342">
        <v>0</v>
      </c>
      <c r="F1500" s="342" t="s">
        <v>9624</v>
      </c>
      <c r="G1500" s="341" t="s">
        <v>9725</v>
      </c>
      <c r="H1500" s="341" t="s">
        <v>9726</v>
      </c>
      <c r="I1500" s="341" t="s">
        <v>52</v>
      </c>
      <c r="J1500" s="342">
        <v>1</v>
      </c>
      <c r="K1500" s="342" t="s">
        <v>2420</v>
      </c>
      <c r="L1500" s="342">
        <v>0</v>
      </c>
    </row>
    <row r="1501" spans="1:12" x14ac:dyDescent="0.25">
      <c r="A1501" s="341" t="s">
        <v>2420</v>
      </c>
      <c r="B1501" s="341" t="s">
        <v>2420</v>
      </c>
      <c r="C1501" s="341" t="s">
        <v>2420</v>
      </c>
      <c r="D1501" s="342">
        <v>0</v>
      </c>
      <c r="E1501" s="342" t="s">
        <v>2420</v>
      </c>
      <c r="F1501" s="342" t="s">
        <v>9624</v>
      </c>
      <c r="G1501" s="341" t="s">
        <v>9722</v>
      </c>
      <c r="H1501" s="341" t="s">
        <v>9723</v>
      </c>
      <c r="I1501" s="341" t="s">
        <v>52</v>
      </c>
      <c r="J1501" s="342">
        <v>1</v>
      </c>
      <c r="K1501" s="342" t="s">
        <v>2420</v>
      </c>
      <c r="L1501" s="342">
        <v>0</v>
      </c>
    </row>
    <row r="1502" spans="1:12" x14ac:dyDescent="0.25">
      <c r="A1502" s="341" t="s">
        <v>362</v>
      </c>
      <c r="B1502" s="341" t="s">
        <v>10257</v>
      </c>
      <c r="C1502" s="341" t="s">
        <v>25</v>
      </c>
      <c r="D1502" s="342">
        <v>1</v>
      </c>
      <c r="E1502" s="342">
        <v>0</v>
      </c>
      <c r="F1502" s="342" t="s">
        <v>9622</v>
      </c>
      <c r="G1502" s="341" t="s">
        <v>1234</v>
      </c>
      <c r="H1502" s="341" t="s">
        <v>6899</v>
      </c>
      <c r="I1502" s="341" t="s">
        <v>4230</v>
      </c>
      <c r="J1502" s="342">
        <v>0.59</v>
      </c>
      <c r="K1502" s="342" t="s">
        <v>4230</v>
      </c>
      <c r="L1502" s="342">
        <v>0</v>
      </c>
    </row>
    <row r="1503" spans="1:12" x14ac:dyDescent="0.25">
      <c r="A1503" s="341" t="s">
        <v>2420</v>
      </c>
      <c r="B1503" s="341" t="s">
        <v>2420</v>
      </c>
      <c r="C1503" s="341" t="s">
        <v>2420</v>
      </c>
      <c r="D1503" s="342">
        <v>0</v>
      </c>
      <c r="E1503" s="342" t="s">
        <v>2420</v>
      </c>
      <c r="F1503" s="342" t="s">
        <v>9622</v>
      </c>
      <c r="G1503" s="341" t="s">
        <v>1235</v>
      </c>
      <c r="H1503" s="341" t="s">
        <v>6900</v>
      </c>
      <c r="I1503" s="341" t="s">
        <v>4230</v>
      </c>
      <c r="J1503" s="342">
        <v>0.59</v>
      </c>
      <c r="K1503" s="342" t="s">
        <v>4230</v>
      </c>
      <c r="L1503" s="342">
        <v>0</v>
      </c>
    </row>
    <row r="1504" spans="1:12" x14ac:dyDescent="0.25">
      <c r="A1504" s="341" t="s">
        <v>2420</v>
      </c>
      <c r="B1504" s="341" t="s">
        <v>2420</v>
      </c>
      <c r="C1504" s="341" t="s">
        <v>2420</v>
      </c>
      <c r="D1504" s="342">
        <v>0</v>
      </c>
      <c r="E1504" s="342" t="s">
        <v>2420</v>
      </c>
      <c r="F1504" s="342" t="s">
        <v>9622</v>
      </c>
      <c r="G1504" s="341" t="s">
        <v>1472</v>
      </c>
      <c r="H1504" s="341" t="s">
        <v>7212</v>
      </c>
      <c r="I1504" s="341" t="s">
        <v>2557</v>
      </c>
      <c r="J1504" s="342">
        <v>0.84</v>
      </c>
      <c r="K1504" s="342" t="s">
        <v>25</v>
      </c>
      <c r="L1504" s="342">
        <v>0</v>
      </c>
    </row>
    <row r="1505" spans="1:12" x14ac:dyDescent="0.25">
      <c r="A1505" s="341" t="s">
        <v>2420</v>
      </c>
      <c r="B1505" s="341" t="s">
        <v>2420</v>
      </c>
      <c r="C1505" s="341" t="s">
        <v>2420</v>
      </c>
      <c r="D1505" s="342">
        <v>0</v>
      </c>
      <c r="E1505" s="342" t="s">
        <v>2420</v>
      </c>
      <c r="F1505" s="342" t="s">
        <v>9622</v>
      </c>
      <c r="G1505" s="341" t="s">
        <v>1613</v>
      </c>
      <c r="H1505" s="341" t="s">
        <v>7333</v>
      </c>
      <c r="I1505" s="341" t="s">
        <v>2557</v>
      </c>
      <c r="J1505" s="342">
        <v>8.4000000000000005E-2</v>
      </c>
      <c r="K1505" s="342" t="s">
        <v>25</v>
      </c>
      <c r="L1505" s="342">
        <v>0</v>
      </c>
    </row>
    <row r="1506" spans="1:12" x14ac:dyDescent="0.25">
      <c r="A1506" s="341" t="s">
        <v>2420</v>
      </c>
      <c r="B1506" s="341" t="s">
        <v>2420</v>
      </c>
      <c r="C1506" s="341" t="s">
        <v>2420</v>
      </c>
      <c r="D1506" s="342">
        <v>0</v>
      </c>
      <c r="E1506" s="342" t="s">
        <v>2420</v>
      </c>
      <c r="F1506" s="342" t="s">
        <v>9622</v>
      </c>
      <c r="G1506" s="341" t="s">
        <v>1731</v>
      </c>
      <c r="H1506" s="341" t="s">
        <v>10258</v>
      </c>
      <c r="I1506" s="341" t="s">
        <v>25</v>
      </c>
      <c r="J1506" s="342">
        <v>1.05</v>
      </c>
      <c r="K1506" s="342" t="s">
        <v>25</v>
      </c>
      <c r="L1506" s="342">
        <v>0</v>
      </c>
    </row>
    <row r="1507" spans="1:12" x14ac:dyDescent="0.25">
      <c r="A1507" s="341" t="s">
        <v>2420</v>
      </c>
      <c r="B1507" s="341" t="s">
        <v>2420</v>
      </c>
      <c r="C1507" s="341" t="s">
        <v>2420</v>
      </c>
      <c r="D1507" s="342">
        <v>0</v>
      </c>
      <c r="E1507" s="342" t="s">
        <v>2420</v>
      </c>
      <c r="F1507" s="342" t="s">
        <v>9622</v>
      </c>
      <c r="G1507" s="341" t="s">
        <v>2006</v>
      </c>
      <c r="H1507" s="341" t="s">
        <v>8302</v>
      </c>
      <c r="I1507" s="341" t="s">
        <v>25</v>
      </c>
      <c r="J1507" s="342">
        <v>1</v>
      </c>
      <c r="K1507" s="342" t="s">
        <v>9623</v>
      </c>
      <c r="L1507" s="342">
        <v>0</v>
      </c>
    </row>
    <row r="1508" spans="1:12" x14ac:dyDescent="0.25">
      <c r="A1508" s="341" t="s">
        <v>2420</v>
      </c>
      <c r="B1508" s="341" t="s">
        <v>2420</v>
      </c>
      <c r="C1508" s="341" t="s">
        <v>2420</v>
      </c>
      <c r="D1508" s="342">
        <v>0</v>
      </c>
      <c r="E1508" s="342" t="s">
        <v>2420</v>
      </c>
      <c r="F1508" s="342" t="s">
        <v>9622</v>
      </c>
      <c r="G1508" s="341" t="s">
        <v>2038</v>
      </c>
      <c r="H1508" s="341" t="s">
        <v>8372</v>
      </c>
      <c r="I1508" s="341" t="s">
        <v>16</v>
      </c>
      <c r="J1508" s="342">
        <v>0.5</v>
      </c>
      <c r="K1508" s="342" t="s">
        <v>9623</v>
      </c>
      <c r="L1508" s="342">
        <v>0</v>
      </c>
    </row>
    <row r="1509" spans="1:12" x14ac:dyDescent="0.25">
      <c r="A1509" s="341" t="s">
        <v>363</v>
      </c>
      <c r="B1509" s="341" t="s">
        <v>10259</v>
      </c>
      <c r="C1509" s="341" t="s">
        <v>25</v>
      </c>
      <c r="D1509" s="342">
        <v>1</v>
      </c>
      <c r="E1509" s="342">
        <v>0</v>
      </c>
      <c r="F1509" s="342" t="s">
        <v>9622</v>
      </c>
      <c r="G1509" s="341" t="s">
        <v>1234</v>
      </c>
      <c r="H1509" s="341" t="s">
        <v>6899</v>
      </c>
      <c r="I1509" s="341" t="s">
        <v>4230</v>
      </c>
      <c r="J1509" s="342">
        <v>0.59</v>
      </c>
      <c r="K1509" s="342" t="s">
        <v>4230</v>
      </c>
      <c r="L1509" s="342">
        <v>0</v>
      </c>
    </row>
    <row r="1510" spans="1:12" x14ac:dyDescent="0.25">
      <c r="A1510" s="341" t="s">
        <v>2420</v>
      </c>
      <c r="B1510" s="341" t="s">
        <v>2420</v>
      </c>
      <c r="C1510" s="341" t="s">
        <v>2420</v>
      </c>
      <c r="D1510" s="342">
        <v>0</v>
      </c>
      <c r="E1510" s="342" t="s">
        <v>2420</v>
      </c>
      <c r="F1510" s="342" t="s">
        <v>9622</v>
      </c>
      <c r="G1510" s="341" t="s">
        <v>1235</v>
      </c>
      <c r="H1510" s="341" t="s">
        <v>6900</v>
      </c>
      <c r="I1510" s="341" t="s">
        <v>4230</v>
      </c>
      <c r="J1510" s="342">
        <v>0.59</v>
      </c>
      <c r="K1510" s="342" t="s">
        <v>4230</v>
      </c>
      <c r="L1510" s="342">
        <v>0</v>
      </c>
    </row>
    <row r="1511" spans="1:12" x14ac:dyDescent="0.25">
      <c r="A1511" s="341" t="s">
        <v>2420</v>
      </c>
      <c r="B1511" s="341" t="s">
        <v>2420</v>
      </c>
      <c r="C1511" s="341" t="s">
        <v>2420</v>
      </c>
      <c r="D1511" s="342">
        <v>0</v>
      </c>
      <c r="E1511" s="342" t="s">
        <v>2420</v>
      </c>
      <c r="F1511" s="342" t="s">
        <v>9622</v>
      </c>
      <c r="G1511" s="341" t="s">
        <v>1317</v>
      </c>
      <c r="H1511" s="341" t="s">
        <v>10260</v>
      </c>
      <c r="I1511" s="341" t="s">
        <v>25</v>
      </c>
      <c r="J1511" s="342">
        <v>1.05</v>
      </c>
      <c r="K1511" s="342" t="s">
        <v>25</v>
      </c>
      <c r="L1511" s="342">
        <v>0</v>
      </c>
    </row>
    <row r="1512" spans="1:12" x14ac:dyDescent="0.25">
      <c r="A1512" s="341" t="s">
        <v>2420</v>
      </c>
      <c r="B1512" s="341" t="s">
        <v>2420</v>
      </c>
      <c r="C1512" s="341" t="s">
        <v>2420</v>
      </c>
      <c r="D1512" s="342">
        <v>0</v>
      </c>
      <c r="E1512" s="342" t="s">
        <v>2420</v>
      </c>
      <c r="F1512" s="342" t="s">
        <v>9622</v>
      </c>
      <c r="G1512" s="341" t="s">
        <v>1378</v>
      </c>
      <c r="H1512" s="341" t="s">
        <v>7096</v>
      </c>
      <c r="I1512" s="341" t="s">
        <v>2557</v>
      </c>
      <c r="J1512" s="342">
        <v>0.84</v>
      </c>
      <c r="K1512" s="342" t="s">
        <v>25</v>
      </c>
      <c r="L1512" s="342">
        <v>0</v>
      </c>
    </row>
    <row r="1513" spans="1:12" x14ac:dyDescent="0.25">
      <c r="A1513" s="341" t="s">
        <v>2420</v>
      </c>
      <c r="B1513" s="341" t="s">
        <v>2420</v>
      </c>
      <c r="C1513" s="341" t="s">
        <v>2420</v>
      </c>
      <c r="D1513" s="342">
        <v>0</v>
      </c>
      <c r="E1513" s="342" t="s">
        <v>2420</v>
      </c>
      <c r="F1513" s="342" t="s">
        <v>9622</v>
      </c>
      <c r="G1513" s="341" t="s">
        <v>1613</v>
      </c>
      <c r="H1513" s="341" t="s">
        <v>7333</v>
      </c>
      <c r="I1513" s="341" t="s">
        <v>2557</v>
      </c>
      <c r="J1513" s="342">
        <v>8.4000000000000005E-2</v>
      </c>
      <c r="K1513" s="342" t="s">
        <v>25</v>
      </c>
      <c r="L1513" s="342">
        <v>0</v>
      </c>
    </row>
    <row r="1514" spans="1:12" x14ac:dyDescent="0.25">
      <c r="A1514" s="341" t="s">
        <v>2420</v>
      </c>
      <c r="B1514" s="341" t="s">
        <v>2420</v>
      </c>
      <c r="C1514" s="341" t="s">
        <v>2420</v>
      </c>
      <c r="D1514" s="342">
        <v>0</v>
      </c>
      <c r="E1514" s="342" t="s">
        <v>2420</v>
      </c>
      <c r="F1514" s="342" t="s">
        <v>9622</v>
      </c>
      <c r="G1514" s="341" t="s">
        <v>2006</v>
      </c>
      <c r="H1514" s="341" t="s">
        <v>8302</v>
      </c>
      <c r="I1514" s="341" t="s">
        <v>25</v>
      </c>
      <c r="J1514" s="342">
        <v>1</v>
      </c>
      <c r="K1514" s="342" t="s">
        <v>9623</v>
      </c>
      <c r="L1514" s="342">
        <v>0</v>
      </c>
    </row>
    <row r="1515" spans="1:12" x14ac:dyDescent="0.25">
      <c r="A1515" s="341" t="s">
        <v>2420</v>
      </c>
      <c r="B1515" s="341" t="s">
        <v>2420</v>
      </c>
      <c r="C1515" s="341" t="s">
        <v>2420</v>
      </c>
      <c r="D1515" s="342">
        <v>0</v>
      </c>
      <c r="E1515" s="342" t="s">
        <v>2420</v>
      </c>
      <c r="F1515" s="342" t="s">
        <v>9622</v>
      </c>
      <c r="G1515" s="341" t="s">
        <v>2038</v>
      </c>
      <c r="H1515" s="341" t="s">
        <v>8372</v>
      </c>
      <c r="I1515" s="341" t="s">
        <v>16</v>
      </c>
      <c r="J1515" s="342">
        <v>0.5</v>
      </c>
      <c r="K1515" s="342" t="s">
        <v>9623</v>
      </c>
      <c r="L1515" s="342">
        <v>0</v>
      </c>
    </row>
    <row r="1516" spans="1:12" x14ac:dyDescent="0.25">
      <c r="A1516" s="341" t="s">
        <v>364</v>
      </c>
      <c r="B1516" s="341" t="s">
        <v>10261</v>
      </c>
      <c r="C1516" s="341" t="s">
        <v>25</v>
      </c>
      <c r="D1516" s="342">
        <v>1</v>
      </c>
      <c r="E1516" s="342">
        <v>0</v>
      </c>
      <c r="F1516" s="342" t="s">
        <v>9622</v>
      </c>
      <c r="G1516" s="341" t="s">
        <v>1234</v>
      </c>
      <c r="H1516" s="341" t="s">
        <v>6899</v>
      </c>
      <c r="I1516" s="341" t="s">
        <v>4230</v>
      </c>
      <c r="J1516" s="342">
        <v>0.59</v>
      </c>
      <c r="K1516" s="342" t="s">
        <v>4230</v>
      </c>
      <c r="L1516" s="342">
        <v>0</v>
      </c>
    </row>
    <row r="1517" spans="1:12" x14ac:dyDescent="0.25">
      <c r="A1517" s="341" t="s">
        <v>2420</v>
      </c>
      <c r="B1517" s="341" t="s">
        <v>2420</v>
      </c>
      <c r="C1517" s="341" t="s">
        <v>2420</v>
      </c>
      <c r="D1517" s="342">
        <v>0</v>
      </c>
      <c r="E1517" s="342" t="s">
        <v>2420</v>
      </c>
      <c r="F1517" s="342" t="s">
        <v>9622</v>
      </c>
      <c r="G1517" s="341" t="s">
        <v>1235</v>
      </c>
      <c r="H1517" s="341" t="s">
        <v>6900</v>
      </c>
      <c r="I1517" s="341" t="s">
        <v>4230</v>
      </c>
      <c r="J1517" s="342">
        <v>0.59</v>
      </c>
      <c r="K1517" s="342" t="s">
        <v>4230</v>
      </c>
      <c r="L1517" s="342">
        <v>0</v>
      </c>
    </row>
    <row r="1518" spans="1:12" x14ac:dyDescent="0.25">
      <c r="A1518" s="341" t="s">
        <v>2420</v>
      </c>
      <c r="B1518" s="341" t="s">
        <v>2420</v>
      </c>
      <c r="C1518" s="341" t="s">
        <v>2420</v>
      </c>
      <c r="D1518" s="342">
        <v>0</v>
      </c>
      <c r="E1518" s="342" t="s">
        <v>2420</v>
      </c>
      <c r="F1518" s="342" t="s">
        <v>9622</v>
      </c>
      <c r="G1518" s="341" t="s">
        <v>1378</v>
      </c>
      <c r="H1518" s="341" t="s">
        <v>7096</v>
      </c>
      <c r="I1518" s="341" t="s">
        <v>2557</v>
      </c>
      <c r="J1518" s="342">
        <v>0.84</v>
      </c>
      <c r="K1518" s="342" t="s">
        <v>25</v>
      </c>
      <c r="L1518" s="342">
        <v>0</v>
      </c>
    </row>
    <row r="1519" spans="1:12" x14ac:dyDescent="0.25">
      <c r="A1519" s="341" t="s">
        <v>2420</v>
      </c>
      <c r="B1519" s="341" t="s">
        <v>2420</v>
      </c>
      <c r="C1519" s="341" t="s">
        <v>2420</v>
      </c>
      <c r="D1519" s="342">
        <v>0</v>
      </c>
      <c r="E1519" s="342" t="s">
        <v>2420</v>
      </c>
      <c r="F1519" s="342" t="s">
        <v>9622</v>
      </c>
      <c r="G1519" s="341" t="s">
        <v>1523</v>
      </c>
      <c r="H1519" s="341" t="s">
        <v>10262</v>
      </c>
      <c r="I1519" s="341" t="s">
        <v>25</v>
      </c>
      <c r="J1519" s="342">
        <v>1.05</v>
      </c>
      <c r="K1519" s="342" t="s">
        <v>25</v>
      </c>
      <c r="L1519" s="342">
        <v>0</v>
      </c>
    </row>
    <row r="1520" spans="1:12" x14ac:dyDescent="0.25">
      <c r="A1520" s="341" t="s">
        <v>2420</v>
      </c>
      <c r="B1520" s="341" t="s">
        <v>2420</v>
      </c>
      <c r="C1520" s="341" t="s">
        <v>2420</v>
      </c>
      <c r="D1520" s="342">
        <v>0</v>
      </c>
      <c r="E1520" s="342" t="s">
        <v>2420</v>
      </c>
      <c r="F1520" s="342" t="s">
        <v>9622</v>
      </c>
      <c r="G1520" s="341" t="s">
        <v>1613</v>
      </c>
      <c r="H1520" s="341" t="s">
        <v>7333</v>
      </c>
      <c r="I1520" s="341" t="s">
        <v>2557</v>
      </c>
      <c r="J1520" s="342">
        <v>8.4000000000000005E-2</v>
      </c>
      <c r="K1520" s="342" t="s">
        <v>25</v>
      </c>
      <c r="L1520" s="342">
        <v>0</v>
      </c>
    </row>
    <row r="1521" spans="1:12" x14ac:dyDescent="0.25">
      <c r="A1521" s="341" t="s">
        <v>2420</v>
      </c>
      <c r="B1521" s="341" t="s">
        <v>2420</v>
      </c>
      <c r="C1521" s="341" t="s">
        <v>2420</v>
      </c>
      <c r="D1521" s="342">
        <v>0</v>
      </c>
      <c r="E1521" s="342" t="s">
        <v>2420</v>
      </c>
      <c r="F1521" s="342" t="s">
        <v>9622</v>
      </c>
      <c r="G1521" s="341" t="s">
        <v>2006</v>
      </c>
      <c r="H1521" s="341" t="s">
        <v>8302</v>
      </c>
      <c r="I1521" s="341" t="s">
        <v>25</v>
      </c>
      <c r="J1521" s="342">
        <v>1</v>
      </c>
      <c r="K1521" s="342" t="s">
        <v>9623</v>
      </c>
      <c r="L1521" s="342">
        <v>0</v>
      </c>
    </row>
    <row r="1522" spans="1:12" x14ac:dyDescent="0.25">
      <c r="A1522" s="341" t="s">
        <v>2420</v>
      </c>
      <c r="B1522" s="341" t="s">
        <v>2420</v>
      </c>
      <c r="C1522" s="341" t="s">
        <v>2420</v>
      </c>
      <c r="D1522" s="342">
        <v>0</v>
      </c>
      <c r="E1522" s="342" t="s">
        <v>2420</v>
      </c>
      <c r="F1522" s="342" t="s">
        <v>9622</v>
      </c>
      <c r="G1522" s="341" t="s">
        <v>2038</v>
      </c>
      <c r="H1522" s="341" t="s">
        <v>8372</v>
      </c>
      <c r="I1522" s="341" t="s">
        <v>16</v>
      </c>
      <c r="J1522" s="342">
        <v>0.5</v>
      </c>
      <c r="K1522" s="342" t="s">
        <v>9623</v>
      </c>
      <c r="L1522" s="342">
        <v>0</v>
      </c>
    </row>
    <row r="1523" spans="1:12" x14ac:dyDescent="0.25">
      <c r="A1523" s="341" t="s">
        <v>412</v>
      </c>
      <c r="B1523" s="341" t="s">
        <v>10263</v>
      </c>
      <c r="C1523" s="341" t="s">
        <v>16</v>
      </c>
      <c r="D1523" s="342">
        <v>1</v>
      </c>
      <c r="E1523" s="342">
        <v>0</v>
      </c>
      <c r="F1523" s="342" t="s">
        <v>9622</v>
      </c>
      <c r="G1523" s="341" t="s">
        <v>1643</v>
      </c>
      <c r="H1523" s="341" t="s">
        <v>10017</v>
      </c>
      <c r="I1523" s="341" t="s">
        <v>16</v>
      </c>
      <c r="J1523" s="342">
        <v>1.05</v>
      </c>
      <c r="K1523" s="342" t="s">
        <v>25</v>
      </c>
      <c r="L1523" s="342">
        <v>0</v>
      </c>
    </row>
    <row r="1524" spans="1:12" x14ac:dyDescent="0.25">
      <c r="A1524" s="341" t="s">
        <v>2420</v>
      </c>
      <c r="B1524" s="341" t="s">
        <v>2420</v>
      </c>
      <c r="C1524" s="341" t="s">
        <v>2420</v>
      </c>
      <c r="D1524" s="342">
        <v>0</v>
      </c>
      <c r="E1524" s="342" t="s">
        <v>2420</v>
      </c>
      <c r="F1524" s="342" t="s">
        <v>9622</v>
      </c>
      <c r="G1524" s="341" t="s">
        <v>10018</v>
      </c>
      <c r="H1524" s="341" t="s">
        <v>10019</v>
      </c>
      <c r="I1524" s="341" t="s">
        <v>16</v>
      </c>
      <c r="J1524" s="342">
        <v>1</v>
      </c>
      <c r="K1524" s="342" t="s">
        <v>9623</v>
      </c>
      <c r="L1524" s="342">
        <v>0</v>
      </c>
    </row>
    <row r="1525" spans="1:12" x14ac:dyDescent="0.25">
      <c r="A1525" s="341" t="s">
        <v>2420</v>
      </c>
      <c r="B1525" s="341" t="s">
        <v>2420</v>
      </c>
      <c r="C1525" s="341" t="s">
        <v>2420</v>
      </c>
      <c r="D1525" s="342">
        <v>0</v>
      </c>
      <c r="E1525" s="342" t="s">
        <v>2420</v>
      </c>
      <c r="F1525" s="342" t="s">
        <v>9624</v>
      </c>
      <c r="G1525" s="341" t="s">
        <v>10264</v>
      </c>
      <c r="H1525" s="341" t="s">
        <v>10265</v>
      </c>
      <c r="I1525" s="341" t="s">
        <v>52</v>
      </c>
      <c r="J1525" s="342">
        <v>5.0000000000000001E-3</v>
      </c>
      <c r="K1525" s="342" t="s">
        <v>2420</v>
      </c>
      <c r="L1525" s="342">
        <v>0</v>
      </c>
    </row>
    <row r="1526" spans="1:12" x14ac:dyDescent="0.25">
      <c r="A1526" s="341" t="s">
        <v>2420</v>
      </c>
      <c r="B1526" s="341" t="s">
        <v>2420</v>
      </c>
      <c r="C1526" s="341" t="s">
        <v>2420</v>
      </c>
      <c r="D1526" s="342">
        <v>0</v>
      </c>
      <c r="E1526" s="342" t="s">
        <v>2420</v>
      </c>
      <c r="F1526" s="342" t="s">
        <v>9624</v>
      </c>
      <c r="G1526" s="341" t="s">
        <v>10020</v>
      </c>
      <c r="H1526" s="341" t="s">
        <v>10021</v>
      </c>
      <c r="I1526" s="341" t="s">
        <v>16</v>
      </c>
      <c r="J1526" s="342">
        <v>1</v>
      </c>
      <c r="K1526" s="342" t="s">
        <v>2420</v>
      </c>
      <c r="L1526" s="342">
        <v>0</v>
      </c>
    </row>
    <row r="1527" spans="1:12" x14ac:dyDescent="0.25">
      <c r="A1527" s="341" t="s">
        <v>10264</v>
      </c>
      <c r="B1527" s="341" t="s">
        <v>10265</v>
      </c>
      <c r="C1527" s="341" t="s">
        <v>52</v>
      </c>
      <c r="D1527" s="342">
        <v>1</v>
      </c>
      <c r="E1527" s="342">
        <v>0</v>
      </c>
      <c r="F1527" s="342" t="s">
        <v>9622</v>
      </c>
      <c r="G1527" s="341" t="s">
        <v>1204</v>
      </c>
      <c r="H1527" s="341" t="s">
        <v>6854</v>
      </c>
      <c r="I1527" s="341" t="s">
        <v>4230</v>
      </c>
      <c r="J1527" s="342">
        <v>7.5</v>
      </c>
      <c r="K1527" s="342" t="s">
        <v>4230</v>
      </c>
      <c r="L1527" s="342">
        <v>0</v>
      </c>
    </row>
    <row r="1528" spans="1:12" x14ac:dyDescent="0.25">
      <c r="A1528" s="341" t="s">
        <v>2420</v>
      </c>
      <c r="B1528" s="341" t="s">
        <v>2420</v>
      </c>
      <c r="C1528" s="341" t="s">
        <v>2420</v>
      </c>
      <c r="D1528" s="342">
        <v>0</v>
      </c>
      <c r="E1528" s="342" t="s">
        <v>2420</v>
      </c>
      <c r="F1528" s="342" t="s">
        <v>9622</v>
      </c>
      <c r="G1528" s="341" t="s">
        <v>1210</v>
      </c>
      <c r="H1528" s="341" t="s">
        <v>6855</v>
      </c>
      <c r="I1528" s="341" t="s">
        <v>4230</v>
      </c>
      <c r="J1528" s="342">
        <v>7.5</v>
      </c>
      <c r="K1528" s="342" t="s">
        <v>4230</v>
      </c>
      <c r="L1528" s="342">
        <v>0</v>
      </c>
    </row>
    <row r="1529" spans="1:12" x14ac:dyDescent="0.25">
      <c r="A1529" s="341" t="s">
        <v>2420</v>
      </c>
      <c r="B1529" s="341" t="s">
        <v>2420</v>
      </c>
      <c r="C1529" s="341" t="s">
        <v>2420</v>
      </c>
      <c r="D1529" s="342">
        <v>0</v>
      </c>
      <c r="E1529" s="342" t="s">
        <v>2420</v>
      </c>
      <c r="F1529" s="342" t="s">
        <v>9622</v>
      </c>
      <c r="G1529" s="341" t="s">
        <v>1359</v>
      </c>
      <c r="H1529" s="341" t="s">
        <v>7078</v>
      </c>
      <c r="I1529" s="341" t="s">
        <v>25</v>
      </c>
      <c r="J1529" s="342">
        <v>0.6</v>
      </c>
      <c r="K1529" s="342" t="s">
        <v>25</v>
      </c>
      <c r="L1529" s="342">
        <v>0</v>
      </c>
    </row>
    <row r="1530" spans="1:12" x14ac:dyDescent="0.25">
      <c r="A1530" s="341" t="s">
        <v>2420</v>
      </c>
      <c r="B1530" s="341" t="s">
        <v>2420</v>
      </c>
      <c r="C1530" s="341" t="s">
        <v>2420</v>
      </c>
      <c r="D1530" s="342">
        <v>0</v>
      </c>
      <c r="E1530" s="342" t="s">
        <v>2420</v>
      </c>
      <c r="F1530" s="342" t="s">
        <v>9622</v>
      </c>
      <c r="G1530" s="341" t="s">
        <v>1360</v>
      </c>
      <c r="H1530" s="341" t="s">
        <v>7079</v>
      </c>
      <c r="I1530" s="341" t="s">
        <v>2557</v>
      </c>
      <c r="J1530" s="342">
        <v>2</v>
      </c>
      <c r="K1530" s="342" t="s">
        <v>25</v>
      </c>
      <c r="L1530" s="342">
        <v>0</v>
      </c>
    </row>
    <row r="1531" spans="1:12" x14ac:dyDescent="0.25">
      <c r="A1531" s="341" t="s">
        <v>2420</v>
      </c>
      <c r="B1531" s="341" t="s">
        <v>2420</v>
      </c>
      <c r="C1531" s="341" t="s">
        <v>2420</v>
      </c>
      <c r="D1531" s="342">
        <v>0</v>
      </c>
      <c r="E1531" s="342" t="s">
        <v>2420</v>
      </c>
      <c r="F1531" s="342" t="s">
        <v>9622</v>
      </c>
      <c r="G1531" s="341" t="s">
        <v>1382</v>
      </c>
      <c r="H1531" s="341" t="s">
        <v>9786</v>
      </c>
      <c r="I1531" s="341" t="s">
        <v>16</v>
      </c>
      <c r="J1531" s="342">
        <v>5</v>
      </c>
      <c r="K1531" s="342" t="s">
        <v>25</v>
      </c>
      <c r="L1531" s="342">
        <v>0</v>
      </c>
    </row>
    <row r="1532" spans="1:12" x14ac:dyDescent="0.25">
      <c r="A1532" s="341" t="s">
        <v>2420</v>
      </c>
      <c r="B1532" s="341" t="s">
        <v>2420</v>
      </c>
      <c r="C1532" s="341" t="s">
        <v>2420</v>
      </c>
      <c r="D1532" s="342">
        <v>0</v>
      </c>
      <c r="E1532" s="342" t="s">
        <v>2420</v>
      </c>
      <c r="F1532" s="342" t="s">
        <v>9624</v>
      </c>
      <c r="G1532" s="341" t="s">
        <v>9801</v>
      </c>
      <c r="H1532" s="341" t="s">
        <v>9802</v>
      </c>
      <c r="I1532" s="341" t="s">
        <v>52</v>
      </c>
      <c r="J1532" s="342">
        <v>1</v>
      </c>
      <c r="K1532" s="342" t="s">
        <v>2420</v>
      </c>
      <c r="L1532" s="342">
        <v>0</v>
      </c>
    </row>
    <row r="1533" spans="1:12" x14ac:dyDescent="0.25">
      <c r="A1533" s="341" t="s">
        <v>468</v>
      </c>
      <c r="B1533" s="341" t="s">
        <v>10266</v>
      </c>
      <c r="C1533" s="341" t="s">
        <v>11</v>
      </c>
      <c r="D1533" s="342">
        <v>1</v>
      </c>
      <c r="E1533" s="342">
        <v>0</v>
      </c>
      <c r="F1533" s="342" t="s">
        <v>9622</v>
      </c>
      <c r="G1533" s="341" t="s">
        <v>1293</v>
      </c>
      <c r="H1533" s="341" t="s">
        <v>9844</v>
      </c>
      <c r="I1533" s="341" t="s">
        <v>11</v>
      </c>
      <c r="J1533" s="342">
        <v>1</v>
      </c>
      <c r="K1533" s="342" t="s">
        <v>25</v>
      </c>
      <c r="L1533" s="342">
        <v>0</v>
      </c>
    </row>
    <row r="1534" spans="1:12" x14ac:dyDescent="0.25">
      <c r="A1534" s="341" t="s">
        <v>2420</v>
      </c>
      <c r="B1534" s="341" t="s">
        <v>2420</v>
      </c>
      <c r="C1534" s="341" t="s">
        <v>2420</v>
      </c>
      <c r="D1534" s="342">
        <v>0</v>
      </c>
      <c r="E1534" s="342" t="s">
        <v>2420</v>
      </c>
      <c r="F1534" s="342" t="s">
        <v>9622</v>
      </c>
      <c r="G1534" s="341" t="s">
        <v>1322</v>
      </c>
      <c r="H1534" s="341" t="s">
        <v>7014</v>
      </c>
      <c r="I1534" s="341" t="s">
        <v>25</v>
      </c>
      <c r="J1534" s="342">
        <v>0.56000000000000005</v>
      </c>
      <c r="K1534" s="342" t="s">
        <v>25</v>
      </c>
      <c r="L1534" s="342">
        <v>0</v>
      </c>
    </row>
    <row r="1535" spans="1:12" x14ac:dyDescent="0.25">
      <c r="A1535" s="341" t="s">
        <v>2420</v>
      </c>
      <c r="B1535" s="341" t="s">
        <v>2420</v>
      </c>
      <c r="C1535" s="341" t="s">
        <v>2420</v>
      </c>
      <c r="D1535" s="342">
        <v>0</v>
      </c>
      <c r="E1535" s="342" t="s">
        <v>2420</v>
      </c>
      <c r="F1535" s="342" t="s">
        <v>9622</v>
      </c>
      <c r="G1535" s="341" t="s">
        <v>1342</v>
      </c>
      <c r="H1535" s="341" t="s">
        <v>10267</v>
      </c>
      <c r="I1535" s="341" t="s">
        <v>11</v>
      </c>
      <c r="J1535" s="342">
        <v>1</v>
      </c>
      <c r="K1535" s="342" t="s">
        <v>25</v>
      </c>
      <c r="L1535" s="342">
        <v>0</v>
      </c>
    </row>
    <row r="1536" spans="1:12" x14ac:dyDescent="0.25">
      <c r="A1536" s="341" t="s">
        <v>2420</v>
      </c>
      <c r="B1536" s="341" t="s">
        <v>2420</v>
      </c>
      <c r="C1536" s="341" t="s">
        <v>2420</v>
      </c>
      <c r="D1536" s="342">
        <v>0</v>
      </c>
      <c r="E1536" s="342" t="s">
        <v>2420</v>
      </c>
      <c r="F1536" s="342" t="s">
        <v>9622</v>
      </c>
      <c r="G1536" s="341" t="s">
        <v>10268</v>
      </c>
      <c r="H1536" s="341" t="s">
        <v>10269</v>
      </c>
      <c r="I1536" s="341" t="s">
        <v>11</v>
      </c>
      <c r="J1536" s="342">
        <v>1</v>
      </c>
      <c r="K1536" s="342" t="s">
        <v>25</v>
      </c>
      <c r="L1536" s="342">
        <v>0</v>
      </c>
    </row>
    <row r="1537" spans="1:12" x14ac:dyDescent="0.25">
      <c r="A1537" s="341" t="s">
        <v>511</v>
      </c>
      <c r="B1537" s="341" t="s">
        <v>2979</v>
      </c>
      <c r="C1537" s="341" t="s">
        <v>16</v>
      </c>
      <c r="D1537" s="342">
        <v>1</v>
      </c>
      <c r="E1537" s="342">
        <v>0</v>
      </c>
      <c r="F1537" s="342" t="s">
        <v>9622</v>
      </c>
      <c r="G1537" s="341" t="s">
        <v>1210</v>
      </c>
      <c r="H1537" s="341" t="s">
        <v>6855</v>
      </c>
      <c r="I1537" s="341" t="s">
        <v>4230</v>
      </c>
      <c r="J1537" s="342">
        <v>0.2</v>
      </c>
      <c r="K1537" s="342" t="s">
        <v>4230</v>
      </c>
      <c r="L1537" s="342">
        <v>0</v>
      </c>
    </row>
    <row r="1538" spans="1:12" x14ac:dyDescent="0.25">
      <c r="A1538" s="341" t="s">
        <v>2420</v>
      </c>
      <c r="B1538" s="341" t="s">
        <v>2420</v>
      </c>
      <c r="C1538" s="341" t="s">
        <v>2420</v>
      </c>
      <c r="D1538" s="342">
        <v>0</v>
      </c>
      <c r="E1538" s="342" t="s">
        <v>2420</v>
      </c>
      <c r="F1538" s="342" t="s">
        <v>9622</v>
      </c>
      <c r="G1538" s="341" t="s">
        <v>1234</v>
      </c>
      <c r="H1538" s="341" t="s">
        <v>6899</v>
      </c>
      <c r="I1538" s="341" t="s">
        <v>4230</v>
      </c>
      <c r="J1538" s="342">
        <v>0.88</v>
      </c>
      <c r="K1538" s="342" t="s">
        <v>4230</v>
      </c>
      <c r="L1538" s="342">
        <v>0</v>
      </c>
    </row>
    <row r="1539" spans="1:12" x14ac:dyDescent="0.25">
      <c r="A1539" s="341" t="s">
        <v>2420</v>
      </c>
      <c r="B1539" s="341" t="s">
        <v>2420</v>
      </c>
      <c r="C1539" s="341" t="s">
        <v>2420</v>
      </c>
      <c r="D1539" s="342">
        <v>0</v>
      </c>
      <c r="E1539" s="342" t="s">
        <v>2420</v>
      </c>
      <c r="F1539" s="342" t="s">
        <v>9622</v>
      </c>
      <c r="G1539" s="341" t="s">
        <v>1235</v>
      </c>
      <c r="H1539" s="341" t="s">
        <v>6900</v>
      </c>
      <c r="I1539" s="341" t="s">
        <v>4230</v>
      </c>
      <c r="J1539" s="342">
        <v>0.44</v>
      </c>
      <c r="K1539" s="342" t="s">
        <v>4230</v>
      </c>
      <c r="L1539" s="342">
        <v>0</v>
      </c>
    </row>
    <row r="1540" spans="1:12" x14ac:dyDescent="0.25">
      <c r="A1540" s="341" t="s">
        <v>2420</v>
      </c>
      <c r="B1540" s="341" t="s">
        <v>2420</v>
      </c>
      <c r="C1540" s="341" t="s">
        <v>2420</v>
      </c>
      <c r="D1540" s="342">
        <v>0</v>
      </c>
      <c r="E1540" s="342" t="s">
        <v>2420</v>
      </c>
      <c r="F1540" s="342" t="s">
        <v>9622</v>
      </c>
      <c r="G1540" s="341" t="s">
        <v>1275</v>
      </c>
      <c r="H1540" s="341" t="s">
        <v>6938</v>
      </c>
      <c r="I1540" s="341" t="s">
        <v>52</v>
      </c>
      <c r="J1540" s="342">
        <v>0.08</v>
      </c>
      <c r="K1540" s="342" t="s">
        <v>25</v>
      </c>
      <c r="L1540" s="342">
        <v>0</v>
      </c>
    </row>
    <row r="1541" spans="1:12" x14ac:dyDescent="0.25">
      <c r="A1541" s="341" t="s">
        <v>2420</v>
      </c>
      <c r="B1541" s="341" t="s">
        <v>2420</v>
      </c>
      <c r="C1541" s="341" t="s">
        <v>2420</v>
      </c>
      <c r="D1541" s="342">
        <v>0</v>
      </c>
      <c r="E1541" s="342" t="s">
        <v>2420</v>
      </c>
      <c r="F1541" s="342" t="s">
        <v>9622</v>
      </c>
      <c r="G1541" s="341" t="s">
        <v>1303</v>
      </c>
      <c r="H1541" s="341" t="s">
        <v>6980</v>
      </c>
      <c r="I1541" s="341" t="s">
        <v>2557</v>
      </c>
      <c r="J1541" s="342">
        <v>16.66</v>
      </c>
      <c r="K1541" s="342" t="s">
        <v>25</v>
      </c>
      <c r="L1541" s="342">
        <v>0</v>
      </c>
    </row>
    <row r="1542" spans="1:12" x14ac:dyDescent="0.25">
      <c r="A1542" s="341" t="s">
        <v>2420</v>
      </c>
      <c r="B1542" s="341" t="s">
        <v>2420</v>
      </c>
      <c r="C1542" s="341" t="s">
        <v>2420</v>
      </c>
      <c r="D1542" s="342">
        <v>0</v>
      </c>
      <c r="E1542" s="342" t="s">
        <v>2420</v>
      </c>
      <c r="F1542" s="342" t="s">
        <v>9622</v>
      </c>
      <c r="G1542" s="341" t="s">
        <v>1886</v>
      </c>
      <c r="H1542" s="341" t="s">
        <v>8017</v>
      </c>
      <c r="I1542" s="341" t="s">
        <v>16</v>
      </c>
      <c r="J1542" s="342">
        <v>1</v>
      </c>
      <c r="K1542" s="342" t="s">
        <v>9623</v>
      </c>
      <c r="L1542" s="342">
        <v>0</v>
      </c>
    </row>
    <row r="1543" spans="1:12" x14ac:dyDescent="0.25">
      <c r="A1543" s="341" t="s">
        <v>10202</v>
      </c>
      <c r="B1543" s="341" t="s">
        <v>10203</v>
      </c>
      <c r="C1543" s="341" t="s">
        <v>16</v>
      </c>
      <c r="D1543" s="342">
        <v>1</v>
      </c>
      <c r="E1543" s="342">
        <v>0</v>
      </c>
      <c r="F1543" s="342" t="s">
        <v>9622</v>
      </c>
      <c r="G1543" s="341" t="s">
        <v>1193</v>
      </c>
      <c r="H1543" s="341" t="s">
        <v>9792</v>
      </c>
      <c r="I1543" s="341" t="s">
        <v>4230</v>
      </c>
      <c r="J1543" s="342">
        <v>0.5</v>
      </c>
      <c r="K1543" s="342" t="s">
        <v>4230</v>
      </c>
      <c r="L1543" s="342">
        <v>0</v>
      </c>
    </row>
    <row r="1544" spans="1:12" x14ac:dyDescent="0.25">
      <c r="A1544" s="341" t="s">
        <v>2420</v>
      </c>
      <c r="B1544" s="341" t="s">
        <v>2420</v>
      </c>
      <c r="C1544" s="341" t="s">
        <v>2420</v>
      </c>
      <c r="D1544" s="342">
        <v>0</v>
      </c>
      <c r="E1544" s="342" t="s">
        <v>2420</v>
      </c>
      <c r="F1544" s="342" t="s">
        <v>9622</v>
      </c>
      <c r="G1544" s="341" t="s">
        <v>1202</v>
      </c>
      <c r="H1544" s="341" t="s">
        <v>9793</v>
      </c>
      <c r="I1544" s="341" t="s">
        <v>4230</v>
      </c>
      <c r="J1544" s="342">
        <v>1</v>
      </c>
      <c r="K1544" s="342" t="s">
        <v>4230</v>
      </c>
      <c r="L1544" s="342">
        <v>0</v>
      </c>
    </row>
    <row r="1545" spans="1:12" x14ac:dyDescent="0.25">
      <c r="A1545" s="341" t="s">
        <v>2420</v>
      </c>
      <c r="B1545" s="341" t="s">
        <v>2420</v>
      </c>
      <c r="C1545" s="341" t="s">
        <v>2420</v>
      </c>
      <c r="D1545" s="342">
        <v>0</v>
      </c>
      <c r="E1545" s="342" t="s">
        <v>2420</v>
      </c>
      <c r="F1545" s="342" t="s">
        <v>9622</v>
      </c>
      <c r="G1545" s="341" t="s">
        <v>1274</v>
      </c>
      <c r="H1545" s="341" t="s">
        <v>10270</v>
      </c>
      <c r="I1545" s="341" t="s">
        <v>2557</v>
      </c>
      <c r="J1545" s="342">
        <v>0.05</v>
      </c>
      <c r="K1545" s="342" t="s">
        <v>25</v>
      </c>
      <c r="L1545" s="342">
        <v>0</v>
      </c>
    </row>
    <row r="1546" spans="1:12" x14ac:dyDescent="0.25">
      <c r="A1546" s="341" t="s">
        <v>2420</v>
      </c>
      <c r="B1546" s="341" t="s">
        <v>2420</v>
      </c>
      <c r="C1546" s="341" t="s">
        <v>2420</v>
      </c>
      <c r="D1546" s="342">
        <v>0</v>
      </c>
      <c r="E1546" s="342" t="s">
        <v>2420</v>
      </c>
      <c r="F1546" s="342" t="s">
        <v>9622</v>
      </c>
      <c r="G1546" s="341" t="s">
        <v>1359</v>
      </c>
      <c r="H1546" s="341" t="s">
        <v>7078</v>
      </c>
      <c r="I1546" s="341" t="s">
        <v>25</v>
      </c>
      <c r="J1546" s="342">
        <v>1.5</v>
      </c>
      <c r="K1546" s="342" t="s">
        <v>25</v>
      </c>
      <c r="L1546" s="342">
        <v>0</v>
      </c>
    </row>
    <row r="1547" spans="1:12" x14ac:dyDescent="0.25">
      <c r="A1547" s="341" t="s">
        <v>2420</v>
      </c>
      <c r="B1547" s="341" t="s">
        <v>2420</v>
      </c>
      <c r="C1547" s="341" t="s">
        <v>2420</v>
      </c>
      <c r="D1547" s="342">
        <v>0</v>
      </c>
      <c r="E1547" s="342" t="s">
        <v>2420</v>
      </c>
      <c r="F1547" s="342" t="s">
        <v>9622</v>
      </c>
      <c r="G1547" s="341" t="s">
        <v>1360</v>
      </c>
      <c r="H1547" s="341" t="s">
        <v>7079</v>
      </c>
      <c r="I1547" s="341" t="s">
        <v>2557</v>
      </c>
      <c r="J1547" s="342">
        <v>0.2</v>
      </c>
      <c r="K1547" s="342" t="s">
        <v>25</v>
      </c>
      <c r="L1547" s="342">
        <v>0</v>
      </c>
    </row>
    <row r="1548" spans="1:12" x14ac:dyDescent="0.25">
      <c r="A1548" s="341" t="s">
        <v>2420</v>
      </c>
      <c r="B1548" s="341" t="s">
        <v>2420</v>
      </c>
      <c r="C1548" s="341" t="s">
        <v>2420</v>
      </c>
      <c r="D1548" s="342">
        <v>0</v>
      </c>
      <c r="E1548" s="342" t="s">
        <v>2420</v>
      </c>
      <c r="F1548" s="342" t="s">
        <v>9622</v>
      </c>
      <c r="G1548" s="341" t="s">
        <v>1418</v>
      </c>
      <c r="H1548" s="341" t="s">
        <v>7138</v>
      </c>
      <c r="I1548" s="341" t="s">
        <v>16</v>
      </c>
      <c r="J1548" s="342">
        <v>0.25</v>
      </c>
      <c r="K1548" s="342" t="s">
        <v>25</v>
      </c>
      <c r="L1548" s="342">
        <v>0</v>
      </c>
    </row>
    <row r="1549" spans="1:12" x14ac:dyDescent="0.25">
      <c r="A1549" s="341" t="s">
        <v>2420</v>
      </c>
      <c r="B1549" s="341" t="s">
        <v>2420</v>
      </c>
      <c r="C1549" s="341" t="s">
        <v>2420</v>
      </c>
      <c r="D1549" s="341" t="s">
        <v>2420</v>
      </c>
      <c r="E1549" s="341" t="s">
        <v>2420</v>
      </c>
      <c r="F1549" s="342" t="s">
        <v>2420</v>
      </c>
      <c r="G1549" s="341" t="s">
        <v>2420</v>
      </c>
      <c r="H1549" s="341" t="s">
        <v>2420</v>
      </c>
      <c r="I1549" s="341" t="s">
        <v>2420</v>
      </c>
      <c r="J1549" s="341" t="s">
        <v>2420</v>
      </c>
      <c r="K1549" s="342" t="s">
        <v>2420</v>
      </c>
      <c r="L1549" s="341" t="s">
        <v>2420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249977111117893"/>
  </sheetPr>
  <dimension ref="A1:L169"/>
  <sheetViews>
    <sheetView zoomScale="90" zoomScaleNormal="90" workbookViewId="0">
      <selection activeCell="B22" sqref="B22"/>
    </sheetView>
  </sheetViews>
  <sheetFormatPr defaultRowHeight="12.75" x14ac:dyDescent="0.2"/>
  <cols>
    <col min="1" max="1" width="9.140625" style="335"/>
    <col min="2" max="2" width="38.140625" style="15" customWidth="1"/>
    <col min="3" max="6" width="9.140625" style="335"/>
    <col min="7" max="7" width="12.42578125" style="335" customWidth="1"/>
    <col min="8" max="8" width="23.28515625" style="15" customWidth="1"/>
    <col min="9" max="9" width="9.140625" style="335"/>
    <col min="10" max="10" width="10.7109375" style="335" customWidth="1"/>
    <col min="11" max="11" width="9.140625" style="15"/>
    <col min="12" max="12" width="9.140625" style="335"/>
    <col min="13" max="16384" width="9.140625" style="15"/>
  </cols>
  <sheetData>
    <row r="1" spans="1:12" x14ac:dyDescent="0.2">
      <c r="A1" s="339" t="s">
        <v>9681</v>
      </c>
      <c r="B1" s="338"/>
      <c r="C1" s="337"/>
      <c r="D1" s="337"/>
      <c r="E1" s="337"/>
      <c r="F1" s="337"/>
      <c r="G1" s="337"/>
      <c r="H1" s="338"/>
      <c r="I1" s="337"/>
      <c r="J1" s="337"/>
      <c r="K1" s="338"/>
      <c r="L1" s="337"/>
    </row>
    <row r="3" spans="1:12" s="23" customFormat="1" x14ac:dyDescent="0.2">
      <c r="A3" s="23" t="s">
        <v>9613</v>
      </c>
      <c r="B3" s="23" t="s">
        <v>6660</v>
      </c>
      <c r="C3" s="23" t="s">
        <v>9614</v>
      </c>
      <c r="D3" s="23" t="s">
        <v>9615</v>
      </c>
      <c r="E3" s="23" t="s">
        <v>9616</v>
      </c>
      <c r="F3" s="23" t="s">
        <v>9617</v>
      </c>
      <c r="G3" s="23" t="s">
        <v>9618</v>
      </c>
      <c r="H3" s="23" t="s">
        <v>9619</v>
      </c>
      <c r="I3" s="23" t="s">
        <v>9614</v>
      </c>
      <c r="J3" s="23" t="s">
        <v>9620</v>
      </c>
      <c r="K3" s="23" t="s">
        <v>9621</v>
      </c>
      <c r="L3" s="23" t="s">
        <v>9616</v>
      </c>
    </row>
    <row r="5" spans="1:12" x14ac:dyDescent="0.2">
      <c r="A5" s="335" t="s">
        <v>9636</v>
      </c>
      <c r="B5" s="15" t="s">
        <v>9637</v>
      </c>
      <c r="C5" s="335" t="s">
        <v>16</v>
      </c>
      <c r="D5" s="335">
        <v>1</v>
      </c>
      <c r="E5" s="335">
        <v>0</v>
      </c>
      <c r="F5" s="335" t="s">
        <v>9624</v>
      </c>
      <c r="G5" s="335" t="s">
        <v>9629</v>
      </c>
      <c r="H5" s="15" t="s">
        <v>9630</v>
      </c>
      <c r="I5" s="335" t="s">
        <v>547</v>
      </c>
      <c r="J5" s="336">
        <v>1</v>
      </c>
      <c r="K5" s="15" t="s">
        <v>9624</v>
      </c>
      <c r="L5" s="335">
        <v>0</v>
      </c>
    </row>
    <row r="6" spans="1:12" x14ac:dyDescent="0.2">
      <c r="A6" s="335" t="s">
        <v>9636</v>
      </c>
      <c r="B6" s="15" t="s">
        <v>9637</v>
      </c>
      <c r="C6" s="335" t="s">
        <v>16</v>
      </c>
      <c r="D6" s="335">
        <v>1</v>
      </c>
      <c r="E6" s="335">
        <v>0</v>
      </c>
      <c r="F6" s="335" t="s">
        <v>9622</v>
      </c>
      <c r="G6" s="335" t="s">
        <v>1234</v>
      </c>
      <c r="H6" s="15" t="s">
        <v>9631</v>
      </c>
      <c r="I6" s="335" t="s">
        <v>9632</v>
      </c>
      <c r="J6" s="336">
        <v>0.88</v>
      </c>
      <c r="K6" s="15" t="s">
        <v>4230</v>
      </c>
      <c r="L6" s="335">
        <v>0</v>
      </c>
    </row>
    <row r="7" spans="1:12" x14ac:dyDescent="0.2">
      <c r="A7" s="335" t="s">
        <v>9636</v>
      </c>
      <c r="B7" s="15" t="s">
        <v>9637</v>
      </c>
      <c r="C7" s="335" t="s">
        <v>16</v>
      </c>
      <c r="D7" s="335">
        <v>1</v>
      </c>
      <c r="E7" s="335">
        <v>0</v>
      </c>
      <c r="F7" s="335" t="s">
        <v>9622</v>
      </c>
      <c r="G7" s="335" t="s">
        <v>1235</v>
      </c>
      <c r="H7" s="15" t="s">
        <v>9633</v>
      </c>
      <c r="I7" s="335" t="s">
        <v>9632</v>
      </c>
      <c r="J7" s="336">
        <v>0.44</v>
      </c>
      <c r="K7" s="15" t="s">
        <v>4230</v>
      </c>
      <c r="L7" s="335">
        <v>0</v>
      </c>
    </row>
    <row r="8" spans="1:12" x14ac:dyDescent="0.2">
      <c r="A8" s="335" t="s">
        <v>9636</v>
      </c>
      <c r="B8" s="15" t="s">
        <v>9637</v>
      </c>
      <c r="C8" s="335" t="s">
        <v>16</v>
      </c>
      <c r="D8" s="335">
        <v>1</v>
      </c>
      <c r="E8" s="335">
        <v>0</v>
      </c>
      <c r="F8" s="335" t="s">
        <v>9622</v>
      </c>
      <c r="G8" s="335" t="s">
        <v>1472</v>
      </c>
      <c r="H8" s="15" t="s">
        <v>9634</v>
      </c>
      <c r="I8" s="335" t="s">
        <v>569</v>
      </c>
      <c r="J8" s="336">
        <v>8</v>
      </c>
      <c r="K8" s="15" t="s">
        <v>25</v>
      </c>
      <c r="L8" s="335">
        <v>0</v>
      </c>
    </row>
    <row r="9" spans="1:12" x14ac:dyDescent="0.2">
      <c r="A9" s="335" t="s">
        <v>9636</v>
      </c>
      <c r="B9" s="15" t="s">
        <v>9637</v>
      </c>
      <c r="C9" s="335" t="s">
        <v>16</v>
      </c>
      <c r="D9" s="335">
        <v>1</v>
      </c>
      <c r="E9" s="335">
        <v>0</v>
      </c>
      <c r="F9" s="335" t="s">
        <v>9622</v>
      </c>
      <c r="G9" s="335" t="str">
        <f>CONCATENATE("IM",MID(A9,3,6))</f>
        <v>IM7030</v>
      </c>
      <c r="H9" s="15" t="str">
        <f>B9</f>
        <v>PISO EM PORCELANATO À DEFINIR - GOURMET</v>
      </c>
      <c r="I9" s="335" t="str">
        <f>C9</f>
        <v>M2</v>
      </c>
      <c r="J9" s="336">
        <v>1.05</v>
      </c>
      <c r="K9" s="15" t="s">
        <v>25</v>
      </c>
      <c r="L9" s="335">
        <v>0</v>
      </c>
    </row>
    <row r="10" spans="1:12" x14ac:dyDescent="0.2">
      <c r="A10" s="335" t="s">
        <v>9636</v>
      </c>
      <c r="B10" s="15" t="s">
        <v>9637</v>
      </c>
      <c r="C10" s="335" t="s">
        <v>16</v>
      </c>
      <c r="D10" s="335">
        <v>1</v>
      </c>
      <c r="E10" s="335">
        <v>0</v>
      </c>
      <c r="F10" s="335" t="s">
        <v>9622</v>
      </c>
      <c r="G10" s="335" t="s">
        <v>1943</v>
      </c>
      <c r="H10" s="15" t="s">
        <v>9635</v>
      </c>
      <c r="I10" s="335" t="s">
        <v>547</v>
      </c>
      <c r="J10" s="336">
        <v>1</v>
      </c>
      <c r="K10" s="15" t="s">
        <v>9623</v>
      </c>
      <c r="L10" s="335">
        <v>0</v>
      </c>
    </row>
    <row r="12" spans="1:12" x14ac:dyDescent="0.2">
      <c r="J12" s="336"/>
    </row>
    <row r="13" spans="1:12" x14ac:dyDescent="0.2">
      <c r="J13" s="336"/>
    </row>
    <row r="14" spans="1:12" x14ac:dyDescent="0.2">
      <c r="J14" s="336"/>
    </row>
    <row r="15" spans="1:12" x14ac:dyDescent="0.2">
      <c r="J15" s="336"/>
    </row>
    <row r="16" spans="1:12" x14ac:dyDescent="0.2">
      <c r="J16" s="336"/>
    </row>
    <row r="17" spans="2:10" x14ac:dyDescent="0.2">
      <c r="J17" s="336"/>
    </row>
    <row r="19" spans="2:10" x14ac:dyDescent="0.2">
      <c r="J19" s="336"/>
    </row>
    <row r="20" spans="2:10" x14ac:dyDescent="0.2">
      <c r="J20" s="336"/>
    </row>
    <row r="21" spans="2:10" x14ac:dyDescent="0.2">
      <c r="B21" s="15" t="s">
        <v>10284</v>
      </c>
      <c r="J21" s="336"/>
    </row>
    <row r="22" spans="2:10" x14ac:dyDescent="0.2">
      <c r="J22" s="336"/>
    </row>
    <row r="23" spans="2:10" x14ac:dyDescent="0.2">
      <c r="J23" s="336"/>
    </row>
    <row r="24" spans="2:10" x14ac:dyDescent="0.2">
      <c r="J24" s="336"/>
    </row>
    <row r="26" spans="2:10" x14ac:dyDescent="0.2">
      <c r="J26" s="336"/>
    </row>
    <row r="27" spans="2:10" x14ac:dyDescent="0.2">
      <c r="J27" s="336"/>
    </row>
    <row r="28" spans="2:10" x14ac:dyDescent="0.2">
      <c r="J28" s="336"/>
    </row>
    <row r="29" spans="2:10" x14ac:dyDescent="0.2">
      <c r="J29" s="336"/>
    </row>
    <row r="30" spans="2:10" x14ac:dyDescent="0.2">
      <c r="J30" s="336"/>
    </row>
    <row r="31" spans="2:10" x14ac:dyDescent="0.2">
      <c r="J31" s="336"/>
    </row>
    <row r="33" spans="10:10" x14ac:dyDescent="0.2">
      <c r="J33" s="336"/>
    </row>
    <row r="34" spans="10:10" x14ac:dyDescent="0.2">
      <c r="J34" s="336"/>
    </row>
    <row r="35" spans="10:10" x14ac:dyDescent="0.2">
      <c r="J35" s="336"/>
    </row>
    <row r="36" spans="10:10" x14ac:dyDescent="0.2">
      <c r="J36" s="336"/>
    </row>
    <row r="37" spans="10:10" x14ac:dyDescent="0.2">
      <c r="J37" s="336"/>
    </row>
    <row r="38" spans="10:10" x14ac:dyDescent="0.2">
      <c r="J38" s="336"/>
    </row>
    <row r="40" spans="10:10" x14ac:dyDescent="0.2">
      <c r="J40" s="336"/>
    </row>
    <row r="41" spans="10:10" x14ac:dyDescent="0.2">
      <c r="J41" s="336"/>
    </row>
    <row r="42" spans="10:10" x14ac:dyDescent="0.2">
      <c r="J42" s="336"/>
    </row>
    <row r="43" spans="10:10" x14ac:dyDescent="0.2">
      <c r="J43" s="336"/>
    </row>
    <row r="44" spans="10:10" x14ac:dyDescent="0.2">
      <c r="J44" s="336"/>
    </row>
    <row r="45" spans="10:10" x14ac:dyDescent="0.2">
      <c r="J45" s="336"/>
    </row>
    <row r="46" spans="10:10" x14ac:dyDescent="0.2">
      <c r="J46" s="336"/>
    </row>
    <row r="47" spans="10:10" x14ac:dyDescent="0.2">
      <c r="J47" s="336"/>
    </row>
    <row r="48" spans="10:10" x14ac:dyDescent="0.2">
      <c r="J48" s="336"/>
    </row>
    <row r="49" spans="10:10" x14ac:dyDescent="0.2">
      <c r="J49" s="336"/>
    </row>
    <row r="50" spans="10:10" x14ac:dyDescent="0.2">
      <c r="J50" s="336"/>
    </row>
    <row r="51" spans="10:10" x14ac:dyDescent="0.2">
      <c r="J51" s="336"/>
    </row>
    <row r="52" spans="10:10" x14ac:dyDescent="0.2">
      <c r="J52" s="336"/>
    </row>
    <row r="53" spans="10:10" x14ac:dyDescent="0.2">
      <c r="J53" s="336"/>
    </row>
    <row r="54" spans="10:10" x14ac:dyDescent="0.2">
      <c r="J54" s="336"/>
    </row>
    <row r="55" spans="10:10" x14ac:dyDescent="0.2">
      <c r="J55" s="336"/>
    </row>
    <row r="56" spans="10:10" x14ac:dyDescent="0.2">
      <c r="J56" s="336"/>
    </row>
    <row r="57" spans="10:10" x14ac:dyDescent="0.2">
      <c r="J57" s="336"/>
    </row>
    <row r="58" spans="10:10" x14ac:dyDescent="0.2">
      <c r="J58" s="336"/>
    </row>
    <row r="59" spans="10:10" x14ac:dyDescent="0.2">
      <c r="J59" s="336"/>
    </row>
    <row r="60" spans="10:10" x14ac:dyDescent="0.2">
      <c r="J60" s="336"/>
    </row>
    <row r="61" spans="10:10" x14ac:dyDescent="0.2">
      <c r="J61" s="336"/>
    </row>
    <row r="62" spans="10:10" x14ac:dyDescent="0.2">
      <c r="J62" s="336"/>
    </row>
    <row r="63" spans="10:10" x14ac:dyDescent="0.2">
      <c r="J63" s="336"/>
    </row>
    <row r="64" spans="10:10" x14ac:dyDescent="0.2">
      <c r="J64" s="336"/>
    </row>
    <row r="65" spans="10:10" x14ac:dyDescent="0.2">
      <c r="J65" s="336"/>
    </row>
    <row r="66" spans="10:10" x14ac:dyDescent="0.2">
      <c r="J66" s="336"/>
    </row>
    <row r="67" spans="10:10" x14ac:dyDescent="0.2">
      <c r="J67" s="336"/>
    </row>
    <row r="68" spans="10:10" x14ac:dyDescent="0.2">
      <c r="J68" s="336"/>
    </row>
    <row r="69" spans="10:10" x14ac:dyDescent="0.2">
      <c r="J69" s="336"/>
    </row>
    <row r="70" spans="10:10" x14ac:dyDescent="0.2">
      <c r="J70" s="336"/>
    </row>
    <row r="71" spans="10:10" x14ac:dyDescent="0.2">
      <c r="J71" s="336"/>
    </row>
    <row r="72" spans="10:10" x14ac:dyDescent="0.2">
      <c r="J72" s="336"/>
    </row>
    <row r="73" spans="10:10" x14ac:dyDescent="0.2">
      <c r="J73" s="336"/>
    </row>
    <row r="74" spans="10:10" x14ac:dyDescent="0.2">
      <c r="J74" s="336"/>
    </row>
    <row r="75" spans="10:10" x14ac:dyDescent="0.2">
      <c r="J75" s="336"/>
    </row>
    <row r="76" spans="10:10" x14ac:dyDescent="0.2">
      <c r="J76" s="336"/>
    </row>
    <row r="77" spans="10:10" x14ac:dyDescent="0.2">
      <c r="J77" s="336"/>
    </row>
    <row r="78" spans="10:10" x14ac:dyDescent="0.2">
      <c r="J78" s="336"/>
    </row>
    <row r="79" spans="10:10" x14ac:dyDescent="0.2">
      <c r="J79" s="336"/>
    </row>
    <row r="80" spans="10:10" x14ac:dyDescent="0.2">
      <c r="J80" s="336"/>
    </row>
    <row r="81" spans="10:10" x14ac:dyDescent="0.2">
      <c r="J81" s="336"/>
    </row>
    <row r="82" spans="10:10" x14ac:dyDescent="0.2">
      <c r="J82" s="336"/>
    </row>
    <row r="83" spans="10:10" x14ac:dyDescent="0.2">
      <c r="J83" s="336"/>
    </row>
    <row r="84" spans="10:10" x14ac:dyDescent="0.2">
      <c r="J84" s="336"/>
    </row>
    <row r="85" spans="10:10" x14ac:dyDescent="0.2">
      <c r="J85" s="336"/>
    </row>
    <row r="86" spans="10:10" x14ac:dyDescent="0.2">
      <c r="J86" s="336"/>
    </row>
    <row r="87" spans="10:10" x14ac:dyDescent="0.2">
      <c r="J87" s="336"/>
    </row>
    <row r="88" spans="10:10" x14ac:dyDescent="0.2">
      <c r="J88" s="336"/>
    </row>
    <row r="89" spans="10:10" x14ac:dyDescent="0.2">
      <c r="J89" s="336"/>
    </row>
    <row r="90" spans="10:10" x14ac:dyDescent="0.2">
      <c r="J90" s="336"/>
    </row>
    <row r="91" spans="10:10" x14ac:dyDescent="0.2">
      <c r="J91" s="336"/>
    </row>
    <row r="92" spans="10:10" x14ac:dyDescent="0.2">
      <c r="J92" s="336"/>
    </row>
    <row r="93" spans="10:10" x14ac:dyDescent="0.2">
      <c r="J93" s="336"/>
    </row>
    <row r="94" spans="10:10" x14ac:dyDescent="0.2">
      <c r="J94" s="336"/>
    </row>
    <row r="95" spans="10:10" x14ac:dyDescent="0.2">
      <c r="J95" s="336"/>
    </row>
    <row r="96" spans="10:10" x14ac:dyDescent="0.2">
      <c r="J96" s="336"/>
    </row>
    <row r="97" spans="10:10" x14ac:dyDescent="0.2">
      <c r="J97" s="336"/>
    </row>
    <row r="98" spans="10:10" x14ac:dyDescent="0.2">
      <c r="J98" s="336"/>
    </row>
    <row r="99" spans="10:10" x14ac:dyDescent="0.2">
      <c r="J99" s="336"/>
    </row>
    <row r="100" spans="10:10" x14ac:dyDescent="0.2">
      <c r="J100" s="336"/>
    </row>
    <row r="101" spans="10:10" x14ac:dyDescent="0.2">
      <c r="J101" s="336"/>
    </row>
    <row r="102" spans="10:10" x14ac:dyDescent="0.2">
      <c r="J102" s="336"/>
    </row>
    <row r="103" spans="10:10" x14ac:dyDescent="0.2">
      <c r="J103" s="336"/>
    </row>
    <row r="104" spans="10:10" x14ac:dyDescent="0.2">
      <c r="J104" s="336"/>
    </row>
    <row r="105" spans="10:10" x14ac:dyDescent="0.2">
      <c r="J105" s="336"/>
    </row>
    <row r="106" spans="10:10" x14ac:dyDescent="0.2">
      <c r="J106" s="336"/>
    </row>
    <row r="107" spans="10:10" x14ac:dyDescent="0.2">
      <c r="J107" s="336"/>
    </row>
    <row r="108" spans="10:10" x14ac:dyDescent="0.2">
      <c r="J108" s="336"/>
    </row>
    <row r="109" spans="10:10" x14ac:dyDescent="0.2">
      <c r="J109" s="336"/>
    </row>
    <row r="110" spans="10:10" x14ac:dyDescent="0.2">
      <c r="J110" s="336"/>
    </row>
    <row r="111" spans="10:10" x14ac:dyDescent="0.2">
      <c r="J111" s="336"/>
    </row>
    <row r="112" spans="10:10" x14ac:dyDescent="0.2">
      <c r="J112" s="336"/>
    </row>
    <row r="113" spans="10:10" x14ac:dyDescent="0.2">
      <c r="J113" s="336"/>
    </row>
    <row r="114" spans="10:10" x14ac:dyDescent="0.2">
      <c r="J114" s="336"/>
    </row>
    <row r="115" spans="10:10" x14ac:dyDescent="0.2">
      <c r="J115" s="336"/>
    </row>
    <row r="116" spans="10:10" x14ac:dyDescent="0.2">
      <c r="J116" s="336"/>
    </row>
    <row r="117" spans="10:10" x14ac:dyDescent="0.2">
      <c r="J117" s="336"/>
    </row>
    <row r="118" spans="10:10" x14ac:dyDescent="0.2">
      <c r="J118" s="336"/>
    </row>
    <row r="119" spans="10:10" x14ac:dyDescent="0.2">
      <c r="J119" s="336"/>
    </row>
    <row r="120" spans="10:10" x14ac:dyDescent="0.2">
      <c r="J120" s="336"/>
    </row>
    <row r="121" spans="10:10" x14ac:dyDescent="0.2">
      <c r="J121" s="336"/>
    </row>
    <row r="122" spans="10:10" x14ac:dyDescent="0.2">
      <c r="J122" s="336"/>
    </row>
    <row r="123" spans="10:10" x14ac:dyDescent="0.2">
      <c r="J123" s="336"/>
    </row>
    <row r="124" spans="10:10" x14ac:dyDescent="0.2">
      <c r="J124" s="336"/>
    </row>
    <row r="125" spans="10:10" x14ac:dyDescent="0.2">
      <c r="J125" s="336"/>
    </row>
    <row r="126" spans="10:10" x14ac:dyDescent="0.2">
      <c r="J126" s="336"/>
    </row>
    <row r="127" spans="10:10" x14ac:dyDescent="0.2">
      <c r="J127" s="336"/>
    </row>
    <row r="128" spans="10:10" x14ac:dyDescent="0.2">
      <c r="J128" s="336"/>
    </row>
    <row r="129" spans="10:10" x14ac:dyDescent="0.2">
      <c r="J129" s="336"/>
    </row>
    <row r="130" spans="10:10" x14ac:dyDescent="0.2">
      <c r="J130" s="336"/>
    </row>
    <row r="131" spans="10:10" x14ac:dyDescent="0.2">
      <c r="J131" s="336"/>
    </row>
    <row r="132" spans="10:10" x14ac:dyDescent="0.2">
      <c r="J132" s="336"/>
    </row>
    <row r="133" spans="10:10" x14ac:dyDescent="0.2">
      <c r="J133" s="336"/>
    </row>
    <row r="134" spans="10:10" x14ac:dyDescent="0.2">
      <c r="J134" s="336"/>
    </row>
    <row r="135" spans="10:10" x14ac:dyDescent="0.2">
      <c r="J135" s="336"/>
    </row>
    <row r="136" spans="10:10" x14ac:dyDescent="0.2">
      <c r="J136" s="336"/>
    </row>
    <row r="137" spans="10:10" x14ac:dyDescent="0.2">
      <c r="J137" s="336"/>
    </row>
    <row r="138" spans="10:10" x14ac:dyDescent="0.2">
      <c r="J138" s="336"/>
    </row>
    <row r="139" spans="10:10" x14ac:dyDescent="0.2">
      <c r="J139" s="336"/>
    </row>
    <row r="140" spans="10:10" x14ac:dyDescent="0.2">
      <c r="J140" s="336"/>
    </row>
    <row r="141" spans="10:10" x14ac:dyDescent="0.2">
      <c r="J141" s="336"/>
    </row>
    <row r="142" spans="10:10" x14ac:dyDescent="0.2">
      <c r="J142" s="336"/>
    </row>
    <row r="143" spans="10:10" x14ac:dyDescent="0.2">
      <c r="J143" s="336"/>
    </row>
    <row r="144" spans="10:10" x14ac:dyDescent="0.2">
      <c r="J144" s="336"/>
    </row>
    <row r="145" spans="9:10" x14ac:dyDescent="0.2">
      <c r="J145" s="336"/>
    </row>
    <row r="146" spans="9:10" x14ac:dyDescent="0.2">
      <c r="J146" s="336"/>
    </row>
    <row r="147" spans="9:10" x14ac:dyDescent="0.2">
      <c r="J147" s="336"/>
    </row>
    <row r="148" spans="9:10" x14ac:dyDescent="0.2">
      <c r="J148" s="336"/>
    </row>
    <row r="149" spans="9:10" x14ac:dyDescent="0.2">
      <c r="I149" s="15"/>
      <c r="J149" s="336"/>
    </row>
    <row r="150" spans="9:10" x14ac:dyDescent="0.2">
      <c r="I150" s="15"/>
      <c r="J150" s="336"/>
    </row>
    <row r="151" spans="9:10" x14ac:dyDescent="0.2">
      <c r="I151" s="15"/>
      <c r="J151" s="336"/>
    </row>
    <row r="152" spans="9:10" x14ac:dyDescent="0.2">
      <c r="I152" s="15"/>
      <c r="J152" s="336"/>
    </row>
    <row r="153" spans="9:10" x14ac:dyDescent="0.2">
      <c r="I153" s="15"/>
      <c r="J153" s="336"/>
    </row>
    <row r="154" spans="9:10" x14ac:dyDescent="0.2">
      <c r="J154" s="336"/>
    </row>
    <row r="155" spans="9:10" x14ac:dyDescent="0.2">
      <c r="J155" s="336"/>
    </row>
    <row r="156" spans="9:10" x14ac:dyDescent="0.2">
      <c r="J156" s="336"/>
    </row>
    <row r="157" spans="9:10" x14ac:dyDescent="0.2">
      <c r="J157" s="336"/>
    </row>
    <row r="158" spans="9:10" x14ac:dyDescent="0.2">
      <c r="J158" s="336"/>
    </row>
    <row r="159" spans="9:10" x14ac:dyDescent="0.2">
      <c r="J159" s="336"/>
    </row>
    <row r="160" spans="9:10" x14ac:dyDescent="0.2">
      <c r="J160" s="336"/>
    </row>
    <row r="161" spans="10:10" x14ac:dyDescent="0.2">
      <c r="J161" s="336"/>
    </row>
    <row r="162" spans="10:10" x14ac:dyDescent="0.2">
      <c r="J162" s="336"/>
    </row>
    <row r="163" spans="10:10" x14ac:dyDescent="0.2">
      <c r="J163" s="336"/>
    </row>
    <row r="164" spans="10:10" x14ac:dyDescent="0.2">
      <c r="J164" s="336"/>
    </row>
    <row r="165" spans="10:10" x14ac:dyDescent="0.2">
      <c r="J165" s="336"/>
    </row>
    <row r="166" spans="10:10" x14ac:dyDescent="0.2">
      <c r="J166" s="336"/>
    </row>
    <row r="167" spans="10:10" x14ac:dyDescent="0.2">
      <c r="J167" s="336"/>
    </row>
    <row r="168" spans="10:10" x14ac:dyDescent="0.2">
      <c r="J168" s="336"/>
    </row>
    <row r="169" spans="10:10" x14ac:dyDescent="0.2">
      <c r="J169" s="33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249977111117893"/>
  </sheetPr>
  <dimension ref="A1:G18"/>
  <sheetViews>
    <sheetView zoomScale="80" zoomScaleNormal="80" workbookViewId="0">
      <selection activeCell="B19" sqref="B19"/>
    </sheetView>
  </sheetViews>
  <sheetFormatPr defaultRowHeight="15" x14ac:dyDescent="0.25"/>
  <cols>
    <col min="1" max="1" width="9.140625" style="340"/>
    <col min="2" max="2" width="23.5703125" style="341" customWidth="1"/>
    <col min="3" max="3" width="26.42578125" style="341" customWidth="1"/>
    <col min="4" max="4" width="10.28515625" style="341" customWidth="1"/>
    <col min="5" max="5" width="10.7109375" style="341" customWidth="1"/>
    <col min="6" max="6" width="12.85546875" style="341" customWidth="1"/>
    <col min="7" max="7" width="12.42578125" style="341" customWidth="1"/>
    <col min="8" max="16384" width="9.140625" style="341"/>
  </cols>
  <sheetData>
    <row r="1" spans="1:7" x14ac:dyDescent="0.25">
      <c r="A1" s="345" t="s">
        <v>9683</v>
      </c>
      <c r="B1" s="344"/>
      <c r="C1" s="344"/>
      <c r="D1" s="344"/>
      <c r="E1" s="344"/>
      <c r="F1" s="344"/>
      <c r="G1" s="344"/>
    </row>
    <row r="3" spans="1:7" s="343" customFormat="1" x14ac:dyDescent="0.2">
      <c r="A3" s="343" t="s">
        <v>9613</v>
      </c>
      <c r="B3" s="343" t="s">
        <v>9677</v>
      </c>
      <c r="C3" s="343" t="s">
        <v>9678</v>
      </c>
      <c r="D3" s="343" t="s">
        <v>9614</v>
      </c>
      <c r="E3" s="343" t="s">
        <v>9679</v>
      </c>
      <c r="F3" s="343" t="s">
        <v>9680</v>
      </c>
      <c r="G3" s="343" t="s">
        <v>9676</v>
      </c>
    </row>
    <row r="5" spans="1:7" x14ac:dyDescent="0.25">
      <c r="A5" s="340" t="s">
        <v>1465</v>
      </c>
      <c r="B5" s="341" t="s">
        <v>9639</v>
      </c>
      <c r="C5" s="341" t="s">
        <v>9639</v>
      </c>
      <c r="D5" s="342" t="s">
        <v>11</v>
      </c>
      <c r="E5" s="342">
        <v>0</v>
      </c>
      <c r="F5" s="342" t="s">
        <v>25</v>
      </c>
      <c r="G5" s="342">
        <v>0</v>
      </c>
    </row>
    <row r="6" spans="1:7" x14ac:dyDescent="0.25">
      <c r="A6" s="340" t="s">
        <v>9640</v>
      </c>
      <c r="B6" s="341" t="s">
        <v>9641</v>
      </c>
      <c r="C6" s="341" t="s">
        <v>9641</v>
      </c>
      <c r="D6" s="342" t="s">
        <v>25</v>
      </c>
      <c r="E6" s="342">
        <v>0</v>
      </c>
      <c r="F6" s="342" t="s">
        <v>9623</v>
      </c>
      <c r="G6" s="342">
        <v>0</v>
      </c>
    </row>
    <row r="7" spans="1:7" x14ac:dyDescent="0.25">
      <c r="A7" s="340" t="s">
        <v>9644</v>
      </c>
      <c r="B7" s="341" t="s">
        <v>7568</v>
      </c>
      <c r="C7" s="341" t="s">
        <v>7568</v>
      </c>
      <c r="D7" s="342" t="s">
        <v>6606</v>
      </c>
      <c r="E7" s="342">
        <v>0</v>
      </c>
      <c r="F7" s="342" t="s">
        <v>25</v>
      </c>
      <c r="G7" s="342">
        <v>0</v>
      </c>
    </row>
    <row r="8" spans="1:7" x14ac:dyDescent="0.25">
      <c r="A8" s="340" t="s">
        <v>1286</v>
      </c>
      <c r="B8" s="341" t="s">
        <v>9645</v>
      </c>
      <c r="C8" s="341" t="s">
        <v>9645</v>
      </c>
      <c r="D8" s="342" t="s">
        <v>2557</v>
      </c>
      <c r="E8" s="342">
        <v>0</v>
      </c>
      <c r="F8" s="342" t="s">
        <v>25</v>
      </c>
      <c r="G8" s="342">
        <v>0</v>
      </c>
    </row>
    <row r="9" spans="1:7" x14ac:dyDescent="0.25">
      <c r="A9" s="340" t="s">
        <v>9646</v>
      </c>
      <c r="B9" s="341" t="s">
        <v>9647</v>
      </c>
      <c r="C9" s="341" t="s">
        <v>9647</v>
      </c>
      <c r="D9" s="342" t="s">
        <v>11</v>
      </c>
      <c r="E9" s="342">
        <v>0</v>
      </c>
      <c r="F9" s="342" t="s">
        <v>25</v>
      </c>
      <c r="G9" s="342">
        <v>0</v>
      </c>
    </row>
    <row r="10" spans="1:7" x14ac:dyDescent="0.25">
      <c r="A10" s="340" t="s">
        <v>1858</v>
      </c>
      <c r="B10" s="341" t="s">
        <v>9648</v>
      </c>
      <c r="C10" s="341" t="s">
        <v>9648</v>
      </c>
      <c r="D10" s="342" t="s">
        <v>16</v>
      </c>
      <c r="E10" s="342">
        <v>0</v>
      </c>
      <c r="F10" s="342" t="s">
        <v>9623</v>
      </c>
      <c r="G10" s="342">
        <v>0</v>
      </c>
    </row>
    <row r="18" spans="2:2" x14ac:dyDescent="0.25">
      <c r="B18" s="451" t="s">
        <v>10285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2" tint="-0.249977111117893"/>
  </sheetPr>
  <dimension ref="A1:F26"/>
  <sheetViews>
    <sheetView zoomScale="80" zoomScaleNormal="80" workbookViewId="0">
      <selection activeCell="C27" sqref="C27"/>
    </sheetView>
  </sheetViews>
  <sheetFormatPr defaultRowHeight="15" x14ac:dyDescent="0.25"/>
  <cols>
    <col min="1" max="1" width="9.140625" style="340"/>
    <col min="2" max="2" width="11.5703125" style="341" customWidth="1"/>
    <col min="3" max="3" width="44.140625" style="341" customWidth="1"/>
    <col min="4" max="4" width="13.140625" style="341" customWidth="1"/>
    <col min="5" max="5" width="9.140625" style="341"/>
    <col min="6" max="6" width="11.85546875" style="341" customWidth="1"/>
    <col min="7" max="16384" width="9.140625" style="341"/>
  </cols>
  <sheetData>
    <row r="1" spans="1:6" ht="15" customHeight="1" x14ac:dyDescent="0.25">
      <c r="A1" s="345" t="s">
        <v>9682</v>
      </c>
      <c r="B1" s="344"/>
      <c r="C1" s="344"/>
      <c r="D1" s="344"/>
      <c r="E1" s="344"/>
      <c r="F1" s="344"/>
    </row>
    <row r="2" spans="1:6" s="343" customFormat="1" ht="15" customHeight="1" x14ac:dyDescent="0.2">
      <c r="A2" s="343" t="s">
        <v>9673</v>
      </c>
      <c r="B2" s="343" t="s">
        <v>9674</v>
      </c>
      <c r="C2" s="343" t="s">
        <v>6660</v>
      </c>
      <c r="D2" s="343" t="s">
        <v>9614</v>
      </c>
      <c r="E2" s="343" t="s">
        <v>9675</v>
      </c>
      <c r="F2" s="343" t="s">
        <v>9676</v>
      </c>
    </row>
    <row r="3" spans="1:6" s="343" customFormat="1" ht="15" customHeight="1" x14ac:dyDescent="0.2"/>
    <row r="4" spans="1:6" ht="15" customHeight="1" x14ac:dyDescent="0.25">
      <c r="A4" s="340">
        <v>1</v>
      </c>
      <c r="B4" s="342"/>
      <c r="C4" s="341" t="s">
        <v>2336</v>
      </c>
      <c r="F4" s="342">
        <v>0</v>
      </c>
    </row>
    <row r="5" spans="1:6" ht="15" customHeight="1" x14ac:dyDescent="0.25">
      <c r="A5" s="340" t="s">
        <v>9660</v>
      </c>
      <c r="B5" s="342" t="s">
        <v>3005</v>
      </c>
      <c r="C5" s="341" t="s">
        <v>9649</v>
      </c>
      <c r="D5" s="342" t="s">
        <v>2338</v>
      </c>
      <c r="E5" s="342">
        <v>1</v>
      </c>
      <c r="F5" s="342">
        <v>0</v>
      </c>
    </row>
    <row r="6" spans="1:6" ht="15" customHeight="1" x14ac:dyDescent="0.25">
      <c r="B6" s="342"/>
      <c r="D6" s="342"/>
      <c r="E6" s="342"/>
      <c r="F6" s="342">
        <v>0</v>
      </c>
    </row>
    <row r="7" spans="1:6" ht="15" customHeight="1" x14ac:dyDescent="0.25">
      <c r="A7" s="340">
        <v>2</v>
      </c>
      <c r="B7" s="342"/>
      <c r="C7" s="341" t="s">
        <v>2339</v>
      </c>
      <c r="D7" s="342"/>
      <c r="E7" s="342"/>
      <c r="F7" s="342">
        <v>0</v>
      </c>
    </row>
    <row r="8" spans="1:6" ht="15" customHeight="1" x14ac:dyDescent="0.25">
      <c r="A8" s="340" t="s">
        <v>9661</v>
      </c>
      <c r="B8" s="342" t="s">
        <v>3035</v>
      </c>
      <c r="C8" s="341" t="s">
        <v>9650</v>
      </c>
      <c r="D8" s="342" t="s">
        <v>2338</v>
      </c>
      <c r="E8" s="342">
        <v>1</v>
      </c>
      <c r="F8" s="342">
        <v>0</v>
      </c>
    </row>
    <row r="9" spans="1:6" ht="15" customHeight="1" x14ac:dyDescent="0.25">
      <c r="A9" s="340" t="s">
        <v>9662</v>
      </c>
      <c r="B9" s="342" t="s">
        <v>3043</v>
      </c>
      <c r="C9" s="341" t="s">
        <v>9651</v>
      </c>
      <c r="D9" s="342" t="s">
        <v>2338</v>
      </c>
      <c r="E9" s="342">
        <v>1</v>
      </c>
      <c r="F9" s="342">
        <v>0</v>
      </c>
    </row>
    <row r="10" spans="1:6" ht="15" customHeight="1" x14ac:dyDescent="0.25">
      <c r="A10" s="340" t="s">
        <v>9663</v>
      </c>
      <c r="B10" s="342" t="s">
        <v>3011</v>
      </c>
      <c r="C10" s="341" t="s">
        <v>9652</v>
      </c>
      <c r="D10" s="342" t="s">
        <v>2338</v>
      </c>
      <c r="E10" s="342">
        <v>1</v>
      </c>
      <c r="F10" s="342">
        <v>0</v>
      </c>
    </row>
    <row r="11" spans="1:6" ht="15" customHeight="1" x14ac:dyDescent="0.25">
      <c r="A11" s="340" t="s">
        <v>9664</v>
      </c>
      <c r="B11" s="342" t="s">
        <v>3006</v>
      </c>
      <c r="C11" s="341" t="s">
        <v>9653</v>
      </c>
      <c r="D11" s="342" t="s">
        <v>2338</v>
      </c>
      <c r="E11" s="342">
        <v>1</v>
      </c>
      <c r="F11" s="342">
        <v>0</v>
      </c>
    </row>
    <row r="12" spans="1:6" ht="15" customHeight="1" x14ac:dyDescent="0.25">
      <c r="A12" s="340" t="s">
        <v>9665</v>
      </c>
      <c r="B12" s="342" t="s">
        <v>3039</v>
      </c>
      <c r="C12" s="341" t="s">
        <v>9654</v>
      </c>
      <c r="D12" s="342" t="s">
        <v>2338</v>
      </c>
      <c r="E12" s="342">
        <v>1</v>
      </c>
      <c r="F12" s="342">
        <v>0</v>
      </c>
    </row>
    <row r="13" spans="1:6" ht="15" customHeight="1" x14ac:dyDescent="0.25">
      <c r="A13" s="340" t="s">
        <v>9666</v>
      </c>
      <c r="B13" s="342" t="s">
        <v>3009</v>
      </c>
      <c r="C13" s="341" t="s">
        <v>2342</v>
      </c>
      <c r="D13" s="342" t="s">
        <v>2338</v>
      </c>
      <c r="E13" s="342">
        <v>1</v>
      </c>
      <c r="F13" s="342">
        <v>0</v>
      </c>
    </row>
    <row r="14" spans="1:6" ht="15" customHeight="1" x14ac:dyDescent="0.25">
      <c r="A14" s="340" t="s">
        <v>9667</v>
      </c>
      <c r="B14" s="342" t="s">
        <v>3014</v>
      </c>
      <c r="C14" s="341" t="s">
        <v>9655</v>
      </c>
      <c r="D14" s="342" t="s">
        <v>2338</v>
      </c>
      <c r="E14" s="342">
        <v>1</v>
      </c>
      <c r="F14" s="342">
        <v>0</v>
      </c>
    </row>
    <row r="15" spans="1:6" ht="15" customHeight="1" x14ac:dyDescent="0.25">
      <c r="A15" s="340" t="s">
        <v>9668</v>
      </c>
      <c r="B15" s="342" t="s">
        <v>3022</v>
      </c>
      <c r="C15" s="341" t="s">
        <v>9656</v>
      </c>
      <c r="D15" s="342" t="s">
        <v>2338</v>
      </c>
      <c r="E15" s="342">
        <v>1</v>
      </c>
      <c r="F15" s="342">
        <v>0</v>
      </c>
    </row>
    <row r="16" spans="1:6" ht="15" customHeight="1" x14ac:dyDescent="0.25">
      <c r="A16" s="340" t="s">
        <v>9669</v>
      </c>
      <c r="B16" s="342" t="s">
        <v>3024</v>
      </c>
      <c r="C16" s="341" t="s">
        <v>9657</v>
      </c>
      <c r="D16" s="342" t="s">
        <v>2338</v>
      </c>
      <c r="E16" s="342">
        <v>1</v>
      </c>
      <c r="F16" s="342">
        <v>0</v>
      </c>
    </row>
    <row r="17" spans="1:6" ht="15" customHeight="1" x14ac:dyDescent="0.25">
      <c r="A17" s="340" t="s">
        <v>9670</v>
      </c>
      <c r="B17" s="342" t="s">
        <v>3040</v>
      </c>
      <c r="C17" s="341" t="s">
        <v>9658</v>
      </c>
      <c r="D17" s="342" t="s">
        <v>2338</v>
      </c>
      <c r="E17" s="342">
        <v>1</v>
      </c>
      <c r="F17" s="342">
        <v>0</v>
      </c>
    </row>
    <row r="18" spans="1:6" ht="15" customHeight="1" x14ac:dyDescent="0.25">
      <c r="A18" s="340" t="s">
        <v>9671</v>
      </c>
      <c r="B18" s="342" t="s">
        <v>3033</v>
      </c>
      <c r="C18" s="341" t="s">
        <v>9659</v>
      </c>
      <c r="D18" s="342" t="s">
        <v>2338</v>
      </c>
      <c r="E18" s="342">
        <v>1</v>
      </c>
      <c r="F18" s="342">
        <v>0</v>
      </c>
    </row>
    <row r="19" spans="1:6" ht="15" customHeight="1" x14ac:dyDescent="0.25">
      <c r="A19" s="340" t="s">
        <v>9672</v>
      </c>
      <c r="B19" s="342" t="s">
        <v>3038</v>
      </c>
      <c r="C19" s="341" t="s">
        <v>2362</v>
      </c>
      <c r="D19" s="342" t="s">
        <v>2338</v>
      </c>
      <c r="E19" s="342">
        <v>1</v>
      </c>
      <c r="F19" s="342">
        <v>0</v>
      </c>
    </row>
    <row r="26" spans="1:6" x14ac:dyDescent="0.25">
      <c r="C26" s="451" t="s">
        <v>9682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12</vt:i4>
      </vt:variant>
    </vt:vector>
  </HeadingPairs>
  <TitlesOfParts>
    <vt:vector size="28" baseType="lpstr">
      <vt:lpstr>PLANILHA</vt:lpstr>
      <vt:lpstr>PLANILHAS</vt:lpstr>
      <vt:lpstr>IS GESTOR</vt:lpstr>
      <vt:lpstr>Lev. padrão</vt:lpstr>
      <vt:lpstr>RESUMO_REV.</vt:lpstr>
      <vt:lpstr>RESUMO_ESQ.</vt:lpstr>
      <vt:lpstr>RESUMO_LÇ.MET.</vt:lpstr>
      <vt:lpstr>IMPER</vt:lpstr>
      <vt:lpstr>ESTUDO PRAZO</vt:lpstr>
      <vt:lpstr>MAO DE OBRA</vt:lpstr>
      <vt:lpstr>EQUIPAMENTO</vt:lpstr>
      <vt:lpstr>ANDAIMES</vt:lpstr>
      <vt:lpstr>cpu_10013</vt:lpstr>
      <vt:lpstr>import_CPU</vt:lpstr>
      <vt:lpstr>import_IS</vt:lpstr>
      <vt:lpstr>import_Plan</vt:lpstr>
      <vt:lpstr>EQUIPAMENTO!Area_de_impressao</vt:lpstr>
      <vt:lpstr>'ESTUDO PRAZO'!Area_de_impressao</vt:lpstr>
      <vt:lpstr>IMPER!Area_de_impressao</vt:lpstr>
      <vt:lpstr>'MAO DE OBRA'!Area_de_impressao</vt:lpstr>
      <vt:lpstr>RESUMO_ESQ.!Area_de_impressao</vt:lpstr>
      <vt:lpstr>RESUMO_LÇ.MET.!Area_de_impressao</vt:lpstr>
      <vt:lpstr>RESUMO_REV.!Area_de_impressao</vt:lpstr>
      <vt:lpstr>EQUIPAMENTO!Titulos_de_impressao</vt:lpstr>
      <vt:lpstr>IMPER!Titulos_de_impressao</vt:lpstr>
      <vt:lpstr>'MAO DE OBRA'!Titulos_de_impressao</vt:lpstr>
      <vt:lpstr>RESUMO_LÇ.MET.!Titulos_de_impressao</vt:lpstr>
      <vt:lpstr>RESUMO_REV.!Titulos_de_impressao</vt:lpstr>
    </vt:vector>
  </TitlesOfParts>
  <Company>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Obra 01</cp:lastModifiedBy>
  <cp:lastPrinted>2019-09-02T17:52:07Z</cp:lastPrinted>
  <dcterms:created xsi:type="dcterms:W3CDTF">2006-09-15T13:26:51Z</dcterms:created>
  <dcterms:modified xsi:type="dcterms:W3CDTF">2026-05-05T13:26:26Z</dcterms:modified>
</cp:coreProperties>
</file>